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surantconnects-my.sharepoint.com/personal/lisa_nordling_assurant_com/Documents/Enterprise Planning Application/Allocations/Grp Ins/"/>
    </mc:Choice>
  </mc:AlternateContent>
  <xr:revisionPtr revIDLastSave="61" documentId="13_ncr:1_{51D0B24F-6F3E-42B5-901D-730266DB1395}" xr6:coauthVersionLast="47" xr6:coauthVersionMax="47" xr10:uidLastSave="{1C2B92B1-4D7E-45DA-8B20-43DA7AD2550F}"/>
  <bookViews>
    <workbookView xWindow="28680" yWindow="-120" windowWidth="29040" windowHeight="15720" activeTab="2" xr2:uid="{D9EAEB58-CEB3-4753-864B-151AE9430D1D}"/>
  </bookViews>
  <sheets>
    <sheet name="GFS Entry" sheetId="17" r:id="rId1"/>
    <sheet name="Allocation" sheetId="14" r:id="rId2"/>
    <sheet name="Cash Calc." sheetId="8" r:id="rId3"/>
    <sheet name="Salary-FTE" sheetId="3" r:id="rId4"/>
    <sheet name="Email" sheetId="10" state="hidden" r:id="rId5"/>
    <sheet name="FTE" sheetId="18" r:id="rId6"/>
    <sheet name="GFS Cube" sheetId="11" r:id="rId7"/>
    <sheet name="Account" sheetId="16" r:id="rId8"/>
    <sheet name="Cost Center" sheetId="15" r:id="rId9"/>
    <sheet name="CC by Segment" sheetId="7" r:id="rId10"/>
    <sheet name="Email II" sheetId="12" state="hidden" r:id="rId11"/>
  </sheets>
  <definedNames>
    <definedName name="_xlnm._FilterDatabase" localSheetId="1" hidden="1">Allocation!$C$3:$E$709</definedName>
    <definedName name="_xlnm._FilterDatabase" localSheetId="9" hidden="1">'CC by Segment'!$A$1:$C$2608</definedName>
    <definedName name="_xlnm._FilterDatabase" localSheetId="8" hidden="1">'Cost Center'!$A$1:$H$3986</definedName>
    <definedName name="_xlnm._FilterDatabase" localSheetId="5" hidden="1">FTE!$A$3:$C$711</definedName>
    <definedName name="_xlnm._FilterDatabase" localSheetId="0" hidden="1">'GFS Entry'!$A$1:$AL$709</definedName>
    <definedName name="_xlnm._FilterDatabase" localSheetId="3" hidden="1">'Salary-FTE'!$A$3:$F$711</definedName>
    <definedName name="ID" localSheetId="2" hidden="1">"a5f955d2-7e08-4699-971d-2ad3f8d4cf61"</definedName>
    <definedName name="ID" localSheetId="9" hidden="1">"11b591d0-243f-488d-a4c5-770e0f1e3cab"</definedName>
    <definedName name="ID" localSheetId="5" hidden="1">"318822a0-4786-47fa-8838-eefaf28c2931"</definedName>
    <definedName name="ID" localSheetId="3" hidden="1">"318822a0-4786-47fa-8838-eefaf28c2931"</definedName>
  </definedNames>
  <calcPr calcId="191029"/>
  <pivotCaches>
    <pivotCache cacheId="0" r:id="rId12"/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11" i="18" l="1"/>
  <c r="D139" i="8"/>
  <c r="C711" i="3"/>
  <c r="F4" i="8"/>
  <c r="F3" i="8"/>
  <c r="F5" i="8"/>
  <c r="E25" i="3" l="1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D711" i="3"/>
  <c r="R13" i="8" l="1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12" i="8"/>
  <c r="G701" i="3"/>
  <c r="G702" i="3"/>
  <c r="G703" i="3"/>
  <c r="G704" i="3"/>
  <c r="G705" i="3"/>
  <c r="G706" i="3"/>
  <c r="G707" i="3"/>
  <c r="G708" i="3"/>
  <c r="G709" i="3"/>
  <c r="G710" i="3"/>
  <c r="C6" i="8" l="1"/>
  <c r="G696" i="3" l="1"/>
  <c r="G697" i="3"/>
  <c r="G698" i="3"/>
  <c r="G699" i="3"/>
  <c r="G700" i="3"/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4" i="3" l="1"/>
  <c r="J3" i="17"/>
  <c r="J2" i="17"/>
  <c r="G5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4" i="3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" i="7"/>
  <c r="D6" i="8"/>
  <c r="F3" i="18" l="1"/>
  <c r="E3" i="8"/>
  <c r="E139" i="8" s="1"/>
  <c r="F14" i="18" l="1"/>
  <c r="F28" i="18"/>
  <c r="F42" i="18"/>
  <c r="F56" i="18"/>
  <c r="F70" i="18"/>
  <c r="F84" i="18"/>
  <c r="F98" i="18"/>
  <c r="F112" i="18"/>
  <c r="F126" i="18"/>
  <c r="F140" i="18"/>
  <c r="F154" i="18"/>
  <c r="F168" i="18"/>
  <c r="F182" i="18"/>
  <c r="F196" i="18"/>
  <c r="F210" i="18"/>
  <c r="F224" i="18"/>
  <c r="F238" i="18"/>
  <c r="F252" i="18"/>
  <c r="F266" i="18"/>
  <c r="F280" i="18"/>
  <c r="F294" i="18"/>
  <c r="F308" i="18"/>
  <c r="F322" i="18"/>
  <c r="F336" i="18"/>
  <c r="F350" i="18"/>
  <c r="F364" i="18"/>
  <c r="F378" i="18"/>
  <c r="F392" i="18"/>
  <c r="F406" i="18"/>
  <c r="F420" i="18"/>
  <c r="F434" i="18"/>
  <c r="F448" i="18"/>
  <c r="F462" i="18"/>
  <c r="F476" i="18"/>
  <c r="F490" i="18"/>
  <c r="F504" i="18"/>
  <c r="F518" i="18"/>
  <c r="F532" i="18"/>
  <c r="F546" i="18"/>
  <c r="F560" i="18"/>
  <c r="F574" i="18"/>
  <c r="F588" i="18"/>
  <c r="F602" i="18"/>
  <c r="F616" i="18"/>
  <c r="F630" i="18"/>
  <c r="F644" i="18"/>
  <c r="F658" i="18"/>
  <c r="F672" i="18"/>
  <c r="F686" i="18"/>
  <c r="F700" i="18"/>
  <c r="F16" i="18"/>
  <c r="F44" i="18"/>
  <c r="F72" i="18"/>
  <c r="F86" i="18"/>
  <c r="F114" i="18"/>
  <c r="F142" i="18"/>
  <c r="F170" i="18"/>
  <c r="F198" i="18"/>
  <c r="F240" i="18"/>
  <c r="F282" i="18"/>
  <c r="F324" i="18"/>
  <c r="F352" i="18"/>
  <c r="F380" i="18"/>
  <c r="F408" i="18"/>
  <c r="F436" i="18"/>
  <c r="F464" i="18"/>
  <c r="F492" i="18"/>
  <c r="F520" i="18"/>
  <c r="F548" i="18"/>
  <c r="F562" i="18"/>
  <c r="F590" i="18"/>
  <c r="F618" i="18"/>
  <c r="F15" i="18"/>
  <c r="F29" i="18"/>
  <c r="F43" i="18"/>
  <c r="F57" i="18"/>
  <c r="F71" i="18"/>
  <c r="F85" i="18"/>
  <c r="F99" i="18"/>
  <c r="F113" i="18"/>
  <c r="F127" i="18"/>
  <c r="F141" i="18"/>
  <c r="F155" i="18"/>
  <c r="F169" i="18"/>
  <c r="F183" i="18"/>
  <c r="F197" i="18"/>
  <c r="F211" i="18"/>
  <c r="F225" i="18"/>
  <c r="F239" i="18"/>
  <c r="F253" i="18"/>
  <c r="F267" i="18"/>
  <c r="F281" i="18"/>
  <c r="F295" i="18"/>
  <c r="F309" i="18"/>
  <c r="F323" i="18"/>
  <c r="F337" i="18"/>
  <c r="F351" i="18"/>
  <c r="F365" i="18"/>
  <c r="F379" i="18"/>
  <c r="F393" i="18"/>
  <c r="F407" i="18"/>
  <c r="F421" i="18"/>
  <c r="F435" i="18"/>
  <c r="F449" i="18"/>
  <c r="F463" i="18"/>
  <c r="F477" i="18"/>
  <c r="F491" i="18"/>
  <c r="F505" i="18"/>
  <c r="F519" i="18"/>
  <c r="F533" i="18"/>
  <c r="F547" i="18"/>
  <c r="F561" i="18"/>
  <c r="F575" i="18"/>
  <c r="F589" i="18"/>
  <c r="F603" i="18"/>
  <c r="F617" i="18"/>
  <c r="F631" i="18"/>
  <c r="F645" i="18"/>
  <c r="F659" i="18"/>
  <c r="F673" i="18"/>
  <c r="F687" i="18"/>
  <c r="F701" i="18"/>
  <c r="F30" i="18"/>
  <c r="F58" i="18"/>
  <c r="F100" i="18"/>
  <c r="F128" i="18"/>
  <c r="F156" i="18"/>
  <c r="F184" i="18"/>
  <c r="F212" i="18"/>
  <c r="F226" i="18"/>
  <c r="F254" i="18"/>
  <c r="F268" i="18"/>
  <c r="F296" i="18"/>
  <c r="F310" i="18"/>
  <c r="F338" i="18"/>
  <c r="F366" i="18"/>
  <c r="F394" i="18"/>
  <c r="F422" i="18"/>
  <c r="F450" i="18"/>
  <c r="F478" i="18"/>
  <c r="F506" i="18"/>
  <c r="F534" i="18"/>
  <c r="F576" i="18"/>
  <c r="F604" i="18"/>
  <c r="F5" i="18"/>
  <c r="F19" i="18"/>
  <c r="F33" i="18"/>
  <c r="F47" i="18"/>
  <c r="F61" i="18"/>
  <c r="F75" i="18"/>
  <c r="F89" i="18"/>
  <c r="F103" i="18"/>
  <c r="F117" i="18"/>
  <c r="F131" i="18"/>
  <c r="F145" i="18"/>
  <c r="F159" i="18"/>
  <c r="F173" i="18"/>
  <c r="F187" i="18"/>
  <c r="F201" i="18"/>
  <c r="F215" i="18"/>
  <c r="F229" i="18"/>
  <c r="F243" i="18"/>
  <c r="F257" i="18"/>
  <c r="F271" i="18"/>
  <c r="F285" i="18"/>
  <c r="F299" i="18"/>
  <c r="F313" i="18"/>
  <c r="F327" i="18"/>
  <c r="F341" i="18"/>
  <c r="F355" i="18"/>
  <c r="F369" i="18"/>
  <c r="F383" i="18"/>
  <c r="F397" i="18"/>
  <c r="F411" i="18"/>
  <c r="F425" i="18"/>
  <c r="F439" i="18"/>
  <c r="F453" i="18"/>
  <c r="F467" i="18"/>
  <c r="F481" i="18"/>
  <c r="F495" i="18"/>
  <c r="F509" i="18"/>
  <c r="F523" i="18"/>
  <c r="F537" i="18"/>
  <c r="F551" i="18"/>
  <c r="F565" i="18"/>
  <c r="F579" i="18"/>
  <c r="F593" i="18"/>
  <c r="F607" i="18"/>
  <c r="F621" i="18"/>
  <c r="F635" i="18"/>
  <c r="F649" i="18"/>
  <c r="F663" i="18"/>
  <c r="F677" i="18"/>
  <c r="F691" i="18"/>
  <c r="F705" i="18"/>
  <c r="F6" i="18"/>
  <c r="F20" i="18"/>
  <c r="F34" i="18"/>
  <c r="F48" i="18"/>
  <c r="F62" i="18"/>
  <c r="F76" i="18"/>
  <c r="F90" i="18"/>
  <c r="F104" i="18"/>
  <c r="F118" i="18"/>
  <c r="F132" i="18"/>
  <c r="F146" i="18"/>
  <c r="F160" i="18"/>
  <c r="F174" i="18"/>
  <c r="F188" i="18"/>
  <c r="F202" i="18"/>
  <c r="F216" i="18"/>
  <c r="F230" i="18"/>
  <c r="F244" i="18"/>
  <c r="F258" i="18"/>
  <c r="F272" i="18"/>
  <c r="F286" i="18"/>
  <c r="F300" i="18"/>
  <c r="F314" i="18"/>
  <c r="F328" i="18"/>
  <c r="F342" i="18"/>
  <c r="F356" i="18"/>
  <c r="F370" i="18"/>
  <c r="F384" i="18"/>
  <c r="F398" i="18"/>
  <c r="F412" i="18"/>
  <c r="F426" i="18"/>
  <c r="F440" i="18"/>
  <c r="F454" i="18"/>
  <c r="F468" i="18"/>
  <c r="F11" i="18"/>
  <c r="F25" i="18"/>
  <c r="F39" i="18"/>
  <c r="F53" i="18"/>
  <c r="F67" i="18"/>
  <c r="F81" i="18"/>
  <c r="F95" i="18"/>
  <c r="F109" i="18"/>
  <c r="F123" i="18"/>
  <c r="F137" i="18"/>
  <c r="F151" i="18"/>
  <c r="F165" i="18"/>
  <c r="F179" i="18"/>
  <c r="F193" i="18"/>
  <c r="F207" i="18"/>
  <c r="F221" i="18"/>
  <c r="F235" i="18"/>
  <c r="F249" i="18"/>
  <c r="F263" i="18"/>
  <c r="F277" i="18"/>
  <c r="F291" i="18"/>
  <c r="F305" i="18"/>
  <c r="F319" i="18"/>
  <c r="F333" i="18"/>
  <c r="F347" i="18"/>
  <c r="F361" i="18"/>
  <c r="F375" i="18"/>
  <c r="F389" i="18"/>
  <c r="F403" i="18"/>
  <c r="F417" i="18"/>
  <c r="F431" i="18"/>
  <c r="F445" i="18"/>
  <c r="F459" i="18"/>
  <c r="F473" i="18"/>
  <c r="F487" i="18"/>
  <c r="F501" i="18"/>
  <c r="F515" i="18"/>
  <c r="F529" i="18"/>
  <c r="F543" i="18"/>
  <c r="F557" i="18"/>
  <c r="F571" i="18"/>
  <c r="F585" i="18"/>
  <c r="F599" i="18"/>
  <c r="F613" i="18"/>
  <c r="F627" i="18"/>
  <c r="F641" i="18"/>
  <c r="F655" i="18"/>
  <c r="F669" i="18"/>
  <c r="F683" i="18"/>
  <c r="F697" i="18"/>
  <c r="F4" i="18"/>
  <c r="F12" i="18"/>
  <c r="F26" i="18"/>
  <c r="F40" i="18"/>
  <c r="F54" i="18"/>
  <c r="F68" i="18"/>
  <c r="F82" i="18"/>
  <c r="F96" i="18"/>
  <c r="F110" i="18"/>
  <c r="F124" i="18"/>
  <c r="F138" i="18"/>
  <c r="F152" i="18"/>
  <c r="F166" i="18"/>
  <c r="F180" i="18"/>
  <c r="F194" i="18"/>
  <c r="F208" i="18"/>
  <c r="F222" i="18"/>
  <c r="F236" i="18"/>
  <c r="F250" i="18"/>
  <c r="F264" i="18"/>
  <c r="F278" i="18"/>
  <c r="F292" i="18"/>
  <c r="F306" i="18"/>
  <c r="F320" i="18"/>
  <c r="F334" i="18"/>
  <c r="F348" i="18"/>
  <c r="F362" i="18"/>
  <c r="F376" i="18"/>
  <c r="F390" i="18"/>
  <c r="F404" i="18"/>
  <c r="F418" i="18"/>
  <c r="F432" i="18"/>
  <c r="F23" i="18"/>
  <c r="F51" i="18"/>
  <c r="F79" i="18"/>
  <c r="F107" i="18"/>
  <c r="F135" i="18"/>
  <c r="F163" i="18"/>
  <c r="F191" i="18"/>
  <c r="F219" i="18"/>
  <c r="F247" i="18"/>
  <c r="F275" i="18"/>
  <c r="F303" i="18"/>
  <c r="F331" i="18"/>
  <c r="F359" i="18"/>
  <c r="F387" i="18"/>
  <c r="F415" i="18"/>
  <c r="F443" i="18"/>
  <c r="F469" i="18"/>
  <c r="F489" i="18"/>
  <c r="F512" i="18"/>
  <c r="F535" i="18"/>
  <c r="F555" i="18"/>
  <c r="F578" i="18"/>
  <c r="F598" i="18"/>
  <c r="F622" i="18"/>
  <c r="F640" i="18"/>
  <c r="F661" i="18"/>
  <c r="F680" i="18"/>
  <c r="F699" i="18"/>
  <c r="F55" i="18"/>
  <c r="F83" i="18"/>
  <c r="F139" i="18"/>
  <c r="F195" i="18"/>
  <c r="F279" i="18"/>
  <c r="F335" i="18"/>
  <c r="F391" i="18"/>
  <c r="F446" i="18"/>
  <c r="F494" i="18"/>
  <c r="F538" i="18"/>
  <c r="F601" i="18"/>
  <c r="F643" i="18"/>
  <c r="F682" i="18"/>
  <c r="F87" i="18"/>
  <c r="F171" i="18"/>
  <c r="F227" i="18"/>
  <c r="F311" i="18"/>
  <c r="F395" i="18"/>
  <c r="F447" i="18"/>
  <c r="F516" i="18"/>
  <c r="F559" i="18"/>
  <c r="F646" i="18"/>
  <c r="F704" i="18"/>
  <c r="F148" i="18"/>
  <c r="F288" i="18"/>
  <c r="F455" i="18"/>
  <c r="F566" i="18"/>
  <c r="F668" i="18"/>
  <c r="F93" i="18"/>
  <c r="F177" i="18"/>
  <c r="F261" i="18"/>
  <c r="F317" i="18"/>
  <c r="F401" i="18"/>
  <c r="F500" i="18"/>
  <c r="F610" i="18"/>
  <c r="F24" i="18"/>
  <c r="F52" i="18"/>
  <c r="F80" i="18"/>
  <c r="F108" i="18"/>
  <c r="F136" i="18"/>
  <c r="F164" i="18"/>
  <c r="F192" i="18"/>
  <c r="F220" i="18"/>
  <c r="F248" i="18"/>
  <c r="F276" i="18"/>
  <c r="F304" i="18"/>
  <c r="F332" i="18"/>
  <c r="F360" i="18"/>
  <c r="F388" i="18"/>
  <c r="F416" i="18"/>
  <c r="F444" i="18"/>
  <c r="F470" i="18"/>
  <c r="F493" i="18"/>
  <c r="F513" i="18"/>
  <c r="F536" i="18"/>
  <c r="F556" i="18"/>
  <c r="F580" i="18"/>
  <c r="F600" i="18"/>
  <c r="F623" i="18"/>
  <c r="F642" i="18"/>
  <c r="F662" i="18"/>
  <c r="F681" i="18"/>
  <c r="F702" i="18"/>
  <c r="F251" i="18"/>
  <c r="F581" i="18"/>
  <c r="F703" i="18"/>
  <c r="F31" i="18"/>
  <c r="F143" i="18"/>
  <c r="F283" i="18"/>
  <c r="F367" i="18"/>
  <c r="F496" i="18"/>
  <c r="F605" i="18"/>
  <c r="F665" i="18"/>
  <c r="F64" i="18"/>
  <c r="F400" i="18"/>
  <c r="F586" i="18"/>
  <c r="F9" i="18"/>
  <c r="F121" i="18"/>
  <c r="F233" i="18"/>
  <c r="F345" i="18"/>
  <c r="F456" i="18"/>
  <c r="F567" i="18"/>
  <c r="F690" i="18"/>
  <c r="F27" i="18"/>
  <c r="F111" i="18"/>
  <c r="F167" i="18"/>
  <c r="F223" i="18"/>
  <c r="F307" i="18"/>
  <c r="F363" i="18"/>
  <c r="F419" i="18"/>
  <c r="F471" i="18"/>
  <c r="F514" i="18"/>
  <c r="F558" i="18"/>
  <c r="F624" i="18"/>
  <c r="F664" i="18"/>
  <c r="F59" i="18"/>
  <c r="F115" i="18"/>
  <c r="F199" i="18"/>
  <c r="F255" i="18"/>
  <c r="F339" i="18"/>
  <c r="F423" i="18"/>
  <c r="F472" i="18"/>
  <c r="F539" i="18"/>
  <c r="F582" i="18"/>
  <c r="F625" i="18"/>
  <c r="F684" i="18"/>
  <c r="F92" i="18"/>
  <c r="F372" i="18"/>
  <c r="F499" i="18"/>
  <c r="F629" i="18"/>
  <c r="F37" i="18"/>
  <c r="F149" i="18"/>
  <c r="F289" i="18"/>
  <c r="F429" i="18"/>
  <c r="F524" i="18"/>
  <c r="F651" i="18"/>
  <c r="F32" i="18"/>
  <c r="F60" i="18"/>
  <c r="F88" i="18"/>
  <c r="F116" i="18"/>
  <c r="F144" i="18"/>
  <c r="F172" i="18"/>
  <c r="F200" i="18"/>
  <c r="F228" i="18"/>
  <c r="F256" i="18"/>
  <c r="F284" i="18"/>
  <c r="F312" i="18"/>
  <c r="F340" i="18"/>
  <c r="F368" i="18"/>
  <c r="F396" i="18"/>
  <c r="F424" i="18"/>
  <c r="F451" i="18"/>
  <c r="F474" i="18"/>
  <c r="F497" i="18"/>
  <c r="F517" i="18"/>
  <c r="F540" i="18"/>
  <c r="F563" i="18"/>
  <c r="F583" i="18"/>
  <c r="F606" i="18"/>
  <c r="F626" i="18"/>
  <c r="F647" i="18"/>
  <c r="F666" i="18"/>
  <c r="F685" i="18"/>
  <c r="F706" i="18"/>
  <c r="F7" i="18"/>
  <c r="F35" i="18"/>
  <c r="F63" i="18"/>
  <c r="F91" i="18"/>
  <c r="F119" i="18"/>
  <c r="F147" i="18"/>
  <c r="F175" i="18"/>
  <c r="F203" i="18"/>
  <c r="F231" i="18"/>
  <c r="F259" i="18"/>
  <c r="F287" i="18"/>
  <c r="F315" i="18"/>
  <c r="F343" i="18"/>
  <c r="F371" i="18"/>
  <c r="F399" i="18"/>
  <c r="F427" i="18"/>
  <c r="F452" i="18"/>
  <c r="F475" i="18"/>
  <c r="F498" i="18"/>
  <c r="F521" i="18"/>
  <c r="F541" i="18"/>
  <c r="F564" i="18"/>
  <c r="F584" i="18"/>
  <c r="F608" i="18"/>
  <c r="F628" i="18"/>
  <c r="F648" i="18"/>
  <c r="F667" i="18"/>
  <c r="F688" i="18"/>
  <c r="F707" i="18"/>
  <c r="F8" i="18"/>
  <c r="F36" i="18"/>
  <c r="F120" i="18"/>
  <c r="F176" i="18"/>
  <c r="F204" i="18"/>
  <c r="F232" i="18"/>
  <c r="F260" i="18"/>
  <c r="F316" i="18"/>
  <c r="F344" i="18"/>
  <c r="F428" i="18"/>
  <c r="F479" i="18"/>
  <c r="F522" i="18"/>
  <c r="F542" i="18"/>
  <c r="F609" i="18"/>
  <c r="F650" i="18"/>
  <c r="F689" i="18"/>
  <c r="F708" i="18"/>
  <c r="F65" i="18"/>
  <c r="F205" i="18"/>
  <c r="F373" i="18"/>
  <c r="F480" i="18"/>
  <c r="F544" i="18"/>
  <c r="F587" i="18"/>
  <c r="F632" i="18"/>
  <c r="F670" i="18"/>
  <c r="F709" i="18"/>
  <c r="F10" i="18"/>
  <c r="F122" i="18"/>
  <c r="F18" i="18"/>
  <c r="F46" i="18"/>
  <c r="F74" i="18"/>
  <c r="F102" i="18"/>
  <c r="F130" i="18"/>
  <c r="F158" i="18"/>
  <c r="F186" i="18"/>
  <c r="F214" i="18"/>
  <c r="F242" i="18"/>
  <c r="F270" i="18"/>
  <c r="F298" i="18"/>
  <c r="F326" i="18"/>
  <c r="F354" i="18"/>
  <c r="F382" i="18"/>
  <c r="F410" i="18"/>
  <c r="F438" i="18"/>
  <c r="F461" i="18"/>
  <c r="F485" i="18"/>
  <c r="F508" i="18"/>
  <c r="F528" i="18"/>
  <c r="F552" i="18"/>
  <c r="F572" i="18"/>
  <c r="F595" i="18"/>
  <c r="F615" i="18"/>
  <c r="F637" i="18"/>
  <c r="F656" i="18"/>
  <c r="F676" i="18"/>
  <c r="F695" i="18"/>
  <c r="F21" i="18"/>
  <c r="F49" i="18"/>
  <c r="F77" i="18"/>
  <c r="F105" i="18"/>
  <c r="F133" i="18"/>
  <c r="F161" i="18"/>
  <c r="F189" i="18"/>
  <c r="F217" i="18"/>
  <c r="F245" i="18"/>
  <c r="F273" i="18"/>
  <c r="F301" i="18"/>
  <c r="F329" i="18"/>
  <c r="F357" i="18"/>
  <c r="F385" i="18"/>
  <c r="F413" i="18"/>
  <c r="F441" i="18"/>
  <c r="F465" i="18"/>
  <c r="F486" i="18"/>
  <c r="F510" i="18"/>
  <c r="F530" i="18"/>
  <c r="F553" i="18"/>
  <c r="F573" i="18"/>
  <c r="F596" i="18"/>
  <c r="F619" i="18"/>
  <c r="F638" i="18"/>
  <c r="F657" i="18"/>
  <c r="F678" i="18"/>
  <c r="F696" i="18"/>
  <c r="F22" i="18"/>
  <c r="F50" i="18"/>
  <c r="F78" i="18"/>
  <c r="F106" i="18"/>
  <c r="F134" i="18"/>
  <c r="F162" i="18"/>
  <c r="F190" i="18"/>
  <c r="F218" i="18"/>
  <c r="F246" i="18"/>
  <c r="F274" i="18"/>
  <c r="F302" i="18"/>
  <c r="F330" i="18"/>
  <c r="F358" i="18"/>
  <c r="F386" i="18"/>
  <c r="F414" i="18"/>
  <c r="F442" i="18"/>
  <c r="F466" i="18"/>
  <c r="F488" i="18"/>
  <c r="F511" i="18"/>
  <c r="F531" i="18"/>
  <c r="F554" i="18"/>
  <c r="F577" i="18"/>
  <c r="F597" i="18"/>
  <c r="F620" i="18"/>
  <c r="F639" i="18"/>
  <c r="F660" i="18"/>
  <c r="F679" i="18"/>
  <c r="F698" i="18"/>
  <c r="F97" i="18"/>
  <c r="F237" i="18"/>
  <c r="F374" i="18"/>
  <c r="F484" i="18"/>
  <c r="F592" i="18"/>
  <c r="F692" i="18"/>
  <c r="F507" i="18"/>
  <c r="F269" i="18"/>
  <c r="F157" i="18"/>
  <c r="F634" i="18"/>
  <c r="F433" i="18"/>
  <c r="F437" i="18"/>
  <c r="F185" i="18"/>
  <c r="F654" i="18"/>
  <c r="F94" i="18"/>
  <c r="F101" i="18"/>
  <c r="F241" i="18"/>
  <c r="F377" i="18"/>
  <c r="F502" i="18"/>
  <c r="F594" i="18"/>
  <c r="F693" i="18"/>
  <c r="F265" i="18"/>
  <c r="F150" i="18"/>
  <c r="F614" i="18"/>
  <c r="F293" i="18"/>
  <c r="F527" i="18"/>
  <c r="F297" i="18"/>
  <c r="F636" i="18"/>
  <c r="F181" i="18"/>
  <c r="F550" i="18"/>
  <c r="F325" i="18"/>
  <c r="F675" i="18"/>
  <c r="F125" i="18"/>
  <c r="F262" i="18"/>
  <c r="F381" i="18"/>
  <c r="F503" i="18"/>
  <c r="F611" i="18"/>
  <c r="F694" i="18"/>
  <c r="F129" i="18"/>
  <c r="F402" i="18"/>
  <c r="F612" i="18"/>
  <c r="F710" i="18"/>
  <c r="F405" i="18"/>
  <c r="F525" i="18"/>
  <c r="F38" i="18"/>
  <c r="F318" i="18"/>
  <c r="F321" i="18"/>
  <c r="F458" i="18"/>
  <c r="F234" i="18"/>
  <c r="F457" i="18"/>
  <c r="F66" i="18"/>
  <c r="F353" i="18"/>
  <c r="F13" i="18"/>
  <c r="F153" i="18"/>
  <c r="F290" i="18"/>
  <c r="F409" i="18"/>
  <c r="F526" i="18"/>
  <c r="F633" i="18"/>
  <c r="F430" i="18"/>
  <c r="F178" i="18"/>
  <c r="F545" i="18"/>
  <c r="F41" i="18"/>
  <c r="F652" i="18"/>
  <c r="F45" i="18"/>
  <c r="F653" i="18"/>
  <c r="F206" i="18"/>
  <c r="F483" i="18"/>
  <c r="F17" i="18"/>
  <c r="F549" i="18"/>
  <c r="F568" i="18"/>
  <c r="F591" i="18"/>
  <c r="F69" i="18"/>
  <c r="F209" i="18"/>
  <c r="F346" i="18"/>
  <c r="F460" i="18"/>
  <c r="F569" i="18"/>
  <c r="F671" i="18"/>
  <c r="F73" i="18"/>
  <c r="F213" i="18"/>
  <c r="F349" i="18"/>
  <c r="F482" i="18"/>
  <c r="F570" i="18"/>
  <c r="F674" i="18"/>
  <c r="E18" i="8"/>
  <c r="F18" i="8" s="1"/>
  <c r="E280" i="8"/>
  <c r="F280" i="8" s="1"/>
  <c r="E278" i="8"/>
  <c r="F278" i="8" s="1"/>
  <c r="E282" i="8"/>
  <c r="F282" i="8" s="1"/>
  <c r="E277" i="8"/>
  <c r="F277" i="8" s="1"/>
  <c r="E279" i="8"/>
  <c r="F279" i="8" s="1"/>
  <c r="E281" i="8"/>
  <c r="F281" i="8" s="1"/>
  <c r="E14" i="8"/>
  <c r="F14" i="8" s="1"/>
  <c r="E15" i="8"/>
  <c r="F15" i="8" s="1"/>
  <c r="E19" i="8"/>
  <c r="F19" i="8" s="1"/>
  <c r="E23" i="8"/>
  <c r="F23" i="8" s="1"/>
  <c r="E27" i="8"/>
  <c r="F27" i="8" s="1"/>
  <c r="E31" i="8"/>
  <c r="F31" i="8" s="1"/>
  <c r="E35" i="8"/>
  <c r="F35" i="8" s="1"/>
  <c r="E39" i="8"/>
  <c r="F39" i="8" s="1"/>
  <c r="E43" i="8"/>
  <c r="F43" i="8" s="1"/>
  <c r="E47" i="8"/>
  <c r="F47" i="8" s="1"/>
  <c r="E51" i="8"/>
  <c r="F51" i="8" s="1"/>
  <c r="E55" i="8"/>
  <c r="F55" i="8" s="1"/>
  <c r="E59" i="8"/>
  <c r="F59" i="8" s="1"/>
  <c r="E63" i="8"/>
  <c r="F63" i="8" s="1"/>
  <c r="E67" i="8"/>
  <c r="F67" i="8" s="1"/>
  <c r="E71" i="8"/>
  <c r="F71" i="8" s="1"/>
  <c r="E75" i="8"/>
  <c r="F75" i="8" s="1"/>
  <c r="E79" i="8"/>
  <c r="F79" i="8" s="1"/>
  <c r="E83" i="8"/>
  <c r="F83" i="8" s="1"/>
  <c r="E87" i="8"/>
  <c r="F87" i="8" s="1"/>
  <c r="E91" i="8"/>
  <c r="F91" i="8" s="1"/>
  <c r="E95" i="8"/>
  <c r="F95" i="8" s="1"/>
  <c r="E99" i="8"/>
  <c r="F99" i="8" s="1"/>
  <c r="E103" i="8"/>
  <c r="F103" i="8" s="1"/>
  <c r="E107" i="8"/>
  <c r="F107" i="8" s="1"/>
  <c r="E111" i="8"/>
  <c r="F111" i="8" s="1"/>
  <c r="E115" i="8"/>
  <c r="F115" i="8" s="1"/>
  <c r="E119" i="8"/>
  <c r="F119" i="8" s="1"/>
  <c r="E123" i="8"/>
  <c r="F123" i="8" s="1"/>
  <c r="E127" i="8"/>
  <c r="F127" i="8" s="1"/>
  <c r="E131" i="8"/>
  <c r="F131" i="8" s="1"/>
  <c r="E135" i="8"/>
  <c r="F135" i="8" s="1"/>
  <c r="F139" i="8"/>
  <c r="E143" i="8"/>
  <c r="F143" i="8" s="1"/>
  <c r="E147" i="8"/>
  <c r="F147" i="8" s="1"/>
  <c r="E151" i="8"/>
  <c r="F151" i="8" s="1"/>
  <c r="E155" i="8"/>
  <c r="F155" i="8" s="1"/>
  <c r="E159" i="8"/>
  <c r="F159" i="8" s="1"/>
  <c r="E163" i="8"/>
  <c r="F163" i="8" s="1"/>
  <c r="E167" i="8"/>
  <c r="F167" i="8" s="1"/>
  <c r="E171" i="8"/>
  <c r="F171" i="8" s="1"/>
  <c r="E175" i="8"/>
  <c r="F175" i="8" s="1"/>
  <c r="E179" i="8"/>
  <c r="F179" i="8" s="1"/>
  <c r="E183" i="8"/>
  <c r="F183" i="8" s="1"/>
  <c r="E187" i="8"/>
  <c r="F187" i="8" s="1"/>
  <c r="E191" i="8"/>
  <c r="F191" i="8" s="1"/>
  <c r="E195" i="8"/>
  <c r="F195" i="8" s="1"/>
  <c r="E199" i="8"/>
  <c r="F199" i="8" s="1"/>
  <c r="E203" i="8"/>
  <c r="F203" i="8" s="1"/>
  <c r="E207" i="8"/>
  <c r="F207" i="8" s="1"/>
  <c r="E211" i="8"/>
  <c r="F211" i="8" s="1"/>
  <c r="E215" i="8"/>
  <c r="F215" i="8" s="1"/>
  <c r="E219" i="8"/>
  <c r="F219" i="8" s="1"/>
  <c r="E223" i="8"/>
  <c r="F223" i="8" s="1"/>
  <c r="E20" i="8"/>
  <c r="F20" i="8" s="1"/>
  <c r="E25" i="8"/>
  <c r="F25" i="8" s="1"/>
  <c r="E30" i="8"/>
  <c r="F30" i="8" s="1"/>
  <c r="E36" i="8"/>
  <c r="F36" i="8" s="1"/>
  <c r="E41" i="8"/>
  <c r="F41" i="8" s="1"/>
  <c r="E46" i="8"/>
  <c r="F46" i="8" s="1"/>
  <c r="E52" i="8"/>
  <c r="F52" i="8" s="1"/>
  <c r="E57" i="8"/>
  <c r="F57" i="8" s="1"/>
  <c r="E62" i="8"/>
  <c r="F62" i="8" s="1"/>
  <c r="E68" i="8"/>
  <c r="F68" i="8" s="1"/>
  <c r="E73" i="8"/>
  <c r="F73" i="8" s="1"/>
  <c r="E78" i="8"/>
  <c r="F78" i="8" s="1"/>
  <c r="E84" i="8"/>
  <c r="F84" i="8" s="1"/>
  <c r="E89" i="8"/>
  <c r="F89" i="8" s="1"/>
  <c r="E94" i="8"/>
  <c r="F94" i="8" s="1"/>
  <c r="E100" i="8"/>
  <c r="F100" i="8" s="1"/>
  <c r="E105" i="8"/>
  <c r="F105" i="8" s="1"/>
  <c r="E110" i="8"/>
  <c r="F110" i="8" s="1"/>
  <c r="E116" i="8"/>
  <c r="F116" i="8" s="1"/>
  <c r="E121" i="8"/>
  <c r="F121" i="8" s="1"/>
  <c r="E126" i="8"/>
  <c r="F126" i="8" s="1"/>
  <c r="E132" i="8"/>
  <c r="F132" i="8" s="1"/>
  <c r="E137" i="8"/>
  <c r="F137" i="8" s="1"/>
  <c r="E142" i="8"/>
  <c r="F142" i="8" s="1"/>
  <c r="E148" i="8"/>
  <c r="F148" i="8" s="1"/>
  <c r="E153" i="8"/>
  <c r="F153" i="8" s="1"/>
  <c r="E158" i="8"/>
  <c r="F158" i="8" s="1"/>
  <c r="E164" i="8"/>
  <c r="F164" i="8" s="1"/>
  <c r="E169" i="8"/>
  <c r="F169" i="8" s="1"/>
  <c r="E174" i="8"/>
  <c r="F174" i="8" s="1"/>
  <c r="E180" i="8"/>
  <c r="F180" i="8" s="1"/>
  <c r="E185" i="8"/>
  <c r="F185" i="8" s="1"/>
  <c r="E190" i="8"/>
  <c r="F190" i="8" s="1"/>
  <c r="E196" i="8"/>
  <c r="F196" i="8" s="1"/>
  <c r="E201" i="8"/>
  <c r="F201" i="8" s="1"/>
  <c r="E206" i="8"/>
  <c r="F206" i="8" s="1"/>
  <c r="E212" i="8"/>
  <c r="F212" i="8" s="1"/>
  <c r="E217" i="8"/>
  <c r="F217" i="8" s="1"/>
  <c r="E222" i="8"/>
  <c r="F222" i="8" s="1"/>
  <c r="E227" i="8"/>
  <c r="F227" i="8" s="1"/>
  <c r="E231" i="8"/>
  <c r="F231" i="8" s="1"/>
  <c r="E235" i="8"/>
  <c r="F235" i="8" s="1"/>
  <c r="E239" i="8"/>
  <c r="F239" i="8" s="1"/>
  <c r="E243" i="8"/>
  <c r="F243" i="8" s="1"/>
  <c r="E247" i="8"/>
  <c r="F247" i="8" s="1"/>
  <c r="E251" i="8"/>
  <c r="F251" i="8" s="1"/>
  <c r="E255" i="8"/>
  <c r="F255" i="8" s="1"/>
  <c r="E259" i="8"/>
  <c r="F259" i="8" s="1"/>
  <c r="E263" i="8"/>
  <c r="F263" i="8" s="1"/>
  <c r="E267" i="8"/>
  <c r="F267" i="8" s="1"/>
  <c r="E271" i="8"/>
  <c r="F271" i="8" s="1"/>
  <c r="E275" i="8"/>
  <c r="F275" i="8" s="1"/>
  <c r="E12" i="8"/>
  <c r="F12" i="8" s="1"/>
  <c r="E28" i="8"/>
  <c r="F28" i="8" s="1"/>
  <c r="E38" i="8"/>
  <c r="F38" i="8" s="1"/>
  <c r="E54" i="8"/>
  <c r="F54" i="8" s="1"/>
  <c r="E70" i="8"/>
  <c r="F70" i="8" s="1"/>
  <c r="E81" i="8"/>
  <c r="F81" i="8" s="1"/>
  <c r="E92" i="8"/>
  <c r="F92" i="8" s="1"/>
  <c r="E102" i="8"/>
  <c r="F102" i="8" s="1"/>
  <c r="E118" i="8"/>
  <c r="F118" i="8" s="1"/>
  <c r="E129" i="8"/>
  <c r="F129" i="8" s="1"/>
  <c r="E145" i="8"/>
  <c r="F145" i="8" s="1"/>
  <c r="E161" i="8"/>
  <c r="F161" i="8" s="1"/>
  <c r="E177" i="8"/>
  <c r="F177" i="8" s="1"/>
  <c r="E188" i="8"/>
  <c r="F188" i="8" s="1"/>
  <c r="E198" i="8"/>
  <c r="F198" i="8" s="1"/>
  <c r="E209" i="8"/>
  <c r="F209" i="8" s="1"/>
  <c r="E225" i="8"/>
  <c r="F225" i="8" s="1"/>
  <c r="E237" i="8"/>
  <c r="F237" i="8" s="1"/>
  <c r="E249" i="8"/>
  <c r="F249" i="8" s="1"/>
  <c r="E257" i="8"/>
  <c r="F257" i="8" s="1"/>
  <c r="E269" i="8"/>
  <c r="F269" i="8" s="1"/>
  <c r="E13" i="8"/>
  <c r="F13" i="8" s="1"/>
  <c r="E21" i="8"/>
  <c r="F21" i="8" s="1"/>
  <c r="E26" i="8"/>
  <c r="F26" i="8" s="1"/>
  <c r="E32" i="8"/>
  <c r="F32" i="8" s="1"/>
  <c r="E37" i="8"/>
  <c r="F37" i="8" s="1"/>
  <c r="E42" i="8"/>
  <c r="F42" i="8" s="1"/>
  <c r="E48" i="8"/>
  <c r="F48" i="8" s="1"/>
  <c r="E53" i="8"/>
  <c r="F53" i="8" s="1"/>
  <c r="E58" i="8"/>
  <c r="F58" i="8" s="1"/>
  <c r="E64" i="8"/>
  <c r="F64" i="8" s="1"/>
  <c r="E69" i="8"/>
  <c r="F69" i="8" s="1"/>
  <c r="E74" i="8"/>
  <c r="F74" i="8" s="1"/>
  <c r="E80" i="8"/>
  <c r="F80" i="8" s="1"/>
  <c r="E85" i="8"/>
  <c r="F85" i="8" s="1"/>
  <c r="E90" i="8"/>
  <c r="F90" i="8" s="1"/>
  <c r="E96" i="8"/>
  <c r="F96" i="8" s="1"/>
  <c r="E101" i="8"/>
  <c r="F101" i="8" s="1"/>
  <c r="E106" i="8"/>
  <c r="F106" i="8" s="1"/>
  <c r="E112" i="8"/>
  <c r="F112" i="8" s="1"/>
  <c r="E117" i="8"/>
  <c r="F117" i="8" s="1"/>
  <c r="E122" i="8"/>
  <c r="F122" i="8" s="1"/>
  <c r="E128" i="8"/>
  <c r="F128" i="8" s="1"/>
  <c r="E133" i="8"/>
  <c r="F133" i="8" s="1"/>
  <c r="E138" i="8"/>
  <c r="F138" i="8" s="1"/>
  <c r="E144" i="8"/>
  <c r="F144" i="8" s="1"/>
  <c r="E149" i="8"/>
  <c r="F149" i="8" s="1"/>
  <c r="E154" i="8"/>
  <c r="F154" i="8" s="1"/>
  <c r="E160" i="8"/>
  <c r="F160" i="8" s="1"/>
  <c r="E165" i="8"/>
  <c r="F165" i="8" s="1"/>
  <c r="E170" i="8"/>
  <c r="F170" i="8" s="1"/>
  <c r="E176" i="8"/>
  <c r="F176" i="8" s="1"/>
  <c r="E181" i="8"/>
  <c r="F181" i="8" s="1"/>
  <c r="E186" i="8"/>
  <c r="F186" i="8" s="1"/>
  <c r="E192" i="8"/>
  <c r="F192" i="8" s="1"/>
  <c r="E197" i="8"/>
  <c r="F197" i="8" s="1"/>
  <c r="E202" i="8"/>
  <c r="F202" i="8" s="1"/>
  <c r="E208" i="8"/>
  <c r="F208" i="8" s="1"/>
  <c r="E213" i="8"/>
  <c r="F213" i="8" s="1"/>
  <c r="E218" i="8"/>
  <c r="F218" i="8" s="1"/>
  <c r="E224" i="8"/>
  <c r="F224" i="8" s="1"/>
  <c r="E228" i="8"/>
  <c r="F228" i="8" s="1"/>
  <c r="E232" i="8"/>
  <c r="F232" i="8" s="1"/>
  <c r="E236" i="8"/>
  <c r="F236" i="8" s="1"/>
  <c r="E240" i="8"/>
  <c r="F240" i="8" s="1"/>
  <c r="E244" i="8"/>
  <c r="F244" i="8" s="1"/>
  <c r="E248" i="8"/>
  <c r="F248" i="8" s="1"/>
  <c r="E252" i="8"/>
  <c r="F252" i="8" s="1"/>
  <c r="E256" i="8"/>
  <c r="F256" i="8" s="1"/>
  <c r="E260" i="8"/>
  <c r="F260" i="8" s="1"/>
  <c r="E264" i="8"/>
  <c r="F264" i="8" s="1"/>
  <c r="E268" i="8"/>
  <c r="F268" i="8" s="1"/>
  <c r="E272" i="8"/>
  <c r="F272" i="8" s="1"/>
  <c r="E276" i="8"/>
  <c r="F276" i="8" s="1"/>
  <c r="E22" i="8"/>
  <c r="F22" i="8" s="1"/>
  <c r="E44" i="8"/>
  <c r="F44" i="8" s="1"/>
  <c r="E65" i="8"/>
  <c r="F65" i="8" s="1"/>
  <c r="E86" i="8"/>
  <c r="F86" i="8" s="1"/>
  <c r="E113" i="8"/>
  <c r="F113" i="8" s="1"/>
  <c r="E134" i="8"/>
  <c r="F134" i="8" s="1"/>
  <c r="E150" i="8"/>
  <c r="F150" i="8" s="1"/>
  <c r="E172" i="8"/>
  <c r="F172" i="8" s="1"/>
  <c r="E193" i="8"/>
  <c r="F193" i="8" s="1"/>
  <c r="E214" i="8"/>
  <c r="F214" i="8" s="1"/>
  <c r="E233" i="8"/>
  <c r="F233" i="8" s="1"/>
  <c r="E245" i="8"/>
  <c r="F245" i="8" s="1"/>
  <c r="E261" i="8"/>
  <c r="F261" i="8" s="1"/>
  <c r="E273" i="8"/>
  <c r="F273" i="8" s="1"/>
  <c r="E16" i="8"/>
  <c r="F16" i="8" s="1"/>
  <c r="E33" i="8"/>
  <c r="F33" i="8" s="1"/>
  <c r="E49" i="8"/>
  <c r="F49" i="8" s="1"/>
  <c r="E60" i="8"/>
  <c r="F60" i="8" s="1"/>
  <c r="E76" i="8"/>
  <c r="F76" i="8" s="1"/>
  <c r="E97" i="8"/>
  <c r="F97" i="8" s="1"/>
  <c r="E108" i="8"/>
  <c r="F108" i="8" s="1"/>
  <c r="E124" i="8"/>
  <c r="F124" i="8" s="1"/>
  <c r="E140" i="8"/>
  <c r="F140" i="8" s="1"/>
  <c r="E156" i="8"/>
  <c r="F156" i="8" s="1"/>
  <c r="E166" i="8"/>
  <c r="F166" i="8" s="1"/>
  <c r="E182" i="8"/>
  <c r="F182" i="8" s="1"/>
  <c r="E204" i="8"/>
  <c r="F204" i="8" s="1"/>
  <c r="E220" i="8"/>
  <c r="F220" i="8" s="1"/>
  <c r="E229" i="8"/>
  <c r="F229" i="8" s="1"/>
  <c r="E241" i="8"/>
  <c r="F241" i="8" s="1"/>
  <c r="E253" i="8"/>
  <c r="F253" i="8" s="1"/>
  <c r="E265" i="8"/>
  <c r="F265" i="8" s="1"/>
  <c r="E34" i="8"/>
  <c r="F34" i="8" s="1"/>
  <c r="E56" i="8"/>
  <c r="F56" i="8" s="1"/>
  <c r="E77" i="8"/>
  <c r="F77" i="8" s="1"/>
  <c r="E98" i="8"/>
  <c r="F98" i="8" s="1"/>
  <c r="E120" i="8"/>
  <c r="F120" i="8" s="1"/>
  <c r="E141" i="8"/>
  <c r="F141" i="8" s="1"/>
  <c r="E162" i="8"/>
  <c r="F162" i="8" s="1"/>
  <c r="E184" i="8"/>
  <c r="F184" i="8" s="1"/>
  <c r="E205" i="8"/>
  <c r="F205" i="8" s="1"/>
  <c r="E226" i="8"/>
  <c r="F226" i="8" s="1"/>
  <c r="E242" i="8"/>
  <c r="F242" i="8" s="1"/>
  <c r="E258" i="8"/>
  <c r="F258" i="8" s="1"/>
  <c r="E274" i="8"/>
  <c r="F274" i="8" s="1"/>
  <c r="E29" i="8"/>
  <c r="F29" i="8" s="1"/>
  <c r="E93" i="8"/>
  <c r="F93" i="8" s="1"/>
  <c r="E136" i="8"/>
  <c r="F136" i="8" s="1"/>
  <c r="E178" i="8"/>
  <c r="F178" i="8" s="1"/>
  <c r="E221" i="8"/>
  <c r="F221" i="8" s="1"/>
  <c r="E270" i="8"/>
  <c r="F270" i="8" s="1"/>
  <c r="E17" i="8"/>
  <c r="F17" i="8" s="1"/>
  <c r="E40" i="8"/>
  <c r="F40" i="8" s="1"/>
  <c r="E61" i="8"/>
  <c r="F61" i="8" s="1"/>
  <c r="E82" i="8"/>
  <c r="F82" i="8" s="1"/>
  <c r="E104" i="8"/>
  <c r="F104" i="8" s="1"/>
  <c r="E125" i="8"/>
  <c r="F125" i="8" s="1"/>
  <c r="E146" i="8"/>
  <c r="F146" i="8" s="1"/>
  <c r="E168" i="8"/>
  <c r="F168" i="8" s="1"/>
  <c r="E189" i="8"/>
  <c r="F189" i="8" s="1"/>
  <c r="E210" i="8"/>
  <c r="F210" i="8" s="1"/>
  <c r="E230" i="8"/>
  <c r="F230" i="8" s="1"/>
  <c r="E246" i="8"/>
  <c r="F246" i="8" s="1"/>
  <c r="E262" i="8"/>
  <c r="F262" i="8" s="1"/>
  <c r="E72" i="8"/>
  <c r="F72" i="8" s="1"/>
  <c r="E24" i="8"/>
  <c r="F24" i="8" s="1"/>
  <c r="E45" i="8"/>
  <c r="F45" i="8" s="1"/>
  <c r="E66" i="8"/>
  <c r="F66" i="8" s="1"/>
  <c r="E88" i="8"/>
  <c r="F88" i="8" s="1"/>
  <c r="E109" i="8"/>
  <c r="F109" i="8" s="1"/>
  <c r="E130" i="8"/>
  <c r="F130" i="8" s="1"/>
  <c r="E152" i="8"/>
  <c r="F152" i="8" s="1"/>
  <c r="E173" i="8"/>
  <c r="F173" i="8" s="1"/>
  <c r="E194" i="8"/>
  <c r="F194" i="8" s="1"/>
  <c r="E216" i="8"/>
  <c r="F216" i="8" s="1"/>
  <c r="E234" i="8"/>
  <c r="F234" i="8" s="1"/>
  <c r="E250" i="8"/>
  <c r="F250" i="8" s="1"/>
  <c r="E266" i="8"/>
  <c r="F266" i="8" s="1"/>
  <c r="E50" i="8"/>
  <c r="F50" i="8" s="1"/>
  <c r="E114" i="8"/>
  <c r="F114" i="8" s="1"/>
  <c r="E157" i="8"/>
  <c r="F157" i="8" s="1"/>
  <c r="E200" i="8"/>
  <c r="F200" i="8" s="1"/>
  <c r="E238" i="8"/>
  <c r="F238" i="8" s="1"/>
  <c r="E254" i="8"/>
  <c r="F254" i="8" s="1"/>
  <c r="E4" i="8" l="1"/>
  <c r="L216" i="8" s="1"/>
  <c r="M216" i="8" s="1"/>
  <c r="E5" i="8"/>
  <c r="S240" i="8" l="1"/>
  <c r="T240" i="8" s="1"/>
  <c r="S241" i="8"/>
  <c r="T241" i="8" s="1"/>
  <c r="S243" i="8"/>
  <c r="T243" i="8" s="1"/>
  <c r="S239" i="8"/>
  <c r="T239" i="8" s="1"/>
  <c r="S235" i="8"/>
  <c r="T235" i="8" s="1"/>
  <c r="S236" i="8"/>
  <c r="T236" i="8" s="1"/>
  <c r="S237" i="8"/>
  <c r="T237" i="8" s="1"/>
  <c r="S242" i="8"/>
  <c r="T242" i="8" s="1"/>
  <c r="S238" i="8"/>
  <c r="T238" i="8" s="1"/>
  <c r="S234" i="8"/>
  <c r="T234" i="8" s="1"/>
  <c r="S244" i="8"/>
  <c r="T244" i="8" s="1"/>
  <c r="L214" i="8"/>
  <c r="M214" i="8" s="1"/>
  <c r="L215" i="8"/>
  <c r="M215" i="8" s="1"/>
  <c r="L213" i="8"/>
  <c r="M213" i="8" s="1"/>
  <c r="L212" i="8"/>
  <c r="M212" i="8" s="1"/>
  <c r="S233" i="8"/>
  <c r="T233" i="8" s="1"/>
  <c r="S232" i="8"/>
  <c r="T232" i="8" s="1"/>
  <c r="S231" i="8"/>
  <c r="T231" i="8" s="1"/>
  <c r="S226" i="8"/>
  <c r="T226" i="8" s="1"/>
  <c r="S228" i="8"/>
  <c r="T228" i="8" s="1"/>
  <c r="S225" i="8"/>
  <c r="T225" i="8" s="1"/>
  <c r="S229" i="8"/>
  <c r="T229" i="8" s="1"/>
  <c r="S227" i="8"/>
  <c r="T227" i="8" s="1"/>
  <c r="S230" i="8"/>
  <c r="T230" i="8" s="1"/>
  <c r="L211" i="8"/>
  <c r="M211" i="8" s="1"/>
  <c r="L207" i="8"/>
  <c r="M207" i="8" s="1"/>
  <c r="L208" i="8"/>
  <c r="M208" i="8" s="1"/>
  <c r="L209" i="8"/>
  <c r="M209" i="8" s="1"/>
  <c r="L210" i="8"/>
  <c r="M210" i="8" s="1"/>
  <c r="S223" i="8"/>
  <c r="T223" i="8" s="1"/>
  <c r="S224" i="8"/>
  <c r="T224" i="8" s="1"/>
  <c r="L12" i="8"/>
  <c r="M12" i="8" s="1"/>
  <c r="L21" i="8"/>
  <c r="M21" i="8" s="1"/>
  <c r="L199" i="8"/>
  <c r="M199" i="8" s="1"/>
  <c r="L203" i="8"/>
  <c r="M203" i="8" s="1"/>
  <c r="L197" i="8"/>
  <c r="M197" i="8" s="1"/>
  <c r="L195" i="8"/>
  <c r="M195" i="8" s="1"/>
  <c r="L200" i="8"/>
  <c r="M200" i="8" s="1"/>
  <c r="L205" i="8"/>
  <c r="M205" i="8" s="1"/>
  <c r="L201" i="8"/>
  <c r="M201" i="8" s="1"/>
  <c r="L196" i="8"/>
  <c r="M196" i="8" s="1"/>
  <c r="L198" i="8"/>
  <c r="M198" i="8" s="1"/>
  <c r="L194" i="8"/>
  <c r="M194" i="8" s="1"/>
  <c r="L202" i="8"/>
  <c r="M202" i="8" s="1"/>
  <c r="L204" i="8"/>
  <c r="M204" i="8" s="1"/>
  <c r="L206" i="8"/>
  <c r="M206" i="8" s="1"/>
  <c r="S14" i="8"/>
  <c r="T14" i="8" s="1"/>
  <c r="S18" i="8"/>
  <c r="T18" i="8" s="1"/>
  <c r="S22" i="8"/>
  <c r="T22" i="8" s="1"/>
  <c r="S26" i="8"/>
  <c r="T26" i="8" s="1"/>
  <c r="S30" i="8"/>
  <c r="T30" i="8" s="1"/>
  <c r="S34" i="8"/>
  <c r="T34" i="8" s="1"/>
  <c r="S38" i="8"/>
  <c r="T38" i="8" s="1"/>
  <c r="S42" i="8"/>
  <c r="T42" i="8" s="1"/>
  <c r="S46" i="8"/>
  <c r="T46" i="8" s="1"/>
  <c r="S50" i="8"/>
  <c r="T50" i="8" s="1"/>
  <c r="S54" i="8"/>
  <c r="T54" i="8" s="1"/>
  <c r="S58" i="8"/>
  <c r="T58" i="8" s="1"/>
  <c r="S62" i="8"/>
  <c r="T62" i="8" s="1"/>
  <c r="S66" i="8"/>
  <c r="T66" i="8" s="1"/>
  <c r="S70" i="8"/>
  <c r="T70" i="8" s="1"/>
  <c r="S74" i="8"/>
  <c r="T74" i="8" s="1"/>
  <c r="S78" i="8"/>
  <c r="T78" i="8" s="1"/>
  <c r="S82" i="8"/>
  <c r="T82" i="8" s="1"/>
  <c r="S86" i="8"/>
  <c r="T86" i="8" s="1"/>
  <c r="S90" i="8"/>
  <c r="T90" i="8" s="1"/>
  <c r="S94" i="8"/>
  <c r="T94" i="8" s="1"/>
  <c r="S98" i="8"/>
  <c r="T98" i="8" s="1"/>
  <c r="S102" i="8"/>
  <c r="T102" i="8" s="1"/>
  <c r="S106" i="8"/>
  <c r="T106" i="8" s="1"/>
  <c r="S110" i="8"/>
  <c r="T110" i="8" s="1"/>
  <c r="S114" i="8"/>
  <c r="T114" i="8" s="1"/>
  <c r="S118" i="8"/>
  <c r="T118" i="8" s="1"/>
  <c r="S122" i="8"/>
  <c r="T122" i="8" s="1"/>
  <c r="S126" i="8"/>
  <c r="T126" i="8" s="1"/>
  <c r="S130" i="8"/>
  <c r="T130" i="8" s="1"/>
  <c r="S134" i="8"/>
  <c r="T134" i="8" s="1"/>
  <c r="S138" i="8"/>
  <c r="T138" i="8" s="1"/>
  <c r="S142" i="8"/>
  <c r="T142" i="8" s="1"/>
  <c r="S146" i="8"/>
  <c r="T146" i="8" s="1"/>
  <c r="S150" i="8"/>
  <c r="T150" i="8" s="1"/>
  <c r="S154" i="8"/>
  <c r="T154" i="8" s="1"/>
  <c r="S158" i="8"/>
  <c r="T158" i="8" s="1"/>
  <c r="S162" i="8"/>
  <c r="T162" i="8" s="1"/>
  <c r="S166" i="8"/>
  <c r="T166" i="8" s="1"/>
  <c r="S170" i="8"/>
  <c r="T170" i="8" s="1"/>
  <c r="S174" i="8"/>
  <c r="T174" i="8" s="1"/>
  <c r="S178" i="8"/>
  <c r="T178" i="8" s="1"/>
  <c r="S182" i="8"/>
  <c r="T182" i="8" s="1"/>
  <c r="S186" i="8"/>
  <c r="T186" i="8" s="1"/>
  <c r="S190" i="8"/>
  <c r="T190" i="8" s="1"/>
  <c r="S194" i="8"/>
  <c r="T194" i="8" s="1"/>
  <c r="S198" i="8"/>
  <c r="T198" i="8" s="1"/>
  <c r="S202" i="8"/>
  <c r="T202" i="8" s="1"/>
  <c r="S206" i="8"/>
  <c r="T206" i="8" s="1"/>
  <c r="S210" i="8"/>
  <c r="T210" i="8" s="1"/>
  <c r="S214" i="8"/>
  <c r="T214" i="8" s="1"/>
  <c r="S218" i="8"/>
  <c r="T218" i="8" s="1"/>
  <c r="S222" i="8"/>
  <c r="T222" i="8" s="1"/>
  <c r="S15" i="8"/>
  <c r="T15" i="8" s="1"/>
  <c r="S19" i="8"/>
  <c r="T19" i="8" s="1"/>
  <c r="S23" i="8"/>
  <c r="T23" i="8" s="1"/>
  <c r="S27" i="8"/>
  <c r="T27" i="8" s="1"/>
  <c r="S31" i="8"/>
  <c r="T31" i="8" s="1"/>
  <c r="S35" i="8"/>
  <c r="T35" i="8" s="1"/>
  <c r="S39" i="8"/>
  <c r="T39" i="8" s="1"/>
  <c r="S43" i="8"/>
  <c r="T43" i="8" s="1"/>
  <c r="S47" i="8"/>
  <c r="T47" i="8" s="1"/>
  <c r="S51" i="8"/>
  <c r="T51" i="8" s="1"/>
  <c r="S55" i="8"/>
  <c r="T55" i="8" s="1"/>
  <c r="S59" i="8"/>
  <c r="T59" i="8" s="1"/>
  <c r="S63" i="8"/>
  <c r="T63" i="8" s="1"/>
  <c r="S67" i="8"/>
  <c r="T67" i="8" s="1"/>
  <c r="S71" i="8"/>
  <c r="T71" i="8" s="1"/>
  <c r="S75" i="8"/>
  <c r="T75" i="8" s="1"/>
  <c r="S79" i="8"/>
  <c r="T79" i="8" s="1"/>
  <c r="S83" i="8"/>
  <c r="T83" i="8" s="1"/>
  <c r="S87" i="8"/>
  <c r="T87" i="8" s="1"/>
  <c r="S91" i="8"/>
  <c r="T91" i="8" s="1"/>
  <c r="S95" i="8"/>
  <c r="T95" i="8" s="1"/>
  <c r="S99" i="8"/>
  <c r="T99" i="8" s="1"/>
  <c r="S103" i="8"/>
  <c r="T103" i="8" s="1"/>
  <c r="S107" i="8"/>
  <c r="T107" i="8" s="1"/>
  <c r="S111" i="8"/>
  <c r="T111" i="8" s="1"/>
  <c r="S115" i="8"/>
  <c r="T115" i="8" s="1"/>
  <c r="S119" i="8"/>
  <c r="T119" i="8" s="1"/>
  <c r="S123" i="8"/>
  <c r="T123" i="8" s="1"/>
  <c r="S127" i="8"/>
  <c r="T127" i="8" s="1"/>
  <c r="S131" i="8"/>
  <c r="T131" i="8" s="1"/>
  <c r="S135" i="8"/>
  <c r="T135" i="8" s="1"/>
  <c r="S139" i="8"/>
  <c r="T139" i="8" s="1"/>
  <c r="S143" i="8"/>
  <c r="T143" i="8" s="1"/>
  <c r="S147" i="8"/>
  <c r="T147" i="8" s="1"/>
  <c r="S151" i="8"/>
  <c r="T151" i="8" s="1"/>
  <c r="S155" i="8"/>
  <c r="T155" i="8" s="1"/>
  <c r="S159" i="8"/>
  <c r="T159" i="8" s="1"/>
  <c r="S163" i="8"/>
  <c r="T163" i="8" s="1"/>
  <c r="S167" i="8"/>
  <c r="T167" i="8" s="1"/>
  <c r="S171" i="8"/>
  <c r="T171" i="8" s="1"/>
  <c r="S175" i="8"/>
  <c r="T175" i="8" s="1"/>
  <c r="S179" i="8"/>
  <c r="T179" i="8" s="1"/>
  <c r="S183" i="8"/>
  <c r="T183" i="8" s="1"/>
  <c r="S187" i="8"/>
  <c r="T187" i="8" s="1"/>
  <c r="S191" i="8"/>
  <c r="T191" i="8" s="1"/>
  <c r="S195" i="8"/>
  <c r="T195" i="8" s="1"/>
  <c r="S199" i="8"/>
  <c r="T199" i="8" s="1"/>
  <c r="S203" i="8"/>
  <c r="T203" i="8" s="1"/>
  <c r="S207" i="8"/>
  <c r="T207" i="8" s="1"/>
  <c r="S211" i="8"/>
  <c r="T211" i="8" s="1"/>
  <c r="S215" i="8"/>
  <c r="T215" i="8" s="1"/>
  <c r="S219" i="8"/>
  <c r="T219" i="8" s="1"/>
  <c r="S16" i="8"/>
  <c r="T16" i="8" s="1"/>
  <c r="S20" i="8"/>
  <c r="T20" i="8" s="1"/>
  <c r="S24" i="8"/>
  <c r="T24" i="8" s="1"/>
  <c r="S28" i="8"/>
  <c r="T28" i="8" s="1"/>
  <c r="S32" i="8"/>
  <c r="T32" i="8" s="1"/>
  <c r="S36" i="8"/>
  <c r="T36" i="8" s="1"/>
  <c r="S40" i="8"/>
  <c r="T40" i="8" s="1"/>
  <c r="S44" i="8"/>
  <c r="T44" i="8" s="1"/>
  <c r="S48" i="8"/>
  <c r="T48" i="8" s="1"/>
  <c r="S52" i="8"/>
  <c r="T52" i="8" s="1"/>
  <c r="S56" i="8"/>
  <c r="T56" i="8" s="1"/>
  <c r="S60" i="8"/>
  <c r="T60" i="8" s="1"/>
  <c r="S64" i="8"/>
  <c r="T64" i="8" s="1"/>
  <c r="S68" i="8"/>
  <c r="T68" i="8" s="1"/>
  <c r="S72" i="8"/>
  <c r="T72" i="8" s="1"/>
  <c r="S76" i="8"/>
  <c r="T76" i="8" s="1"/>
  <c r="S80" i="8"/>
  <c r="T80" i="8" s="1"/>
  <c r="S84" i="8"/>
  <c r="T84" i="8" s="1"/>
  <c r="S88" i="8"/>
  <c r="T88" i="8" s="1"/>
  <c r="S92" i="8"/>
  <c r="T92" i="8" s="1"/>
  <c r="S96" i="8"/>
  <c r="T96" i="8" s="1"/>
  <c r="S100" i="8"/>
  <c r="T100" i="8" s="1"/>
  <c r="S104" i="8"/>
  <c r="T104" i="8" s="1"/>
  <c r="S108" i="8"/>
  <c r="T108" i="8" s="1"/>
  <c r="S112" i="8"/>
  <c r="T112" i="8" s="1"/>
  <c r="S116" i="8"/>
  <c r="T116" i="8" s="1"/>
  <c r="S120" i="8"/>
  <c r="T120" i="8" s="1"/>
  <c r="S124" i="8"/>
  <c r="T124" i="8" s="1"/>
  <c r="S128" i="8"/>
  <c r="T128" i="8" s="1"/>
  <c r="S132" i="8"/>
  <c r="T132" i="8" s="1"/>
  <c r="S136" i="8"/>
  <c r="T136" i="8" s="1"/>
  <c r="S140" i="8"/>
  <c r="T140" i="8" s="1"/>
  <c r="S144" i="8"/>
  <c r="T144" i="8" s="1"/>
  <c r="S148" i="8"/>
  <c r="T148" i="8" s="1"/>
  <c r="S152" i="8"/>
  <c r="T152" i="8" s="1"/>
  <c r="S156" i="8"/>
  <c r="T156" i="8" s="1"/>
  <c r="S160" i="8"/>
  <c r="T160" i="8" s="1"/>
  <c r="S164" i="8"/>
  <c r="T164" i="8" s="1"/>
  <c r="S168" i="8"/>
  <c r="T168" i="8" s="1"/>
  <c r="S172" i="8"/>
  <c r="T172" i="8" s="1"/>
  <c r="S176" i="8"/>
  <c r="T176" i="8" s="1"/>
  <c r="S180" i="8"/>
  <c r="T180" i="8" s="1"/>
  <c r="S184" i="8"/>
  <c r="T184" i="8" s="1"/>
  <c r="S188" i="8"/>
  <c r="T188" i="8" s="1"/>
  <c r="S192" i="8"/>
  <c r="T192" i="8" s="1"/>
  <c r="S196" i="8"/>
  <c r="T196" i="8" s="1"/>
  <c r="S200" i="8"/>
  <c r="T200" i="8" s="1"/>
  <c r="S204" i="8"/>
  <c r="T204" i="8" s="1"/>
  <c r="S208" i="8"/>
  <c r="T208" i="8" s="1"/>
  <c r="S212" i="8"/>
  <c r="T212" i="8" s="1"/>
  <c r="S216" i="8"/>
  <c r="T216" i="8" s="1"/>
  <c r="S220" i="8"/>
  <c r="T220" i="8" s="1"/>
  <c r="S17" i="8"/>
  <c r="T17" i="8" s="1"/>
  <c r="S33" i="8"/>
  <c r="T33" i="8" s="1"/>
  <c r="S49" i="8"/>
  <c r="T49" i="8" s="1"/>
  <c r="S65" i="8"/>
  <c r="T65" i="8" s="1"/>
  <c r="S81" i="8"/>
  <c r="T81" i="8" s="1"/>
  <c r="S97" i="8"/>
  <c r="T97" i="8" s="1"/>
  <c r="S113" i="8"/>
  <c r="T113" i="8" s="1"/>
  <c r="S129" i="8"/>
  <c r="T129" i="8" s="1"/>
  <c r="S145" i="8"/>
  <c r="T145" i="8" s="1"/>
  <c r="S161" i="8"/>
  <c r="T161" i="8" s="1"/>
  <c r="S177" i="8"/>
  <c r="T177" i="8" s="1"/>
  <c r="S193" i="8"/>
  <c r="T193" i="8" s="1"/>
  <c r="S209" i="8"/>
  <c r="T209" i="8" s="1"/>
  <c r="S21" i="8"/>
  <c r="T21" i="8" s="1"/>
  <c r="S37" i="8"/>
  <c r="T37" i="8" s="1"/>
  <c r="S53" i="8"/>
  <c r="T53" i="8" s="1"/>
  <c r="S69" i="8"/>
  <c r="T69" i="8" s="1"/>
  <c r="S85" i="8"/>
  <c r="T85" i="8" s="1"/>
  <c r="S101" i="8"/>
  <c r="T101" i="8" s="1"/>
  <c r="S117" i="8"/>
  <c r="T117" i="8" s="1"/>
  <c r="S133" i="8"/>
  <c r="T133" i="8" s="1"/>
  <c r="S149" i="8"/>
  <c r="T149" i="8" s="1"/>
  <c r="S165" i="8"/>
  <c r="T165" i="8" s="1"/>
  <c r="S181" i="8"/>
  <c r="T181" i="8" s="1"/>
  <c r="S197" i="8"/>
  <c r="T197" i="8" s="1"/>
  <c r="S213" i="8"/>
  <c r="T213" i="8" s="1"/>
  <c r="S41" i="8"/>
  <c r="T41" i="8" s="1"/>
  <c r="S73" i="8"/>
  <c r="T73" i="8" s="1"/>
  <c r="S105" i="8"/>
  <c r="T105" i="8" s="1"/>
  <c r="S137" i="8"/>
  <c r="T137" i="8" s="1"/>
  <c r="S169" i="8"/>
  <c r="T169" i="8" s="1"/>
  <c r="S201" i="8"/>
  <c r="T201" i="8" s="1"/>
  <c r="S13" i="8"/>
  <c r="T13" i="8" s="1"/>
  <c r="S45" i="8"/>
  <c r="T45" i="8" s="1"/>
  <c r="S77" i="8"/>
  <c r="T77" i="8" s="1"/>
  <c r="S109" i="8"/>
  <c r="T109" i="8" s="1"/>
  <c r="S141" i="8"/>
  <c r="T141" i="8" s="1"/>
  <c r="S173" i="8"/>
  <c r="T173" i="8" s="1"/>
  <c r="S205" i="8"/>
  <c r="T205" i="8" s="1"/>
  <c r="S61" i="8"/>
  <c r="T61" i="8" s="1"/>
  <c r="S125" i="8"/>
  <c r="T125" i="8" s="1"/>
  <c r="S189" i="8"/>
  <c r="T189" i="8" s="1"/>
  <c r="S121" i="8"/>
  <c r="T121" i="8" s="1"/>
  <c r="S25" i="8"/>
  <c r="T25" i="8" s="1"/>
  <c r="S89" i="8"/>
  <c r="T89" i="8" s="1"/>
  <c r="S153" i="8"/>
  <c r="T153" i="8" s="1"/>
  <c r="S217" i="8"/>
  <c r="T217" i="8" s="1"/>
  <c r="S29" i="8"/>
  <c r="T29" i="8" s="1"/>
  <c r="S93" i="8"/>
  <c r="T93" i="8" s="1"/>
  <c r="S157" i="8"/>
  <c r="T157" i="8" s="1"/>
  <c r="S221" i="8"/>
  <c r="T221" i="8" s="1"/>
  <c r="S57" i="8"/>
  <c r="T57" i="8" s="1"/>
  <c r="S185" i="8"/>
  <c r="T185" i="8" s="1"/>
  <c r="L14" i="8"/>
  <c r="M14" i="8" s="1"/>
  <c r="L18" i="8"/>
  <c r="M18" i="8" s="1"/>
  <c r="L22" i="8"/>
  <c r="M22" i="8" s="1"/>
  <c r="L26" i="8"/>
  <c r="M26" i="8" s="1"/>
  <c r="L30" i="8"/>
  <c r="M30" i="8" s="1"/>
  <c r="L34" i="8"/>
  <c r="M34" i="8" s="1"/>
  <c r="L38" i="8"/>
  <c r="M38" i="8" s="1"/>
  <c r="L42" i="8"/>
  <c r="M42" i="8" s="1"/>
  <c r="L46" i="8"/>
  <c r="M46" i="8" s="1"/>
  <c r="L50" i="8"/>
  <c r="M50" i="8" s="1"/>
  <c r="L54" i="8"/>
  <c r="M54" i="8" s="1"/>
  <c r="L58" i="8"/>
  <c r="M58" i="8" s="1"/>
  <c r="L62" i="8"/>
  <c r="M62" i="8" s="1"/>
  <c r="L66" i="8"/>
  <c r="M66" i="8" s="1"/>
  <c r="L70" i="8"/>
  <c r="M70" i="8" s="1"/>
  <c r="L74" i="8"/>
  <c r="M74" i="8" s="1"/>
  <c r="L78" i="8"/>
  <c r="M78" i="8" s="1"/>
  <c r="L82" i="8"/>
  <c r="M82" i="8" s="1"/>
  <c r="L86" i="8"/>
  <c r="M86" i="8" s="1"/>
  <c r="L90" i="8"/>
  <c r="M90" i="8" s="1"/>
  <c r="L94" i="8"/>
  <c r="M94" i="8" s="1"/>
  <c r="L98" i="8"/>
  <c r="M98" i="8" s="1"/>
  <c r="L102" i="8"/>
  <c r="M102" i="8" s="1"/>
  <c r="L106" i="8"/>
  <c r="M106" i="8" s="1"/>
  <c r="L110" i="8"/>
  <c r="M110" i="8" s="1"/>
  <c r="L15" i="8"/>
  <c r="M15" i="8" s="1"/>
  <c r="L20" i="8"/>
  <c r="M20" i="8" s="1"/>
  <c r="L25" i="8"/>
  <c r="M25" i="8" s="1"/>
  <c r="L31" i="8"/>
  <c r="M31" i="8" s="1"/>
  <c r="L36" i="8"/>
  <c r="M36" i="8" s="1"/>
  <c r="L41" i="8"/>
  <c r="M41" i="8" s="1"/>
  <c r="L47" i="8"/>
  <c r="M47" i="8" s="1"/>
  <c r="L52" i="8"/>
  <c r="M52" i="8" s="1"/>
  <c r="L57" i="8"/>
  <c r="M57" i="8" s="1"/>
  <c r="L63" i="8"/>
  <c r="M63" i="8" s="1"/>
  <c r="L68" i="8"/>
  <c r="M68" i="8" s="1"/>
  <c r="L73" i="8"/>
  <c r="M73" i="8" s="1"/>
  <c r="L79" i="8"/>
  <c r="M79" i="8" s="1"/>
  <c r="L84" i="8"/>
  <c r="M84" i="8" s="1"/>
  <c r="L89" i="8"/>
  <c r="M89" i="8" s="1"/>
  <c r="L95" i="8"/>
  <c r="M95" i="8" s="1"/>
  <c r="L100" i="8"/>
  <c r="M100" i="8" s="1"/>
  <c r="L105" i="8"/>
  <c r="M105" i="8" s="1"/>
  <c r="L111" i="8"/>
  <c r="M111" i="8" s="1"/>
  <c r="L115" i="8"/>
  <c r="M115" i="8" s="1"/>
  <c r="L119" i="8"/>
  <c r="M119" i="8" s="1"/>
  <c r="L123" i="8"/>
  <c r="M123" i="8" s="1"/>
  <c r="L127" i="8"/>
  <c r="M127" i="8" s="1"/>
  <c r="L131" i="8"/>
  <c r="M131" i="8" s="1"/>
  <c r="L135" i="8"/>
  <c r="M135" i="8" s="1"/>
  <c r="L139" i="8"/>
  <c r="M139" i="8" s="1"/>
  <c r="L143" i="8"/>
  <c r="M143" i="8" s="1"/>
  <c r="L147" i="8"/>
  <c r="M147" i="8" s="1"/>
  <c r="L151" i="8"/>
  <c r="M151" i="8" s="1"/>
  <c r="L155" i="8"/>
  <c r="M155" i="8" s="1"/>
  <c r="L159" i="8"/>
  <c r="M159" i="8" s="1"/>
  <c r="L163" i="8"/>
  <c r="M163" i="8" s="1"/>
  <c r="L167" i="8"/>
  <c r="M167" i="8" s="1"/>
  <c r="L171" i="8"/>
  <c r="M171" i="8" s="1"/>
  <c r="L175" i="8"/>
  <c r="M175" i="8" s="1"/>
  <c r="L179" i="8"/>
  <c r="M179" i="8" s="1"/>
  <c r="L183" i="8"/>
  <c r="M183" i="8" s="1"/>
  <c r="L187" i="8"/>
  <c r="M187" i="8" s="1"/>
  <c r="L191" i="8"/>
  <c r="M191" i="8" s="1"/>
  <c r="L16" i="8"/>
  <c r="M16" i="8" s="1"/>
  <c r="L27" i="8"/>
  <c r="M27" i="8" s="1"/>
  <c r="L32" i="8"/>
  <c r="M32" i="8" s="1"/>
  <c r="L37" i="8"/>
  <c r="M37" i="8" s="1"/>
  <c r="L43" i="8"/>
  <c r="M43" i="8" s="1"/>
  <c r="L48" i="8"/>
  <c r="M48" i="8" s="1"/>
  <c r="L53" i="8"/>
  <c r="M53" i="8" s="1"/>
  <c r="L59" i="8"/>
  <c r="M59" i="8" s="1"/>
  <c r="L64" i="8"/>
  <c r="M64" i="8" s="1"/>
  <c r="L69" i="8"/>
  <c r="M69" i="8" s="1"/>
  <c r="L75" i="8"/>
  <c r="M75" i="8" s="1"/>
  <c r="L80" i="8"/>
  <c r="M80" i="8" s="1"/>
  <c r="L85" i="8"/>
  <c r="M85" i="8" s="1"/>
  <c r="L91" i="8"/>
  <c r="M91" i="8" s="1"/>
  <c r="L96" i="8"/>
  <c r="M96" i="8" s="1"/>
  <c r="L101" i="8"/>
  <c r="M101" i="8" s="1"/>
  <c r="L107" i="8"/>
  <c r="M107" i="8" s="1"/>
  <c r="L112" i="8"/>
  <c r="M112" i="8" s="1"/>
  <c r="L116" i="8"/>
  <c r="M116" i="8" s="1"/>
  <c r="L120" i="8"/>
  <c r="M120" i="8" s="1"/>
  <c r="L124" i="8"/>
  <c r="M124" i="8" s="1"/>
  <c r="L128" i="8"/>
  <c r="M128" i="8" s="1"/>
  <c r="L132" i="8"/>
  <c r="M132" i="8" s="1"/>
  <c r="L136" i="8"/>
  <c r="M136" i="8" s="1"/>
  <c r="L140" i="8"/>
  <c r="M140" i="8" s="1"/>
  <c r="L144" i="8"/>
  <c r="M144" i="8" s="1"/>
  <c r="L148" i="8"/>
  <c r="M148" i="8" s="1"/>
  <c r="L152" i="8"/>
  <c r="M152" i="8" s="1"/>
  <c r="L156" i="8"/>
  <c r="M156" i="8" s="1"/>
  <c r="L160" i="8"/>
  <c r="M160" i="8" s="1"/>
  <c r="L164" i="8"/>
  <c r="M164" i="8" s="1"/>
  <c r="L168" i="8"/>
  <c r="M168" i="8" s="1"/>
  <c r="L172" i="8"/>
  <c r="M172" i="8" s="1"/>
  <c r="L176" i="8"/>
  <c r="M176" i="8" s="1"/>
  <c r="L180" i="8"/>
  <c r="M180" i="8" s="1"/>
  <c r="L184" i="8"/>
  <c r="M184" i="8" s="1"/>
  <c r="L188" i="8"/>
  <c r="M188" i="8" s="1"/>
  <c r="L192" i="8"/>
  <c r="M192" i="8" s="1"/>
  <c r="L19" i="8"/>
  <c r="M19" i="8" s="1"/>
  <c r="L29" i="8"/>
  <c r="M29" i="8" s="1"/>
  <c r="L40" i="8"/>
  <c r="M40" i="8" s="1"/>
  <c r="L51" i="8"/>
  <c r="M51" i="8" s="1"/>
  <c r="L61" i="8"/>
  <c r="M61" i="8" s="1"/>
  <c r="L72" i="8"/>
  <c r="M72" i="8" s="1"/>
  <c r="L83" i="8"/>
  <c r="M83" i="8" s="1"/>
  <c r="L93" i="8"/>
  <c r="M93" i="8" s="1"/>
  <c r="L104" i="8"/>
  <c r="M104" i="8" s="1"/>
  <c r="L114" i="8"/>
  <c r="M114" i="8" s="1"/>
  <c r="L122" i="8"/>
  <c r="M122" i="8" s="1"/>
  <c r="L130" i="8"/>
  <c r="M130" i="8" s="1"/>
  <c r="L138" i="8"/>
  <c r="M138" i="8" s="1"/>
  <c r="L146" i="8"/>
  <c r="M146" i="8" s="1"/>
  <c r="L154" i="8"/>
  <c r="M154" i="8" s="1"/>
  <c r="L162" i="8"/>
  <c r="M162" i="8" s="1"/>
  <c r="L170" i="8"/>
  <c r="M170" i="8" s="1"/>
  <c r="L178" i="8"/>
  <c r="M178" i="8" s="1"/>
  <c r="L186" i="8"/>
  <c r="M186" i="8" s="1"/>
  <c r="L24" i="8"/>
  <c r="M24" i="8" s="1"/>
  <c r="L45" i="8"/>
  <c r="M45" i="8" s="1"/>
  <c r="L77" i="8"/>
  <c r="M77" i="8" s="1"/>
  <c r="L99" i="8"/>
  <c r="M99" i="8" s="1"/>
  <c r="L126" i="8"/>
  <c r="M126" i="8" s="1"/>
  <c r="L142" i="8"/>
  <c r="M142" i="8" s="1"/>
  <c r="L166" i="8"/>
  <c r="M166" i="8" s="1"/>
  <c r="L190" i="8"/>
  <c r="M190" i="8" s="1"/>
  <c r="L28" i="8"/>
  <c r="M28" i="8" s="1"/>
  <c r="L60" i="8"/>
  <c r="M60" i="8" s="1"/>
  <c r="L81" i="8"/>
  <c r="M81" i="8" s="1"/>
  <c r="L103" i="8"/>
  <c r="M103" i="8" s="1"/>
  <c r="L129" i="8"/>
  <c r="M129" i="8" s="1"/>
  <c r="L23" i="8"/>
  <c r="M23" i="8" s="1"/>
  <c r="L33" i="8"/>
  <c r="M33" i="8" s="1"/>
  <c r="L44" i="8"/>
  <c r="M44" i="8" s="1"/>
  <c r="L55" i="8"/>
  <c r="M55" i="8" s="1"/>
  <c r="L65" i="8"/>
  <c r="M65" i="8" s="1"/>
  <c r="L76" i="8"/>
  <c r="M76" i="8" s="1"/>
  <c r="L87" i="8"/>
  <c r="M87" i="8" s="1"/>
  <c r="L97" i="8"/>
  <c r="M97" i="8" s="1"/>
  <c r="L108" i="8"/>
  <c r="M108" i="8" s="1"/>
  <c r="L117" i="8"/>
  <c r="M117" i="8" s="1"/>
  <c r="L125" i="8"/>
  <c r="M125" i="8" s="1"/>
  <c r="L133" i="8"/>
  <c r="M133" i="8" s="1"/>
  <c r="L141" i="8"/>
  <c r="M141" i="8" s="1"/>
  <c r="L149" i="8"/>
  <c r="M149" i="8" s="1"/>
  <c r="L157" i="8"/>
  <c r="M157" i="8" s="1"/>
  <c r="L165" i="8"/>
  <c r="M165" i="8" s="1"/>
  <c r="L173" i="8"/>
  <c r="M173" i="8" s="1"/>
  <c r="L181" i="8"/>
  <c r="M181" i="8" s="1"/>
  <c r="L189" i="8"/>
  <c r="M189" i="8" s="1"/>
  <c r="L13" i="8"/>
  <c r="M13" i="8" s="1"/>
  <c r="L56" i="8"/>
  <c r="M56" i="8" s="1"/>
  <c r="L109" i="8"/>
  <c r="M109" i="8" s="1"/>
  <c r="L150" i="8"/>
  <c r="M150" i="8" s="1"/>
  <c r="L174" i="8"/>
  <c r="M174" i="8" s="1"/>
  <c r="L39" i="8"/>
  <c r="M39" i="8" s="1"/>
  <c r="L113" i="8"/>
  <c r="M113" i="8" s="1"/>
  <c r="L35" i="8"/>
  <c r="M35" i="8" s="1"/>
  <c r="L67" i="8"/>
  <c r="M67" i="8" s="1"/>
  <c r="L88" i="8"/>
  <c r="M88" i="8" s="1"/>
  <c r="L118" i="8"/>
  <c r="M118" i="8" s="1"/>
  <c r="L134" i="8"/>
  <c r="M134" i="8" s="1"/>
  <c r="L158" i="8"/>
  <c r="M158" i="8" s="1"/>
  <c r="L182" i="8"/>
  <c r="M182" i="8" s="1"/>
  <c r="L17" i="8"/>
  <c r="M17" i="8" s="1"/>
  <c r="L49" i="8"/>
  <c r="M49" i="8" s="1"/>
  <c r="L71" i="8"/>
  <c r="M71" i="8" s="1"/>
  <c r="L92" i="8"/>
  <c r="M92" i="8" s="1"/>
  <c r="L121" i="8"/>
  <c r="M121" i="8" s="1"/>
  <c r="L137" i="8"/>
  <c r="M137" i="8" s="1"/>
  <c r="L169" i="8"/>
  <c r="M169" i="8" s="1"/>
  <c r="L161" i="8"/>
  <c r="M161" i="8" s="1"/>
  <c r="L145" i="8"/>
  <c r="M145" i="8" s="1"/>
  <c r="L177" i="8"/>
  <c r="M177" i="8" s="1"/>
  <c r="L153" i="8"/>
  <c r="M153" i="8" s="1"/>
  <c r="L185" i="8"/>
  <c r="M185" i="8" s="1"/>
  <c r="L193" i="8"/>
  <c r="M193" i="8" s="1"/>
  <c r="S12" i="8"/>
  <c r="T12" i="8" s="1"/>
  <c r="E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409C16-3F59-4B6F-A01E-2597A2F4FA06}" keepAlive="1" name="GFSSLBalances" type="5" refreshedVersion="8" background="1">
    <dbPr connection="Provider=MSOLAP.8;Integrated Security=ClaimsToken;Persist Security Info=True;Initial Catalog=sobe_wowvirtualserver-8cbf9717-ec44-47de-b0cb-b66deea675f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89A427B8-0EA8-4FDC-B5F3-1775B26D46E3}" odcFile="C:\Users\rc3048\OneDrive - Assurant, Inc\Documents\My Data Sources\vdbpfindm_aiz_q.database.cead.prd FinDM_AIZ AIZ_cube.odc" keepAlive="1" name="vdbpfindm_aiz_q.database.cead.prd FinDM_AIZ AIZ_cube" type="5" refreshedVersion="8" background="1">
    <dbPr connection="Provider=MSOLAP.8;Integrated Security=SSPI;Persist Security Info=True;Initial Catalog=FinDM_AIZ;Data Source=vdbpfindm_aiz_q.database.cead.prd;MDX Compatibility=1;Safety Options=2;MDX Missing Member Mode=Error;Update Isolation Level=2" command="AIZ_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GFSSLBalances"/>
    <s v="{[Acct_Sub_Account_Consolidated].[Hier_Consol Sub Account Code Desc].[All]}"/>
    <s v="{[Ledger].[Ledger Name].[Ledger_Name].&amp;[ARP Functional],[Ledger].[Ledger Name].[Ledger_Name].&amp;[ARS Functional],[Ledger].[Ledger Name].[Ledger_Name].&amp;[AUD Functional],[Ledger].[Ledger Name].[Ledger_Name].&amp;[BRL Functional],[Ledger].[Ledger Name].[Ledger_Name].&amp;[CAD Functional],[Ledger].[Ledger Name].[Ledger_Name].&amp;[CHF Functional],[Ledger].[Ledger Name].[Ledger_Name].&amp;[CLP Functional],[Ledger].[Ledger Name].[Ledger_Name].&amp;[CNY Functional],[Ledger].[Ledger Name].[Ledger_Name].&amp;[COP Functional],[Ledger].[Ledger Name].[Ledger_Name].&amp;[CZK Functional],[Ledger].[Ledger Name].[Ledger_Name].&amp;[DKK Functional],[Ledger].[Ledger Name].[Ledger_Name].&amp;[EUR Functional],[Ledger].[Ledger Name].[Ledger_Name].&amp;[GBP Functional],[Ledger].[Ledger Name].[Ledger_Name].&amp;[HKD Functional],[Ledger].[Ledger Name].[Ledger_Name].&amp;[HUF Functional],[Ledger].[Ledger Name].[Ledger_Name].&amp;[INR Functional],[Ledger].[Ledger Name].[Ledger_Name].&amp;[IRL Functional],[Ledger].[Ledger Name].[Ledger_Name].&amp;[JPY Functional],[Ledger].[Ledger Name].[Ledger_Name].&amp;[KRW Functional],[Ledger].[Ledger Name].[Ledger_Name].&amp;[MXN Functional],[Ledger].[Ledger Name].[Ledger_Name].&amp;[MYR Functional],[Ledger].[Ledger Name].[Ledger_Name].&amp;[NOK Functional],[Ledger].[Ledger Name].[Ledger_Name].&amp;[NZD Functional],[Ledger].[Ledger Name].[Ledger_Name].&amp;[PEN Functional],[Ledger].[Ledger Name].[Ledger_Name].&amp;[PHP Functional],[Ledger].[Ledger Name].[Ledger_Name].&amp;[PLN Functional],[Ledger].[Ledger Name].[Ledger_Name].&amp;[RON Functional],[Ledger].[Ledger Name].[Ledger_Name].&amp;[SEK Functional],[Ledger].[Ledger Name].[Ledger_Name].&amp;[SGD Functional],[Ledger].[Ledger Name].[Ledger_Name].&amp;[THB Functional],[Ledger].[Ledger Name].[Ledger_Name].&amp;[TRY Functional],[Ledger].[Ledger Name].[Ledger_Name].&amp;[TWD Functional],[Ledger].[Ledger Name].[Ledger_Name].&amp;[USD Functional],[Ledger].[Ledger Name].[Ledger_Name].&amp;[UYU Functional],[Ledger].[Ledger Name].[Ledger_Name].&amp;[ZAR Functional]}"/>
    <s v="{[Dataset_Information].[GFSDM Last Updated].[All]}"/>
    <s v="{[Dataset_Information].[Dataset Last Refreshed].[Al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<sst xmlns="http://schemas.openxmlformats.org/spreadsheetml/2006/main" count="56133" uniqueCount="20292">
  <si>
    <t>8520ATO</t>
  </si>
  <si>
    <t>10150LO</t>
  </si>
  <si>
    <t>ADS2000</t>
  </si>
  <si>
    <t>Grand Total</t>
  </si>
  <si>
    <t>U9913</t>
  </si>
  <si>
    <t>U9943</t>
  </si>
  <si>
    <t>WH002</t>
  </si>
  <si>
    <t>WH401</t>
  </si>
  <si>
    <t>WH420</t>
  </si>
  <si>
    <t>WH441</t>
  </si>
  <si>
    <t>WH483</t>
  </si>
  <si>
    <t>WH487</t>
  </si>
  <si>
    <t>WH500</t>
  </si>
  <si>
    <t>WH520</t>
  </si>
  <si>
    <t>WH521</t>
  </si>
  <si>
    <t>WH541</t>
  </si>
  <si>
    <t>WH581</t>
  </si>
  <si>
    <t>WH600</t>
  </si>
  <si>
    <t>WH621</t>
  </si>
  <si>
    <t>WH622</t>
  </si>
  <si>
    <t>WH623</t>
  </si>
  <si>
    <t>WH624</t>
  </si>
  <si>
    <t>WH626</t>
  </si>
  <si>
    <t>WH627</t>
  </si>
  <si>
    <t>WH630</t>
  </si>
  <si>
    <t>WH631</t>
  </si>
  <si>
    <t>WH632</t>
  </si>
  <si>
    <t>WH633</t>
  </si>
  <si>
    <t>WH635</t>
  </si>
  <si>
    <t>WH636</t>
  </si>
  <si>
    <t>WH637</t>
  </si>
  <si>
    <t>WH638</t>
  </si>
  <si>
    <t>WH642</t>
  </si>
  <si>
    <t>WH643</t>
  </si>
  <si>
    <t>WH651</t>
  </si>
  <si>
    <t>WH652</t>
  </si>
  <si>
    <t>WH653</t>
  </si>
  <si>
    <t>WH654</t>
  </si>
  <si>
    <t>WH656</t>
  </si>
  <si>
    <t>WH657</t>
  </si>
  <si>
    <t>WH658</t>
  </si>
  <si>
    <t>WH666</t>
  </si>
  <si>
    <t>WH667</t>
  </si>
  <si>
    <t>WH668</t>
  </si>
  <si>
    <t>WH670</t>
  </si>
  <si>
    <t>WH675</t>
  </si>
  <si>
    <t>WH677</t>
  </si>
  <si>
    <t>WH679</t>
  </si>
  <si>
    <t>WH681</t>
  </si>
  <si>
    <t>WH683</t>
  </si>
  <si>
    <t>WH692</t>
  </si>
  <si>
    <t>WH693</t>
  </si>
  <si>
    <t>WH900</t>
  </si>
  <si>
    <t>EP001</t>
  </si>
  <si>
    <t>WS520</t>
  </si>
  <si>
    <t>T0003</t>
  </si>
  <si>
    <t>T1064</t>
  </si>
  <si>
    <t>T1099</t>
  </si>
  <si>
    <t>T1286</t>
  </si>
  <si>
    <t>T1466</t>
  </si>
  <si>
    <t>T1SAP</t>
  </si>
  <si>
    <t>T1SAQ</t>
  </si>
  <si>
    <t>T1SAV</t>
  </si>
  <si>
    <t>T1SAX</t>
  </si>
  <si>
    <t>T1SAZ</t>
  </si>
  <si>
    <t>T1SBA</t>
  </si>
  <si>
    <t>T1SBD</t>
  </si>
  <si>
    <t>T1SBL</t>
  </si>
  <si>
    <t>T1SBN</t>
  </si>
  <si>
    <t>T1SBP</t>
  </si>
  <si>
    <t>T1SBW</t>
  </si>
  <si>
    <t>T1SCH</t>
  </si>
  <si>
    <t>T1SCL</t>
  </si>
  <si>
    <t>T1SCP</t>
  </si>
  <si>
    <t>T1SCX</t>
  </si>
  <si>
    <t>T1SDC</t>
  </si>
  <si>
    <t>T1SDE</t>
  </si>
  <si>
    <t>T1SDG</t>
  </si>
  <si>
    <t>T1SDJ</t>
  </si>
  <si>
    <t>T1SDL</t>
  </si>
  <si>
    <t>T1SDM</t>
  </si>
  <si>
    <t>T1SEC</t>
  </si>
  <si>
    <t>T1SED</t>
  </si>
  <si>
    <t>T1SEI</t>
  </si>
  <si>
    <t>T1SEJ</t>
  </si>
  <si>
    <t>T1SEN</t>
  </si>
  <si>
    <t>T1SEU</t>
  </si>
  <si>
    <t>T1SEZ</t>
  </si>
  <si>
    <t>T1SFC</t>
  </si>
  <si>
    <t>T1SFE</t>
  </si>
  <si>
    <t>T1SFH</t>
  </si>
  <si>
    <t>T1SFM</t>
  </si>
  <si>
    <t>T1SFP</t>
  </si>
  <si>
    <t>T1SFW</t>
  </si>
  <si>
    <t>T1SFX</t>
  </si>
  <si>
    <t>T1SGB</t>
  </si>
  <si>
    <t>T1SGJ</t>
  </si>
  <si>
    <t>T1SGP</t>
  </si>
  <si>
    <t>T1SGW</t>
  </si>
  <si>
    <t>T1SGY</t>
  </si>
  <si>
    <t>T1SHA</t>
  </si>
  <si>
    <t>T1SHC</t>
  </si>
  <si>
    <t>T1SHE</t>
  </si>
  <si>
    <t>T1SHG</t>
  </si>
  <si>
    <t>T1SHL</t>
  </si>
  <si>
    <t>T1SHN</t>
  </si>
  <si>
    <t>T1SHO</t>
  </si>
  <si>
    <t>T1SHS</t>
  </si>
  <si>
    <t>T1SHV</t>
  </si>
  <si>
    <t>T1SHY</t>
  </si>
  <si>
    <t>T1SIC</t>
  </si>
  <si>
    <t>T1SIN</t>
  </si>
  <si>
    <t>T1SIP</t>
  </si>
  <si>
    <t>T1SIR</t>
  </si>
  <si>
    <t>T1SIT</t>
  </si>
  <si>
    <t>T1SIX</t>
  </si>
  <si>
    <t>T1SJA</t>
  </si>
  <si>
    <t>T1SJH</t>
  </si>
  <si>
    <t>T1SJI</t>
  </si>
  <si>
    <t>T1SJN</t>
  </si>
  <si>
    <t>T1SJS</t>
  </si>
  <si>
    <t>T1SJU</t>
  </si>
  <si>
    <t>T1SJX</t>
  </si>
  <si>
    <t>T1SLA</t>
  </si>
  <si>
    <t>T1SLB</t>
  </si>
  <si>
    <t>T1SLO</t>
  </si>
  <si>
    <t>T1SLP</t>
  </si>
  <si>
    <t>T1SLQ</t>
  </si>
  <si>
    <t>T1SLV</t>
  </si>
  <si>
    <t>T1SLX</t>
  </si>
  <si>
    <t>T1SLZ</t>
  </si>
  <si>
    <t>T1SME</t>
  </si>
  <si>
    <t>T1SMR</t>
  </si>
  <si>
    <t>T1SMW</t>
  </si>
  <si>
    <t>T1SNC</t>
  </si>
  <si>
    <t>T1SNL</t>
  </si>
  <si>
    <t>T1SNN</t>
  </si>
  <si>
    <t>T1SNO</t>
  </si>
  <si>
    <t>T1SNW</t>
  </si>
  <si>
    <t>T1SNX</t>
  </si>
  <si>
    <t>T1SOE</t>
  </si>
  <si>
    <t>T1SOG</t>
  </si>
  <si>
    <t>T1SOH</t>
  </si>
  <si>
    <t>T1SOL</t>
  </si>
  <si>
    <t>T1SOV</t>
  </si>
  <si>
    <t>T1SOW</t>
  </si>
  <si>
    <t>T1SOX</t>
  </si>
  <si>
    <t>T1SPC</t>
  </si>
  <si>
    <t>T1SPD</t>
  </si>
  <si>
    <t>T1SPG</t>
  </si>
  <si>
    <t>T1SPN</t>
  </si>
  <si>
    <t>T1SPO</t>
  </si>
  <si>
    <t>T1SPU</t>
  </si>
  <si>
    <t>T1SPY</t>
  </si>
  <si>
    <t>T1SQB</t>
  </si>
  <si>
    <t>T1SQS</t>
  </si>
  <si>
    <t>T1SRD</t>
  </si>
  <si>
    <t>T1SRE</t>
  </si>
  <si>
    <t>T1SRF</t>
  </si>
  <si>
    <t>T1SRJ</t>
  </si>
  <si>
    <t>T1SRM</t>
  </si>
  <si>
    <t>T1SRT</t>
  </si>
  <si>
    <t>T1SRU</t>
  </si>
  <si>
    <t>T206F</t>
  </si>
  <si>
    <t>T213</t>
  </si>
  <si>
    <t>T219F</t>
  </si>
  <si>
    <t>T230F</t>
  </si>
  <si>
    <t>T260F</t>
  </si>
  <si>
    <t>T288</t>
  </si>
  <si>
    <t>T2915</t>
  </si>
  <si>
    <t>T2918</t>
  </si>
  <si>
    <t>T2956</t>
  </si>
  <si>
    <t>T2SAA</t>
  </si>
  <si>
    <t>T2SAC</t>
  </si>
  <si>
    <t>T2SAG</t>
  </si>
  <si>
    <t>T2SAN</t>
  </si>
  <si>
    <t>T2SAQ</t>
  </si>
  <si>
    <t>T2SAR</t>
  </si>
  <si>
    <t>T2SAS</t>
  </si>
  <si>
    <t>T2SAU</t>
  </si>
  <si>
    <t>T2SAY</t>
  </si>
  <si>
    <t>T2SBC</t>
  </si>
  <si>
    <t>T2SBF</t>
  </si>
  <si>
    <t>T2SBG</t>
  </si>
  <si>
    <t>T2SBM</t>
  </si>
  <si>
    <t>T2SBP</t>
  </si>
  <si>
    <t>T2SBQ</t>
  </si>
  <si>
    <t>T2SCB</t>
  </si>
  <si>
    <t>T2SCC</t>
  </si>
  <si>
    <t>T2SCF</t>
  </si>
  <si>
    <t>T2SCJ</t>
  </si>
  <si>
    <t>T2SCM</t>
  </si>
  <si>
    <t>T2SCT</t>
  </si>
  <si>
    <t>T2SCV</t>
  </si>
  <si>
    <t>T2SCZ</t>
  </si>
  <si>
    <t>T2SDB</t>
  </si>
  <si>
    <t>T2SDD</t>
  </si>
  <si>
    <t>T2SDH</t>
  </si>
  <si>
    <t>T2SDM</t>
  </si>
  <si>
    <t>T2SDO</t>
  </si>
  <si>
    <t>T2SDP</t>
  </si>
  <si>
    <t>T2SDT</t>
  </si>
  <si>
    <t>T2SDU</t>
  </si>
  <si>
    <t>T2SEG</t>
  </si>
  <si>
    <t>T2SEJ</t>
  </si>
  <si>
    <t>T2SEL</t>
  </si>
  <si>
    <t>T2SEU</t>
  </si>
  <si>
    <t>T2SEZ</t>
  </si>
  <si>
    <t>T2SFB</t>
  </si>
  <si>
    <t>T2SFF</t>
  </si>
  <si>
    <t>T2SFL</t>
  </si>
  <si>
    <t>T2SFP</t>
  </si>
  <si>
    <t>T2SFQ</t>
  </si>
  <si>
    <t>T2SFS</t>
  </si>
  <si>
    <t>T2SGB</t>
  </si>
  <si>
    <t>T2SGC</t>
  </si>
  <si>
    <t>T2SGD</t>
  </si>
  <si>
    <t>T2SGJ</t>
  </si>
  <si>
    <t>T2SGT</t>
  </si>
  <si>
    <t>T2SGU</t>
  </si>
  <si>
    <t>T2SGY</t>
  </si>
  <si>
    <t>T2SHQ</t>
  </si>
  <si>
    <t>T2SHX</t>
  </si>
  <si>
    <t>T2SIB</t>
  </si>
  <si>
    <t>T2SIN</t>
  </si>
  <si>
    <t>T2SIR</t>
  </si>
  <si>
    <t>T2SIS</t>
  </si>
  <si>
    <t>T2SIX</t>
  </si>
  <si>
    <t>T2SJC</t>
  </si>
  <si>
    <t>T2SJH</t>
  </si>
  <si>
    <t>T2SJM</t>
  </si>
  <si>
    <t>T2SJN</t>
  </si>
  <si>
    <t>T2SJQ</t>
  </si>
  <si>
    <t>T2SJU</t>
  </si>
  <si>
    <t>T2SJX</t>
  </si>
  <si>
    <t>T2SJZ</t>
  </si>
  <si>
    <t>T2SLA</t>
  </si>
  <si>
    <t>T2SLE</t>
  </si>
  <si>
    <t>T2SLG</t>
  </si>
  <si>
    <t>T2SLM</t>
  </si>
  <si>
    <t>T2SLP</t>
  </si>
  <si>
    <t>T2SLQ</t>
  </si>
  <si>
    <t>T2SLT</t>
  </si>
  <si>
    <t>T2SLW</t>
  </si>
  <si>
    <t>T2SME</t>
  </si>
  <si>
    <t>T2SMI</t>
  </si>
  <si>
    <t>T2SMJ</t>
  </si>
  <si>
    <t>T2SMO</t>
  </si>
  <si>
    <t>T2SMQ</t>
  </si>
  <si>
    <t>T2SMT</t>
  </si>
  <si>
    <t>T2SMY</t>
  </si>
  <si>
    <t>T2SMZ</t>
  </si>
  <si>
    <t>T2SND</t>
  </si>
  <si>
    <t>T2SNO</t>
  </si>
  <si>
    <t>T2SNS</t>
  </si>
  <si>
    <t>T2SNT</t>
  </si>
  <si>
    <t>T2SNV</t>
  </si>
  <si>
    <t>T2SNZ</t>
  </si>
  <si>
    <t>T2SOC</t>
  </si>
  <si>
    <t>T2SOF</t>
  </si>
  <si>
    <t>T2SOH</t>
  </si>
  <si>
    <t>T2SOP</t>
  </si>
  <si>
    <t>T2SPA</t>
  </si>
  <si>
    <t>T2SPB</t>
  </si>
  <si>
    <t>T2SPC</t>
  </si>
  <si>
    <t>T2SPD</t>
  </si>
  <si>
    <t>T2SPJ</t>
  </si>
  <si>
    <t>T2SPM</t>
  </si>
  <si>
    <t>T2SPS</t>
  </si>
  <si>
    <t>T2SPT</t>
  </si>
  <si>
    <t>T2SPX</t>
  </si>
  <si>
    <t>T2SQB</t>
  </si>
  <si>
    <t>T2SQF</t>
  </si>
  <si>
    <t>T2SQG</t>
  </si>
  <si>
    <t>T2SQI</t>
  </si>
  <si>
    <t>T2SQL</t>
  </si>
  <si>
    <t>T2SQM</t>
  </si>
  <si>
    <t>T2SQO</t>
  </si>
  <si>
    <t>T2SQR</t>
  </si>
  <si>
    <t>T2SQS</t>
  </si>
  <si>
    <t>T2SQT</t>
  </si>
  <si>
    <t>T2SQW</t>
  </si>
  <si>
    <t>T2SQX</t>
  </si>
  <si>
    <t>T2SQY</t>
  </si>
  <si>
    <t>T2SQZ</t>
  </si>
  <si>
    <t>T2SRD</t>
  </si>
  <si>
    <t>T2SRE</t>
  </si>
  <si>
    <t>T2SRJ</t>
  </si>
  <si>
    <t>T2SRR</t>
  </si>
  <si>
    <t>T2SRS</t>
  </si>
  <si>
    <t>T2SRV</t>
  </si>
  <si>
    <t>T320F</t>
  </si>
  <si>
    <t>T342</t>
  </si>
  <si>
    <t>T387F</t>
  </si>
  <si>
    <t>T392F</t>
  </si>
  <si>
    <t>T3SAA</t>
  </si>
  <si>
    <t>T3SAC</t>
  </si>
  <si>
    <t>T3SAD</t>
  </si>
  <si>
    <t>T3SAF</t>
  </si>
  <si>
    <t>T3SAJ</t>
  </si>
  <si>
    <t>T3SAM</t>
  </si>
  <si>
    <t>T3SAN</t>
  </si>
  <si>
    <t>T3SAQ</t>
  </si>
  <si>
    <t>T3SAS</t>
  </si>
  <si>
    <t>T3SAT</t>
  </si>
  <si>
    <t>T3SAW</t>
  </si>
  <si>
    <t>T3SBF</t>
  </si>
  <si>
    <t>T3SBG</t>
  </si>
  <si>
    <t>T3SBM</t>
  </si>
  <si>
    <t>T3SBN</t>
  </si>
  <si>
    <t>T3SBQ</t>
  </si>
  <si>
    <t>T3SCD</t>
  </si>
  <si>
    <t>T3SDZ</t>
  </si>
  <si>
    <t>T3SEM</t>
  </si>
  <si>
    <t>T3SES</t>
  </si>
  <si>
    <t>T3SEX</t>
  </si>
  <si>
    <t>T3SFC</t>
  </si>
  <si>
    <t>T3SFF</t>
  </si>
  <si>
    <t>T3SFM</t>
  </si>
  <si>
    <t>T3SFO</t>
  </si>
  <si>
    <t>T3SFQ</t>
  </si>
  <si>
    <t>T3SFT</t>
  </si>
  <si>
    <t>T3SFV</t>
  </si>
  <si>
    <t>T3SGD</t>
  </si>
  <si>
    <t>T3SGE</t>
  </si>
  <si>
    <t>T3SGG</t>
  </si>
  <si>
    <t>T3SGH</t>
  </si>
  <si>
    <t>T3SGL</t>
  </si>
  <si>
    <t>T3SGN</t>
  </si>
  <si>
    <t>T3SGO</t>
  </si>
  <si>
    <t>T3SGS</t>
  </si>
  <si>
    <t>T3SGT</t>
  </si>
  <si>
    <t>T3SGU</t>
  </si>
  <si>
    <t>T3SHE</t>
  </si>
  <si>
    <t>T3SHF</t>
  </si>
  <si>
    <t>T3SHH</t>
  </si>
  <si>
    <t>T3SHM</t>
  </si>
  <si>
    <t>T3SHN</t>
  </si>
  <si>
    <t>T3SHS</t>
  </si>
  <si>
    <t>T3SHW</t>
  </si>
  <si>
    <t>T3SHX</t>
  </si>
  <si>
    <t>T3SHZ</t>
  </si>
  <si>
    <t>T3SII</t>
  </si>
  <si>
    <t>T3SIN</t>
  </si>
  <si>
    <t>T3SIY</t>
  </si>
  <si>
    <t>T3SJD</t>
  </si>
  <si>
    <t>T3SJE</t>
  </si>
  <si>
    <t>T3SJH</t>
  </si>
  <si>
    <t>T3SJL</t>
  </si>
  <si>
    <t>T3SJM</t>
  </si>
  <si>
    <t>T3SJO</t>
  </si>
  <si>
    <t>T3SJR</t>
  </si>
  <si>
    <t>T3SJU</t>
  </si>
  <si>
    <t>T3SLD</t>
  </si>
  <si>
    <t>T3SLF</t>
  </si>
  <si>
    <t>T3SLR</t>
  </si>
  <si>
    <t>T3SLX</t>
  </si>
  <si>
    <t>T3SNE</t>
  </si>
  <si>
    <t>T3SNG</t>
  </si>
  <si>
    <t>T3SNJ</t>
  </si>
  <si>
    <t>T3SNQ</t>
  </si>
  <si>
    <t>T3SNT</t>
  </si>
  <si>
    <t>T3SOA</t>
  </si>
  <si>
    <t>T3SOE</t>
  </si>
  <si>
    <t>T3SOF</t>
  </si>
  <si>
    <t>T3SOJ</t>
  </si>
  <si>
    <t>T3SON</t>
  </si>
  <si>
    <t>T3SOT</t>
  </si>
  <si>
    <t>T3SPD</t>
  </si>
  <si>
    <t>T3SPF</t>
  </si>
  <si>
    <t>T3SPI</t>
  </si>
  <si>
    <t>T3SPQ</t>
  </si>
  <si>
    <t>T3SPR</t>
  </si>
  <si>
    <t>T3SPU</t>
  </si>
  <si>
    <t>T3SPY</t>
  </si>
  <si>
    <t>T3SPZ</t>
  </si>
  <si>
    <t>T3SQB</t>
  </si>
  <si>
    <t>T3SQE</t>
  </si>
  <si>
    <t>T3SQF</t>
  </si>
  <si>
    <t>T3SQI</t>
  </si>
  <si>
    <t>T3SQQ</t>
  </si>
  <si>
    <t>T3SQS</t>
  </si>
  <si>
    <t>T3SQW</t>
  </si>
  <si>
    <t>T3SQZ</t>
  </si>
  <si>
    <t>T3SRI</t>
  </si>
  <si>
    <t>T3SRP</t>
  </si>
  <si>
    <t>T3SRZ</t>
  </si>
  <si>
    <t>T4021</t>
  </si>
  <si>
    <t>T4044</t>
  </si>
  <si>
    <t>T4129</t>
  </si>
  <si>
    <t>T4138</t>
  </si>
  <si>
    <t>T422</t>
  </si>
  <si>
    <t>T4233</t>
  </si>
  <si>
    <t>T4235</t>
  </si>
  <si>
    <t>T4332</t>
  </si>
  <si>
    <t>T436</t>
  </si>
  <si>
    <t>T4445</t>
  </si>
  <si>
    <t>T4520</t>
  </si>
  <si>
    <t>T4565</t>
  </si>
  <si>
    <t>T4608</t>
  </si>
  <si>
    <t>T461F</t>
  </si>
  <si>
    <t>T4679</t>
  </si>
  <si>
    <t>T4712</t>
  </si>
  <si>
    <t>T4829</t>
  </si>
  <si>
    <t>T4900</t>
  </si>
  <si>
    <t>T4SAD</t>
  </si>
  <si>
    <t>T4SAE</t>
  </si>
  <si>
    <t>T4SAM</t>
  </si>
  <si>
    <t>T4SAX</t>
  </si>
  <si>
    <t>T4SAY</t>
  </si>
  <si>
    <t>T4SBG</t>
  </si>
  <si>
    <t>T4SBJ</t>
  </si>
  <si>
    <t>T4SBM</t>
  </si>
  <si>
    <t>T4SBS</t>
  </si>
  <si>
    <t>T4SBU</t>
  </si>
  <si>
    <t>T4SBX</t>
  </si>
  <si>
    <t>T4SBZ</t>
  </si>
  <si>
    <t>T4SCA</t>
  </si>
  <si>
    <t>T4SCD</t>
  </si>
  <si>
    <t>T4SCG</t>
  </si>
  <si>
    <t>T4SCN</t>
  </si>
  <si>
    <t>T4SCT</t>
  </si>
  <si>
    <t>T4SCU</t>
  </si>
  <si>
    <t>T4SCV</t>
  </si>
  <si>
    <t>T4SCZ</t>
  </si>
  <si>
    <t>T4SDB</t>
  </si>
  <si>
    <t>T4SDE</t>
  </si>
  <si>
    <t>T4SDI</t>
  </si>
  <si>
    <t>T4SDM</t>
  </si>
  <si>
    <t>T4SDT</t>
  </si>
  <si>
    <t>T4SDW</t>
  </si>
  <si>
    <t>T4SDZ</t>
  </si>
  <si>
    <t>T4SEC</t>
  </si>
  <si>
    <t>T4SEL</t>
  </si>
  <si>
    <t>T4SEQ</t>
  </si>
  <si>
    <t>T4SET</t>
  </si>
  <si>
    <t>T4SEV</t>
  </si>
  <si>
    <t>T4SFA</t>
  </si>
  <si>
    <t>T4SFI</t>
  </si>
  <si>
    <t>T4SFR</t>
  </si>
  <si>
    <t>T4SFT</t>
  </si>
  <si>
    <t>T4SFV</t>
  </si>
  <si>
    <t>T4SFW</t>
  </si>
  <si>
    <t>T4SGA</t>
  </si>
  <si>
    <t>T4SGC</t>
  </si>
  <si>
    <t>T4SGD</t>
  </si>
  <si>
    <t>T4SGE</t>
  </si>
  <si>
    <t>T4SIW</t>
  </si>
  <si>
    <t>T4SJC</t>
  </si>
  <si>
    <t>T4SJT</t>
  </si>
  <si>
    <t>T5037</t>
  </si>
  <si>
    <t>T5046</t>
  </si>
  <si>
    <t>T5048</t>
  </si>
  <si>
    <t>T516E</t>
  </si>
  <si>
    <t>T522F</t>
  </si>
  <si>
    <t>T5339</t>
  </si>
  <si>
    <t>T5412</t>
  </si>
  <si>
    <t>T5420</t>
  </si>
  <si>
    <t>T5421</t>
  </si>
  <si>
    <t>T5450</t>
  </si>
  <si>
    <t>T5529</t>
  </si>
  <si>
    <t>T5658</t>
  </si>
  <si>
    <t>T5725</t>
  </si>
  <si>
    <t>T5867</t>
  </si>
  <si>
    <t>T5891</t>
  </si>
  <si>
    <t>T5930</t>
  </si>
  <si>
    <t>T5978</t>
  </si>
  <si>
    <t>T623E</t>
  </si>
  <si>
    <t>T6844</t>
  </si>
  <si>
    <t>T6926</t>
  </si>
  <si>
    <t>T737E</t>
  </si>
  <si>
    <t>T738E</t>
  </si>
  <si>
    <t>T7402</t>
  </si>
  <si>
    <t>T7517</t>
  </si>
  <si>
    <t>T7589</t>
  </si>
  <si>
    <t>T7611</t>
  </si>
  <si>
    <t>T7640</t>
  </si>
  <si>
    <t>T7657</t>
  </si>
  <si>
    <t>T7687</t>
  </si>
  <si>
    <t>T7689</t>
  </si>
  <si>
    <t>T7691</t>
  </si>
  <si>
    <t>T7694</t>
  </si>
  <si>
    <t>T7721</t>
  </si>
  <si>
    <t>T7728</t>
  </si>
  <si>
    <t>T8012</t>
  </si>
  <si>
    <t>T8020</t>
  </si>
  <si>
    <t>T8030</t>
  </si>
  <si>
    <t>T8031</t>
  </si>
  <si>
    <t>T8045</t>
  </si>
  <si>
    <t>T8053</t>
  </si>
  <si>
    <t>T8086</t>
  </si>
  <si>
    <t>T8102</t>
  </si>
  <si>
    <t>T8105</t>
  </si>
  <si>
    <t>T8136</t>
  </si>
  <si>
    <t>T8146</t>
  </si>
  <si>
    <t>T8314</t>
  </si>
  <si>
    <t>T8321</t>
  </si>
  <si>
    <t>T8393</t>
  </si>
  <si>
    <t>T8541</t>
  </si>
  <si>
    <t>T8568</t>
  </si>
  <si>
    <t>T8608</t>
  </si>
  <si>
    <t>T8618</t>
  </si>
  <si>
    <t>T8663</t>
  </si>
  <si>
    <t>T8693</t>
  </si>
  <si>
    <t>T8713</t>
  </si>
  <si>
    <t>T8728</t>
  </si>
  <si>
    <t>T8754</t>
  </si>
  <si>
    <t>T8758</t>
  </si>
  <si>
    <t>T8774</t>
  </si>
  <si>
    <t>T877C</t>
  </si>
  <si>
    <t>T8785</t>
  </si>
  <si>
    <t>T8913</t>
  </si>
  <si>
    <t>T8979</t>
  </si>
  <si>
    <t>T903C</t>
  </si>
  <si>
    <t>T9052</t>
  </si>
  <si>
    <t>T9056</t>
  </si>
  <si>
    <t>T9130</t>
  </si>
  <si>
    <t>T9139</t>
  </si>
  <si>
    <t>T9181</t>
  </si>
  <si>
    <t>T9281</t>
  </si>
  <si>
    <t>T9305</t>
  </si>
  <si>
    <t>T9325</t>
  </si>
  <si>
    <t>T9349</t>
  </si>
  <si>
    <t>T9382</t>
  </si>
  <si>
    <t>T9400</t>
  </si>
  <si>
    <t>T9482</t>
  </si>
  <si>
    <t>T9531</t>
  </si>
  <si>
    <t>T955D</t>
  </si>
  <si>
    <t>T9572</t>
  </si>
  <si>
    <t>T9596</t>
  </si>
  <si>
    <t>T9650</t>
  </si>
  <si>
    <t>T9759</t>
  </si>
  <si>
    <t>T9769</t>
  </si>
  <si>
    <t>T9818</t>
  </si>
  <si>
    <t>T9847</t>
  </si>
  <si>
    <t>T9875</t>
  </si>
  <si>
    <t>T9898</t>
  </si>
  <si>
    <t>T9917</t>
  </si>
  <si>
    <t>AA002</t>
  </si>
  <si>
    <t>AA005</t>
  </si>
  <si>
    <t>AA006</t>
  </si>
  <si>
    <t>AA007</t>
  </si>
  <si>
    <t>AA010</t>
  </si>
  <si>
    <t>AA011</t>
  </si>
  <si>
    <t>AA012</t>
  </si>
  <si>
    <t>AA013</t>
  </si>
  <si>
    <t>AA014</t>
  </si>
  <si>
    <t>AA020</t>
  </si>
  <si>
    <t>AA021</t>
  </si>
  <si>
    <t>AA022</t>
  </si>
  <si>
    <t>AA024</t>
  </si>
  <si>
    <t>AA025</t>
  </si>
  <si>
    <t>AA026</t>
  </si>
  <si>
    <t>AA027</t>
  </si>
  <si>
    <t>AA030</t>
  </si>
  <si>
    <t>AA031</t>
  </si>
  <si>
    <t>AA032</t>
  </si>
  <si>
    <t>AA036</t>
  </si>
  <si>
    <t>AA040</t>
  </si>
  <si>
    <t>AA065</t>
  </si>
  <si>
    <t>AA066</t>
  </si>
  <si>
    <t>AA067</t>
  </si>
  <si>
    <t>AA071</t>
  </si>
  <si>
    <t>AA072</t>
  </si>
  <si>
    <t>AA091</t>
  </si>
  <si>
    <t>AA092</t>
  </si>
  <si>
    <t>AA093</t>
  </si>
  <si>
    <t>AA094</t>
  </si>
  <si>
    <t>AA096</t>
  </si>
  <si>
    <t>AA098</t>
  </si>
  <si>
    <t>AA099</t>
  </si>
  <si>
    <t>AW002</t>
  </si>
  <si>
    <t>AW003</t>
  </si>
  <si>
    <t>AW004</t>
  </si>
  <si>
    <t>AW006</t>
  </si>
  <si>
    <t>R00015</t>
  </si>
  <si>
    <t>W20100</t>
  </si>
  <si>
    <t>W20300</t>
  </si>
  <si>
    <t>W20301</t>
  </si>
  <si>
    <t>W20400</t>
  </si>
  <si>
    <t>W20704</t>
  </si>
  <si>
    <t>WS517</t>
  </si>
  <si>
    <t>W20502</t>
  </si>
  <si>
    <t>W20740</t>
  </si>
  <si>
    <t>W20752</t>
  </si>
  <si>
    <t>W20756</t>
  </si>
  <si>
    <t>W20757</t>
  </si>
  <si>
    <t>W20758</t>
  </si>
  <si>
    <t>W20791</t>
  </si>
  <si>
    <t>W20794</t>
  </si>
  <si>
    <t>W20850</t>
  </si>
  <si>
    <t>W61779</t>
  </si>
  <si>
    <t>W61781</t>
  </si>
  <si>
    <t>W61791</t>
  </si>
  <si>
    <t>W61796</t>
  </si>
  <si>
    <t>WS400</t>
  </si>
  <si>
    <t>U9922</t>
  </si>
  <si>
    <t>U9925</t>
  </si>
  <si>
    <t>U9926</t>
  </si>
  <si>
    <t>U9927</t>
  </si>
  <si>
    <t>U9929</t>
  </si>
  <si>
    <t>U9933</t>
  </si>
  <si>
    <t>U9934</t>
  </si>
  <si>
    <t>U9936</t>
  </si>
  <si>
    <t>U9954</t>
  </si>
  <si>
    <t>U9960</t>
  </si>
  <si>
    <t>U9965</t>
  </si>
  <si>
    <t>WS101</t>
  </si>
  <si>
    <t>WS102</t>
  </si>
  <si>
    <t>WS105</t>
  </si>
  <si>
    <t>WS106</t>
  </si>
  <si>
    <t>WS120</t>
  </si>
  <si>
    <t>WS200</t>
  </si>
  <si>
    <t>WS201</t>
  </si>
  <si>
    <t>WS202</t>
  </si>
  <si>
    <t>WS203</t>
  </si>
  <si>
    <t>WS204</t>
  </si>
  <si>
    <t>WS206</t>
  </si>
  <si>
    <t>WS211</t>
  </si>
  <si>
    <t>WS215</t>
  </si>
  <si>
    <t>WS216</t>
  </si>
  <si>
    <t>WS220</t>
  </si>
  <si>
    <t>WS225</t>
  </si>
  <si>
    <t>WS230</t>
  </si>
  <si>
    <t>WS290</t>
  </si>
  <si>
    <t>WS294</t>
  </si>
  <si>
    <t>WS296</t>
  </si>
  <si>
    <t>WS502</t>
  </si>
  <si>
    <t>WS503</t>
  </si>
  <si>
    <t>WS504</t>
  </si>
  <si>
    <t>WS505</t>
  </si>
  <si>
    <t>WS510</t>
  </si>
  <si>
    <t>WS511</t>
  </si>
  <si>
    <t>WS513</t>
  </si>
  <si>
    <t>WS516</t>
  </si>
  <si>
    <t>WS550</t>
  </si>
  <si>
    <t>WS750</t>
  </si>
  <si>
    <t>WS751</t>
  </si>
  <si>
    <t>WS758</t>
  </si>
  <si>
    <t>WS764</t>
  </si>
  <si>
    <t>WS765</t>
  </si>
  <si>
    <t>WS815</t>
  </si>
  <si>
    <t>WS816</t>
  </si>
  <si>
    <t>WS825</t>
  </si>
  <si>
    <t>WS828</t>
  </si>
  <si>
    <t>WS829</t>
  </si>
  <si>
    <t>WS831</t>
  </si>
  <si>
    <t>WS832</t>
  </si>
  <si>
    <t>WS833</t>
  </si>
  <si>
    <t>WS834</t>
  </si>
  <si>
    <t>WS295</t>
  </si>
  <si>
    <t>WS700</t>
  </si>
  <si>
    <t>WS701</t>
  </si>
  <si>
    <t>WS702</t>
  </si>
  <si>
    <t>WS704</t>
  </si>
  <si>
    <t>WS705</t>
  </si>
  <si>
    <t>WS707</t>
  </si>
  <si>
    <t>WS708</t>
  </si>
  <si>
    <t>WS710</t>
  </si>
  <si>
    <t>WS712</t>
  </si>
  <si>
    <t>WS713</t>
  </si>
  <si>
    <t>WS715</t>
  </si>
  <si>
    <t>WS720</t>
  </si>
  <si>
    <t>WS721</t>
  </si>
  <si>
    <t>WS722</t>
  </si>
  <si>
    <t>WS723</t>
  </si>
  <si>
    <t>WS725</t>
  </si>
  <si>
    <t>WS730</t>
  </si>
  <si>
    <t>WS731</t>
  </si>
  <si>
    <t>WS736</t>
  </si>
  <si>
    <t>WS740</t>
  </si>
  <si>
    <t>WS741</t>
  </si>
  <si>
    <t>WS766</t>
  </si>
  <si>
    <t>WS767</t>
  </si>
  <si>
    <t>WS790</t>
  </si>
  <si>
    <t>WS793</t>
  </si>
  <si>
    <t>WS951</t>
  </si>
  <si>
    <t>WS952</t>
  </si>
  <si>
    <t>Entity</t>
  </si>
  <si>
    <t>Cost Center</t>
  </si>
  <si>
    <t>FTE</t>
  </si>
  <si>
    <t>Salary</t>
  </si>
  <si>
    <t>Cost Center Number</t>
  </si>
  <si>
    <t>Cost Center Details</t>
  </si>
  <si>
    <t>Segment</t>
  </si>
  <si>
    <t>Lifestyle</t>
  </si>
  <si>
    <t>2002:Auto-Operations Support</t>
  </si>
  <si>
    <t>2004:AUTO RISK MANAGEMENT</t>
  </si>
  <si>
    <t>2005:Reinsurance Marketing</t>
  </si>
  <si>
    <t>2006:RDG EXEC</t>
  </si>
  <si>
    <t>2007:RDG National Sales Team</t>
  </si>
  <si>
    <t>2008:Quality Control</t>
  </si>
  <si>
    <t>2009:RA-National Accounts</t>
  </si>
  <si>
    <t>2010:Specialist Program</t>
  </si>
  <si>
    <t>2014:GULF SOUTH</t>
  </si>
  <si>
    <t>2016:Retail Training</t>
  </si>
  <si>
    <t>2032:Northeast</t>
  </si>
  <si>
    <t>2033:Southeast</t>
  </si>
  <si>
    <t>2034:MID ATLANTIC</t>
  </si>
  <si>
    <t>2035:Pacific NW</t>
  </si>
  <si>
    <t>2036:Pacific SW</t>
  </si>
  <si>
    <t>2038:Mid Central</t>
  </si>
  <si>
    <t>2039:Great Plains</t>
  </si>
  <si>
    <t>2040:Midwest</t>
  </si>
  <si>
    <t>2075:Workforce Management</t>
  </si>
  <si>
    <t>3002:Citi Admin</t>
  </si>
  <si>
    <t>3015:Service Admin-Chicago</t>
  </si>
  <si>
    <t>5007:HELP DESK AND DESKTOP SUPPORT</t>
  </si>
  <si>
    <t>Corporate</t>
  </si>
  <si>
    <t>5013:IT EXECUTIVE</t>
  </si>
  <si>
    <t>5017:UDB &amp; AIM</t>
  </si>
  <si>
    <t>5019:CLOUD TECHNOLOGIES</t>
  </si>
  <si>
    <t>5021:REPORTING</t>
  </si>
  <si>
    <t>5032:Exec</t>
  </si>
  <si>
    <t>5033:Financial Services</t>
  </si>
  <si>
    <t>5040:Ops Mgmt</t>
  </si>
  <si>
    <t>5041:Payment Processing</t>
  </si>
  <si>
    <t>5045:OPERATIONAL DCM INITIATIVES</t>
  </si>
  <si>
    <t>5048:Corp Systems &amp; IT Risk</t>
  </si>
  <si>
    <t>5056:Auto TPA</t>
  </si>
  <si>
    <t>5058:ESC</t>
  </si>
  <si>
    <t>6003:Prod Development</t>
  </si>
  <si>
    <t>6013:Warranty Reinsurance</t>
  </si>
  <si>
    <t>6019:External Reporting</t>
  </si>
  <si>
    <t>7226:ODC</t>
  </si>
  <si>
    <t>8100:RAG - Exec</t>
  </si>
  <si>
    <t>8117:RAG - Agent Support</t>
  </si>
  <si>
    <t>10045:SPECIALTY PROPERTY SOLUTIONS DIR MKTG</t>
  </si>
  <si>
    <t>10050:ACTUARIAL RESERVING AND REPORTING</t>
  </si>
  <si>
    <t>10070:PRIVACY OPERATIONS</t>
  </si>
  <si>
    <t>10152:DATA ANALYTICS LEADERSHIP</t>
  </si>
  <si>
    <t>10159:DATA ANALYTIC INTEGRATION</t>
  </si>
  <si>
    <t>10164:PRODUCT ANALYTICS</t>
  </si>
  <si>
    <t>10165:ADVANCED ANALYTICS</t>
  </si>
  <si>
    <t>10167:INFORMATION MANAGEMENT</t>
  </si>
  <si>
    <t>10202:FIN REP MIA CROSS SELL ELIMINATIONS</t>
  </si>
  <si>
    <t>10223:GLOW AND AIM PROJECT</t>
  </si>
  <si>
    <t>10225:FINANCIAL PLANNING AND ANALYSIS</t>
  </si>
  <si>
    <t>10228:GENERAL ACCOUNTING S&amp;R</t>
  </si>
  <si>
    <t>10231:ACTUARIAL MANAGEMENT</t>
  </si>
  <si>
    <t>10232:ACTUARIAL CONNECTED LIVING</t>
  </si>
  <si>
    <t>10255:FINANCIAL SYSTEMS</t>
  </si>
  <si>
    <t>10256:LENDING SOLUTIONS CX</t>
  </si>
  <si>
    <t>10264:ACTUARIAL GLOBAL HOUSING</t>
  </si>
  <si>
    <t>10265:BROADTECH ACCOUNTING</t>
  </si>
  <si>
    <t>10301:TECHNOLOGY SERVICES MANAGEMENT</t>
  </si>
  <si>
    <t>10312:ENTERPRISE MONITORING</t>
  </si>
  <si>
    <t>10321:COMPLIANCE AND AUDIT</t>
  </si>
  <si>
    <t>10325:MIAMI TIER II SUPPORT</t>
  </si>
  <si>
    <t>10326:24X7 SERVICE OPS</t>
  </si>
  <si>
    <t>10327:DESKTOP TECHNOLOGY</t>
  </si>
  <si>
    <t>10328:CALL CENTER SERVICES</t>
  </si>
  <si>
    <t>10329:MESSAGING SERVICES</t>
  </si>
  <si>
    <t>10331:CORP SYSTEMS CONTROLS AND COMPLIANCE</t>
  </si>
  <si>
    <t>10333:CORP SYSTEMS SHARED APPLICATIONS</t>
  </si>
  <si>
    <t>10335:DIGITAL ARCHITECTURE</t>
  </si>
  <si>
    <t>10337:CORP SYSTEMS TECHNOLOGY PRODUCT OWNERS</t>
  </si>
  <si>
    <t>10534:ELECTRONIC FILE TRANSFER STAFF</t>
  </si>
  <si>
    <t>10582:BRAND AND MARKETING STRATEGY</t>
  </si>
  <si>
    <t>10809:STATE FILINGS OPERATIONS</t>
  </si>
  <si>
    <t>11108:CREDIT CARD INSURANCE</t>
  </si>
  <si>
    <t>11110:DEBT EXAMINERS</t>
  </si>
  <si>
    <t>11111:INSTALLMENT LENDING EXAMINERS</t>
  </si>
  <si>
    <t>11114:DATA ENTRY</t>
  </si>
  <si>
    <t>11115:INVESTIGATIONS</t>
  </si>
  <si>
    <t>11117:DOCUMENT SOLUTIONS</t>
  </si>
  <si>
    <t>Housing</t>
  </si>
  <si>
    <t>11119:SPECIAL INVESTIGATIONS UNIT</t>
  </si>
  <si>
    <t>11132:CL REGULATORY RISK</t>
  </si>
  <si>
    <t>11225:INTERNATIONAL FINANCE</t>
  </si>
  <si>
    <t>11981:GLOBAL SALES OPERATIONS SOLUTIONS</t>
  </si>
  <si>
    <t>12525:REAL ESTATE PLANNING AND LEASE MANAGEMENT</t>
  </si>
  <si>
    <t>13100:CLIENT ANALYSIS ATL</t>
  </si>
  <si>
    <t>13150:FINANCIAL REPORTING</t>
  </si>
  <si>
    <t>13235:CHECK PRINTING</t>
  </si>
  <si>
    <t>13400:TREASURY TAX</t>
  </si>
  <si>
    <t>15000:REINSURANCE SOLUTIONS</t>
  </si>
  <si>
    <t>15010:CLIENT FINANCIAL SERVICES ASP</t>
  </si>
  <si>
    <t>17202:TREASURY MANAGEMENT</t>
  </si>
  <si>
    <t>19064:CARD BENEFIT CLAIMS</t>
  </si>
  <si>
    <t>20100:PROCESSING OPTS ATLANTA</t>
  </si>
  <si>
    <t>20101:PPO SETUP AND COMPLIANCE</t>
  </si>
  <si>
    <t>20610:PPO PREMIUM AND FEE PROCESSING</t>
  </si>
  <si>
    <t>20642:MAIL DATA ENTRY AND FULFILLMENT</t>
  </si>
  <si>
    <t>20951:INTERNATIONAL LEGAL</t>
  </si>
  <si>
    <t>21100:CORPORATE LEGAL ATL</t>
  </si>
  <si>
    <t>21101:LITIGATION AND HR PRACTICE GROUP ATL</t>
  </si>
  <si>
    <t>21500:REGISTRATION OPERATIONS</t>
  </si>
  <si>
    <t>21585:PRINT TIER2 TECHNICAL SUPPORT</t>
  </si>
  <si>
    <t>21590:PRINT TIER1 CUSTOMER SUPPORT SVCS</t>
  </si>
  <si>
    <t>22205:SUBROGATION</t>
  </si>
  <si>
    <t>22350:MOBILITY AND ANTIQUE AUTO ISA</t>
  </si>
  <si>
    <t>22351:ATLANTA LENDING SOLUTIONS ISA</t>
  </si>
  <si>
    <t>22353:ASP CLAIMS ADMINISTRATION</t>
  </si>
  <si>
    <t>22359:SCOTTSDALE GLOBAL P AND C CLAIMS</t>
  </si>
  <si>
    <t>22361:AUDIT AND COMPLIANCE</t>
  </si>
  <si>
    <t>38100:IT ADMINISTRATION</t>
  </si>
  <si>
    <t>38101:INTERNATIONAL SUPPORT STAFF</t>
  </si>
  <si>
    <t>38213:LEWISVILLE TIER II</t>
  </si>
  <si>
    <t>38214:RCG NIRVANA TIER II</t>
  </si>
  <si>
    <t>38254:DULUTH TIER II SUPPORT</t>
  </si>
  <si>
    <t>38255:ATLANTA TIER II SUPPORT</t>
  </si>
  <si>
    <t>38259:FLORENCE TIER II SUPPORT</t>
  </si>
  <si>
    <t>38261:INFORMATION RISK AND COMPLIANCE OFFICE</t>
  </si>
  <si>
    <t>38280:SPRINGFIELD TIER II SUPPORT</t>
  </si>
  <si>
    <t>39111:PBP ENTERPRISE JB</t>
  </si>
  <si>
    <t>39112:PEOPLE PARTNERS</t>
  </si>
  <si>
    <t>39114:PBP ENTERPRISE SM</t>
  </si>
  <si>
    <t>39150:DIVERSITY EQUITY &amp; INCLUSION</t>
  </si>
  <si>
    <t>39701:CFO ASP</t>
  </si>
  <si>
    <t>39702:FINANCE LS OPS</t>
  </si>
  <si>
    <t>42372:PRODUCTIVITY ENHANCEMENTS</t>
  </si>
  <si>
    <t>42373:DATA ANALYTICS GROUP ADMIN</t>
  </si>
  <si>
    <t>42374:HAZARD OUTSOURCING PROCESSING</t>
  </si>
  <si>
    <t>42403:SPRINGFIELD CONDO DATABASE</t>
  </si>
  <si>
    <t>42405:VOIP ANALYSTS</t>
  </si>
  <si>
    <t>42421:LPI ADMINISTRATION</t>
  </si>
  <si>
    <t>42435:ADMINISTRATION</t>
  </si>
  <si>
    <t>42450:SPRINGFIELD CUSTOMER CARE</t>
  </si>
  <si>
    <t>42458:QA REMEDIATION</t>
  </si>
  <si>
    <t>42459:SPRINGFIELD SMBR</t>
  </si>
  <si>
    <t>42463:LD TRANSFORMATION</t>
  </si>
  <si>
    <t>42466:AUTOMATION INITIATIVES</t>
  </si>
  <si>
    <t>42471:QA TRANSACTIONAL</t>
  </si>
  <si>
    <t>42473:OPEN ITEMS</t>
  </si>
  <si>
    <t>42474:SPRINGFIELD MAIL SERVICES</t>
  </si>
  <si>
    <t>42475:CHECK RECON CHECK PROCESSING</t>
  </si>
  <si>
    <t>42476:EDI PROCESSING</t>
  </si>
  <si>
    <t>42491:SPRINGFIELD LD MAIL SERVICES</t>
  </si>
  <si>
    <t>42501:FLORENCE LOSS DRAFT PROCESSING</t>
  </si>
  <si>
    <t>42502:QUALITY RISK ASSESSMENTS</t>
  </si>
  <si>
    <t>42503:BPM QA TECH</t>
  </si>
  <si>
    <t>42539:WFM COMMAND CENTER</t>
  </si>
  <si>
    <t>42575:QUALITY CONTROL LPI</t>
  </si>
  <si>
    <t>42576:QUALITY CONTROL MANAGEMENT</t>
  </si>
  <si>
    <t>42577:QUALITY CONTROL IT</t>
  </si>
  <si>
    <t>42618:SPRINGFIELD PROCESSING ADMIN</t>
  </si>
  <si>
    <t>42621:INSURANCE LINE SETUP</t>
  </si>
  <si>
    <t>42623:SPRINGFIELD PROCESSING</t>
  </si>
  <si>
    <t>42624:SPRINGFIELD CUSTOMER CARE ADMIN</t>
  </si>
  <si>
    <t>42626:RESEARCH ADMIN</t>
  </si>
  <si>
    <t>42636:DATA INTEGRITY DEPT</t>
  </si>
  <si>
    <t>42638:LS PRODUCT MANAGEMENT</t>
  </si>
  <si>
    <t>42641:CUSTOMER CARE INSURANCE TRACKING</t>
  </si>
  <si>
    <t>42642:CUSTOMER &amp; EMPLOYEE SUCCESS</t>
  </si>
  <si>
    <t>42644:PERFORMANCE ENGINEERING</t>
  </si>
  <si>
    <t>42645:LS OPS INTAKE AND GOVERNANCE</t>
  </si>
  <si>
    <t>42646:SHARED SERVICES ADMIN</t>
  </si>
  <si>
    <t>42647:HAZARD PROCESSING ADMIN</t>
  </si>
  <si>
    <t>42648:LD PROCESSING</t>
  </si>
  <si>
    <t>42651:PROCESS ENGINEERING</t>
  </si>
  <si>
    <t>42652:WFM MGMT</t>
  </si>
  <si>
    <t>42657:DELIVERY AND PYMNT SOLUTIONS ADMIN</t>
  </si>
  <si>
    <t>42660:CTS CUSTOMER CARE</t>
  </si>
  <si>
    <t>42661:ITS CUSTOMER CARE</t>
  </si>
  <si>
    <t>42662:GH TRACKING CARE ADMIN</t>
  </si>
  <si>
    <t>42700:ENCORE WS SSP</t>
  </si>
  <si>
    <t>42722:DIGITAL FIRST CARRIER API</t>
  </si>
  <si>
    <t>42791:SSP ANALYTICS</t>
  </si>
  <si>
    <t>43000:COE ANALYTICS</t>
  </si>
  <si>
    <t>45306:QA SSP</t>
  </si>
  <si>
    <t>46201:LENDING SOLUTIONS FINANCE</t>
  </si>
  <si>
    <t>46203:CHOICE PRODUCT MANAGEMENT</t>
  </si>
  <si>
    <t>46204:CHOICE OPS AND UNDERWRITING</t>
  </si>
  <si>
    <t>46210:LS EXECUTIVE</t>
  </si>
  <si>
    <t>46211:GH MULTILINES PROCESSING</t>
  </si>
  <si>
    <t>46213:INDUSTRY RELATIONS</t>
  </si>
  <si>
    <t>46216:GH STRATEGIC ACCOUNT MANAGEMENT</t>
  </si>
  <si>
    <t>46269:GLOBAL HOME ADMIN</t>
  </si>
  <si>
    <t>46290:LS GROWTH INITIATIVES</t>
  </si>
  <si>
    <t>46291:ASP INTERNATIONAL</t>
  </si>
  <si>
    <t>50031:GH OPERATIONS ADMIN</t>
  </si>
  <si>
    <t>50032:GH OPS TECH SUPPORT</t>
  </si>
  <si>
    <t>50033:GH OPS PRODUCT OWNERS</t>
  </si>
  <si>
    <t>50034:GH VOIP ANALYSTS</t>
  </si>
  <si>
    <t>50035:GH MFH CLIENT INSTALLS</t>
  </si>
  <si>
    <t>50038:MFH PRODUCT OWNERS</t>
  </si>
  <si>
    <t>50641:FSOCARDBENEFITS</t>
  </si>
  <si>
    <t>51200:REINSURANCE SOLUTIONS</t>
  </si>
  <si>
    <t>51502:COMPLIANCE COMMUNICATIONS OPERATIONS</t>
  </si>
  <si>
    <t>51700:MH CONDO AUTO AND HAZARD</t>
  </si>
  <si>
    <t>51702:CLAIMS CALL CENTER</t>
  </si>
  <si>
    <t>51705:CLAIMS BUSINESS TECHNOLOGY</t>
  </si>
  <si>
    <t>51708:PD LIABILITY ISA</t>
  </si>
  <si>
    <t>51709:MIAMI LENDING SOLUTIONS ISA</t>
  </si>
  <si>
    <t>51711:ASP CLAIMS FLOOD</t>
  </si>
  <si>
    <t>51723:BI LIABILITY ISA</t>
  </si>
  <si>
    <t>51724:RENTERS ISA</t>
  </si>
  <si>
    <t>51740:CLAIMS VENDOR MANAGEMENT</t>
  </si>
  <si>
    <t>51775:FIELD STAFF ADJUSTERS</t>
  </si>
  <si>
    <t>51900:LICENSING OPERATIONS</t>
  </si>
  <si>
    <t>51905:DIRECT SALES TEAM</t>
  </si>
  <si>
    <t>51906:MFH ACCOUNT MANAGEMENT</t>
  </si>
  <si>
    <t>51950:COMPLIANCE TECH</t>
  </si>
  <si>
    <t>52260:GS PRODUCT OWNERS</t>
  </si>
  <si>
    <t>52908:BUS AND ENTRPRS APP SERVICES</t>
  </si>
  <si>
    <t>53500:CORPORATE LEGAL MIA</t>
  </si>
  <si>
    <t>53750:GH DOCUMENT SERVICES</t>
  </si>
  <si>
    <t>53801:GH RATING VOLUNTARY BA TEAM</t>
  </si>
  <si>
    <t>53802:GH REPORTING</t>
  </si>
  <si>
    <t>53804:GH MFH CLIENT SUPPORT</t>
  </si>
  <si>
    <t>53850:GH SPECIALTY SUPPORT ANALYSTS</t>
  </si>
  <si>
    <t>53904:CARD BENEFIT OPS</t>
  </si>
  <si>
    <t>53940:GH BPM ADMIN</t>
  </si>
  <si>
    <t>53950:AFS COMPLIANCE AND BUSINESS SUPPORT</t>
  </si>
  <si>
    <t>53970:GH MULTILINES UNDERWRITING</t>
  </si>
  <si>
    <t>53980:GH VOUNTARY PROCESSING</t>
  </si>
  <si>
    <t>53982:GH RENTERS CUSTOMER CARE</t>
  </si>
  <si>
    <t>53983:GH QUALITY ASSURANCE</t>
  </si>
  <si>
    <t>53984:RTS CUSTOMER CARE</t>
  </si>
  <si>
    <t>53985:RTS</t>
  </si>
  <si>
    <t>53986:GH SPECIALTY CLIENT SUPPORT</t>
  </si>
  <si>
    <t>53987:MFH SPECIALTY CARE QC</t>
  </si>
  <si>
    <t>53988:CUSTOMER CARE HO3</t>
  </si>
  <si>
    <t>53989:GH MF and Condo Customer Care</t>
  </si>
  <si>
    <t>53990:AIA OPERATIONS</t>
  </si>
  <si>
    <t>53993:AIA SALES</t>
  </si>
  <si>
    <t>53994:CTS</t>
  </si>
  <si>
    <t>53995:ITS</t>
  </si>
  <si>
    <t>54001:CONNECTED LIVING AE</t>
  </si>
  <si>
    <t>54003:BUSINESS DEVELOPMENT</t>
  </si>
  <si>
    <t>54330:PROPERTY SOLUTIONS FINANCIAL SERVICES</t>
  </si>
  <si>
    <t>54334:GLOBAL SPECIALTY FINANCE</t>
  </si>
  <si>
    <t>54880:WCBP STANDARD SINGLE PLATFORM</t>
  </si>
  <si>
    <t>56000:FS GROWTH</t>
  </si>
  <si>
    <t>56100:FLOOD SALES</t>
  </si>
  <si>
    <t>56101:FS NORTH ACCT MGMT</t>
  </si>
  <si>
    <t>56102:FS SOUTH ACCT MGMT</t>
  </si>
  <si>
    <t>56103:FS NATIONAL ACCT MGMT</t>
  </si>
  <si>
    <t>56200:FS OPERATIONS</t>
  </si>
  <si>
    <t>56500:NFIP FLOOD</t>
  </si>
  <si>
    <t>56510:FLOOD CUSTOMER CARE</t>
  </si>
  <si>
    <t>60001:MOBILE SERVICES</t>
  </si>
  <si>
    <t>60005:MOBILE REPAIR AND LOGISTICS WAYNE</t>
  </si>
  <si>
    <t>60006:MOBILE REPAIR AND LOGISTICS LEWISVILLE</t>
  </si>
  <si>
    <t>60007:MOBILE SERVICES ERP</t>
  </si>
  <si>
    <t>69320:TRACKING SYSTEMS BUSINESS ANALYSTS</t>
  </si>
  <si>
    <t>72004:DATABASE MGMT</t>
  </si>
  <si>
    <t>72006:QA PROCESSING</t>
  </si>
  <si>
    <t>72008:DULUTH RESEARCH</t>
  </si>
  <si>
    <t>72018:CHECK RECON FINANCIAL TRANSACTIONS</t>
  </si>
  <si>
    <t>72020:EDI CARRIER STRATEGY</t>
  </si>
  <si>
    <t>72110:DULUTH MAILROOM</t>
  </si>
  <si>
    <t>72125:DUL SMBR</t>
  </si>
  <si>
    <t>72375:FLO LD CUSTOMER CARE</t>
  </si>
  <si>
    <t>72376:SPR LD CUSTOMER CARE</t>
  </si>
  <si>
    <t>72378:FLO LD CUSTOMER CARE ADMIN</t>
  </si>
  <si>
    <t>72380:LD RESOLUTION</t>
  </si>
  <si>
    <t>72403:DULUTH CUSTOMER CARE ADMIN</t>
  </si>
  <si>
    <t>72416:REPORTING</t>
  </si>
  <si>
    <t>72551:VIRTUAL INSPECTIONS</t>
  </si>
  <si>
    <t>72552:LOSS DRAFTS BUSINESS PROCESS</t>
  </si>
  <si>
    <t>72737:TRACKING SYSTEMS MANAGEMENT</t>
  </si>
  <si>
    <t>72740:DTE BUSINESS ANALYST TEAM</t>
  </si>
  <si>
    <t>72764:LS SALES</t>
  </si>
  <si>
    <t>72767:WEST COAST TIER II SUPPORT</t>
  </si>
  <si>
    <t>72773:LS MARKETING TEAM</t>
  </si>
  <si>
    <t>72775:LS UNDERWRITING</t>
  </si>
  <si>
    <t>72784:SMARTFLOW BUSINESS ANALYSTS</t>
  </si>
  <si>
    <t>72839:REPORT ADMINISTRATION</t>
  </si>
  <si>
    <t>72841:OPS TECH MANAGEMENT</t>
  </si>
  <si>
    <t>72846:SMARTFLOW MANAGERS</t>
  </si>
  <si>
    <t>72852:DTE RULES AND WORKFLOW</t>
  </si>
  <si>
    <t>72901:FLORENCE MAIL SERVICES</t>
  </si>
  <si>
    <t>72911:FLORENCE EXCEPTIONS PROCESSING</t>
  </si>
  <si>
    <t>72912:RESEARCH</t>
  </si>
  <si>
    <t>72916:QA RISK BASED REVIEWS</t>
  </si>
  <si>
    <t>72931:CHECK RECON CHECK VALIDATION TASKS</t>
  </si>
  <si>
    <t>72940:FLORENCE CUSTOMER CARE</t>
  </si>
  <si>
    <t>72948:SECURITY FLORENCE SC</t>
  </si>
  <si>
    <t>72972:FLORENCE LOSS DRAFT ADMIN</t>
  </si>
  <si>
    <t>72973:FLORENCE LOSS DRAFT MAIL SERVICES</t>
  </si>
  <si>
    <t>72974:FLORENCE PROCESSING ADMIN</t>
  </si>
  <si>
    <t>72984:LOB SPECIALTY AND FLOOD</t>
  </si>
  <si>
    <t>72985:BCP</t>
  </si>
  <si>
    <t>72986:QUALITY ASSURANCE ADMIN</t>
  </si>
  <si>
    <t>72987:SSP UAT</t>
  </si>
  <si>
    <t>72988:CUSTOMER CARE ADMIN</t>
  </si>
  <si>
    <t>72989:TRACKING AND PROCESSING ADMIN</t>
  </si>
  <si>
    <t>72990:CUSTOMER CARE QC</t>
  </si>
  <si>
    <t>72991:LOB MFH</t>
  </si>
  <si>
    <t>72992:LOB LS</t>
  </si>
  <si>
    <t>72993:VENDOR MANAGEMENT</t>
  </si>
  <si>
    <t>72994:PAYMENT SOLUTIONS</t>
  </si>
  <si>
    <t>72995:LD PROCESSING RESOLUTION TEAM</t>
  </si>
  <si>
    <t>72997:CUSTOMER CARE ANTIQUE AUTO</t>
  </si>
  <si>
    <t>84429:LPI EXCEPTIONS PROCESSING</t>
  </si>
  <si>
    <t>85711:CUSTOMER INSIGHTS &amp; PROCESS OPTIMIZATION</t>
  </si>
  <si>
    <t>93019:LIFESTYLE LEADERSHIP</t>
  </si>
  <si>
    <t>93031:BUSINESS UNIT COMPLIANCE MANAGEMENT</t>
  </si>
  <si>
    <t>93032:COMPLIANCE TESTING &amp; MONITORING</t>
  </si>
  <si>
    <t>93033:COMPLIANCE GOVERNANCE</t>
  </si>
  <si>
    <t>93200:GLOBAL SPECIALTY SALES AND MARKETING</t>
  </si>
  <si>
    <t>93202:GLOBAL SPECIALTY PROPERTY</t>
  </si>
  <si>
    <t>93206:MFH SALES AND MARKETING</t>
  </si>
  <si>
    <t>93207:DEPOSIT SOLUTIONS OPS</t>
  </si>
  <si>
    <t>93220:ARS COLLECTION OPERATIONS</t>
  </si>
  <si>
    <t>93221:ARS COMPLIANCE</t>
  </si>
  <si>
    <t>93222:ARS CLIENT SERVICES</t>
  </si>
  <si>
    <t>93227:ARS LEGAL</t>
  </si>
  <si>
    <t>93231:ARS ADMIN OPERATIONS</t>
  </si>
  <si>
    <t>93240:MFH EXECUTIVE</t>
  </si>
  <si>
    <t>93241:SALES EXECUTIVE</t>
  </si>
  <si>
    <t>93242:SPECIALTY SALES</t>
  </si>
  <si>
    <t>93243:MFH SALES</t>
  </si>
  <si>
    <t>93250:SHIPSURANCE SALES AND MARKETING</t>
  </si>
  <si>
    <t>93251:SHIPSURANCE CLAIMS ADJUSTERS</t>
  </si>
  <si>
    <t>93260:PROPERTY OPS SYSTEM SUPPORT</t>
  </si>
  <si>
    <t>93310:MLS VOLUNTARY</t>
  </si>
  <si>
    <t>93320:AFS SALES AND SERVICE CENTER</t>
  </si>
  <si>
    <t>101250:INTRL PROD SUPPORT</t>
  </si>
  <si>
    <t>101837:ENTERPRISE DATA SERVICES</t>
  </si>
  <si>
    <t>101838:ENTERPRISE DATA SERV GLOBAL HOME</t>
  </si>
  <si>
    <t>101839:ENTERPRISE DATA SERV BUSINESS TRNSFR</t>
  </si>
  <si>
    <t>102150:DIGITAL CLIENT SOLUTIONS</t>
  </si>
  <si>
    <t>102151:DIGITAL DELIVERY GLOBAL HOME SITES</t>
  </si>
  <si>
    <t>102152:DIGITAL DLV GBL LIFESTYLE AND INT</t>
  </si>
  <si>
    <t>102153:DIGITAL DLV GBL SELF SERV DOMESTIC</t>
  </si>
  <si>
    <t>102154:DIGITAL DELIVERY RUN AND MIGRATIONS</t>
  </si>
  <si>
    <t>102155:DIGITAL  GLOBAL HOUSING SOLUTIONS</t>
  </si>
  <si>
    <t>102160:DIGITAL MANAGEMENT AND STRATEGY</t>
  </si>
  <si>
    <t>102170:DIGITAL DELIVERY</t>
  </si>
  <si>
    <t>102190:DIGITAL AND OMNI CHANNEL SERVICES</t>
  </si>
  <si>
    <t>102210:MOBILE DEFENSE</t>
  </si>
  <si>
    <t>102211:ASSURANT LABS DELIVERY</t>
  </si>
  <si>
    <t>102213:ASSURANT LABS PRODUCT</t>
  </si>
  <si>
    <t>104002:TECHNOLOGY INVESTMENT AND PORTFOLIO MANAGEMENT</t>
  </si>
  <si>
    <t>104004:PM GLOBAL LIFESTYLE INTL SUPPLY CHAIN FRONT OFFICE</t>
  </si>
  <si>
    <t>104005:PM ENT APPS IT GLB CORP FUNCTIONS SUPPLY CHAIN BK OFFICE</t>
  </si>
  <si>
    <t>104008:TECHNOLOGY PROGRAM MANAGEMENT</t>
  </si>
  <si>
    <t>104009:PMO DELIVERY CORPORATE ENTERPRISE APPS ATLANTA</t>
  </si>
  <si>
    <t>104010:PMO DELIVERY GLOBAL LIFESTYLE AND INTERNATIONAL MIAMI</t>
  </si>
  <si>
    <t>104012:PMO DELIVERY LENDING SOLUTIONS</t>
  </si>
  <si>
    <t>104032:CLOUD ENGINEERING</t>
  </si>
  <si>
    <t>104036:ERP ACCT FINANCE PROJECT SUPPORT</t>
  </si>
  <si>
    <t>110000:CORPORATE</t>
  </si>
  <si>
    <t>113001:MERGERS AND ACQUISITIONS</t>
  </si>
  <si>
    <t>113010:OFFICE OF CEO</t>
  </si>
  <si>
    <t>113020:CAPITAL AND FINANCIAL RATINGS</t>
  </si>
  <si>
    <t>113030:GOVERNMENT RELATIONS</t>
  </si>
  <si>
    <t>113032:GLOBAL SECURITY SERVICES</t>
  </si>
  <si>
    <t>113040:OFFICE OF CFO</t>
  </si>
  <si>
    <t>113041:VENDOR RISK &amp; ANALYTICS</t>
  </si>
  <si>
    <t>113042:BUSINESS PROCUREMENT CATEGORY SPEND</t>
  </si>
  <si>
    <t>113044:PROCUREMENT MANAGEMENT</t>
  </si>
  <si>
    <t>113045:ADMINISTRATIVE SERVICES MGMT</t>
  </si>
  <si>
    <t>113047:SHARED PROCUREMENT CATEGORY SPEND</t>
  </si>
  <si>
    <t>113049:Accounting &amp; Finance Services - A&amp;FS</t>
  </si>
  <si>
    <t>113052:A&amp;FS  OPERATIONS</t>
  </si>
  <si>
    <t>113053:A&amp;FS  CASH APPLICATIONS</t>
  </si>
  <si>
    <t>113054:AFS RECON COE</t>
  </si>
  <si>
    <t>113055:STATUTORY REPORTING</t>
  </si>
  <si>
    <t>113057:PAYROLL SERVICES</t>
  </si>
  <si>
    <t>113060:OFFICE OF CHIEF LEGAL OFFICER</t>
  </si>
  <si>
    <t>113070:OFFICE OF CSO</t>
  </si>
  <si>
    <t>113080:OFFICE OF THE CIO</t>
  </si>
  <si>
    <t>113100:CORPORATE FP AND A</t>
  </si>
  <si>
    <t>113215:GENERAL ACCOUNTING</t>
  </si>
  <si>
    <t>113220:CORPORATE TAX</t>
  </si>
  <si>
    <t>113223:MKE TAX DEPARTMENT</t>
  </si>
  <si>
    <t>113230:FINANCIAL AND SEC REPORTING</t>
  </si>
  <si>
    <t>113232:IT FINANCE EXECUTIVE</t>
  </si>
  <si>
    <t>113233:ENTERPRISE FP AND A</t>
  </si>
  <si>
    <t>113234:IT FINANCE ANALYSIS MIAMI</t>
  </si>
  <si>
    <t>113250:LEGAL</t>
  </si>
  <si>
    <t>113255:IP AND PROCUREMENT LEGAL</t>
  </si>
  <si>
    <t>113285:CORPORATE LITIGATION RF</t>
  </si>
  <si>
    <t>113290:COMPLIANCE ENTERPRISE EXPENSES</t>
  </si>
  <si>
    <t>113291:ETHICS</t>
  </si>
  <si>
    <t>113292:CORPORATE COMPLIANCE OPERATIONS</t>
  </si>
  <si>
    <t>113295:LEGAL OPERATIONS</t>
  </si>
  <si>
    <t>113355:STATUTORY STATE COMPLIANCE &amp; REPORTING</t>
  </si>
  <si>
    <t>113500:Chief Operating Officer</t>
  </si>
  <si>
    <t>113510:OPERATIONS TRANSFORMATION</t>
  </si>
  <si>
    <t>113520:ENT TRANSFM CENTER OF EXCELLENCE</t>
  </si>
  <si>
    <t>113600:Chief Risk Officer</t>
  </si>
  <si>
    <t>113605:LS RISK MGMT</t>
  </si>
  <si>
    <t>113607:DR BUSINESS CONTINUITY</t>
  </si>
  <si>
    <t>113800:CHIEF ADMINISTRATIVE  OFFICER</t>
  </si>
  <si>
    <t>113810:CONNECTED LIVING CX</t>
  </si>
  <si>
    <t>113820:MULTI-FAMILY HOUSING CX</t>
  </si>
  <si>
    <t>113830:GLOBAL AUTO CX</t>
  </si>
  <si>
    <t>114000:PBP ENTERPRISE AR</t>
  </si>
  <si>
    <t>114005:PBP ENTERPRISE COO</t>
  </si>
  <si>
    <t>114015:OPERATIONAL EXCELLENCE</t>
  </si>
  <si>
    <t>114030:EMPLOYEE SERVICES</t>
  </si>
  <si>
    <t>114040:PBP ENTERPRISE SS</t>
  </si>
  <si>
    <t>114041:EMPL EXP DIGITAL AND ANALYTICS</t>
  </si>
  <si>
    <t>114060:TALENT ACQUISITION</t>
  </si>
  <si>
    <t>114065:TALENT</t>
  </si>
  <si>
    <t>114100:BENEFITS</t>
  </si>
  <si>
    <t>114225:AIZ COMPENSATION</t>
  </si>
  <si>
    <t>114300:NY OFFICE SERVICES</t>
  </si>
  <si>
    <t>114400:AIZ FACILITIES MANAGEMENT</t>
  </si>
  <si>
    <t>115000:IAS CORPORATE</t>
  </si>
  <si>
    <t>115001:IAS GENERAL</t>
  </si>
  <si>
    <t>115002:IAS</t>
  </si>
  <si>
    <t>118120:TWG TAX</t>
  </si>
  <si>
    <t>118530:CAO</t>
  </si>
  <si>
    <t>118535:ACCOUNTING &amp; OPERATIONS</t>
  </si>
  <si>
    <t>118600:GLOBAL AUTO MARKETING</t>
  </si>
  <si>
    <t>121000:DIGITAL MARKETING AND SOCIAL</t>
  </si>
  <si>
    <t>121010:CONSUMER INSIGHTS</t>
  </si>
  <si>
    <t>121020:GROWTH &amp; INNOVATION</t>
  </si>
  <si>
    <t>121030:BUSINESS STRATEGY</t>
  </si>
  <si>
    <t>123000:CORPORATE COMMUNICATIONS</t>
  </si>
  <si>
    <t>124000:INVESTOR RELATIONS</t>
  </si>
  <si>
    <t>140535:HYLA INTEGRATION</t>
  </si>
  <si>
    <t>150363:PROJECT TITAN TSA EXPENSES</t>
  </si>
  <si>
    <t>150800:AAM FIXED INCOME</t>
  </si>
  <si>
    <t>190110:ENTERPRISE STRATEGY</t>
  </si>
  <si>
    <t>190300:ENTERPRISE CX INITIATIVE</t>
  </si>
  <si>
    <t>204002:SSP DELIVERY LEAD DIWAKAR KAMISETTI</t>
  </si>
  <si>
    <t>383000:FLOOD ENTERPRISE DATA SERVICES DEVOPS MANAGEMENT</t>
  </si>
  <si>
    <t>383001:DEVOPS</t>
  </si>
  <si>
    <t>383004:SMARTFLOW CORP TECH</t>
  </si>
  <si>
    <t>383006:DRAFT TRAC</t>
  </si>
  <si>
    <t>389000:IT APP DEV LENDER PLACED INS MGNT</t>
  </si>
  <si>
    <t>389001:LEGACY TRACKING</t>
  </si>
  <si>
    <t>389002:LPI</t>
  </si>
  <si>
    <t>389003:DELIVERY MANAGEMENT</t>
  </si>
  <si>
    <t>389005:DELIVERY LEADER MANAGEMENT</t>
  </si>
  <si>
    <t>389007:LPI FORM SERVICES</t>
  </si>
  <si>
    <t>389009:SSP DELIVERY LEAD  KRISHNA PARTY</t>
  </si>
  <si>
    <t>389010:SSP DELIVERY LEAD  ERIC CERO</t>
  </si>
  <si>
    <t>389011:SSP DELIVERY LEAD  PRIYA KRISHNAMOORTHY</t>
  </si>
  <si>
    <t>389012:T2 APPLICATION SUPPORT DESK MANAGER</t>
  </si>
  <si>
    <t>389013:SSP TIER 2 BA</t>
  </si>
  <si>
    <t>0504000:RC Tier II Support</t>
  </si>
  <si>
    <t>528901:EXCEED BILLING PROJECT</t>
  </si>
  <si>
    <t>529000:GLOBAL SPECIATLY SUPPORT SYSTEMS MANAGEMENT</t>
  </si>
  <si>
    <t>529001:MULTIFAMILY HOUSING</t>
  </si>
  <si>
    <t>529003:PMS SERIES II DAILY WEEKLY</t>
  </si>
  <si>
    <t>529004:PMS MONTH END</t>
  </si>
  <si>
    <t>529005:P AND C CLAIMS SHARED SERVICES</t>
  </si>
  <si>
    <t>529006:GLOBAL SPECIALTY BA QA</t>
  </si>
  <si>
    <t>529008:CLAIMS CBT</t>
  </si>
  <si>
    <t>600000:PMO DELIVERY MANAGEMENT GLOBAL HOME</t>
  </si>
  <si>
    <t>600002:STRATEGY, TRANS &amp; GOV MANAGEMENT</t>
  </si>
  <si>
    <t>600003:IT TRANSFORMATION INNOVATION</t>
  </si>
  <si>
    <t>787030:DOMESTIC SYSTEMS DFS</t>
  </si>
  <si>
    <t>787050:SHARED APPLICATION LEADERS</t>
  </si>
  <si>
    <t>787060:LIFESTYLE RELEASE MANAGEMENT</t>
  </si>
  <si>
    <t>787090:CL AND INTL SYSTEMS LEADERS</t>
  </si>
  <si>
    <t>787120:ESC QA PROD SUPPORT</t>
  </si>
  <si>
    <t>787130:DOMESTIC MOBILE PROD SUPPORT</t>
  </si>
  <si>
    <t>787140:QUALITY CONTROLS</t>
  </si>
  <si>
    <t>787180:DTM BRMS</t>
  </si>
  <si>
    <t>787230:CHEETAH</t>
  </si>
  <si>
    <t>787430:DOMESTIC SYSTEMS VSC CLAIMS</t>
  </si>
  <si>
    <t>787450:INTERNATIONAL SYSTEMS ELITA</t>
  </si>
  <si>
    <t>787480:INTERNATIONAL FINANCIAL SYSTEMS</t>
  </si>
  <si>
    <t>787490:MOBILE SVCS US PROD SUPPORT</t>
  </si>
  <si>
    <t>787560:AS 400 SUPPORT</t>
  </si>
  <si>
    <t>787570:PORTAL DEVELOPMENT</t>
  </si>
  <si>
    <t>787610:MOBILE SERVICES BAS</t>
  </si>
  <si>
    <t>787640:BEEHIVE</t>
  </si>
  <si>
    <t>787650:INTERNATIONAL MOBILE IMPLEMENTATIONS</t>
  </si>
  <si>
    <t>787660:ELITA ESC VSC IMPLEMENTATIONS BAS</t>
  </si>
  <si>
    <t>787710:TEC SOLUTION AND IMPLEMENTATION</t>
  </si>
  <si>
    <t>787730:BA DFS US</t>
  </si>
  <si>
    <t>787740:BA ESC MOBILE</t>
  </si>
  <si>
    <t>787750:INTRL QA</t>
  </si>
  <si>
    <t>787810:MOBILE SVCS US QA</t>
  </si>
  <si>
    <t>787820:LIFESTYLE INTEGRATION SERVICES</t>
  </si>
  <si>
    <t>787840:SHARED CAPABILITIES</t>
  </si>
  <si>
    <t>798040:MODULES</t>
  </si>
  <si>
    <t>898301:APPLICATIONS HOME SPECIALTY AND PRENEED MANAGEMENT</t>
  </si>
  <si>
    <t>1013402:INVESTMENT ACCOUNTING</t>
  </si>
  <si>
    <t>1013406:CORPORATE SYSTEMS MANAGEMENT</t>
  </si>
  <si>
    <t>1013415:FINANCIAL TAX TREASURY AND INVT SYS</t>
  </si>
  <si>
    <t>1013416:FINANCIAL ENTERPRISE ACCOUNTING SYS</t>
  </si>
  <si>
    <t>1013435:SEC REPORTING</t>
  </si>
  <si>
    <t>1030300:Solutions Delivery Staff</t>
  </si>
  <si>
    <t>1052700:Operational Support Staff</t>
  </si>
  <si>
    <t>1052702:UK TEAM</t>
  </si>
  <si>
    <t>1053500:DEVSECOPS</t>
  </si>
  <si>
    <t>1053501:FORMS MANAGEMENT</t>
  </si>
  <si>
    <t>3000406:ACT SERVICE OPERATIONS ADMIN</t>
  </si>
  <si>
    <t>3000408:HUMAN RESOURCES SYSTEMS</t>
  </si>
  <si>
    <t>3100403:MI AND PROBLEM</t>
  </si>
  <si>
    <t>3100428:SECURITY COMPLIANCE REVIEW</t>
  </si>
  <si>
    <t>3100437:ACT CIO MISCELLANEOUS</t>
  </si>
  <si>
    <t>3100438:CHIEF TECHNOLOGY OFFICER</t>
  </si>
  <si>
    <t>3100443:DSO SOFTWARE SERVICE MANAGEMENT</t>
  </si>
  <si>
    <t>3100448:DATA CENTER</t>
  </si>
  <si>
    <t>3100468:SECURITY ACCESS SERVICES</t>
  </si>
  <si>
    <t>3100501:LEGAL RISK COMM AND MARKETING SYSTEMS</t>
  </si>
  <si>
    <t>3100545:ENTERPRISE APPS - OPERATIONS</t>
  </si>
  <si>
    <t>3100600:SECURE DELIVERY</t>
  </si>
  <si>
    <t>3110345:VOICE SERVICES</t>
  </si>
  <si>
    <t>3110389:SOLUTION ARCHITECTURE</t>
  </si>
  <si>
    <t>3200420:BIDS SERVICE MGMT HPSD</t>
  </si>
  <si>
    <t>3200445:ENTERPRISE IT APPS</t>
  </si>
  <si>
    <t>3200449:APPLICATION DEVELOPMENT SERVICES</t>
  </si>
  <si>
    <t>3200463:SERVICE MANAGEMENT OFFICE</t>
  </si>
  <si>
    <t>3200471:PRODUCTION CONTROL</t>
  </si>
  <si>
    <t>3200473:ENTERPRISE TOOLS</t>
  </si>
  <si>
    <t>3200475:WDBRY TIER II SUPPORT</t>
  </si>
  <si>
    <t>8020725:INFO SECURITY OFFICE</t>
  </si>
  <si>
    <t>8210328:CALL CENTER APPLICATION DEVELOPMNT</t>
  </si>
  <si>
    <t>8210329:DIGITAL DELIVERY LEADERSHIP</t>
  </si>
  <si>
    <t>8310306:GLOBAL HSG BUSINESS RELATIONSHIP</t>
  </si>
  <si>
    <t>8520351:NYC TIER II SUPPORT</t>
  </si>
  <si>
    <t>8520418:SIGNAL ALBANY TIER II</t>
  </si>
  <si>
    <t>8520419:SIGNAL YORK TIER II</t>
  </si>
  <si>
    <t>8520503:Sofware Asset Management</t>
  </si>
  <si>
    <t>8520601:WAYNE TIER II</t>
  </si>
  <si>
    <t>8540700:STRATEGY PLANNING DELIVERY MGMT</t>
  </si>
  <si>
    <t>8551043:SHARED DESKTOP FTE SW</t>
  </si>
  <si>
    <t>10006UK</t>
  </si>
  <si>
    <t>10006UK:INTERMEDIARY CREWE</t>
  </si>
  <si>
    <t>11225BZ</t>
  </si>
  <si>
    <t>11225BZ:INTERNATIONAL FINANCE BZ</t>
  </si>
  <si>
    <t>51400PR</t>
  </si>
  <si>
    <t>51400PR:DWELLING</t>
  </si>
  <si>
    <t>8520ATO:ATO PROJECT SUPPORT SERVICES</t>
  </si>
  <si>
    <t>AA005:AFAS HUMAN RESOURCES &amp; ADMINISTRATION</t>
  </si>
  <si>
    <t>AA006:AFAS ACCOUNTING</t>
  </si>
  <si>
    <t>AA007:AFAS SERVICE CONTRACTS</t>
  </si>
  <si>
    <t>AA010:AFAS FIELD REGION 10</t>
  </si>
  <si>
    <t>AA011:AFAS FIELD REGION 11</t>
  </si>
  <si>
    <t>AA012:AFAS FIELD REGION 12</t>
  </si>
  <si>
    <t>AA013:AFAS FIELD REGION 13</t>
  </si>
  <si>
    <t>AA014:AFAS FIELD REGION 14</t>
  </si>
  <si>
    <t>AA020:AFAS FIELD REGION 20</t>
  </si>
  <si>
    <t>AA021:AFAS FIELD REGION 21</t>
  </si>
  <si>
    <t>AA022:AFAS FIELD REGION 22</t>
  </si>
  <si>
    <t>AA024:AFAS FIELD REGION 24</t>
  </si>
  <si>
    <t>AA025:AFAS FIELD REGION 25</t>
  </si>
  <si>
    <t>AA026:AFAS FIELD REGION 26</t>
  </si>
  <si>
    <t>AA027:AFAS FIELD REGION 27</t>
  </si>
  <si>
    <t>AA030:AFAS FIELD REGION 30</t>
  </si>
  <si>
    <t>AA031:AFAS FIELD REGION 31</t>
  </si>
  <si>
    <t>AA032:AFAS FIELD REGION 32</t>
  </si>
  <si>
    <t>AA036:AFAS FIELD REGION 36</t>
  </si>
  <si>
    <t>AA040:AFAS FIELD REGION 40</t>
  </si>
  <si>
    <t>AA065:AFAS REGION 65 MARKETING COMPLIANCE</t>
  </si>
  <si>
    <t>AA066:AFAS REGION 66 MARKETING MAILROOM</t>
  </si>
  <si>
    <t>AA067:AFAS REGION 67 RISK</t>
  </si>
  <si>
    <t>AA068</t>
  </si>
  <si>
    <t>AA068:AFAS HOUSTON TX FACILITY</t>
  </si>
  <si>
    <t>AA073</t>
  </si>
  <si>
    <t>AA073:AFAS FIELD REGION 73 DIGITAL TRAINING</t>
  </si>
  <si>
    <t>AA091:AFAS REGION 91 MARKETING INFO SYSTEMS</t>
  </si>
  <si>
    <t>AA092:AFAS REGION 92 MARKETING CREATIVE</t>
  </si>
  <si>
    <t>AA093:AFAS REGION 93 INFORMATION TECHNOLOGY</t>
  </si>
  <si>
    <t>AA094:AFAS REGION 94 MARKETING COMMUNICATIONS</t>
  </si>
  <si>
    <t>AA096:AFAS REGION 96 MARKETING PRODUCT DEVELOPMENT</t>
  </si>
  <si>
    <t>AA098:AFAS REGION 98 MARKETING ACCOUNT DEVELOPMENT</t>
  </si>
  <si>
    <t>AA099:AFAS REGION 99 MARKETING PROCUREMENT</t>
  </si>
  <si>
    <t>ADS2000:ADS EXEC</t>
  </si>
  <si>
    <t>AW002:AFWC PREMIUM PROCESSING</t>
  </si>
  <si>
    <t>AW003:AFWC CUSTOMER SERVICE</t>
  </si>
  <si>
    <t>AW004:AFWC CLAIMS ADJUSTERS</t>
  </si>
  <si>
    <t>AW006:AFWC RISK MANAGEMENT</t>
  </si>
  <si>
    <t>EP001:VPS EPG</t>
  </si>
  <si>
    <t>R00015:BAIL DEPARTMENT</t>
  </si>
  <si>
    <t>T0003:S&amp;R CENTRAL COSTS</t>
  </si>
  <si>
    <t>T1064:ELM CREEK BLVD &amp; MAIN ST</t>
  </si>
  <si>
    <t>T1099:SANDLAKE</t>
  </si>
  <si>
    <t>T1286:28TH &amp; BELTLINE</t>
  </si>
  <si>
    <t>T1466:JAMAICA &amp; SUTPHIN</t>
  </si>
  <si>
    <t>T1SAP:W INTERESTATE 20 &amp; W BARDIN RD</t>
  </si>
  <si>
    <t>T1SAQ:STATE HWY 121 &amp; WILTSHIRE BLVD</t>
  </si>
  <si>
    <t>T1SAV:E ROUND GROVE RD &amp; VISTA RIDGE MALL</t>
  </si>
  <si>
    <t>T1SAX:CRAIG DR &amp; ELDORADO PKWY</t>
  </si>
  <si>
    <t>T1SAZ:US HWY 75 &amp; TOWN CTR</t>
  </si>
  <si>
    <t>T1SBA:PRESTON RD &amp; W PARK BLVD</t>
  </si>
  <si>
    <t>T1SBD:TOWN EAST BLVD &amp; PAVILLION CT</t>
  </si>
  <si>
    <t>T1SBL:PARK LN &amp; N CENTRAL EXPY</t>
  </si>
  <si>
    <t>T1SBN:W CAMP WISDOM RD &amp; RED BIRD CTR</t>
  </si>
  <si>
    <t>T1SBP:CAMPBELL RD &amp; COIT RD</t>
  </si>
  <si>
    <t>T1SBW:BROADWAY AVE &amp; CROOKED TRL</t>
  </si>
  <si>
    <t>T1SCH:W PIPELINE RD &amp; PACIFIC ST</t>
  </si>
  <si>
    <t>T1SCL:W DEBBIE LN &amp; HWY 287 N</t>
  </si>
  <si>
    <t>T1SCP:HULEN ST &amp; BELLAIRE DR S</t>
  </si>
  <si>
    <t>T1SCX:DENTON HWY &amp; KELLY LYNN LN</t>
  </si>
  <si>
    <t>T1SDC:S LOOP 288 &amp; SPENCER RD</t>
  </si>
  <si>
    <t>T1SDE:KEMP BLVD &amp; KELL BLVD</t>
  </si>
  <si>
    <t>T1SDG:E CENTRAL TEXAS EXPY &amp; S W S YOUNG D</t>
  </si>
  <si>
    <t>T1SDJ:SHERWOOD WAY &amp; SUNSET DR</t>
  </si>
  <si>
    <t>T1SDL:WESTPARK DR &amp; COUNTY RD</t>
  </si>
  <si>
    <t>T1SDM:KOEHLER ST &amp; YALE ST</t>
  </si>
  <si>
    <t>T1SEC:INTERSTATE 45 N &amp; AARON PASTERNACK D</t>
  </si>
  <si>
    <t>T1SED:HWY 59 N &amp; E DENTON</t>
  </si>
  <si>
    <t>T1SEI:W GRAND PKWY &amp; BELLAIRE BLVD</t>
  </si>
  <si>
    <t>T1SEJ:US-290 &amp; SPRING CYPRESS RD</t>
  </si>
  <si>
    <t>T1SEN:HWY 6 &amp; PRUDENTIAL CIR</t>
  </si>
  <si>
    <t>T1SEU:W BAY AREA BLVD &amp; BAYBROOK SQUARE DR</t>
  </si>
  <si>
    <t>T1SEZ:DEL MAR BLVD &amp; SPRINGFIELD AVE</t>
  </si>
  <si>
    <t>T1SFC:E BASSE RD &amp; JONES MALTSBERGER RD 2</t>
  </si>
  <si>
    <t>T1SFE:SAN PEDRO AVE &amp; EMBASSY OAKS</t>
  </si>
  <si>
    <t>T1SFH:WALZEM RD &amp; WINDSOR CROSS</t>
  </si>
  <si>
    <t>T1SFM:NW LOOP 410 &amp; WIGWAM DR</t>
  </si>
  <si>
    <t>T1SFP:BANDERA RD &amp; BRAE RIDGE DR</t>
  </si>
  <si>
    <t>T1SFW:PADRE ISLAND DR &amp; NEMEC ST</t>
  </si>
  <si>
    <t>T1SFX:E EXPRESSWAY 83 &amp;S MCCOLL RD</t>
  </si>
  <si>
    <t>T1SGB:BOCA CHICA BLVD &amp; VICTORY ST</t>
  </si>
  <si>
    <t>T1SGJ:TOWN CENTER BLVD &amp; W EXPRESSWAY 83</t>
  </si>
  <si>
    <t>T1SGP:FM 685 &amp; E PFLUGERVILLE PKWY</t>
  </si>
  <si>
    <t>T1SGW:S INTERSTATE 35 &amp; W SLAUGHTER LN</t>
  </si>
  <si>
    <t>T1SGY:41ST ST &amp; E 43RD ST</t>
  </si>
  <si>
    <t>T1SHA:N CAPITAL OF TEXAS HWY &amp; STONELAKE B</t>
  </si>
  <si>
    <t>T1SHC:WESTGATE PKWY &amp; SONCY RD</t>
  </si>
  <si>
    <t>T1SHE:LOOP 289 &amp; 66TH ST</t>
  </si>
  <si>
    <t>T1SHG:CLACK ST &amp; PARK CENTRAL BLVD</t>
  </si>
  <si>
    <t>T1SHL:HWY 191 &amp; NE LOOP 338</t>
  </si>
  <si>
    <t>T1SHN:MONTANA AVE &amp; LOCKHART ST</t>
  </si>
  <si>
    <t>T1SHO:N ZARAGOZA RD &amp; SAUL KLEINFELD DR</t>
  </si>
  <si>
    <t>T1SHS:E ARAPAHOE RD &amp; S HELENA ST</t>
  </si>
  <si>
    <t>T1SHV:COMMONS ST &amp; E LINCOLN AVE 2</t>
  </si>
  <si>
    <t>T1SHY:QUEBEC ST &amp; E 38TH AVE</t>
  </si>
  <si>
    <t>T1SIC:GRANT ST &amp; E 98TH PL</t>
  </si>
  <si>
    <t>T1SIN:24 1 2 RD &amp; US HWY 6</t>
  </si>
  <si>
    <t>T1SIP:EAGLE RD &amp; N CAJUN CT</t>
  </si>
  <si>
    <t>T1SIR:W HILL FIELD RD &amp; N MAIN ST</t>
  </si>
  <si>
    <t>T1SIT:W SOUTH JORDAN PKWY &amp; BANGERTER HWY</t>
  </si>
  <si>
    <t>T1SIX:STATE ST &amp; S 100 E</t>
  </si>
  <si>
    <t>T1SJA:700 S &amp; RIVER RD</t>
  </si>
  <si>
    <t>T1SJH:W THOMAS RD &amp; N 75TH AVE 2</t>
  </si>
  <si>
    <t>T1SJI:28TH DR &amp; N METRO PKWY E</t>
  </si>
  <si>
    <t>T1SJN:E BASELINE RD &amp; S POWER RD</t>
  </si>
  <si>
    <t>T1SJS:E SOUTHERN AVE &amp; S KACHINA DR</t>
  </si>
  <si>
    <t>T1SJU:S MARKET ST &amp; E WILLIAMS FIELD RD</t>
  </si>
  <si>
    <t>T1SJX:W 24TH ST &amp; S AVE B</t>
  </si>
  <si>
    <t>T1SLA:ORACLE RD &amp; W WETMORE RD</t>
  </si>
  <si>
    <t>T1SLB:BROADWAY BLVD &amp; E WILLIAMS CIR</t>
  </si>
  <si>
    <t>T1SLO:W SAHARA AVE &amp; S VALLEY VIEW BLVD</t>
  </si>
  <si>
    <t>T1SLP:E CHARLESTON BLVD &amp; MOONLIGHT DR</t>
  </si>
  <si>
    <t>T1SLQ:RAINBOW &amp; LAKE MEAD</t>
  </si>
  <si>
    <t>T1SLV:N DECATUR BLVD &amp; RICE AVE</t>
  </si>
  <si>
    <t>T1SLX:LAVENDER HILL DR &amp; SUMMA DR</t>
  </si>
  <si>
    <t>T1SLZ:MEADOWOOD MALL 3</t>
  </si>
  <si>
    <t>T1SME:WILSHIRE BLVD &amp; S MARIPOSA AVE</t>
  </si>
  <si>
    <t>T1SMR:S LA CIENEGA BLVD &amp; W 4TH ST</t>
  </si>
  <si>
    <t>T1SMW:SEPULVEDA BLVD &amp; BERRYMAN AVE</t>
  </si>
  <si>
    <t>T1SNC:E FLORENCE AVE &amp; MOUNTAIN VIEW AVE</t>
  </si>
  <si>
    <t>T1SNL:W CENTURY BLVD &amp; CLUB DR</t>
  </si>
  <si>
    <t>T1SNN:HAWTHORNE BLVD &amp; MARICOPA ST</t>
  </si>
  <si>
    <t>T1SNO:WHITTWOOD LN &amp; WHITTWOOD DR</t>
  </si>
  <si>
    <t>T1SNW:LAKEWOOD BLVD &amp; ROSECRANS AVE</t>
  </si>
  <si>
    <t>T1SNX:LAKEWOOD CENTER 4</t>
  </si>
  <si>
    <t>T1SOE:E COLORADO BLVD &amp; S RAYMOND AVE</t>
  </si>
  <si>
    <t>T1SOG:VENTURA BLVD &amp; AMESTOY AVE</t>
  </si>
  <si>
    <t>T1SOH:NORDHOFF ST &amp; NORDHOFF WAY</t>
  </si>
  <si>
    <t>T1SOL:MCBEAN PKWY &amp; MAGIC MOUNTAIN PKWY</t>
  </si>
  <si>
    <t>T1SOV:N AZUSA AVE &amp; W GRONDAHL ST</t>
  </si>
  <si>
    <t>T1SOW:FOOTHILL BLVD &amp; ROCHESTER AVE</t>
  </si>
  <si>
    <t>T1SOX:VALLEY MALL &amp; CENTER AVE</t>
  </si>
  <si>
    <t>T1SPC:S MOUNTAIN AVE &amp; W 7TH ST</t>
  </si>
  <si>
    <t>T1SPD:CALIFORNIA AVE &amp; S VINCENT AVE</t>
  </si>
  <si>
    <t>T1SPG:BROADWAY &amp; OXFORD ST 2</t>
  </si>
  <si>
    <t>T1SPN:EL CAMINO REAL &amp; TOWN CENTER PL</t>
  </si>
  <si>
    <t>T1SPO:W VALLEY PKWY &amp; N ESCONDIDO BLVD</t>
  </si>
  <si>
    <t>T1SPU:FENTON PKWY &amp; MISSION CITY PARK</t>
  </si>
  <si>
    <t>T1SPY:COLLEGE AVE &amp; COLLEGE GROVE DR</t>
  </si>
  <si>
    <t>T1SQB:ROCKWOOD AVE &amp; SCARONI AVE</t>
  </si>
  <si>
    <t>T1SQS:TYLER ST &amp; TYLER MALL ST</t>
  </si>
  <si>
    <t>T1SRD:HAUN RD &amp; NEWPORT RD</t>
  </si>
  <si>
    <t>T1SRE:WINCHESTER RD &amp; PROMENADE MALL W</t>
  </si>
  <si>
    <t>T1SRF:CLINTON KEITH RD &amp; CORONA FWY N</t>
  </si>
  <si>
    <t>T1SRJ:ALISO CREEK RD &amp; THEATRE LN</t>
  </si>
  <si>
    <t>T1SRM:WESTMINSTER BLVD &amp; COMMERCE LN</t>
  </si>
  <si>
    <t>T1SRT:W ORANGETHORPE AVE &amp; S HARBOR BLVD</t>
  </si>
  <si>
    <t>T1SRU:HARBOR BLVD &amp; BUARO ST</t>
  </si>
  <si>
    <t>T206F:BARRY RD &amp; US 169 2</t>
  </si>
  <si>
    <t>T213:LAKE UNDERHILL &amp; CHICKASAW</t>
  </si>
  <si>
    <t>T219F:JEFFERSON RD &amp; MARKETPLACE DRIVE</t>
  </si>
  <si>
    <t>T229E</t>
  </si>
  <si>
    <t>T229E:1960 &amp; CUTTEN</t>
  </si>
  <si>
    <t>T230F:RENAISSANCE PKWY &amp; AYALA DR</t>
  </si>
  <si>
    <t>T260F:OLD COUNTRY RD &amp; KROEMER AVE 2</t>
  </si>
  <si>
    <t>T288:ACADEMY &amp; SAN MATEO</t>
  </si>
  <si>
    <t>T2915:BRIDGE ST &amp; EMERSON AVE</t>
  </si>
  <si>
    <t>T2918:324TH &amp; PACIFIC HIGHWAY</t>
  </si>
  <si>
    <t>T2956:SOUTHGATE &amp; LYNN</t>
  </si>
  <si>
    <t>T2SAA:GRAND OAKS &amp; CAJALCO RD</t>
  </si>
  <si>
    <t>T2SAC:W ESPLANADE DR &amp; WAGON WHEEL RD</t>
  </si>
  <si>
    <t>T2SAG:STATE ST &amp; E CARRILLO ST</t>
  </si>
  <si>
    <t>T2SAN:VALLEY CENTRAL WAY &amp; W AVE J</t>
  </si>
  <si>
    <t>T2SAQ:N BLACKSTONE AVE &amp; W SHAW AVE</t>
  </si>
  <si>
    <t>T2SAR:MAIN ST &amp; E BORONDA RD</t>
  </si>
  <si>
    <t>T2SAS:GELLERT BLVD &amp; SERRAMONTE BLVD</t>
  </si>
  <si>
    <t>T2SAU:W EL CAMINO REAL &amp; SAN ANTONIO RD</t>
  </si>
  <si>
    <t>T2SAY:BRYANT ST &amp; 15TH ST</t>
  </si>
  <si>
    <t>T2SBC:EL CAMINO REAL &amp; IVY ST</t>
  </si>
  <si>
    <t>T2SBF:EL CERRITO PLZ &amp; FAIRMOUNT AVE</t>
  </si>
  <si>
    <t>T2SBG:GATEWAY BLVD &amp; B GALE WILSON BLVD</t>
  </si>
  <si>
    <t>T2SBM:MARINA BLVD &amp; TEAGARDEN ST</t>
  </si>
  <si>
    <t>T2SBP:JOHNSON DR &amp; OWENS DR</t>
  </si>
  <si>
    <t>T2SBQ:CHRISTIE AVE &amp; I 80 E</t>
  </si>
  <si>
    <t>T2SCB:MCKEE RD &amp; RUSSO CMNS</t>
  </si>
  <si>
    <t>T2SCC:STEVENS CREEK BLVD &amp; LAWRENCE EXPY</t>
  </si>
  <si>
    <t>T2SCF:W KETTLEMAN LN &amp; S LOWER SACRAMENTO</t>
  </si>
  <si>
    <t>T2SCJ:DALE RD &amp; BRADEN AVE</t>
  </si>
  <si>
    <t>T2SCM:GREENBACK LN &amp; COUNTY HWY E14</t>
  </si>
  <si>
    <t>T2SCT:ELK GROVE FLORIN RD &amp; SIENNA SAND DR</t>
  </si>
  <si>
    <t>T2SCV:TRUXEL RD &amp; N MARKETPLACE</t>
  </si>
  <si>
    <t>T2SCZ:KAMEHAMEHA HWY &amp; HI 99</t>
  </si>
  <si>
    <t>T2SDB:QUEEN KAAHUMANU CENTER MALL 2</t>
  </si>
  <si>
    <t>T2SDD:ALA MOANA BLVD &amp; KEAWE ST</t>
  </si>
  <si>
    <t>T2SDH:SE 82ND AVE &amp; SE BOYER DR</t>
  </si>
  <si>
    <t>T2SDM:SW HALL BLVD &amp; SW SCHOLLS FERRY RD</t>
  </si>
  <si>
    <t>T2SDO:W 7TH AVE &amp; WASHINGTON ST</t>
  </si>
  <si>
    <t>T2SDP:BIDDLE RD &amp; PROGRESS DR</t>
  </si>
  <si>
    <t>T2SDT:196TH ST SW &amp; 44TH AVE W</t>
  </si>
  <si>
    <t>T2SDU:148TH AVE NE &amp; NE 20TH ST</t>
  </si>
  <si>
    <t>T2SEG:CHKALOV DR &amp; SE 5TH ST</t>
  </si>
  <si>
    <t>T2SEJ:FRANCIS AVE &amp; N ELGIN ST</t>
  </si>
  <si>
    <t>T2SEL:N COLUMBIA CENTER BLVD &amp; W GRANDRIDG</t>
  </si>
  <si>
    <t>T2SEU:HOLCOMB BRIDGE RD &amp; FOUTS RD</t>
  </si>
  <si>
    <t>T2SEZ:JIMMY LEE SMITH PKWY &amp; GA 6</t>
  </si>
  <si>
    <t>T2SFB:COBB PKWY &amp; RIDENOUR BLVD NW</t>
  </si>
  <si>
    <t>T2SFF:MOUNT ZION RD &amp; SPRING PL</t>
  </si>
  <si>
    <t>T2SFL:COBB PKWY &amp; AKERS MILL RD SE</t>
  </si>
  <si>
    <t>T2SFP:PERIMETER CTR W &amp; PERIMETER PLACE WA</t>
  </si>
  <si>
    <t>T2SFQ:SPOUT SPRINGS RD &amp; HOG MOUNTAIN RD 3</t>
  </si>
  <si>
    <t>T2SFS:WASHINGTON RD &amp; RUMSON DR</t>
  </si>
  <si>
    <t>T2SGB:BAYMEADOWS RD &amp; PEACH DR</t>
  </si>
  <si>
    <t>T2SGC:N MONROE ST &amp; SILVER SLIPPER LN</t>
  </si>
  <si>
    <t>T2SGD:N DAVIS HWY &amp; SCHUBERT DR</t>
  </si>
  <si>
    <t>T2SGJ:SW ARCHER RD &amp; SW 35TH BLVD</t>
  </si>
  <si>
    <t>T2SGT:RED BUG LAKE RD &amp; VIDINA PL</t>
  </si>
  <si>
    <t>T2SGU:WP BALL BLVD &amp; GARNET LN</t>
  </si>
  <si>
    <t>T2SGY:W COLONIAL DR &amp; DORSCHER RD</t>
  </si>
  <si>
    <t>T2SHQ:PINES BLVD &amp; S FLAMINGO RD</t>
  </si>
  <si>
    <t>T2SHX:NE 2ND AVE &amp; NE 94TH ST</t>
  </si>
  <si>
    <t>T2SIB:BISCAYNE BLVD &amp; NE 178TH ST</t>
  </si>
  <si>
    <t>T2SIN:S UNIVERSITY DR &amp; SW 6TH ST</t>
  </si>
  <si>
    <t>T2SIR:US HWY 1 &amp; WHEELER RD</t>
  </si>
  <si>
    <t>T2SIS:N MILITARY TRL &amp; OKEECHOBEE BLVD</t>
  </si>
  <si>
    <t>T2SIX:GLADES RD &amp; NW 16TH ST</t>
  </si>
  <si>
    <t>T2SJC:W BRANDON BLVD &amp; PROVIDENCE RD</t>
  </si>
  <si>
    <t>T2SJH:KENNEDY BLVD &amp; GRAY CT</t>
  </si>
  <si>
    <t>T2SJM:CITRUS PARK DR &amp; CITRUS PLAZA DR</t>
  </si>
  <si>
    <t>T2SJN:TYRONE BLVD N &amp; 38TH AVE N</t>
  </si>
  <si>
    <t>T2SJQ:S FLORIDA AVE &amp; EASTWAY DR</t>
  </si>
  <si>
    <t>T2SJU:S CLEVELAND AVE &amp; DANA DR</t>
  </si>
  <si>
    <t>T2SJX:SANTA BARBARA BLVD &amp; SW 2ND AVE</t>
  </si>
  <si>
    <t>T2SJZ:TAMIAMI TRL N &amp; 106TH AVE N</t>
  </si>
  <si>
    <t>T2SLA:14TH ST W &amp; 45TH AVE CIR W</t>
  </si>
  <si>
    <t>T2SLE:US HWY 19 N &amp; CORAL LANDINGS BLVD</t>
  </si>
  <si>
    <t>T2SLG:W VINE ST &amp; MANN ST</t>
  </si>
  <si>
    <t>T2SLM:US HWY 280 &amp; LYNDON DR</t>
  </si>
  <si>
    <t>T2SLP:HAMILTON PLACE BLVD &amp; BAMS DR</t>
  </si>
  <si>
    <t>T2SLQ:STRATFORD RD &amp; LOWER MALL DR</t>
  </si>
  <si>
    <t>T2SLT:HOLDEN RD &amp; BOULEVARD ST</t>
  </si>
  <si>
    <t>T2SLW:BEAVER CREEK COMMONS &amp; HADDON HALL D</t>
  </si>
  <si>
    <t>T2SME:FAYETTEVILLE RD &amp; E NC HWY 54</t>
  </si>
  <si>
    <t>T2SMI:E FRANKLIN BLVD &amp; GREEN DR</t>
  </si>
  <si>
    <t>T2SMJ:SAM FURR RD &amp; NORTHCROSS DR</t>
  </si>
  <si>
    <t>T2SMO:SHARON RD &amp; SHARON CORNERS SHOPP DR</t>
  </si>
  <si>
    <t>T2SMQ:E W T HARRIS BLVD &amp; E MCCOLLOUGH DR</t>
  </si>
  <si>
    <t>T2SMT:OLEANDER DR &amp; PEACHTREE AVE</t>
  </si>
  <si>
    <t>T2SMY:HARBISON BLVD &amp; RAIL FENCE DR</t>
  </si>
  <si>
    <t>T2SMZ:TWO NOTCH RD &amp; FORE AVE</t>
  </si>
  <si>
    <t>T2SND:W EVANS ST &amp; DAVID H MCLEOD BLVD</t>
  </si>
  <si>
    <t>T2SNO:TOWNSFAIR WAY &amp; EASTON LOOP W</t>
  </si>
  <si>
    <t>T2SNS:S HAMILTON RD &amp; KIMBERLY PKWY N</t>
  </si>
  <si>
    <t>T2SNT:SAWMILL RD &amp; FEDERATED BLVD</t>
  </si>
  <si>
    <t>T2SNV:AIRPORT HWY &amp; NELA PKWY</t>
  </si>
  <si>
    <t>T2SNZ:LORAIN RD &amp; ROOT RD</t>
  </si>
  <si>
    <t>T2SOC:CHAGRIN BLVD &amp; GREEN RD</t>
  </si>
  <si>
    <t>T2SOF:S ARLINGTON ST &amp; JONATHAN AVE</t>
  </si>
  <si>
    <t>T2SOH:W MARKET ST &amp; MERZ BLVD</t>
  </si>
  <si>
    <t>T2SOP:VOICE OF AMERICA CENTRE DR &amp; TYLERSV</t>
  </si>
  <si>
    <t>T2SPA:TROY PIKE &amp; SHULL RD</t>
  </si>
  <si>
    <t>T2SPB:N FAIRFIELD RD &amp; REX DR</t>
  </si>
  <si>
    <t>T2SPC:SPRINGBORO PIKE &amp; MALL WOODS DR</t>
  </si>
  <si>
    <t>T2SPD:BRIDGE ST &amp; CENTRAL AVE</t>
  </si>
  <si>
    <t>T2SPJ:E WASHINGTON ST &amp; N DEVON AVE</t>
  </si>
  <si>
    <t>T2SPM:US 31 &amp; BRIARWOOD DR</t>
  </si>
  <si>
    <t>T2SPS:MICHIGAN RD &amp; SIGNATURE DR</t>
  </si>
  <si>
    <t>T2SPT:165TH ST &amp; 167TH ST</t>
  </si>
  <si>
    <t>T2SPX:E 80TH AVE &amp; MISSISSIPPI ST</t>
  </si>
  <si>
    <t>T2SQB:GRAPE RD &amp; EDISON LAKES PKWY</t>
  </si>
  <si>
    <t>T2SQF:COLDWATER RD &amp; COLDWATER XING</t>
  </si>
  <si>
    <t>T2SQG:MAIN ST &amp; S 37TH ST</t>
  </si>
  <si>
    <t>T2SQI:N GREEN RIVER RD &amp; PLAZA EAST BLVD</t>
  </si>
  <si>
    <t>T2SQL:GRATIOT AVE &amp; MI 3</t>
  </si>
  <si>
    <t>T2SQM:W 14 MILE RD &amp; CONCORD DR</t>
  </si>
  <si>
    <t>T2SQO:OAK VALLEY DR &amp; BOULDER RIDGE BLVD</t>
  </si>
  <si>
    <t>T2SQR:MICHIGAN AVE &amp; NOWLIN ST</t>
  </si>
  <si>
    <t>T2SQS:HAGGERTY RD &amp; DANIELLE DR</t>
  </si>
  <si>
    <t>T2SQT:ALLEN RD &amp; WOODHAVEN CMNS</t>
  </si>
  <si>
    <t>T2SQW:TELEGRAPH RD &amp; VASSAR AVE</t>
  </si>
  <si>
    <t>T2SQX:HALL RD &amp; DELCO BLVD</t>
  </si>
  <si>
    <t>T2SQY:BALDWIN RD &amp; N LAKE ANGELUS RD</t>
  </si>
  <si>
    <t>T2SQZ:ORCHARD LAKE RD &amp; W MAPLE RD</t>
  </si>
  <si>
    <t>T2SRD:E COURT ST &amp; COMMERCE PKWY</t>
  </si>
  <si>
    <t>T2SRE:TITTABAWASSEE RD &amp; FORTUNE BLVD</t>
  </si>
  <si>
    <t>T2SRJ:SAGINAW HWY &amp; GRANITE DR</t>
  </si>
  <si>
    <t>T2SRR:SE DELAWARE AVE &amp; SE LORENZ DR</t>
  </si>
  <si>
    <t>T2SRS:UNIVERSITY AVE &amp; CORPORATE DR</t>
  </si>
  <si>
    <t>T2SRV:W BLUEMOUND RD &amp; SERVICE DR</t>
  </si>
  <si>
    <t>T320F:GULL RD &amp; LAKE CREST DRIVE</t>
  </si>
  <si>
    <t>T342:CENTURY PLAZA RETAIL</t>
  </si>
  <si>
    <t>T387F:LEGACY DR &amp; N DALLAS PARKWAY</t>
  </si>
  <si>
    <t>T392F:MAIN &amp; CENTRAL</t>
  </si>
  <si>
    <t>T3SAA:N GREEN BAY RD &amp; N DEERWOOD DR</t>
  </si>
  <si>
    <t>T3SAC:LAYTON AVE &amp; W FOREST HOME AVE</t>
  </si>
  <si>
    <t>T3SAD:N 124TH ST &amp; W FEERICK ST</t>
  </si>
  <si>
    <t>T3SAF:LIEN RD &amp; EAGAN RD</t>
  </si>
  <si>
    <t>T3SAJ:S ONEIDA ST &amp; WILLARD DR</t>
  </si>
  <si>
    <t>T3SAM:W COLLEGE AVE &amp; N BLUEMOUND DR</t>
  </si>
  <si>
    <t>T3SAN:N ROLLING MEADOWS DR &amp; W SCOTT ST</t>
  </si>
  <si>
    <t>T3SAQ:WHITE BEAR AVE &amp; COUNTY RD D E</t>
  </si>
  <si>
    <t>T3SAS:ROBERT ST S &amp; MURIEL BLVD</t>
  </si>
  <si>
    <t>T3SAT:150TH ST W &amp; HOOVER LN</t>
  </si>
  <si>
    <t>T3SAW:PLYMOUTH RD &amp; CARTWAY LN</t>
  </si>
  <si>
    <t>T3SBF:W FRONTAGE RD NW &amp; 43RD ST NW</t>
  </si>
  <si>
    <t>T3SBG:RAINTREE RD &amp; ADAMS ST</t>
  </si>
  <si>
    <t>T3SBM:GOLF RD &amp; ALGONQUIN RD</t>
  </si>
  <si>
    <t>T3SBN:NORTHWEST HWY &amp; COG CIR</t>
  </si>
  <si>
    <t>T3SBQ:GURNEE MILLS 9</t>
  </si>
  <si>
    <t>T3SCD:W LAKE ST &amp; N ITASCA RD</t>
  </si>
  <si>
    <t>T3SDZ:OGDEN AVE &amp; DOUGLAS RD</t>
  </si>
  <si>
    <t>T3SEM:RANDOLPH ST &amp; N LA SALLE ST</t>
  </si>
  <si>
    <t>T3SES:E 53RD ST &amp; DORCHESTER AVE</t>
  </si>
  <si>
    <t>T3SEX:S PULASKI RD &amp; W 47TH ST</t>
  </si>
  <si>
    <t>T3SFC:W DEVON AVE &amp; N SAINT LOUIS AVE</t>
  </si>
  <si>
    <t>T3SFF:W NORTH AVE &amp; N 74TH AVE</t>
  </si>
  <si>
    <t>T3SFM:S CICERO AVE &amp; W 28TH ST</t>
  </si>
  <si>
    <t>T3SFO:E STATE ST &amp; MID AMERICA DR</t>
  </si>
  <si>
    <t>T3SFQ:41ST AVE DR &amp; 10TH ST DR</t>
  </si>
  <si>
    <t>T3SFT:GREENBRIAR DR &amp; PATROIT DR</t>
  </si>
  <si>
    <t>T3SFV:FREY LN &amp; LINCOLN HWY</t>
  </si>
  <si>
    <t>T3SGD:HWY 67 &amp; N WATERFORD DR</t>
  </si>
  <si>
    <t>T3SGE:SAINT CHARLES ROCK RD &amp; DEPAUL DR</t>
  </si>
  <si>
    <t>T3SGG:CLAYTON RD &amp; ETHEL AVE</t>
  </si>
  <si>
    <t>T3SGH:SUNSET HILLS PLZ &amp; S LINDBERGH BLVD</t>
  </si>
  <si>
    <t>T3SGL:OLIVE BLVD &amp; REUTHER LN</t>
  </si>
  <si>
    <t>T3SGN:HWY K &amp; SUNSHINE CT</t>
  </si>
  <si>
    <t>T3SGO:VETERANS MEMORIAL PKWY &amp; N CLOVERLEA</t>
  </si>
  <si>
    <t>T3SGS:E 39TH ST S &amp; INDEPENDENCE CENTER DR</t>
  </si>
  <si>
    <t>T3SGT:NE DOUGLAS ST &amp; NE MULBERRY ST</t>
  </si>
  <si>
    <t>T3SGU:E 14TH ST &amp; GRAND BLVD</t>
  </si>
  <si>
    <t>T3SHE:W BROADWAY &amp; HIGHLAND DR</t>
  </si>
  <si>
    <t>T3SHF:E BATTLEFIELD ST &amp; S JEFFERSON AVE</t>
  </si>
  <si>
    <t>T3SHH:VILLAGE WEST PKWY &amp; PRAIRIE CROSSING</t>
  </si>
  <si>
    <t>T3SHM:TOWN CENTER DR &amp; W 117TH ST</t>
  </si>
  <si>
    <t>T3SHN:W 95TH ST &amp; QUIVIRA RD</t>
  </si>
  <si>
    <t>T3SHS:N WASHINGTON ST &amp; E 7TH ST</t>
  </si>
  <si>
    <t>T3SHW:S SENECA ST &amp; W SAVANNAH ST</t>
  </si>
  <si>
    <t>T3SHX:N ROCK RD &amp; E 30TH ST N</t>
  </si>
  <si>
    <t>T3SHZ:TOWNE CENTER PKWY &amp; S 73RD ST</t>
  </si>
  <si>
    <t>T3SII:VETERANS MEMORIAL BLVD &amp; RICHLAND AV</t>
  </si>
  <si>
    <t>T3SIN:MANHATTAN BLVD &amp; UTE DR</t>
  </si>
  <si>
    <t>T3SIY:DEREK DR &amp; GERSTNER MEMORIAL BLVD</t>
  </si>
  <si>
    <t>T3SJD:LOUISVILLE AVE &amp; PLAZA BLVD</t>
  </si>
  <si>
    <t>T3SJE:S UNIVERSITY AVE &amp; MIDTOWN AVE</t>
  </si>
  <si>
    <t>T3SJH:SE WALTON BLVD &amp; DODSON RD</t>
  </si>
  <si>
    <t>T3SJL:S BROADWAY &amp; E 33RD ST</t>
  </si>
  <si>
    <t>T3SJM:24TH AVE NW &amp; LEGACY PARK DR</t>
  </si>
  <si>
    <t>T3SJO:SW 3RD ST &amp; HAMBY DR</t>
  </si>
  <si>
    <t>T3SJR:NW CACHE RD &amp; NW ERWIN LN</t>
  </si>
  <si>
    <t>T3SJU:E 71ST ST &amp; S 92ND EAST AVE</t>
  </si>
  <si>
    <t>T3SLD:BOSTON TPKE &amp; BAKER AVE</t>
  </si>
  <si>
    <t>T3SLF:LINCOLN ST &amp; COUNTRY CLUB BLVD</t>
  </si>
  <si>
    <t>T3SLR:BROADWAY &amp; ILA RD</t>
  </si>
  <si>
    <t>T3SLX:BOYLSTON ST &amp; BERKELEY ST</t>
  </si>
  <si>
    <t>T3SNE:PONTIAC AVE &amp; WHOLESALE WAY</t>
  </si>
  <si>
    <t>T3SNG:DANIEL WEBSTER HWY &amp; WEBSTER SQ</t>
  </si>
  <si>
    <t>T3SNJ:WESTFARMS 4</t>
  </si>
  <si>
    <t>T3SNQ:BOSTON POST RD &amp; DOGBURN LN</t>
  </si>
  <si>
    <t>T3SNT:BLACK ROCK TPKE &amp; STILLSON RD</t>
  </si>
  <si>
    <t>T3SOA:KENNEDY BLVD &amp; 31ST ST</t>
  </si>
  <si>
    <t>T3SOE:US HWY 22 W &amp; MONROE ST</t>
  </si>
  <si>
    <t>T3SOF:US HWY 22 &amp; W CHESTNUT</t>
  </si>
  <si>
    <t>T3SOJ:US HWY 46 &amp; UNION BLVD</t>
  </si>
  <si>
    <t>T3SON:STATE ROUTE 36 &amp; MARIN WAY</t>
  </si>
  <si>
    <t>T3SOT:KINGS HWY &amp; VALLEY RUN DR</t>
  </si>
  <si>
    <t>T3SPD:HOOPER AVE &amp; OAKWOOD AVE</t>
  </si>
  <si>
    <t>T3SPF:QUALITY WAY &amp; HUBER AVE</t>
  </si>
  <si>
    <t>T3SPI:5TH AVE &amp; E 23RD ST</t>
  </si>
  <si>
    <t>T3SPQ:W 125TH ST &amp; ADAM CLAYTON POWELL JR</t>
  </si>
  <si>
    <t>T3SPR:E 86TH ST &amp; 3RD AVE</t>
  </si>
  <si>
    <t>T3SPU:RICHMOND AVE &amp; NOME AVE</t>
  </si>
  <si>
    <t>T3SPY:W 225TH ST &amp; BROADWAY</t>
  </si>
  <si>
    <t>T3SPZ:E FORDHAM RD &amp; CRESTON AVE</t>
  </si>
  <si>
    <t>T3SQB:MALL AT BAY PLAZA 3</t>
  </si>
  <si>
    <t>T3SQE:CENTRAL PARK AVE &amp; CRISFIELD ST</t>
  </si>
  <si>
    <t>T3SQF:PALISADES CENTER 9</t>
  </si>
  <si>
    <t>T3SQI:FULTON ST &amp; HOYT ST</t>
  </si>
  <si>
    <t>T3SQQ:KINGS PLAZA SHOPPING CENTER 8</t>
  </si>
  <si>
    <t>T3SQS:GATEWAY DR &amp; ELTON ST</t>
  </si>
  <si>
    <t>T3SQW:QUEENS PLACE</t>
  </si>
  <si>
    <t>T3SQZ:JAMAICA AVE &amp; 161ST ST 2</t>
  </si>
  <si>
    <t>T3SRI:SMITH HAVEN MALL 4</t>
  </si>
  <si>
    <t>T3SRP:ROUTE 300 &amp; ORR AVE</t>
  </si>
  <si>
    <t>T3SRZ:WILLIAM PENN HWY &amp; PENN CENTER BLVD</t>
  </si>
  <si>
    <t>T4021:CONCORD MILLS BLVD &amp; THUNDER RD NW</t>
  </si>
  <si>
    <t>T4044:1000N &amp; 400E</t>
  </si>
  <si>
    <t>T4129:SAN FRANCISCO</t>
  </si>
  <si>
    <t>T4138:HUTCHINSON RIVER PKWY &amp; LAFAYETTE AV</t>
  </si>
  <si>
    <t>T422:SALEM</t>
  </si>
  <si>
    <t>T4233:HOLT RD &amp; RIDGE RD</t>
  </si>
  <si>
    <t>T4235:SOUTH DAKOTA AVE &amp; HAMILTON ST</t>
  </si>
  <si>
    <t>T4332:DANBURY FAIR MALL</t>
  </si>
  <si>
    <t>T436:FACTORIA &amp; SE 36TH ST</t>
  </si>
  <si>
    <t>T4445:FOOTHILLS MALL E FOOTHILLS &amp; S COLLE</t>
  </si>
  <si>
    <t>T4520:MARKET ST &amp; MCKENZIE LN</t>
  </si>
  <si>
    <t>T4565:HWY 70 &amp; CABELA DR</t>
  </si>
  <si>
    <t>T4608:NEWELL &amp; MAIN</t>
  </si>
  <si>
    <t>T461F:HWY 80 W &amp; BROADWAY ST</t>
  </si>
  <si>
    <t>T4679:TORRENCE &amp; 176TH</t>
  </si>
  <si>
    <t>T4712:TREASURE COAST SQUARE 4</t>
  </si>
  <si>
    <t>T4829:TRANSIT RD &amp; LOSSON RD 1</t>
  </si>
  <si>
    <t>T4900:HAZLET</t>
  </si>
  <si>
    <t>T4SAD:TRINITY POINT DR &amp; TRINITY CIR</t>
  </si>
  <si>
    <t>T4SAE:ROUTE 228 &amp; MARS CRIDER RD</t>
  </si>
  <si>
    <t>T4SAM:OXFORD VALLEY MALL 6</t>
  </si>
  <si>
    <t>T4SAX:E ROOSEVELT BLVD &amp; ADAMS AVE</t>
  </si>
  <si>
    <t>T4SAY:CITY AVE &amp; BRYN MAWR AVE</t>
  </si>
  <si>
    <t>T4SBG:E GERMANTOWN PIKE &amp; HANNAH AVE</t>
  </si>
  <si>
    <t>T4SBJ:PAPERMILL RD &amp; CENTURY BLVD</t>
  </si>
  <si>
    <t>T4SBM:KIRKWOOD HWY &amp; MONICA BLVD</t>
  </si>
  <si>
    <t>T4SBS:SUDLEY RD &amp; LOMOND DR</t>
  </si>
  <si>
    <t>T4SBU:SUNRISE VALLEY DR &amp; THUNDER CHASE DR</t>
  </si>
  <si>
    <t>T4SBX:MONTROSE AVE &amp; ARMSTRONG AVE</t>
  </si>
  <si>
    <t>T4SBZ:OXON HILL RD &amp; THOMPSON LN</t>
  </si>
  <si>
    <t>T4SCA:DONNELL DR &amp; PENNSYLVANIA AVE</t>
  </si>
  <si>
    <t>T4SCD:ANNAPOLIS RD &amp; MD 450</t>
  </si>
  <si>
    <t>T4SCG:QUINCE ORCHARD RD &amp; FIRSTFIELD RD</t>
  </si>
  <si>
    <t>T4SCN:REISTERSTOWN RD &amp; KENMAR AVE</t>
  </si>
  <si>
    <t>T4SCT:PUTTY HILL AVE &amp; E JOPPA RD</t>
  </si>
  <si>
    <t>T4SCU:FOREST DR &amp; HEARNE RD</t>
  </si>
  <si>
    <t>T4SCV:BUCKEYSTOWN PIKE &amp; PEGASUS CT</t>
  </si>
  <si>
    <t>T4SCZ:PRINCE WILLIAM PKWY &amp; SHOPPERS BEST</t>
  </si>
  <si>
    <t>T4SDB:S JOYCE ST &amp; ARMY NAVY DR</t>
  </si>
  <si>
    <t>T4SDE:LITTLE RIVER TPKE &amp; BRADDOCK RD</t>
  </si>
  <si>
    <t>T4SDI:MIDLOTHIAN TPKE &amp; MOOREFIELD PARK DR</t>
  </si>
  <si>
    <t>T4SDM:VIRGINIA BEACH BLVD &amp; SILVERBROOK LN</t>
  </si>
  <si>
    <t>T4SDT:MALLORY LN &amp; SEABOARD LN</t>
  </si>
  <si>
    <t>T4SDW:GALLATIN PIKE &amp; CONFERENCE DR</t>
  </si>
  <si>
    <t>T4SDZ:NOLENSVILLE PIKE &amp; PARAGON MILLS RD</t>
  </si>
  <si>
    <t>T4SEC:MORRELL RD &amp; CENTRE AT DEANE HL</t>
  </si>
  <si>
    <t>T4SEL:BEACH BLVD &amp; EISENHOWER DR</t>
  </si>
  <si>
    <t>T4SEQ:S HURSTBOURNE PKWY &amp; KY 1747</t>
  </si>
  <si>
    <t>T4SET:MALL RD &amp; MALL CIRCLE RD</t>
  </si>
  <si>
    <t>T4SEV:FAIRMONT PKWY &amp; E SAM HOUSTON PKWY S</t>
  </si>
  <si>
    <t>T4SFA:KATY FWY &amp; HOUGHTON RD</t>
  </si>
  <si>
    <t>T4SFI:SW 160TH AVE &amp; SW 29TH ST</t>
  </si>
  <si>
    <t>T4SFR:W 72ND ST &amp; S CICERO AVE</t>
  </si>
  <si>
    <t>T4SFT:RIVERDALE ST &amp; MYRON ST</t>
  </si>
  <si>
    <t>T4SFV:CORPORATE DR &amp; MERCHANTS CONCOURSE</t>
  </si>
  <si>
    <t>T4SFW:SUNRISE HWY &amp; REDMOND AVE</t>
  </si>
  <si>
    <t>T4SGA:WILLOW LAWN DR &amp; FITZHUGH AVE</t>
  </si>
  <si>
    <t>T4SGC:W MERCURY BLVD &amp; TODDS LN</t>
  </si>
  <si>
    <t>T4SGD:POPLAR AVE &amp; ESTATE DR</t>
  </si>
  <si>
    <t>T4SGE:NICHOLASVILLE RD &amp; ROJAY DR</t>
  </si>
  <si>
    <t>T4SIW:PHEASANT RIDGE DR NE &amp; LEXINGTON AVE</t>
  </si>
  <si>
    <t>T4SJC:SHEEPSHEAD BAY RD &amp; JEROME AVE 3</t>
  </si>
  <si>
    <t>T4SJT:BIRD RD &amp; SW 107TH AVE 2</t>
  </si>
  <si>
    <t>T5037:CONCORD PIKE</t>
  </si>
  <si>
    <t>T5046:ED CAREY</t>
  </si>
  <si>
    <t>T5048:LAREDO RETAIL STORE</t>
  </si>
  <si>
    <t>T516E:LAKEWOOD &amp; CARSON</t>
  </si>
  <si>
    <t>T522F:E JOHN SIMS PKWY &amp; BAILEY DR</t>
  </si>
  <si>
    <t>T5339:N TARRANT PKWY &amp; I-35</t>
  </si>
  <si>
    <t>T5412:W NOLANA &amp; N 29TH</t>
  </si>
  <si>
    <t>T5420:CALLOWAY &amp; ROSEDALE</t>
  </si>
  <si>
    <t>T5421:CARLISLE &amp; PHOENIX</t>
  </si>
  <si>
    <t>T5450:NORTH WEST AVE &amp; SPARKS ST</t>
  </si>
  <si>
    <t>T5529:K &amp; 7TH</t>
  </si>
  <si>
    <t>T5574</t>
  </si>
  <si>
    <t>T5574:PINE &amp; BAY</t>
  </si>
  <si>
    <t>T5658:TRI-COUNTY</t>
  </si>
  <si>
    <t>T5725:BUCKHEAD</t>
  </si>
  <si>
    <t>T5867:5 POINTS WEST</t>
  </si>
  <si>
    <t>T5891:NORMANDY BLVD</t>
  </si>
  <si>
    <t>T5930:SHELBYVILLE</t>
  </si>
  <si>
    <t>T5978:AIRPORT</t>
  </si>
  <si>
    <t>T623E:GATTIS SCHOOL &amp; 130</t>
  </si>
  <si>
    <t>T6844:KENDALL CORNERS</t>
  </si>
  <si>
    <t>T6926:SIEGEN PLAZA</t>
  </si>
  <si>
    <t>T737E:72ND &amp; JONES CIRCLE</t>
  </si>
  <si>
    <t>T738E:PINE LAKE RD &amp; S 27TH ST</t>
  </si>
  <si>
    <t>T7402:VENTURA BLVD &amp; VANTAGE</t>
  </si>
  <si>
    <t>T7517:MELROSE DRIVE</t>
  </si>
  <si>
    <t>T7589:CONTRA COSTA BLVD &amp; MONUMENT</t>
  </si>
  <si>
    <t>T7611:PORTSMOUTH VICTORY CROSSING</t>
  </si>
  <si>
    <t>T7640:STEINWAY &amp; 30TH</t>
  </si>
  <si>
    <t>T7657:RTE 295 &amp; PUTNAM PIKE</t>
  </si>
  <si>
    <t>T7687:STOCKWELL DRIVE &amp; HARRISON BLVD</t>
  </si>
  <si>
    <t>T7689:ROUTE 28 &amp; ROUTE 128</t>
  </si>
  <si>
    <t>T7691:I-20 &amp; TURNER HILL</t>
  </si>
  <si>
    <t>T7694:RT 70 &amp; CHAMBERS BRIDGE ROAD</t>
  </si>
  <si>
    <t>T7721:FLETCHER AVENUE &amp; I-95</t>
  </si>
  <si>
    <t>T7728:LOS FELIZ BLVD &amp; PERLITA</t>
  </si>
  <si>
    <t>T8012:POWERS &amp; CONSTITUTION</t>
  </si>
  <si>
    <t>T8020:67TH &amp; PEORIA</t>
  </si>
  <si>
    <t>T8030:RTE 33 &amp; FREEMANSBURG</t>
  </si>
  <si>
    <t>T8031:ROSEMEAD &amp; MARSHALL</t>
  </si>
  <si>
    <t>T8045:I-10 &amp; JOHN RALSTON</t>
  </si>
  <si>
    <t>T8053:N CONWAY &amp; E 8TH ST</t>
  </si>
  <si>
    <t>T8086:HWY 365 &amp; US 69</t>
  </si>
  <si>
    <t>T8102:HWY 290 &amp; 34TH 4</t>
  </si>
  <si>
    <t>T8105:HWY 441 &amp; ATLANTIC</t>
  </si>
  <si>
    <t>T8136:HWY 192 &amp; MELBOURNE MALL</t>
  </si>
  <si>
    <t>T8146:TEXAS AVE &amp; LINCOLN</t>
  </si>
  <si>
    <t>T8314:CONNECTICUT AVE NW &amp; M ST NW</t>
  </si>
  <si>
    <t>T8321:HWY 124 &amp; RONALD REAGAN PKWY</t>
  </si>
  <si>
    <t>T8393:3500 SOUTH &amp; 3600 WEST</t>
  </si>
  <si>
    <t>T8541:SOUTHCENTER &amp; MINKLER</t>
  </si>
  <si>
    <t>T8568:CHEYENNE &amp; CIVIC CENTER</t>
  </si>
  <si>
    <t>T8608:ROSECRANS &amp; CENTRAL</t>
  </si>
  <si>
    <t>T8618:SW WANAMAKER &amp; SW 21ST ST</t>
  </si>
  <si>
    <t>T8663:BOSTON &amp; SEWELL</t>
  </si>
  <si>
    <t>T8693:EAST BIDWELL &amp; BLUE RAVINE RD</t>
  </si>
  <si>
    <t>T8713:167TH &amp; CRAWFORD</t>
  </si>
  <si>
    <t>T8717</t>
  </si>
  <si>
    <t>T8717:2ND &amp; CENTRAL</t>
  </si>
  <si>
    <t>T8728:DRAKE &amp; W MAIN</t>
  </si>
  <si>
    <t>T8754:WHIPPLE AVE &amp; TUSCARAWAS AVE</t>
  </si>
  <si>
    <t>T8758:AURORA AVE NORTH &amp; 135TH ST</t>
  </si>
  <si>
    <t>T8774:45TH &amp; STONE WAY</t>
  </si>
  <si>
    <t>T877C:DIVISION &amp; 33RD</t>
  </si>
  <si>
    <t>T8785:KENWOOD RD &amp; ORCHARD LANE</t>
  </si>
  <si>
    <t>T8913:COCHRAN &amp; SYCAMORE</t>
  </si>
  <si>
    <t>T8979:59TH AVE &amp; BELL RD</t>
  </si>
  <si>
    <t>T903C:HIGHWAY 19 &amp; EMBASSY BLVD</t>
  </si>
  <si>
    <t>T9052:FRONT &amp; OREGON</t>
  </si>
  <si>
    <t>T9056:8TH AVE &amp; W 36TH ST</t>
  </si>
  <si>
    <t>T9130:PAVILION PARKWAY &amp; HIGHWAY 85</t>
  </si>
  <si>
    <t>T9139:W EDGAR RD &amp; SYLVAN ST</t>
  </si>
  <si>
    <t>T9181:RAINBOW BLVD &amp; W BADURA AVE</t>
  </si>
  <si>
    <t>T9281:CHURCH AVE &amp; MCDONALD AVE</t>
  </si>
  <si>
    <t>T9305:WASHINGTON BLVD &amp; ROSEMEAD BLVD</t>
  </si>
  <si>
    <t>T9325:MINERAL SPRING &amp; DOUGLAS</t>
  </si>
  <si>
    <t>T9349:CAROLINA PAVILION</t>
  </si>
  <si>
    <t>T9382:CROSSROADS</t>
  </si>
  <si>
    <t>T9400:WOODRUFF</t>
  </si>
  <si>
    <t>T9482:6TH &amp; PEARL</t>
  </si>
  <si>
    <t>T9531:NORTHERN BLVD &amp; 87TH ST</t>
  </si>
  <si>
    <t>T955D:W SCHAUMBURG RD &amp; BARRINGTON RD</t>
  </si>
  <si>
    <t>T9572:ROUTE 440 &amp; NEW HOOK RD</t>
  </si>
  <si>
    <t>T9596:VENICE &amp; CULVER</t>
  </si>
  <si>
    <t>T9650:CROSS BAY BLVD &amp; 158TH AVE</t>
  </si>
  <si>
    <t>T9759:ALABAMA &amp; LUGONIA</t>
  </si>
  <si>
    <t>T9769:BOSTON ST &amp; FRONTAGE RD</t>
  </si>
  <si>
    <t>T9818:HWY 151 &amp; LOOP 410</t>
  </si>
  <si>
    <t>T9847:MAMARONECK AVE &amp; MARTINE AVE</t>
  </si>
  <si>
    <t>T9875:GRIDLEY &amp; SOUTH</t>
  </si>
  <si>
    <t>T9898:22ND &amp; MIDWEST</t>
  </si>
  <si>
    <t>T9917:SLEATER KINNEY RD &amp; 6TH AVE</t>
  </si>
  <si>
    <t>U9913:ACTUARIAL GLOBAL AUTO</t>
  </si>
  <si>
    <t>U9922:VPS ACCOUNTING</t>
  </si>
  <si>
    <t>U9933:AUTO FINANCE</t>
  </si>
  <si>
    <t>U9934:GLOBAL TRAINING AND MKTG DEVELOPMENT</t>
  </si>
  <si>
    <t>U9943:ST PETE TIER II SUPPORT</t>
  </si>
  <si>
    <t>U9954:INNOVATION</t>
  </si>
  <si>
    <t>U9960:VPS SYSTEM SUPPORT</t>
  </si>
  <si>
    <t>U9965:VPS EXECUTIVE MANAGEMENT</t>
  </si>
  <si>
    <t>W20100:ESC FINANCIAL REPORTING</t>
  </si>
  <si>
    <t>W20300:EPS COMPLAINTS TEAM</t>
  </si>
  <si>
    <t>W20301:BUSINESS PROCESS TEAM</t>
  </si>
  <si>
    <t>W20400:EPS DFS CLAIMS PROCESSING</t>
  </si>
  <si>
    <t>W20502:BUSINESS DEVELOPMENT</t>
  </si>
  <si>
    <t>W20704:SOLUTIONS ENGINEERING</t>
  </si>
  <si>
    <t>W20740:EPS CLAIMS SUPPORT ADDISON</t>
  </si>
  <si>
    <t>W20752:LOUISVILLE HEADQUARTERS</t>
  </si>
  <si>
    <t>W20756:ADDISON FRONT LINE</t>
  </si>
  <si>
    <t>W20757:ACCOUNTING CLIENT IMPLEMENTATIONS</t>
  </si>
  <si>
    <t>W20758:DIRECT SALES RAPID CITY</t>
  </si>
  <si>
    <t>W20791:NEW SALES CONNECTED HOME</t>
  </si>
  <si>
    <t>W20850:RAPID CITY BILLING TEAM</t>
  </si>
  <si>
    <t>W61779:ADDISON CUSTOMER RELATIONS</t>
  </si>
  <si>
    <t>W61781:EPS DFS QA</t>
  </si>
  <si>
    <t>W61791:IN HOME SERVICE DELIVERY</t>
  </si>
  <si>
    <t>W61796:OPEN CALL MANAGEMENT</t>
  </si>
  <si>
    <t>WH002:TN GENERAL</t>
  </si>
  <si>
    <t>WH400</t>
  </si>
  <si>
    <t>WH400:HYLA IT PLAN</t>
  </si>
  <si>
    <t>WH401:TN CORPORATE</t>
  </si>
  <si>
    <t>WH420:TN BUSINESS DEV AND MARKETING</t>
  </si>
  <si>
    <t>WH441:TN PROGRAM MGMT OFFICE</t>
  </si>
  <si>
    <t>WH483:TN SOFTWARE DEV</t>
  </si>
  <si>
    <t>WH487:TN ENTERPRISE SOFTWARE</t>
  </si>
  <si>
    <t>WH500:TN OPERATIONS</t>
  </si>
  <si>
    <t>WH520:TN DEVICE PROTECTION</t>
  </si>
  <si>
    <t>WH521:TN SALES ASSET VALUE RECOVERY</t>
  </si>
  <si>
    <t>WH524</t>
  </si>
  <si>
    <t>WH524:TN DIAGNOSTICS</t>
  </si>
  <si>
    <t>WH541:TN FINANCE AND ACCOUNTING</t>
  </si>
  <si>
    <t>WH581:TN HUMAN RESOURCES</t>
  </si>
  <si>
    <t>WH590</t>
  </si>
  <si>
    <t>WH590:TN DATA ANALYTICS TIU</t>
  </si>
  <si>
    <t>WH600:TN SUPPLY CHAIN PLAN</t>
  </si>
  <si>
    <t>WH621:TN SUPPLY CHAIN</t>
  </si>
  <si>
    <t>WH622:TN SUPPLY CHAIN GENERAL</t>
  </si>
  <si>
    <t>WH623:TN SUPPLY CHAIN TRAIN</t>
  </si>
  <si>
    <t>WH624:TN SUPPLY CHAIN BB OPS</t>
  </si>
  <si>
    <t>WH626:TN SUPPLY CHAIN BB SHIP</t>
  </si>
  <si>
    <t>WH627:TN SUPPLY CHAIN BB SUPP</t>
  </si>
  <si>
    <t>WH630:TN SUPPLY CHAIN ATT OPS</t>
  </si>
  <si>
    <t>WH631:TN SUPPLY CHAIN ATT HUB</t>
  </si>
  <si>
    <t>WH632:TN SUPPLY CHAIN ATT SUPP</t>
  </si>
  <si>
    <t>WH633:TN SUPPLY CHAIN ATT REPAIR</t>
  </si>
  <si>
    <t>WH635:TN SUPPLY CHAIN ATT KTG</t>
  </si>
  <si>
    <t>WH636:TN PICKING</t>
  </si>
  <si>
    <t>WH637:TN GOOGLE</t>
  </si>
  <si>
    <t>WH638:TN SUPPLY CHAIN INVENTORY CONTROL</t>
  </si>
  <si>
    <t>WH642:TN TECH BUSINESS ANALYTICS</t>
  </si>
  <si>
    <t>WH643:TN TECH PRODUCT DEVELOPMENT</t>
  </si>
  <si>
    <t>WH651:TN DEVICE PROTECTION TAP CENTER</t>
  </si>
  <si>
    <t>WH652:TN SUPPLY CHAIN USC OPS</t>
  </si>
  <si>
    <t>WH653:TN SUPPLY CHAIN USC SUPP</t>
  </si>
  <si>
    <t>WH654:TN SUPPLY CHAIN GOOGLE SUPPORT</t>
  </si>
  <si>
    <t>WH656:TN SUPPLY CHAIN SAMSUNG SUPPORT</t>
  </si>
  <si>
    <t>WH657:TN SUPPLY CHAIN SAMSUNG OPS</t>
  </si>
  <si>
    <t>WH658:TN SUPPLY CHAIN LOSS PREVENTION</t>
  </si>
  <si>
    <t>WH666:TN SUPPLY CHAIN APPLE OPS</t>
  </si>
  <si>
    <t>WH667:TN SUPPLY CHAIN APPLE SUPPORT</t>
  </si>
  <si>
    <t>WH668:TN WIRELESS ADVOCATES OPS</t>
  </si>
  <si>
    <t>WH670:TN TARGET OPS</t>
  </si>
  <si>
    <t>WH675:TN SUPPLY CHAIN ATT RECEIVING</t>
  </si>
  <si>
    <t>WH677:TN SUPPLY CHAIN BB RECEIVING</t>
  </si>
  <si>
    <t>WH679:TN SUPPLY CHAIN USC RECEIVING</t>
  </si>
  <si>
    <t>WH681:TN SUPPLY CHAIN GOOGLE RECEIVING</t>
  </si>
  <si>
    <t>WH683:TN SUPPLY CHAIN SAMSUNG RECEIVING</t>
  </si>
  <si>
    <t>WH692:TN QUALITY</t>
  </si>
  <si>
    <t>WH693:TN OPSTECH SUPPORT</t>
  </si>
  <si>
    <t>WH900:TN ACCOUNT EXECUTIVES</t>
  </si>
  <si>
    <t>WS101:MOBILE SVCS BROADTECH OPERATIONS</t>
  </si>
  <si>
    <t>WS102:BROADTECH LEWISVILLE FACILITY</t>
  </si>
  <si>
    <t>WS105:BROADTECH INDIRECT</t>
  </si>
  <si>
    <t>WS106:BROADTECH GENERAL AND ADMINISTRATIVE</t>
  </si>
  <si>
    <t>WS120:SIGNAL RISK MANAGEMENT</t>
  </si>
  <si>
    <t>WS200:MOBILE SERVICES CLAIMS OPS MGMT</t>
  </si>
  <si>
    <t>WS201:MOBILE SERVICES CLAIMS PROCESSING</t>
  </si>
  <si>
    <t>WS202:MOBILE SERVICES ACCOUNT MGMT SUPPORT</t>
  </si>
  <si>
    <t>WS203:MOBILE SERVICES MIAMI CALL CENTER</t>
  </si>
  <si>
    <t>WS204:CARRIER CHAT</t>
  </si>
  <si>
    <t>WS206:DULUTH CLAIMS</t>
  </si>
  <si>
    <t>WS211:MOBILE TECH SUPPORT DULUTH</t>
  </si>
  <si>
    <t>WS215:MOBILE SERVICES CLAIMS</t>
  </si>
  <si>
    <t>WS216:QA MOBILE SERVICES</t>
  </si>
  <si>
    <t>WS220:MOBILE SERVICES SITE MGMT</t>
  </si>
  <si>
    <t>WS230:FRAUD TRIAGE TEAM</t>
  </si>
  <si>
    <t>WS290:MOBILE TECH SUPPORT ALBANY</t>
  </si>
  <si>
    <t>WS294:MOBILE SERVICES ADDISON CALL CENTER</t>
  </si>
  <si>
    <t>WS295:MOBILE SERVICES ALBANY CALL CENTER</t>
  </si>
  <si>
    <t>WS296:FRAUD</t>
  </si>
  <si>
    <t>WS400:FINANCIAL OPERATIONS</t>
  </si>
  <si>
    <t>WS502:SALES OPTIMIZATION FRED MEYER</t>
  </si>
  <si>
    <t>WS503:REPAIR AND LOGISTICS SUPPORT</t>
  </si>
  <si>
    <t>WS504:POCKET GEEK PREMIUM TECH SUPPORT</t>
  </si>
  <si>
    <t>WS505:PLANNING</t>
  </si>
  <si>
    <t>WS510:DYNAMIC FULFILLMENT</t>
  </si>
  <si>
    <t>WS511:CELL PHONE REPAIR</t>
  </si>
  <si>
    <t>WS513:FIXT OPERATIONS</t>
  </si>
  <si>
    <t>WS516:CPR STRONGSVILLE  NONFACILITY</t>
  </si>
  <si>
    <t>WS517:CPR REPAIR DEPOT</t>
  </si>
  <si>
    <t>WS520:PROJECT PHOENIX</t>
  </si>
  <si>
    <t>WS550:ACCOUNTING AND CLAIMS PAYABLE</t>
  </si>
  <si>
    <t>WS700:TRAINING BPC COMPLIANCE GA</t>
  </si>
  <si>
    <t>WS701:QUALITY</t>
  </si>
  <si>
    <t>WS702:FINANCE CWORK</t>
  </si>
  <si>
    <t>WS704:YORK WILLOW SPRINGS FACILITY</t>
  </si>
  <si>
    <t>WS705:FORWARD LOGISTICS DIRECT</t>
  </si>
  <si>
    <t>WS707:MATERIALS BULK FULFILLMENT INDIRECT</t>
  </si>
  <si>
    <t>WS708:PROD CONTROL PURCHASING INDIRECT</t>
  </si>
  <si>
    <t>WS712:GEN ACCTG CWORK</t>
  </si>
  <si>
    <t>WS713:TRADING DESK DIRECT</t>
  </si>
  <si>
    <t>WS715:PRODUCTION</t>
  </si>
  <si>
    <t>WS720:MATERIALS MANAGEMENT</t>
  </si>
  <si>
    <t>WS721:OPERATIONS ENGINEERING INDIRECT</t>
  </si>
  <si>
    <t>WS722:QUALITY INDIRECT</t>
  </si>
  <si>
    <t>WS723:CWORK CUSTOMER SERVICE</t>
  </si>
  <si>
    <t>WS725:MATERIALS BULK FULFILLMENT DIRECT</t>
  </si>
  <si>
    <t>WS730:TECHNICAL SERVICES</t>
  </si>
  <si>
    <t>WS731:SUPPLY CHAIN AND BUSINESS SUPPORT</t>
  </si>
  <si>
    <t>WS736:OPERATIONS ENGINEERING GA</t>
  </si>
  <si>
    <t>WS740:FORWARD LOGISTICS INDIRECT</t>
  </si>
  <si>
    <t>WS750:CONNECTED LIVING EXECUTIVE</t>
  </si>
  <si>
    <t>WS751:GLOBAL CONNECTED LIVING STRATEGY</t>
  </si>
  <si>
    <t>WS754</t>
  </si>
  <si>
    <t>WS754:ID PROTECTION</t>
  </si>
  <si>
    <t>WS758:TRADE IN AND UPGRADE</t>
  </si>
  <si>
    <t>WS764:CLAIMS OPS TRAINING</t>
  </si>
  <si>
    <t>WS766:FORWARD AND REVERSE LOGISTICS GA</t>
  </si>
  <si>
    <t>WS767:TRADING DESK SUPPORT GA</t>
  </si>
  <si>
    <t>WS790:ASSET RECOVERY SUPPORT STAFF</t>
  </si>
  <si>
    <t>WS793:ECOM SUPPORT GA</t>
  </si>
  <si>
    <t>WS815:PRODUCT DEVELOPMENT</t>
  </si>
  <si>
    <t>WS816:INTERNATIONAL REPAIRS AND LOGISTICS</t>
  </si>
  <si>
    <t>WS825:SALES OPTIMIZATION SUPPORT</t>
  </si>
  <si>
    <t>WS828:SALES OPTIMIZATION TMOBILE</t>
  </si>
  <si>
    <t>WS829:SALES OPTIMIZATION METRO</t>
  </si>
  <si>
    <t>WS831:SALES OPTIMIZATION COMCAST</t>
  </si>
  <si>
    <t>WS832:SALES OPTIMIZATION CHARTER</t>
  </si>
  <si>
    <t>WS833:SALES OPTIMIZATION LOWES</t>
  </si>
  <si>
    <t>WS834:SALES OPTIMIZATION AMERICAN FREIGHT</t>
  </si>
  <si>
    <t>WS951:PROD CONTROL PURCHASING GA</t>
  </si>
  <si>
    <t>WS952:YORK SANDHURST FACILITY</t>
  </si>
  <si>
    <t>Row Labels</t>
  </si>
  <si>
    <t>Sum of FTE</t>
  </si>
  <si>
    <t>Health &amp; Welfare Expense</t>
  </si>
  <si>
    <t>Cost/FTE</t>
  </si>
  <si>
    <t>Segment H&amp;W</t>
  </si>
  <si>
    <t>Sum of Salary</t>
  </si>
  <si>
    <t>H&amp;W per CC</t>
  </si>
  <si>
    <t>Load Rate</t>
  </si>
  <si>
    <t>Total</t>
  </si>
  <si>
    <t>ADS2001</t>
  </si>
  <si>
    <t>ADS2002</t>
  </si>
  <si>
    <t>ADS2003</t>
  </si>
  <si>
    <t>ADS2004</t>
  </si>
  <si>
    <t>ADS2005</t>
  </si>
  <si>
    <t>ADS2006</t>
  </si>
  <si>
    <t>ADS2007</t>
  </si>
  <si>
    <t>ADS2008</t>
  </si>
  <si>
    <t>ADS2009</t>
  </si>
  <si>
    <t>WH510</t>
  </si>
  <si>
    <t>WS226</t>
  </si>
  <si>
    <t>WS227</t>
  </si>
  <si>
    <t>WS228</t>
  </si>
  <si>
    <t>WS229</t>
  </si>
  <si>
    <t>WS753</t>
  </si>
  <si>
    <t>% of Salary</t>
  </si>
  <si>
    <t>USD</t>
  </si>
  <si>
    <t>Column Labels</t>
  </si>
  <si>
    <t>PYRL001:GROUP INSURANCE PRE-ALLOCATION</t>
  </si>
  <si>
    <t>WS506</t>
  </si>
  <si>
    <t>U9930</t>
  </si>
  <si>
    <t>U9928</t>
  </si>
  <si>
    <t>WS835</t>
  </si>
  <si>
    <t>WS836</t>
  </si>
  <si>
    <t>WS205</t>
  </si>
  <si>
    <t>WH444</t>
  </si>
  <si>
    <t>WS840</t>
  </si>
  <si>
    <t>FS2004</t>
  </si>
  <si>
    <t>FS3002</t>
  </si>
  <si>
    <t>FS2001</t>
  </si>
  <si>
    <t>FS3000</t>
  </si>
  <si>
    <t>FS2000</t>
  </si>
  <si>
    <t>FS3004</t>
  </si>
  <si>
    <t>FS1001</t>
  </si>
  <si>
    <t>FS3001</t>
  </si>
  <si>
    <t>FS1000</t>
  </si>
  <si>
    <t>FS2003</t>
  </si>
  <si>
    <t>FS2002</t>
  </si>
  <si>
    <t>FS2005</t>
  </si>
  <si>
    <t>FS3003</t>
  </si>
  <si>
    <t>FS1002</t>
  </si>
  <si>
    <t>FS1003</t>
  </si>
  <si>
    <t>EP003</t>
  </si>
  <si>
    <t>W20600</t>
  </si>
  <si>
    <t>PYRL001</t>
  </si>
  <si>
    <t>1013600:SYRACUSE, NY FACILITY</t>
  </si>
  <si>
    <t>113048:CORPORATE MOBILITY</t>
  </si>
  <si>
    <t>39155:CORPORATE &amp; SOCIAL RESPONSIBILITY</t>
  </si>
  <si>
    <t>1013500:WASHINGTON, DC FACILITY</t>
  </si>
  <si>
    <t>3200493:WOODBURY MN FACILITY</t>
  </si>
  <si>
    <t>114450:INC NY CORPORATE FACILITY</t>
  </si>
  <si>
    <t>8310310:MFD AIZ</t>
  </si>
  <si>
    <t>114425:ATLANTA DATA CENTER</t>
  </si>
  <si>
    <t>113035:PROCUREMENT OUTSOURCING</t>
  </si>
  <si>
    <t>113046:COMMERICAL PRINT</t>
  </si>
  <si>
    <t>90666:TRAVEL SERVICES</t>
  </si>
  <si>
    <t>21760:MILWAUKEE 501 FACILITY</t>
  </si>
  <si>
    <t>39125:DEI - EMPLOYEE RESOURCE GROUPS</t>
  </si>
  <si>
    <t>114045:LEARNING &amp; CHANGE SOLUTIONS</t>
  </si>
  <si>
    <t>114090:LEARNING DELIVERY</t>
  </si>
  <si>
    <t>112002:ECT - ENGAGEMENT CHAMPION TEAMS</t>
  </si>
  <si>
    <t>114010:TALENT ENABLEMENT</t>
  </si>
  <si>
    <t>45302:LEARNING &amp; PERFORMANCE</t>
  </si>
  <si>
    <t>113606:SUSTAINABILITY</t>
  </si>
  <si>
    <t>10036:MARKETING CREATIVE SERVICES</t>
  </si>
  <si>
    <t>10037:MARKETING EXECUTION</t>
  </si>
  <si>
    <t>113840:HOUSING MARKETING</t>
  </si>
  <si>
    <t>113850:MARKETING</t>
  </si>
  <si>
    <t>10580:REGULATORY COMMS</t>
  </si>
  <si>
    <t>10756:CLIENT MARKETING</t>
  </si>
  <si>
    <t>10768:B2B AND PRODUCT MARKETING</t>
  </si>
  <si>
    <t>10774:CLIENT TRAINING</t>
  </si>
  <si>
    <t>113000:CEO FUNDING</t>
  </si>
  <si>
    <t>0304000:ACTUARIAL PRENEED</t>
  </si>
  <si>
    <t>113002:NETWORK OPERATIONS</t>
  </si>
  <si>
    <t>150600:AAM MORTGAGES</t>
  </si>
  <si>
    <t>150700:AAM EQUITY REAL ESTATE</t>
  </si>
  <si>
    <t>150950:AIM CORP</t>
  </si>
  <si>
    <t>150952:AIM FUND</t>
  </si>
  <si>
    <t>113051:A&amp;FS  ONE TIME COSTS</t>
  </si>
  <si>
    <t>113056:A&amp;FS OUTSOURCING</t>
  </si>
  <si>
    <t>113058:A&amp;FS OPERATIONS REBATES</t>
  </si>
  <si>
    <t>10230:ACTUARIAL INTERNATIONAL</t>
  </si>
  <si>
    <t>54320:ACTUARIAL DATA OPS &amp; TECHNOLOGY</t>
  </si>
  <si>
    <t>113240:TREASURY</t>
  </si>
  <si>
    <t>150400:REVOLVER ISSUANCE COSTS</t>
  </si>
  <si>
    <t>122000:Global Risk Modeling and Insurance Purchasing</t>
  </si>
  <si>
    <t>115003:RAS AEB</t>
  </si>
  <si>
    <t>115027:RAS QA TRAINING</t>
  </si>
  <si>
    <t>10300:MIAMI CORPORATE FP AND A</t>
  </si>
  <si>
    <t>115051:RAS AS GENERAL AUDITS</t>
  </si>
  <si>
    <t>113043:PROJECT BLACKJACK</t>
  </si>
  <si>
    <t>115005:RAS IT</t>
  </si>
  <si>
    <t>115008:RAS CORP</t>
  </si>
  <si>
    <t>10487:STATE EXAMS FEES</t>
  </si>
  <si>
    <t>113289:EXAM OPERATIONS</t>
  </si>
  <si>
    <t>113293:BU COMPLIANCE GLOBAL LIFESTYLE</t>
  </si>
  <si>
    <t>113294:BU COMPLIANCE GLOBAL HOUSING</t>
  </si>
  <si>
    <t>20950:USLIC COMPLIANCE</t>
  </si>
  <si>
    <t>51915:STATE FILING FEES</t>
  </si>
  <si>
    <t>51980:PRIVACY MAILINGS</t>
  </si>
  <si>
    <t>118500:TWG Legal Services</t>
  </si>
  <si>
    <t>51105:LEGAL COMPLIANCE</t>
  </si>
  <si>
    <t>51800:GOVERNMENT RELATIONS</t>
  </si>
  <si>
    <t>51953:AVIP CLUB</t>
  </si>
  <si>
    <t>113260:SHAREHOLDER MEETING</t>
  </si>
  <si>
    <t>113270:BOARD OF DIRECTORS</t>
  </si>
  <si>
    <t>53501:CORPORATE LITIGATION FEES</t>
  </si>
  <si>
    <t>10158:DIGITAL PERFORMANCE</t>
  </si>
  <si>
    <t>10162:DA INTERNSHIP PROGRAM</t>
  </si>
  <si>
    <t>10166:DATA ANALYTICS RECHARGES</t>
  </si>
  <si>
    <t>41926:DATA INTAKE AND DELIVERY</t>
  </si>
  <si>
    <t>113200:RISK MANAGEMENT</t>
  </si>
  <si>
    <t>113604:FINANCIAL RISK</t>
  </si>
  <si>
    <t>113601:OPERATIONAL RISK</t>
  </si>
  <si>
    <t>113602:BUSINESS RISK</t>
  </si>
  <si>
    <t>113608:LFS AUTO RISK MGMT</t>
  </si>
  <si>
    <t>141000:LIFESTYLE AND INTERNATIONAL STRATEGY</t>
  </si>
  <si>
    <t>190120:MERGERS AND ACQUISITIONS SOURCING</t>
  </si>
  <si>
    <t>190400:CONSULTING SUPPORT FUNDING</t>
  </si>
  <si>
    <t>190020:PROJECT RENEWABLE ENERGY</t>
  </si>
  <si>
    <t>190200:DIRECT FUNDING POOL</t>
  </si>
  <si>
    <t>190500:GROWTH COUNCIL FUNDING POOL</t>
  </si>
  <si>
    <t>787020:AIZ GLOW AIM CONVERSIONS CAPEX</t>
  </si>
  <si>
    <t>104028:GH API</t>
  </si>
  <si>
    <t>104029:GS SSE</t>
  </si>
  <si>
    <t>104017:GH AGILE</t>
  </si>
  <si>
    <t>429001:GEICO HO3 CAPITALIZATION</t>
  </si>
  <si>
    <t>529002:IT OUTSOURCING</t>
  </si>
  <si>
    <t>529007:P&amp;C SHARED SERVICES</t>
  </si>
  <si>
    <t>529030:BILLING CROSS-TEAM</t>
  </si>
  <si>
    <t>529031:ENABLERS</t>
  </si>
  <si>
    <t>529032:BILLING ONLINE</t>
  </si>
  <si>
    <t>529033:BILLING AB-COMM</t>
  </si>
  <si>
    <t>529034:BILLING SP CORE</t>
  </si>
  <si>
    <t>529035:PMS INFRA</t>
  </si>
  <si>
    <t>529036:PMS MONTH END</t>
  </si>
  <si>
    <t>529040:SPEC MANAGEMENT</t>
  </si>
  <si>
    <t>529041:HO3-VHO</t>
  </si>
  <si>
    <t>529042:FLOOD</t>
  </si>
  <si>
    <t>529043:CONDO-MH</t>
  </si>
  <si>
    <t>529044:L&amp;F-INNOV</t>
  </si>
  <si>
    <t>529045:ASSURTRACK</t>
  </si>
  <si>
    <t>529046:CLAIMS CROSS-TEAM</t>
  </si>
  <si>
    <t>529047:CLAIMS GROW</t>
  </si>
  <si>
    <t>529048:CLAIMS RUN</t>
  </si>
  <si>
    <t>529049:CLAIMS ICE II</t>
  </si>
  <si>
    <t>1060101:HOME FUTURE PROJECTS</t>
  </si>
  <si>
    <t>898300:Housing IT Other</t>
  </si>
  <si>
    <t>600006:ITDP</t>
  </si>
  <si>
    <t>429000:RGI CAPITALIZATION</t>
  </si>
  <si>
    <t>529020:MFH CROSS-TEAM</t>
  </si>
  <si>
    <t>529021:KRYPT</t>
  </si>
  <si>
    <t>529022:ASGAR</t>
  </si>
  <si>
    <t>529023:GAME OF FLOWS</t>
  </si>
  <si>
    <t>529024:AICBI</t>
  </si>
  <si>
    <t>529025:DEPOS</t>
  </si>
  <si>
    <t>529026:JAVAL</t>
  </si>
  <si>
    <t>529027:COVER 360</t>
  </si>
  <si>
    <t>529028:MFH - MODERNIZATION</t>
  </si>
  <si>
    <t>10375:BIDS INFOCENTER</t>
  </si>
  <si>
    <t>383007:ENTERPRISE DATA SERVICES</t>
  </si>
  <si>
    <t>383008:ENTERPRISE DATA SERVICES GLOBAL HOME</t>
  </si>
  <si>
    <t>383009:ENTERPRISE DATA SERVICES BUSINESS RESOURCES TRANSFER</t>
  </si>
  <si>
    <t>429002:AFAS DEVELOPMENT</t>
  </si>
  <si>
    <t>429003:MFH MODERN</t>
  </si>
  <si>
    <t>429005:STREETLINKS IT</t>
  </si>
  <si>
    <t>429006:GEICO MFH</t>
  </si>
  <si>
    <t>429007:EML</t>
  </si>
  <si>
    <t>429008:Ascend IT</t>
  </si>
  <si>
    <t>383002:TECHOPS</t>
  </si>
  <si>
    <t>383003:ENCORE DATA CAPTURE</t>
  </si>
  <si>
    <t>383005:LENDING SOLUTIONS CENTER DEVELOPMENT</t>
  </si>
  <si>
    <t>383590:SMARTFLOW AMORTIZATION</t>
  </si>
  <si>
    <t>204001:SSP DEV OPS</t>
  </si>
  <si>
    <t>204003:ENCORE SOFTWARE MAINTENANCE</t>
  </si>
  <si>
    <t>204004:ENCORE SSP AMORTIZATION</t>
  </si>
  <si>
    <t>389004:SSP QA</t>
  </si>
  <si>
    <t>600004:SSP ARCHITECT</t>
  </si>
  <si>
    <t>21540:RRD WAREHOUSE EXPENSE</t>
  </si>
  <si>
    <t>22000:CONDUENT PRINT EXPENSE</t>
  </si>
  <si>
    <t>389008:DOCUMAKER SERVICES</t>
  </si>
  <si>
    <t>8560560:GH  PUBLIC CLOUD</t>
  </si>
  <si>
    <t>8560561:GH PUBLIC INTL CLOUD</t>
  </si>
  <si>
    <t>104201:CARD BENEFITS PROD SUPPORT</t>
  </si>
  <si>
    <t>104202:GSU AND TIU EXPANSION</t>
  </si>
  <si>
    <t>104204:WECARE CAP-AMORT</t>
  </si>
  <si>
    <t>104205:CL PRODUCT DISPOSITION</t>
  </si>
  <si>
    <t>104206:MANAGEMENT</t>
  </si>
  <si>
    <t>104207:CL DIAGNOSTIC TECHNOLOGIES</t>
  </si>
  <si>
    <t>104208:HYLA DLS PLATFORMS</t>
  </si>
  <si>
    <t>104209:HYLA ENTERPRISE DEVELOPMENT</t>
  </si>
  <si>
    <t>104210:HYLA ENTERPRISE DEVELOPMENT</t>
  </si>
  <si>
    <t>104211:HYLA CAPITALIZATION</t>
  </si>
  <si>
    <t>104212:HYLA AMORTIZATION</t>
  </si>
  <si>
    <t>104213:LIFESTYLE ADJUSTMENTS 013</t>
  </si>
  <si>
    <t>104214:LIFESTYLE ADJUSTMENTS 014</t>
  </si>
  <si>
    <t>104215:LIFESTYLE ADJUSTMENTS 015</t>
  </si>
  <si>
    <t>104216:LIFESTYLE ADJUSTMENTS 016</t>
  </si>
  <si>
    <t>104217:LIFESTYLE ADJUSTMENTS 017</t>
  </si>
  <si>
    <t>104218:LIFESTYLE ADJUSTMENTS 018</t>
  </si>
  <si>
    <t>104306:GLOBAL SUPPLY CHAIN</t>
  </si>
  <si>
    <t>104310A</t>
  </si>
  <si>
    <t>104310A:ENTITLEMENT PLATFORM AMORT</t>
  </si>
  <si>
    <t>104322:MV ALP SS TPO TEAM</t>
  </si>
  <si>
    <t>104323:ORACLE TPO TEAM</t>
  </si>
  <si>
    <t>1060102:LIFESTYLE FUTURE PROJECTS</t>
  </si>
  <si>
    <t>787010:IT SOLUTIONS ADMINISTRATION</t>
  </si>
  <si>
    <t>787620:ELITA VPS</t>
  </si>
  <si>
    <t>787250:GW IMPLEMENTATION</t>
  </si>
  <si>
    <t>798010:GW PROGRAM</t>
  </si>
  <si>
    <t>104037:LIFESTYLE CLOUD MIGRATION</t>
  </si>
  <si>
    <t>60003:MOBILE CLAIMS EFF CAPEX</t>
  </si>
  <si>
    <t>60004:MOBILE ERP CAPEX</t>
  </si>
  <si>
    <t>787270:DIGITAL CUSTOMER ENGAGEMENT</t>
  </si>
  <si>
    <t>787280:SYSTEM INTEGRATION</t>
  </si>
  <si>
    <t>787310:DCM CAPEX</t>
  </si>
  <si>
    <t>787310A</t>
  </si>
  <si>
    <t>787310A:DCM AMORTIZATION</t>
  </si>
  <si>
    <t>787630:GLOBAL READINESS AMORTIZATION</t>
  </si>
  <si>
    <t>104024:JAPAN ASIA REPAIR AND LOGISTICS</t>
  </si>
  <si>
    <t>104026:ELITA MODERNIZATION</t>
  </si>
  <si>
    <t>104026A</t>
  </si>
  <si>
    <t>104026A:ELITA AMORTIZATION</t>
  </si>
  <si>
    <t>787510:ELITA MODERNIZATION</t>
  </si>
  <si>
    <t>60002:MOBILE PRODUCTION SUPPORT</t>
  </si>
  <si>
    <t>787300:DYNAMIC FULFILLMENT</t>
  </si>
  <si>
    <t>787320:GSSP</t>
  </si>
  <si>
    <t>798060:GW CL CLAIMS</t>
  </si>
  <si>
    <t>787530:DOMESTIC SYSTEMS EPS ESC</t>
  </si>
  <si>
    <t>787580:DOMESTIC SYSTEMS EPS ESC CD</t>
  </si>
  <si>
    <t>104100:INTERNATIONAL SYSTEMS PORTAL DEVELOPMENT</t>
  </si>
  <si>
    <t>104110:GW DIGITAL COMPONENT</t>
  </si>
  <si>
    <t>798020:FELITA FINSUITE CAPITALIZATION</t>
  </si>
  <si>
    <t>787641:BEEHIVE CAP AMORT</t>
  </si>
  <si>
    <t>787200:STUDIO TECH PROJECT BAM</t>
  </si>
  <si>
    <t>787210:STUDIO TECH PROJECT BAM CAPEX</t>
  </si>
  <si>
    <t>104203:WF CARD BENEFITS</t>
  </si>
  <si>
    <t>78735:INDIA IT STAFFING</t>
  </si>
  <si>
    <t>787760:BA TRANSFORMATION</t>
  </si>
  <si>
    <t>787460:MAX AMORTIZATION</t>
  </si>
  <si>
    <t>787150:STUDIO TECH PROJECT FUSION</t>
  </si>
  <si>
    <t>787160:STUDIO TECH PROJECT FUSION CAPEX</t>
  </si>
  <si>
    <t>787720:BA DFS CN PR</t>
  </si>
  <si>
    <t>103301:ASPIRE AMORTIZATION</t>
  </si>
  <si>
    <t>787380:HYLA TECHNOLOGY INTEGRATION</t>
  </si>
  <si>
    <t>8560460:GL PUBLIC CLOUD</t>
  </si>
  <si>
    <t>8560461:LS PUBLIC INTL CLOUD</t>
  </si>
  <si>
    <t>204005:IT PRENEED</t>
  </si>
  <si>
    <t>204006:IT PRENEED ORACLE</t>
  </si>
  <si>
    <t>104025:AUTO PROJECTS</t>
  </si>
  <si>
    <t>5012:GLOW PROGRAM SOFTWARE</t>
  </si>
  <si>
    <t>5014:GLOW &amp; AIM LIFESTYLE PROJECT</t>
  </si>
  <si>
    <t>5014AMT</t>
  </si>
  <si>
    <t>5014AMT:AIZ PROJECT AMORTIZATION</t>
  </si>
  <si>
    <t>5016:LEGACY SYSTEM SUPPORT</t>
  </si>
  <si>
    <t>5022:WARRANTY LINK</t>
  </si>
  <si>
    <t>5022AMT</t>
  </si>
  <si>
    <t>5022AMT:TWG PROJECT AMORTIZATION</t>
  </si>
  <si>
    <t>5024:APAC LAM MANAGEMENT</t>
  </si>
  <si>
    <t>5026:INTERNATIONAL PROJECTS</t>
  </si>
  <si>
    <t>5029:GLOW SUPPORT</t>
  </si>
  <si>
    <t>787070:GW CAPITALIZATION</t>
  </si>
  <si>
    <t>787220:VPS CLAIMS CRM</t>
  </si>
  <si>
    <t>787550:DOMESTIC SYSTEMS VSC POLICY</t>
  </si>
  <si>
    <t>787830:GW AMORTIZATION</t>
  </si>
  <si>
    <t>8560660:AUTO APPS CLOUD</t>
  </si>
  <si>
    <t>8560661:AUTO APPS INTL CLOUD</t>
  </si>
  <si>
    <t>10330IM</t>
  </si>
  <si>
    <t>10330IM:IMAGING AND PUBLISHING SW AND CONTRACTED SVCS</t>
  </si>
  <si>
    <t>104020:WORKDAY</t>
  </si>
  <si>
    <t>104023:FINANCE ERP</t>
  </si>
  <si>
    <t>104030:GFS IMPLEMENTATION</t>
  </si>
  <si>
    <t>1013412:ACTUARIAL SYSTEMS</t>
  </si>
  <si>
    <t>1013413:ADO 1</t>
  </si>
  <si>
    <t>1013414:ADO 2</t>
  </si>
  <si>
    <t>10330MP</t>
  </si>
  <si>
    <t>10330MP:FINANCIAL SYSTEMS SW AND CONTRACTED SVCS</t>
  </si>
  <si>
    <t>10330GV</t>
  </si>
  <si>
    <t>10330GV:HR SOFTWARE AND CONTRACTED SERVICES</t>
  </si>
  <si>
    <t>10330JF</t>
  </si>
  <si>
    <t>10330JF:SW AND CONSULTING COMM AND IDM</t>
  </si>
  <si>
    <t>10330LK</t>
  </si>
  <si>
    <t>10330LK:LEGAL AND RISK SW AND CONTRACTED SVCS</t>
  </si>
  <si>
    <t>10336:BIDS REPORTING AND PLANNING SVC</t>
  </si>
  <si>
    <t>10812:AS AND SP LEGAL I AND P SYS SUPP</t>
  </si>
  <si>
    <t>3000403:HR TECHNOLOGY SERVICES</t>
  </si>
  <si>
    <t>3100427:BIDS CORP DWHS AND SRVC MGMT BI</t>
  </si>
  <si>
    <t>3100466:BUSINESS CONTINUNITY</t>
  </si>
  <si>
    <t>3100502:HR COMM AND MKTG ECM ETL BI</t>
  </si>
  <si>
    <t>8211134:LEGAL AND RISK APP SUPPORT</t>
  </si>
  <si>
    <t>5046:FINANCIAL SYSTEMS IT</t>
  </si>
  <si>
    <t>5047:HR SYSTEMS IT</t>
  </si>
  <si>
    <t>8560760:CORP APPS CLOUD</t>
  </si>
  <si>
    <t>8560761:CORP APPS INTL CLOUD</t>
  </si>
  <si>
    <t>1013420:CALL CENTER BA SUPPORT</t>
  </si>
  <si>
    <t>102130:Pocket Geek Cap Amort</t>
  </si>
  <si>
    <t>102140:ADP CAPITALIZATION</t>
  </si>
  <si>
    <t>102140A</t>
  </si>
  <si>
    <t>102140A:ADP AMORITIZATION</t>
  </si>
  <si>
    <t>102156:DIGITAL DELIVERY FINANCIAL SERVICES</t>
  </si>
  <si>
    <t>102212:ASSURANT LABS OPERATIONS</t>
  </si>
  <si>
    <t>102260:VENTURE CONSULTING</t>
  </si>
  <si>
    <t>102270:DIGITAL INITIATIVES</t>
  </si>
  <si>
    <t>102280:DIGITAL SW</t>
  </si>
  <si>
    <t>102410:DIGITAL EXTERNAL VENDOR DEVELOPMENT</t>
  </si>
  <si>
    <t>104101:DIGITAL 01</t>
  </si>
  <si>
    <t>104102:DIGITAL 2</t>
  </si>
  <si>
    <t>104103:DIGITAL 3</t>
  </si>
  <si>
    <t>104104:DIGITAL 4</t>
  </si>
  <si>
    <t>104105:DIGITAL 5</t>
  </si>
  <si>
    <t>104106:DIGITAL 6</t>
  </si>
  <si>
    <t>104107:DIGITAL 7</t>
  </si>
  <si>
    <t>104108:DIGITAL 8</t>
  </si>
  <si>
    <t>104307:CL - DIGITAL TECH</t>
  </si>
  <si>
    <t>104308:CL - DIGITAL INTL</t>
  </si>
  <si>
    <t>104321:OMNICHANNEL SOLUTIONS</t>
  </si>
  <si>
    <t>1060104:DIGITAL FUTURE PROJECTS</t>
  </si>
  <si>
    <t>787420:CONTENT MANAGEMENT SYSTEM</t>
  </si>
  <si>
    <t>8560860:DIGITAL CLOUD</t>
  </si>
  <si>
    <t>8560861:DIGITAL INTL CLOUD</t>
  </si>
  <si>
    <t>113900:Chief Technology Officer</t>
  </si>
  <si>
    <t>113901:ACH-WIRE IT PASS THRU</t>
  </si>
  <si>
    <t>1053502:DBA Plan &amp; Design Staff</t>
  </si>
  <si>
    <t>1053503:EDC Plan &amp; Design Staff</t>
  </si>
  <si>
    <t>1053505:Servers Plan &amp; Design Staff</t>
  </si>
  <si>
    <t>1053506:Servers &amp; Storage Plan &amp; Design Staff</t>
  </si>
  <si>
    <t>1053508:Voice &amp; Data Sup Plan &amp; Design Staff</t>
  </si>
  <si>
    <t>1053509:Webhosting Plan &amp; Design Staff</t>
  </si>
  <si>
    <t>10307:AS ENTERPRISE TOOLS</t>
  </si>
  <si>
    <t>10330RM</t>
  </si>
  <si>
    <t>10330RM:BI RELATED SOFTWARE</t>
  </si>
  <si>
    <t>3200452:ENTERPRISE TOOLS STAFF</t>
  </si>
  <si>
    <t>8410726:DISTRIBUTED PRODUCTION CONTROL SOFTWARE</t>
  </si>
  <si>
    <t>8550ATO</t>
  </si>
  <si>
    <t>8550ATO:ATO DESKTOP TECHNOLOGY</t>
  </si>
  <si>
    <t>3100510:GREENFIELD</t>
  </si>
  <si>
    <t>10318:Contact Segment SW</t>
  </si>
  <si>
    <t>6121:UK IVR</t>
  </si>
  <si>
    <t>8530123:AEB  Call Cntr Tech</t>
  </si>
  <si>
    <t>8530421:AS Call Cntr Tech</t>
  </si>
  <si>
    <t>8530522:ASP Call Cntr Tech</t>
  </si>
  <si>
    <t>8530530:TWG Contact Center</t>
  </si>
  <si>
    <t>10322:AV TECHNOLOGY</t>
  </si>
  <si>
    <t>3110371:DD INITIATIVES</t>
  </si>
  <si>
    <t>8220ATO</t>
  </si>
  <si>
    <t>8220ATO:APPLICATIONS</t>
  </si>
  <si>
    <t>8550222:AH DESKTOP HW DIRECT</t>
  </si>
  <si>
    <t>8550323:AI DESKTOP HW DIRECT</t>
  </si>
  <si>
    <t>8550424:AS DESKTOP HW DIRECT</t>
  </si>
  <si>
    <t>8550525:ASP DESKTOP HW DIRECT</t>
  </si>
  <si>
    <t>8551020:ACT DESKTOP HW</t>
  </si>
  <si>
    <t>3100445:MESSAGING SERVICES SW HW</t>
  </si>
  <si>
    <t>8540131:AEB ENTERPRISE TOOLS</t>
  </si>
  <si>
    <t>8540531:ASP ENTERPRISE TOOLS</t>
  </si>
  <si>
    <t>8545650:SHAREPOINT</t>
  </si>
  <si>
    <t>8550123:SL PC LAPTOPS</t>
  </si>
  <si>
    <t>8550124:AFAS PC LAPTOPS</t>
  </si>
  <si>
    <t>8550125:LEWISVILLE PC LAPTOPS</t>
  </si>
  <si>
    <t>8550127:LP PC-LAPTOPS</t>
  </si>
  <si>
    <t>8550304:MFH PC-LAPTOPS</t>
  </si>
  <si>
    <t>8550401:GS PC-LAPTOPS</t>
  </si>
  <si>
    <t>8550406:DFS PC-LAPTOPS</t>
  </si>
  <si>
    <t>8550415:ST PETE PC LAPTOPS</t>
  </si>
  <si>
    <t>8550418:SIGNAL PC LAPTOPS</t>
  </si>
  <si>
    <t>8550419:VOL PC-LAPTOPS</t>
  </si>
  <si>
    <t>8550505:SCOTTSDALE PC LAPTOPS</t>
  </si>
  <si>
    <t>8550508:AMS PC-LAPTOPS</t>
  </si>
  <si>
    <t>8550509:HRO &amp; OEM PC-LAPTOPS</t>
  </si>
  <si>
    <t>8550510:VPS-TWG PC-LAPTOPS</t>
  </si>
  <si>
    <t>8550511:WESTCOAST - PC LAPTOPS</t>
  </si>
  <si>
    <t>38212:E MORTG LOGIC TIER II</t>
  </si>
  <si>
    <t>48900:FUSION IT</t>
  </si>
  <si>
    <t>6573:HYLA TIER II SUPPORT</t>
  </si>
  <si>
    <t>8520220:PLYMOUTH TIER II</t>
  </si>
  <si>
    <t>R00105</t>
  </si>
  <si>
    <t>R00105:SCOTTSDALE TIER II SUPPORT</t>
  </si>
  <si>
    <t>W61776</t>
  </si>
  <si>
    <t>W61776:ADDISON TX TIER II SUPPORT</t>
  </si>
  <si>
    <t>1060107:INFRASTRUCTURE FUTURE PROJECTS</t>
  </si>
  <si>
    <t>8551030:ICS TELECOM SUSPENSE ACCT</t>
  </si>
  <si>
    <t>8565060:AIZ CORP PUBLIC CLOUD</t>
  </si>
  <si>
    <t>8565061:AIZ SHARED PUBLIC CLOUD</t>
  </si>
  <si>
    <t>8565062:CORP PUBLIC INTL CLOUD</t>
  </si>
  <si>
    <t>10316:AS DBA HW SW</t>
  </si>
  <si>
    <t>3100409:ACT SHARED DBA HW SW</t>
  </si>
  <si>
    <t>3110378:AEB DBA HW SW</t>
  </si>
  <si>
    <t>3200417:ASP DBA HW SW</t>
  </si>
  <si>
    <t>3110340:AEB NETWORK INFRASTRUCTURE</t>
  </si>
  <si>
    <t>3200435:DATA SERVICES</t>
  </si>
  <si>
    <t>3200468:AH NETWORK INFRASTRUCTURE</t>
  </si>
  <si>
    <t>8530418:AWS NETWORKS</t>
  </si>
  <si>
    <t>8530424:AS NETWORK INFRASTRUCTURE</t>
  </si>
  <si>
    <t>8530525:ASP NETWORK INFRASTRUCTURE</t>
  </si>
  <si>
    <t>8530ATO</t>
  </si>
  <si>
    <t>8530ATO:Equinix USA</t>
  </si>
  <si>
    <t>8535512:NETWORK INFRASTRUCTURE SHARED</t>
  </si>
  <si>
    <t>8535555:NETWORK INFRASTRUCTURE AS ASP</t>
  </si>
  <si>
    <t>8530102:DRMS NETWORKS</t>
  </si>
  <si>
    <t>8530401:RANSOMWARE</t>
  </si>
  <si>
    <t>8530511:WESTCOAST NETWORKS</t>
  </si>
  <si>
    <t>8530540:ASP Mortgage Services</t>
  </si>
  <si>
    <t>10303:ACT WEB HOSTING STAFF</t>
  </si>
  <si>
    <t>10527:SERVER OPERATIONS AND SUPPORT</t>
  </si>
  <si>
    <t>1052701:Operational Support Staff Credit to Services</t>
  </si>
  <si>
    <t>1052703:EDC Op Support Staff</t>
  </si>
  <si>
    <t>1052704:PC Deploy &amp; Prov Op Support Staff</t>
  </si>
  <si>
    <t>1052705:Servers Op Support Staff</t>
  </si>
  <si>
    <t>1052707:Storage Op Support Staff</t>
  </si>
  <si>
    <t>1052708:Voice &amp; Data Sup Op Support Staff</t>
  </si>
  <si>
    <t>1052709:Webhosting Op Support Staff</t>
  </si>
  <si>
    <t>3100408:EDCPO SENIOR MANAGMENT</t>
  </si>
  <si>
    <t>3200481:PERFORMANCE TESTING</t>
  </si>
  <si>
    <t>38265:ENS SENIOR MANAGEMENT</t>
  </si>
  <si>
    <t>72759:ACT DBA STAFF</t>
  </si>
  <si>
    <t>8320625:BRM Operational Support</t>
  </si>
  <si>
    <t>10529:AS ASP SERVER HW SW DIRECT</t>
  </si>
  <si>
    <t>8530406:Japan IT</t>
  </si>
  <si>
    <t>8530419:AUSTRALIA IT</t>
  </si>
  <si>
    <t>8560418:UK IT</t>
  </si>
  <si>
    <t>8560121:AEB SERVER HW SW DIRECT</t>
  </si>
  <si>
    <t>8560420:AS TMOBILE SERVERS</t>
  </si>
  <si>
    <t>8560423:SSP DCO</t>
  </si>
  <si>
    <t>8560524:ASP SERVER HW SW DIRECT</t>
  </si>
  <si>
    <t>8560544:ASP ENCORE SERVERS</t>
  </si>
  <si>
    <t>8560564:RUBRIK INTL</t>
  </si>
  <si>
    <t>8565020:INC SHARED SERVERS HW SW</t>
  </si>
  <si>
    <t>10528:AS ASP SAN STORAGE HW SW DIRECT</t>
  </si>
  <si>
    <t>10526:AS ASP DATA PROTECTION</t>
  </si>
  <si>
    <t>8560222:AH SERVER HW SW DIRECT</t>
  </si>
  <si>
    <t>8560233:AH DATA PROTECTION</t>
  </si>
  <si>
    <t>8565131:INC SHARED DATA PROTECTION</t>
  </si>
  <si>
    <t>8600102:DRMS DATA PROTECTION</t>
  </si>
  <si>
    <t>8600509:FLORENCE DATA PROTECTION</t>
  </si>
  <si>
    <t>10304:AS ASP PORTAL SERVICES</t>
  </si>
  <si>
    <t>10305:WEB HOSTING</t>
  </si>
  <si>
    <t>10306:J2EE SHARED WEB HOSTING</t>
  </si>
  <si>
    <t>8540114:AEB WEB HOSTING</t>
  </si>
  <si>
    <t>8540315:INC WEB HOSTING</t>
  </si>
  <si>
    <t>8540411:AS WEB HOSTING</t>
  </si>
  <si>
    <t>8540512:DCO SPECIAL PROJECTS</t>
  </si>
  <si>
    <t>3100404:DATA CENTER FACILITIES</t>
  </si>
  <si>
    <t>3100ATO</t>
  </si>
  <si>
    <t>3100ATO:DATA CENTER CONSOLIDATION FACILITIES</t>
  </si>
  <si>
    <t>8560124:AFAS STORAGE</t>
  </si>
  <si>
    <t>8560131:AEB SAN STORAGE HW SW DIRECT</t>
  </si>
  <si>
    <t>8560232:AH SAN STORAGE HW SW DIRECT</t>
  </si>
  <si>
    <t>8560433:AS STORAGE SAN HW SW DIRECT</t>
  </si>
  <si>
    <t>8560534:ASP STORAGE SAN HW SW DIRECT</t>
  </si>
  <si>
    <t>8565130:INC SHARED SAN STORAGE HW SW</t>
  </si>
  <si>
    <t>1030301:Solutions Delivery Staff Credit to Services</t>
  </si>
  <si>
    <t>1030302:DBA Solution Delivery Staff</t>
  </si>
  <si>
    <t>1030305:Servers Solution Delivery Staff</t>
  </si>
  <si>
    <t>1030308:Voice &amp; Data Sup Solution Delivery Staff</t>
  </si>
  <si>
    <t>1030309:Webhosting Solution Delivery Staff</t>
  </si>
  <si>
    <t>3100407:AH AND AEB HARDWARE</t>
  </si>
  <si>
    <t>3100424:CICS MQ</t>
  </si>
  <si>
    <t>3100447:AS AND ASP HARDWARE</t>
  </si>
  <si>
    <t>3100425:FILE TRANSFER</t>
  </si>
  <si>
    <t>10038:PRINT AND FINISHING SERVICES MIAMI</t>
  </si>
  <si>
    <t>10311:INSERTING OPERATIONS MIAMI</t>
  </si>
  <si>
    <t>8310112:MFD KC</t>
  </si>
  <si>
    <t>8310623:MANUAL OPERATIONS MIAMI</t>
  </si>
  <si>
    <t>3100406:CICS DBMS MQ STAFF</t>
  </si>
  <si>
    <t>3100417:MVS AND MAINFRAME AND NETWORK STAFF</t>
  </si>
  <si>
    <t>3100421:STORAGE SERVICES</t>
  </si>
  <si>
    <t>3100422:PROGRAM PRODUCTS</t>
  </si>
  <si>
    <t>3100423:DATA BASE PRODUCTS</t>
  </si>
  <si>
    <t>3100426:DATA CENTER SOFTWARE</t>
  </si>
  <si>
    <t>8414011:SYSTEMS TECHNICAL SERVICES ADMIN</t>
  </si>
  <si>
    <t>10330IT</t>
  </si>
  <si>
    <t>10330IT:IT RELATED SOFTWARE AND CONTRACTED SERVICES</t>
  </si>
  <si>
    <t>3100401:DATA CENTER OPERATIONS</t>
  </si>
  <si>
    <t>8530505:HELP DESK OUTSOURCING</t>
  </si>
  <si>
    <t>6575:ENTERPRISE IT APPLICATIONS</t>
  </si>
  <si>
    <t>8000101:LP TELECOM</t>
  </si>
  <si>
    <t>8000102:FLOOD TELECOM</t>
  </si>
  <si>
    <t>8000103:VOLUNTARY TELECOM</t>
  </si>
  <si>
    <t>8000104:GLOBAL SPECIALTY TELECOM</t>
  </si>
  <si>
    <t>8000105:OTH GLOBAL HOME TELECOM</t>
  </si>
  <si>
    <t>8000106:MORTGAGE SOLUTIONS TELECOM</t>
  </si>
  <si>
    <t>8000107:PRENEED US TELECOM</t>
  </si>
  <si>
    <t>8000108:PRENEED CANADA TELECOM</t>
  </si>
  <si>
    <t>8000109:FINANCIAL SER TELECOM</t>
  </si>
  <si>
    <t>8000110:AMS TELECOM</t>
  </si>
  <si>
    <t>8000111:HR AND OEM TELECOM</t>
  </si>
  <si>
    <t>8000112:VPS TELECOM</t>
  </si>
  <si>
    <t>8000113:ECKOH TELECOM</t>
  </si>
  <si>
    <t>8000114:INC TELECOM</t>
  </si>
  <si>
    <t>8000115:INTERNATIONAL TELECOM</t>
  </si>
  <si>
    <t>8000116:Canada Telecom</t>
  </si>
  <si>
    <t>5002:NETWORK AND SYSTEMS</t>
  </si>
  <si>
    <t>5004:Infra Mgmt</t>
  </si>
  <si>
    <t>5011:SYSTEM AND WEB ADMIN</t>
  </si>
  <si>
    <t>5015:TWG PUBLIC CLOUD</t>
  </si>
  <si>
    <t>5020:TWG INFRASTRUCTURE</t>
  </si>
  <si>
    <t>5027:TWG TELECOM</t>
  </si>
  <si>
    <t>103314:UK SECURITY EMPLOYEES</t>
  </si>
  <si>
    <t>1060106:SECURITY FUTURE PROJECTS</t>
  </si>
  <si>
    <t>3100467:SECURITY OPERATIONS</t>
  </si>
  <si>
    <t>5003:SECURITY PHOENIX</t>
  </si>
  <si>
    <t>8520745:SECURITY ADVISORY COST CENTER</t>
  </si>
  <si>
    <t>8560360:IT SECURITY CLOUD</t>
  </si>
  <si>
    <t>8560361:IT SECURITY INTL CLOUD</t>
  </si>
  <si>
    <t>1060105:ENTERPRISE ARCHITECTURE FUTURE PROJECTS</t>
  </si>
  <si>
    <t>787700:ARCHITECTURE</t>
  </si>
  <si>
    <t>8545600:ENTERPRISE ARCHITECTURE</t>
  </si>
  <si>
    <t>104003:PM GLOBAL HOME SPECIALTY AND PRENEED</t>
  </si>
  <si>
    <t>104006:GOVERNANCE AND RESOURCE MANAGEMENT</t>
  </si>
  <si>
    <t>104007:PORTFOLIO PERFORMANCE AND OPTIMIZATION</t>
  </si>
  <si>
    <t>104011:PMO DELIVERY PROPERTY PRENEED DIGITAL AND DATA SERVICES</t>
  </si>
  <si>
    <t>104013:PMO DELIVERY MORTGAGE SOLUTIONS</t>
  </si>
  <si>
    <t>104014:TRANSFORMATIONAL PROGRAMS</t>
  </si>
  <si>
    <t>104015:PMO PRACTICE PROCESSES TOOLS</t>
  </si>
  <si>
    <t>787800:SS IT PERFORMANCE MGMT</t>
  </si>
  <si>
    <t>104001:M AND A STRATEGY AND GOVERNANCE</t>
  </si>
  <si>
    <t>104038:GLOBAL HOME ADJUSTMENTS</t>
  </si>
  <si>
    <t>104039:LIFESTYLE ADJUSTMENTS</t>
  </si>
  <si>
    <t>104040:CTO1 ADJUSTMENTS</t>
  </si>
  <si>
    <t>104041:CTO2 ADJUSTMENTS</t>
  </si>
  <si>
    <t>104302:EMERGING CHANNELS</t>
  </si>
  <si>
    <t>104303:ASSURANT LABS PRODUCTS</t>
  </si>
  <si>
    <t>104304:ASSURANT LABS PLATFORMS</t>
  </si>
  <si>
    <t>104305:ASSURANT LABS TPOS</t>
  </si>
  <si>
    <t>104309:GLOBAL PAYMENT MODULE</t>
  </si>
  <si>
    <t>104310:ENTITLEMENT PLATFORM CAP-AMORT</t>
  </si>
  <si>
    <t>104311:OPEN COST CENTER 11</t>
  </si>
  <si>
    <t>104312:OPEN COST CENTER 12</t>
  </si>
  <si>
    <t>104313:OPEN COST CENTER 13</t>
  </si>
  <si>
    <t>104314:OPEN COST CENTER 14</t>
  </si>
  <si>
    <t>104315:OPEN COST CENTER 15</t>
  </si>
  <si>
    <t>104316:OPEN COST CENTER 16</t>
  </si>
  <si>
    <t>104317:OPEN COST CENTER 17</t>
  </si>
  <si>
    <t>104318:OPEN COST CENTER 18</t>
  </si>
  <si>
    <t>104319:OPEN COST CENTER 19</t>
  </si>
  <si>
    <t>104320:OPEN COST CENTER 20</t>
  </si>
  <si>
    <t>1060103:CTO FUTURE PROJECTS</t>
  </si>
  <si>
    <t>8560160:DATA ANALYTICS CLOUD</t>
  </si>
  <si>
    <t>8560161:DATA ANALYTICS INTL CLOUD</t>
  </si>
  <si>
    <t>3200494:PROGRAM AND PROJECT OFFICE</t>
  </si>
  <si>
    <t>104021:SECURE AND RELIABLE</t>
  </si>
  <si>
    <t>104022:UNPRIORITIZED STRATEGIC PROJECTS</t>
  </si>
  <si>
    <t>104027:DCO FIT APPS</t>
  </si>
  <si>
    <t>104031:CLOUD FOUNDATION</t>
  </si>
  <si>
    <t>104031A</t>
  </si>
  <si>
    <t>104031A:FIT CLOUD FOUNDATION AMORTIZATION</t>
  </si>
  <si>
    <t>104033:FIT TRANSFORMATION OFFICE</t>
  </si>
  <si>
    <t>104034:AIZ CLOUD MIGRATION</t>
  </si>
  <si>
    <t>104034A</t>
  </si>
  <si>
    <t>104034A:FIT APP REFACTORING AMORTIZATION</t>
  </si>
  <si>
    <t>104035:FIT TECHNOLOGY WELLNESS</t>
  </si>
  <si>
    <t>104050:DISASTER RECOVERY</t>
  </si>
  <si>
    <t>1060108:STRATEGY FUTURE PROJECTS</t>
  </si>
  <si>
    <t>8560260:TRANSFORMATION AND INNOVATION CLOUD</t>
  </si>
  <si>
    <t>8560261:TRANSFORMATION AND INNOVATION INTL CLOUD</t>
  </si>
  <si>
    <t>8560401:DATA CENTER OPTIMIZATION</t>
  </si>
  <si>
    <t>8560960:STRATEGY AND ARCH CLOUD</t>
  </si>
  <si>
    <t>8560961:STRATEGY AND ARCH INTL CLOUD</t>
  </si>
  <si>
    <t>110010:GLOBAL SOURCING AND FACILITIES MANAGEMENT FEE</t>
  </si>
  <si>
    <t>110011:PEOPLE ORGANIZATION MANAGEMENT FEE</t>
  </si>
  <si>
    <t>110012:MARKETING AND COMMUNICATIONS  MANAGEMENT FEE</t>
  </si>
  <si>
    <t>110013:FINANCE  MANAGEMENT FEE</t>
  </si>
  <si>
    <t>110014:LEGAL AND COMPLIANCE MANAGEMENT FEE</t>
  </si>
  <si>
    <t>110015:OPERATIONS  MANAGEMENT FEE</t>
  </si>
  <si>
    <t>110016:RISK MANAGEMENT MANAGEMENT FEE</t>
  </si>
  <si>
    <t>110017:STRAT &amp; INNOV MANAGEMENT FEE</t>
  </si>
  <si>
    <t>110018:CEO AND OTHER MANAGEMENT FEE</t>
  </si>
  <si>
    <t>1112000:ACES</t>
  </si>
  <si>
    <t>113210:ALLOCATION ADJUSTMENT</t>
  </si>
  <si>
    <t>113224:OTHER TAXES LICENSES AND FEES</t>
  </si>
  <si>
    <t>113297:AEB Overhang Charges</t>
  </si>
  <si>
    <t>113298:AEB/Sun Life Transition</t>
  </si>
  <si>
    <t>113299:Sun Billable ACT HW and SW</t>
  </si>
  <si>
    <t>113302:AEB Post Sale Expenses</t>
  </si>
  <si>
    <t>117000:Corporate Eliminations</t>
  </si>
  <si>
    <t>150350:TIC SALE</t>
  </si>
  <si>
    <t>150352:PROJECT PHOENIX</t>
  </si>
  <si>
    <t>150360:K NOTE</t>
  </si>
  <si>
    <t>150367:JALIC TSA</t>
  </si>
  <si>
    <t>32140:SHARED SVC ALLOC ADJ</t>
  </si>
  <si>
    <t>50531BZ</t>
  </si>
  <si>
    <t>50531BZ:PYB BRAZIL CORPORATE</t>
  </si>
  <si>
    <t>50532BZ</t>
  </si>
  <si>
    <t>50532BZ:CONS INSIGHT BZ CORPORATE</t>
  </si>
  <si>
    <t>8000040:INVESTMENT EXPENSES</t>
  </si>
  <si>
    <t>93900:NON-CEO ACTIVITY</t>
  </si>
  <si>
    <t>110008:RAPID CITY CORP RENT</t>
  </si>
  <si>
    <t>110003:ATLANTA CORP RENT</t>
  </si>
  <si>
    <t>113015:SKI TRIP</t>
  </si>
  <si>
    <t>113061:A&amp;FS CHARGEBACKS</t>
  </si>
  <si>
    <t>150300:CORPORATE LTIP</t>
  </si>
  <si>
    <t>1111000:ASSURANT FOUNDATION</t>
  </si>
  <si>
    <t>21770:MILWAUKEE SECURITY</t>
  </si>
  <si>
    <t>39900:LEGAL GENERAL COUNSEL AND HIPAA</t>
  </si>
  <si>
    <t>39903:LEGAL LITIGATION &amp; RISK MANAGEMENT</t>
  </si>
  <si>
    <t>4160:INVESTMENTS</t>
  </si>
  <si>
    <t>52950:TAX PAYMENTS 1</t>
  </si>
  <si>
    <t>57910:FINANCE BANK CHARGES</t>
  </si>
  <si>
    <t>58900:FINANCIAL OPERATIONS</t>
  </si>
  <si>
    <t>75500:BOISE CLAIMS JA</t>
  </si>
  <si>
    <t>76910:OPERATIONAL COMPLIANCE</t>
  </si>
  <si>
    <t>76920:KM PROJECTS</t>
  </si>
  <si>
    <t>99017:TIC SP LAE</t>
  </si>
  <si>
    <t>99990:BALANCE SHEET ONLY</t>
  </si>
  <si>
    <t>110019:NON CORE OPS LFS</t>
  </si>
  <si>
    <t>110020:NON CORE OPS HSG</t>
  </si>
  <si>
    <t>1003020:CHGBK PND</t>
  </si>
  <si>
    <t>113005:PROJECT TEMPEST</t>
  </si>
  <si>
    <t>113322:BTL ITEMS</t>
  </si>
  <si>
    <t>113323:BTL WAYS2WORK</t>
  </si>
  <si>
    <t>113324:TRANSFORMATIONAL PLAN</t>
  </si>
  <si>
    <t>113710:TWG CONSOLIDATED CORPORATE</t>
  </si>
  <si>
    <t>140536:PROJECT BULLDOG INTEGRATION</t>
  </si>
  <si>
    <t>140537:PROJ VIKING INTEGRATION</t>
  </si>
  <si>
    <t>150351:PROJECT QUATTRO</t>
  </si>
  <si>
    <t>150353:PROJECT STAR</t>
  </si>
  <si>
    <t>150354:PROJECT ROCKET</t>
  </si>
  <si>
    <t>150355:PROJECT JAGUAR</t>
  </si>
  <si>
    <t>150356:PROJECT ROCKET HUMAN RESOURCES</t>
  </si>
  <si>
    <t>150357:PROJECT ROCKET INFO TECHNOLOGY</t>
  </si>
  <si>
    <t>150358:PROJECT ROCKET GENERAL</t>
  </si>
  <si>
    <t>150359:PROJECT BULLDOG</t>
  </si>
  <si>
    <t>150361:PROJECT TITAN DEAL EXPENSES</t>
  </si>
  <si>
    <t>150362:PROJECT TITAN ONE TIME EXP</t>
  </si>
  <si>
    <t>150364:PROJECT VIKING</t>
  </si>
  <si>
    <t>150365:PROJECT USLICONY</t>
  </si>
  <si>
    <t>150366:PROJ SAPPHIRE</t>
  </si>
  <si>
    <t>150368:PROJ BLACK CATS</t>
  </si>
  <si>
    <t>150369:PROJECT ALTA</t>
  </si>
  <si>
    <t>22356:PREFORECLOSURER</t>
  </si>
  <si>
    <t>22362:APA ADMINISTRATION</t>
  </si>
  <si>
    <t>37421:FFMC LEASE DOCUMENTS LS</t>
  </si>
  <si>
    <t>46215:AFAS INTEGRATION</t>
  </si>
  <si>
    <t>46230:TITLE EO REINSURANCE ACTIVITY</t>
  </si>
  <si>
    <t>46252:AFS GENERAL</t>
  </si>
  <si>
    <t>46258:AFS INSPECTIONS</t>
  </si>
  <si>
    <t>46266:AFAS PROPERTY PRESERVATION</t>
  </si>
  <si>
    <t>46317:MTG SOL LEGACY LITIGATION</t>
  </si>
  <si>
    <t>48005:FUSION FINANCE</t>
  </si>
  <si>
    <t>46295:SMALL BUSINESS</t>
  </si>
  <si>
    <t>54333:ALL OTHER HOUSING</t>
  </si>
  <si>
    <t>54895:PROJECT ARROW TSA EXPENSES</t>
  </si>
  <si>
    <t>54896:PROJECT ARROW ONE TIME EXPENSES</t>
  </si>
  <si>
    <t>GT151</t>
  </si>
  <si>
    <t>GT151:GT CHARGEBACKS HOUSING OTHER</t>
  </si>
  <si>
    <t>42634:HO3 &amp; CONDO</t>
  </si>
  <si>
    <t>46202:LS MEETINGS AND PROMOTIONS</t>
  </si>
  <si>
    <t>46205:CONDO TEAM</t>
  </si>
  <si>
    <t>46206:GH CLIENT SVCS</t>
  </si>
  <si>
    <t>46214:LS EXCEPTIONS EXPENSE</t>
  </si>
  <si>
    <t>46217:LS EXPENSE MISC</t>
  </si>
  <si>
    <t>46218:PRODUCT DIGITAL VISION</t>
  </si>
  <si>
    <t>72763:LS THIRD PARTY SVCS</t>
  </si>
  <si>
    <t>72766:AGM STRATEGIC INVESTMENT</t>
  </si>
  <si>
    <t>72810:LS SPONSORSHIPS</t>
  </si>
  <si>
    <t>72885:CALIFORNIA ADMIN</t>
  </si>
  <si>
    <t>93300:LENDING SOLUTIONS</t>
  </si>
  <si>
    <t>93380:LS INTANGIBLES AMORTIZATION</t>
  </si>
  <si>
    <t>GT101</t>
  </si>
  <si>
    <t>GT101:GT CHARGEBACKS LP HOMEOWNERS</t>
  </si>
  <si>
    <t>93309:LITIGATION EXPENSE LS</t>
  </si>
  <si>
    <t>93319:LS LITIGATION RESERVES</t>
  </si>
  <si>
    <t>51913:ANTIQUE AUTO EXPENSES</t>
  </si>
  <si>
    <t>72793:HOMEOWNERS HO3 PROGRAM</t>
  </si>
  <si>
    <t>93201:SHARING ECONOMY DIRECT EXPENSES</t>
  </si>
  <si>
    <t>93204:IT GLOBAL SPECIALTY SALES AND MKTG</t>
  </si>
  <si>
    <t>93212:GS EXPENSES</t>
  </si>
  <si>
    <t>93323:CHOICE PREM RECON</t>
  </si>
  <si>
    <t>GT105</t>
  </si>
  <si>
    <t>GT105:GT CHARGEBACKS VOLUNTARY HOME</t>
  </si>
  <si>
    <t>GT121</t>
  </si>
  <si>
    <t>GT121:GT CHARGEBACKS GLOBAL SPECIALTY</t>
  </si>
  <si>
    <t>GT122</t>
  </si>
  <si>
    <t>GT122:CHARGEBACKS GS PROPERTY</t>
  </si>
  <si>
    <t>GT125</t>
  </si>
  <si>
    <t>GT125:CHARGEBACKS GS INNOVATIONS</t>
  </si>
  <si>
    <t>46237:DEPOP EXPENSES</t>
  </si>
  <si>
    <t>46267:FLOOD WRAP AND EXCESS</t>
  </si>
  <si>
    <t>56501:NFIP NATIONWIDE</t>
  </si>
  <si>
    <t>56502:PF RESIDENTIAL</t>
  </si>
  <si>
    <t>56503:ALL OTHER FLOOD SOLUTIONS</t>
  </si>
  <si>
    <t>56504:PROJECT NOAH INTEGRATION</t>
  </si>
  <si>
    <t>56505:PF RCBAP</t>
  </si>
  <si>
    <t>56506:PF COMMERCIAL</t>
  </si>
  <si>
    <t>56509:PROJECT MICROWAVE INTEGRATION</t>
  </si>
  <si>
    <t>GT115</t>
  </si>
  <si>
    <t>GT115:GT CHARGEBACKS FLOOD SOLUTIONS</t>
  </si>
  <si>
    <t>53991:AIA INTEGRATION</t>
  </si>
  <si>
    <t>20001UK</t>
  </si>
  <si>
    <t>20001UK:PROPERTY BUSINESS UNITED KINGDOM</t>
  </si>
  <si>
    <t>30001CN</t>
  </si>
  <si>
    <t>30001CN:PROPERTY BUSINESS CANADA</t>
  </si>
  <si>
    <t>10008UK</t>
  </si>
  <si>
    <t>10008UK:EXECUTIVE YORK UK</t>
  </si>
  <si>
    <t>10106MX</t>
  </si>
  <si>
    <t>10106MX:DWELLING UNDERWRITING</t>
  </si>
  <si>
    <t>10258UK</t>
  </si>
  <si>
    <t>10258UK:SALES UK</t>
  </si>
  <si>
    <t>10259UK</t>
  </si>
  <si>
    <t>10259UK:MARKETING YORK</t>
  </si>
  <si>
    <t>10362BZ</t>
  </si>
  <si>
    <t>10362BZ:DWELLING BRAZIL</t>
  </si>
  <si>
    <t>10362CL</t>
  </si>
  <si>
    <t>10362CL:DWELLING CHILE</t>
  </si>
  <si>
    <t>10502UK</t>
  </si>
  <si>
    <t>10502UK:POLICY ADMIN UK</t>
  </si>
  <si>
    <t>50900PR</t>
  </si>
  <si>
    <t>50900PR:GLOBAL PROPERTY INTERNATIONAL</t>
  </si>
  <si>
    <t>54878:INTERNATIONAL PROPERTY</t>
  </si>
  <si>
    <t>7513:GLOBAL HOUSING IT CC FROM INDIA</t>
  </si>
  <si>
    <t>93209:LITIGATION EXPENSE PS</t>
  </si>
  <si>
    <t>93205:PROJECT IKE</t>
  </si>
  <si>
    <t>93228:ARS SALES AND MARKETING</t>
  </si>
  <si>
    <t>93236:MFH APOLLO INITIATIVE</t>
  </si>
  <si>
    <t>93244:MFH EXPENSES</t>
  </si>
  <si>
    <t>93245:MFH LITIGATION</t>
  </si>
  <si>
    <t>93270:PLATFORM MODERNIZATION - BUS</t>
  </si>
  <si>
    <t>93271:MFH PRODUCT INVESTMENTS</t>
  </si>
  <si>
    <t>GT123</t>
  </si>
  <si>
    <t>GT123:CHARGEBACKS GS MFH</t>
  </si>
  <si>
    <t>GT124</t>
  </si>
  <si>
    <t>GT124:CHARGEBACKS GS RECV MGMT</t>
  </si>
  <si>
    <t>54891:PROJECT NIRVANA</t>
  </si>
  <si>
    <t>54894:PROJECT ARROW</t>
  </si>
  <si>
    <t>93223:ARS EXECUTIVE</t>
  </si>
  <si>
    <t>93225:BOTHELL SEATTLE FACILITY</t>
  </si>
  <si>
    <t>93232:ARS DEFENSE</t>
  </si>
  <si>
    <t>10031:GHO-MFH SAVINGS INITIATIVES</t>
  </si>
  <si>
    <t>10365AG</t>
  </si>
  <si>
    <t>10365AG:CEIBO ARG</t>
  </si>
  <si>
    <t>10900AG</t>
  </si>
  <si>
    <t>10900AG:WFM ARGENTINA</t>
  </si>
  <si>
    <t>22235:GA GCL WORKFORCE PLANNING</t>
  </si>
  <si>
    <t>41928:GHO-SPECIALTY-MH SAVINGS INITIATIVES</t>
  </si>
  <si>
    <t>42401:GH WORKFORCE PLANNING</t>
  </si>
  <si>
    <t>42406:HOA MONITORING SPR</t>
  </si>
  <si>
    <t>42422:SPRINGFIELD ADMIN</t>
  </si>
  <si>
    <t>42426:FLORENCE ADMINISTRATION</t>
  </si>
  <si>
    <t>42446:LPHO FLOOD TECH OPS</t>
  </si>
  <si>
    <t>42447:SMARTFLOW FLO TEAM</t>
  </si>
  <si>
    <t>42456:HURRICANE LD PROCESSING</t>
  </si>
  <si>
    <t>42460:ESCROW ANALYSIS</t>
  </si>
  <si>
    <t>42462:VOIP LS OPS IT INDIRECT EXPENSE</t>
  </si>
  <si>
    <t>42469:DIGITAL INITIATIVES</t>
  </si>
  <si>
    <t>42472:GHO TRAINING</t>
  </si>
  <si>
    <t>42498:CHAT</t>
  </si>
  <si>
    <t>42504:CAST</t>
  </si>
  <si>
    <t>42528:PAYEE ADMIN</t>
  </si>
  <si>
    <t>42556:VERIFICATION</t>
  </si>
  <si>
    <t>42578:QUALITY CONTROL LD</t>
  </si>
  <si>
    <t>42579:QUALITY CONTROL REPORTS</t>
  </si>
  <si>
    <t>42616:CLIENT ACCESS</t>
  </si>
  <si>
    <t>42622:SPRINGFIELD CUSTOMER CARE CZUPRYN</t>
  </si>
  <si>
    <t>42628:LOSS DRAFTS ADMIN</t>
  </si>
  <si>
    <t>42630:SPRINGFIELD CUSTOMER CARE GARZA</t>
  </si>
  <si>
    <t>42631:LD PROCESSING</t>
  </si>
  <si>
    <t>42637:CC IT CUSTOMER SOLUTIONS</t>
  </si>
  <si>
    <t>42639:SPRINGFIELD TAX AND ESCROW CALLS</t>
  </si>
  <si>
    <t>42640:CX 1</t>
  </si>
  <si>
    <t>42649:BLACK KNIGHT</t>
  </si>
  <si>
    <t>42650:LS OPS INITIATIVES</t>
  </si>
  <si>
    <t>42653:COMMAND CENTER SCHEDULERS</t>
  </si>
  <si>
    <t>42655:GHO-FLOOD SAVINGS INITIATIVES</t>
  </si>
  <si>
    <t>42656:GHO-SPECIALTY-LF SAVINGS INITIATIVES</t>
  </si>
  <si>
    <t>42658:OPS PRODUCTIVITY ANALYSIS</t>
  </si>
  <si>
    <t>42659:GA GCL CC TECH</t>
  </si>
  <si>
    <t>42663:CC REPORTING</t>
  </si>
  <si>
    <t>42723:DIGITAL FIRST PAYMENT PROCESSING</t>
  </si>
  <si>
    <t>42724:DIGITAL FIRST IT CARE INITIATIVES</t>
  </si>
  <si>
    <t>42725:DIGITAL FIRST LETTER DIGITALIZATION</t>
  </si>
  <si>
    <t>42726:DIGITAL FIRST DYNAMIC TRACKING</t>
  </si>
  <si>
    <t>42727:PROJECT CEIBO</t>
  </si>
  <si>
    <t>42728:WFM ARGENTINA</t>
  </si>
  <si>
    <t>42945:CLIENT SERVICES AND RESEARCH ADMIN</t>
  </si>
  <si>
    <t>45303:CONTENT DESIGN</t>
  </si>
  <si>
    <t>46294:GHO-GS CONDO SAVINGS INITIATIVES</t>
  </si>
  <si>
    <t>46340:FOCUSED CARE TEAM</t>
  </si>
  <si>
    <t>50036:GH VOLUNTARY OPS MAILINGS</t>
  </si>
  <si>
    <t>50037:GH MFH MAILINGS</t>
  </si>
  <si>
    <t>51903:GH OPS LEASED AND FINANCED ANALYST</t>
  </si>
  <si>
    <t>52261:GS GLOBAL SPECIALTY PROPERTY PRODUCT OWNERS</t>
  </si>
  <si>
    <t>52262:GS SPECIALTY &amp; INTERNATIONAL PRODUCT OWNERS</t>
  </si>
  <si>
    <t>52263:GS VOLUNTARY HOMEOWNERS PRODUCT OWNERS</t>
  </si>
  <si>
    <t>53803:21ST MORTGAGE PROCESSING</t>
  </si>
  <si>
    <t>53851:IT SPECIALTY PRODUCTS ALLOC ONLY</t>
  </si>
  <si>
    <t>53996:SELF SERVICE SET UP COSTS</t>
  </si>
  <si>
    <t>54025:INSURANCE TRACKING BPM</t>
  </si>
  <si>
    <t>54026:GEICO REIMBURSEMENT</t>
  </si>
  <si>
    <t>54101:LOB EQUIPMENT INSURANCE</t>
  </si>
  <si>
    <t>54871:WCBP STANDARD SINGLE PLATFORM IT</t>
  </si>
  <si>
    <t>54872:GROWTH</t>
  </si>
  <si>
    <t>54886:WCBP ALIGNMENT AND EXECUTION</t>
  </si>
  <si>
    <t>54887:ORGANIZATION OPTIMIZATION</t>
  </si>
  <si>
    <t>54890:WCBP BUSINESS ANALYST RESOURCES</t>
  </si>
  <si>
    <t>72001:NEW SERVICES FORECAST</t>
  </si>
  <si>
    <t>72002:SMARTFLOW INTAKE AND RULES ANALYSTS</t>
  </si>
  <si>
    <t>72121:DULUTH LOSS DRAFT PROCESSING</t>
  </si>
  <si>
    <t>72138:CPI SMARTFLOW</t>
  </si>
  <si>
    <t>72201:DULUTH PROCESSING</t>
  </si>
  <si>
    <t>72212:DULUTH PROCESSING ADMIN</t>
  </si>
  <si>
    <t>72250:REPORTING ADMIN</t>
  </si>
  <si>
    <t>72251:FLOOD ADMIN</t>
  </si>
  <si>
    <t>72321:DULUTH LOSS DRAFT MAILROOM</t>
  </si>
  <si>
    <t>72374:LD CUSTOMER CARE</t>
  </si>
  <si>
    <t>72377:LD ADMIN</t>
  </si>
  <si>
    <t>72379:LD CHAT</t>
  </si>
  <si>
    <t>72382:PROCESS ANALYSIS &amp; CAPABILITY</t>
  </si>
  <si>
    <t>72401:INSURANCE TRACKING CUSTOMER CARE FRONT LINE</t>
  </si>
  <si>
    <t>72404:BILINGUAL CUSTOMER CARE</t>
  </si>
  <si>
    <t>72425:PROCESSING QUALITY REVIEW</t>
  </si>
  <si>
    <t>72426:DULUTH LOSS DRAFT ADMIN</t>
  </si>
  <si>
    <t>72429:LPHO FLOOD PROCESSING</t>
  </si>
  <si>
    <t>72774:SMARTFLOW CTQ BI ANALYSTS</t>
  </si>
  <si>
    <t>72806:SSP OPS TECH</t>
  </si>
  <si>
    <t>72825:SMARTFLOW CTQ MONITORING</t>
  </si>
  <si>
    <t>72843:TSI</t>
  </si>
  <si>
    <t>72874:TCS</t>
  </si>
  <si>
    <t>72907:OPEN ITEMS - ADMIN</t>
  </si>
  <si>
    <t>72932:FLORENCE SMBR</t>
  </si>
  <si>
    <t>72943:INSURANCE TRACKING CUSTOMER CARE ADMIN</t>
  </si>
  <si>
    <t>72979:QUALITY CONTROL FLOOD SOLUTIONS</t>
  </si>
  <si>
    <t>72996:DIGITAL FIRST GHO</t>
  </si>
  <si>
    <t>72998:DIGITAL FIRST CARE EXP</t>
  </si>
  <si>
    <t>73000:PAYMENT PROCESSING</t>
  </si>
  <si>
    <t>73001:QUALITY CONTROL OPEN ITEMS</t>
  </si>
  <si>
    <t>73010:NEW HIRE NESTING</t>
  </si>
  <si>
    <t>73015:LD CARE TRAINING</t>
  </si>
  <si>
    <t>73016:IT CARE TRAINING</t>
  </si>
  <si>
    <t>7514:LD BPM INDIA</t>
  </si>
  <si>
    <t>12000:ATLANTA EXECUTIVE</t>
  </si>
  <si>
    <t>14100:BUSINESS ANALYTICS</t>
  </si>
  <si>
    <t>42210:LENDING SOLUTIONS ADMIN PROJECTS</t>
  </si>
  <si>
    <t>54325:ACTUARIAL AND FINANCIAL ANALYTICS</t>
  </si>
  <si>
    <t>93005:SPECIALTY OTHER</t>
  </si>
  <si>
    <t>93014:ARIC TSA</t>
  </si>
  <si>
    <t>93017:GLOBAL HOME GROWTH</t>
  </si>
  <si>
    <t>R40000</t>
  </si>
  <si>
    <t>R40000:PROJECT SUN</t>
  </si>
  <si>
    <t>53992:AIA FINANCE</t>
  </si>
  <si>
    <t>10741:MFD HOUSING</t>
  </si>
  <si>
    <t>32144:OHIO CORPORATE SERVICES</t>
  </si>
  <si>
    <t>32145:SPRINGFIELD FACILITY</t>
  </si>
  <si>
    <t>32146:OHIO SERVICE CENTER MAINTENANCE</t>
  </si>
  <si>
    <t>32147:OHIO CENTER SOLAR POWER</t>
  </si>
  <si>
    <t>32148:OHIO SERVICE CENTER SECURITY</t>
  </si>
  <si>
    <t>32150:COMMERCE FACILITY</t>
  </si>
  <si>
    <t>32160:FLORENCE SERVICE CENTER</t>
  </si>
  <si>
    <t>32170:SANTA ANA CA FACILITY</t>
  </si>
  <si>
    <t>33301:TS SANTA ANA FACILITY</t>
  </si>
  <si>
    <t>56201:SCOTTSDALE FACILITY</t>
  </si>
  <si>
    <t>72611:COMMERCE SECURITY</t>
  </si>
  <si>
    <t>54300:RISK AFA</t>
  </si>
  <si>
    <t>54310:RISK AIA</t>
  </si>
  <si>
    <t>93002:CORPORATE INSURANCE PASSTHRU</t>
  </si>
  <si>
    <t>93004:NY CHGBK HSG</t>
  </si>
  <si>
    <t>93008:IT CHGBK HSG</t>
  </si>
  <si>
    <t>93009:EBS CHGBK HSG</t>
  </si>
  <si>
    <t>93015:HR CHGBK HSG</t>
  </si>
  <si>
    <t>93025:MKT COMM BUSN SVC CHGBK HSG</t>
  </si>
  <si>
    <t>93027:TALENT ACQ CHGBK HSG</t>
  </si>
  <si>
    <t>93034:LEGAL AND COMPLIANCE CHGBK HSG</t>
  </si>
  <si>
    <t>93035:DATA ANALYTICS CHGBK HSG</t>
  </si>
  <si>
    <t>93036:ACTUARIAL CHGBK HSG</t>
  </si>
  <si>
    <t>93037:RISK CHGBK HSG</t>
  </si>
  <si>
    <t>93038:COO CHGBK HSG</t>
  </si>
  <si>
    <t>93039:FINANCE OTHER CHGBK HSG</t>
  </si>
  <si>
    <t>93041:CX CHGBK HSG</t>
  </si>
  <si>
    <t>93042:ADMIN SVCS CHGBK HSG</t>
  </si>
  <si>
    <t>93043:STRAT &amp; INNOV MGMT FEE CHGBK HSG</t>
  </si>
  <si>
    <t>113007:PROJECT FUSION</t>
  </si>
  <si>
    <t>93016:PROJECT FOREST DILIGENCE</t>
  </si>
  <si>
    <t>93060:PROJECT ARK DILIGENCE</t>
  </si>
  <si>
    <t>50951:NON GFA</t>
  </si>
  <si>
    <t>50952:GFA</t>
  </si>
  <si>
    <t>50953:ASSESSMENTS RECOUP</t>
  </si>
  <si>
    <t>50954:RECOUPMENT OF GUARANTY FUND ASSESSMENTS</t>
  </si>
  <si>
    <t>22357:LS LAE</t>
  </si>
  <si>
    <t>22358:CLAIMS DOCUMENT SUPPORT</t>
  </si>
  <si>
    <t>22360:CLAIM REINSPECTORS</t>
  </si>
  <si>
    <t>22363:LEARNING CENTER AND TRAINING</t>
  </si>
  <si>
    <t>22365:CHASE CARD HOLDER</t>
  </si>
  <si>
    <t>51725:PS ISA LAE</t>
  </si>
  <si>
    <t>51731:PROPERTY SOLUTIONS IT SPEC CLAIMS</t>
  </si>
  <si>
    <t>51732:IT MORTGAGE CLAIMS</t>
  </si>
  <si>
    <t>51734:NATIONAL FIELD STAFF ADJUSTERS</t>
  </si>
  <si>
    <t>51741:PS ASSET RECOVERY SOLUTIONS</t>
  </si>
  <si>
    <t>51750:INTERNATIONAL COL</t>
  </si>
  <si>
    <t>51776:PS FSA LAE</t>
  </si>
  <si>
    <t>51777:ISA ADMINISTRATION</t>
  </si>
  <si>
    <t>WH001</t>
  </si>
  <si>
    <t>WH001:TN MOBILE</t>
  </si>
  <si>
    <t>WH200</t>
  </si>
  <si>
    <t>WH200:TN OTHER DIRECT SUPPORT</t>
  </si>
  <si>
    <t>WH404</t>
  </si>
  <si>
    <t>WH404:FARMERS BRANCH TX FACILITY</t>
  </si>
  <si>
    <t>WH405</t>
  </si>
  <si>
    <t>WH405:OVERLAND PARK KS FACILITY</t>
  </si>
  <si>
    <t>WH406</t>
  </si>
  <si>
    <t>WH406:SAN DIEGO CA FACILITY</t>
  </si>
  <si>
    <t>WH407</t>
  </si>
  <si>
    <t>WH407:NASHVILLE FACILITY</t>
  </si>
  <si>
    <t>WH408</t>
  </si>
  <si>
    <t>WH408:CHICAGO FACILITY</t>
  </si>
  <si>
    <t>WH409</t>
  </si>
  <si>
    <t>WH409:NASHVILLE ENGINEERING FACILITY</t>
  </si>
  <si>
    <t>WH444:TN CALL CENTER SUPPORT</t>
  </si>
  <si>
    <t>WH481</t>
  </si>
  <si>
    <t>WH481:TN IT</t>
  </si>
  <si>
    <t>WH484</t>
  </si>
  <si>
    <t>WH484:TN BUSINESS ANALYSIS</t>
  </si>
  <si>
    <t>WH486</t>
  </si>
  <si>
    <t>WH486:TN IT OPERATIONS</t>
  </si>
  <si>
    <t>WH510:TN DEVICE PROTECTION</t>
  </si>
  <si>
    <t>WH625</t>
  </si>
  <si>
    <t>WH625:TN SUPPLY CHAIN BB HUB</t>
  </si>
  <si>
    <t>WH634</t>
  </si>
  <si>
    <t>WH634:TN SUPPLY CHAIN PROJECT</t>
  </si>
  <si>
    <t>WH639</t>
  </si>
  <si>
    <t>WH639:TN RESEARCH</t>
  </si>
  <si>
    <t>WH641</t>
  </si>
  <si>
    <t>WH641:TN PRODUCT TECHNOLOGY</t>
  </si>
  <si>
    <t>WH644</t>
  </si>
  <si>
    <t>WH644:TN TECH PRODUCT STRAT &amp; INNOVATION</t>
  </si>
  <si>
    <t>WH645</t>
  </si>
  <si>
    <t>WH645:TN TECH SOFTWARE DEVELOPMENT</t>
  </si>
  <si>
    <t>WH659</t>
  </si>
  <si>
    <t>WH659:TN SUPPLY CHAIN BUY-SELL OPS</t>
  </si>
  <si>
    <t>WH661</t>
  </si>
  <si>
    <t>WH661:TN SUPPLY CHAIN BUY-SELL SUPPORT</t>
  </si>
  <si>
    <t>WH662</t>
  </si>
  <si>
    <t>WH662:TN SUPPLY CHAIN GOOGLE REPAIR</t>
  </si>
  <si>
    <t>WH664</t>
  </si>
  <si>
    <t>WH664:TN SUPPLY CHAIN BBY REPAIR</t>
  </si>
  <si>
    <t>WH665</t>
  </si>
  <si>
    <t>WH665:TN SUPPLY CHAIN REPAIR</t>
  </si>
  <si>
    <t>WH669</t>
  </si>
  <si>
    <t>WH669:TN WIRELESS ADVOCATES SUPPORT</t>
  </si>
  <si>
    <t>WH671</t>
  </si>
  <si>
    <t>WH671:TN TARGET SUPPORT</t>
  </si>
  <si>
    <t>WH672</t>
  </si>
  <si>
    <t>WH672:TN SAMSUNG HUB</t>
  </si>
  <si>
    <t>WH673</t>
  </si>
  <si>
    <t>WH673:TN SAMSUNG PICKING</t>
  </si>
  <si>
    <t>WH674</t>
  </si>
  <si>
    <t>WH674:TN SUPPLY CHAIN ATT PROJECT</t>
  </si>
  <si>
    <t>WH676</t>
  </si>
  <si>
    <t>WH676:TN SUPPLY CHAIN BB PROJECT</t>
  </si>
  <si>
    <t>WH678</t>
  </si>
  <si>
    <t>WH678:TN SUPPLY CHAIN USC PROJECT</t>
  </si>
  <si>
    <t>WH680</t>
  </si>
  <si>
    <t>WH680:TN SUPPLY CHAIN GOOGLE PROJECT</t>
  </si>
  <si>
    <t>WH682</t>
  </si>
  <si>
    <t>WH682:TN SUPPLY CHAIN SAMSUNG PROJECT</t>
  </si>
  <si>
    <t>WH684</t>
  </si>
  <si>
    <t>WH684:TN SUPPLY CHAIN BUY-SELL PROJECT</t>
  </si>
  <si>
    <t>WH685</t>
  </si>
  <si>
    <t>WH685:TN SUPPLY CHAIN BUY-SELL RECEIVING</t>
  </si>
  <si>
    <t>WH686</t>
  </si>
  <si>
    <t>WH686:TN SUPPLY CHAIN APPLE PROJECT</t>
  </si>
  <si>
    <t>WH687</t>
  </si>
  <si>
    <t>WH687:TN SUPPLY CHAIN APPLE RECEIVING</t>
  </si>
  <si>
    <t>WH688</t>
  </si>
  <si>
    <t>WH688:TN WIRELESS ADVOCATES PROJECT</t>
  </si>
  <si>
    <t>WH689</t>
  </si>
  <si>
    <t>WH689:TN WIRELESS ADVOCATES RECEIVING</t>
  </si>
  <si>
    <t>WH690</t>
  </si>
  <si>
    <t>WH690:TN TARGET PROJECT</t>
  </si>
  <si>
    <t>WH691</t>
  </si>
  <si>
    <t>WH691:TN TARGET RECEIVING</t>
  </si>
  <si>
    <t>WH694</t>
  </si>
  <si>
    <t>WH694:TN DOCK RECEIPT</t>
  </si>
  <si>
    <t>WS500</t>
  </si>
  <si>
    <t>WS500:DALLAS SECURITY SERVICES</t>
  </si>
  <si>
    <t>WS791</t>
  </si>
  <si>
    <t>WS791:MOBILE INTEGRATION COSTS</t>
  </si>
  <si>
    <t>WS792</t>
  </si>
  <si>
    <t>WS792:TMOBILE BUYERS REMORSE</t>
  </si>
  <si>
    <t>WS205:CL OPS &amp; REG COMPLIANCE</t>
  </si>
  <si>
    <t>WS284</t>
  </si>
  <si>
    <t>WS284:MOBILE SERVICES ALORICA OUTSOURCING</t>
  </si>
  <si>
    <t>WS285</t>
  </si>
  <si>
    <t>WS285:MOBILE SERVICES ZV VOICE OUTSOURCING</t>
  </si>
  <si>
    <t>WS286</t>
  </si>
  <si>
    <t>WS286:MOBILE SERVICES ERC OUTSOURCING</t>
  </si>
  <si>
    <t>WS287</t>
  </si>
  <si>
    <t>WS287:MOBILE SERVICES DIAL USA OUTSOURCING</t>
  </si>
  <si>
    <t>WS292</t>
  </si>
  <si>
    <t>WS292:MOBILE SERVICES CLAIMS OPS ITS</t>
  </si>
  <si>
    <t>WS296CN</t>
  </si>
  <si>
    <t>WS296CN:FRAUD</t>
  </si>
  <si>
    <t>WS710:REVERSE LOGISTICS DIRECT</t>
  </si>
  <si>
    <t>WS741:REVERSE LOGISTICS INDIRECT</t>
  </si>
  <si>
    <t>WS746</t>
  </si>
  <si>
    <t>WS746:TMO JUMP PHP</t>
  </si>
  <si>
    <t>WS752</t>
  </si>
  <si>
    <t>WS752:YORK WS SECURITY SERVICES</t>
  </si>
  <si>
    <t>WS925</t>
  </si>
  <si>
    <t>WS925:YORK SANDHURST SECURITY SERVICES</t>
  </si>
  <si>
    <t>10242:PROJECT CAMARO</t>
  </si>
  <si>
    <t>10248:PROJECT DANGERMOUSE</t>
  </si>
  <si>
    <t>10252:PROJECT ALEGRE</t>
  </si>
  <si>
    <t>11910:GLOBAL STRATEGY</t>
  </si>
  <si>
    <t>50525:PROJECT SIGMA</t>
  </si>
  <si>
    <t>50526:GLOBAL MOBILE SERVICES BI SOLUTIONS</t>
  </si>
  <si>
    <t>54005:ORACLE ERP IT</t>
  </si>
  <si>
    <t>54016:BLUEGRASS</t>
  </si>
  <si>
    <t>54020:COMCAST IMPLEMENTATION</t>
  </si>
  <si>
    <t>GT205</t>
  </si>
  <si>
    <t>GT205:GT CHARGEBACKS AMS</t>
  </si>
  <si>
    <t>GT231</t>
  </si>
  <si>
    <t>GT231:GT CHARGEBACKS AMS CWORK R&amp;L</t>
  </si>
  <si>
    <t>GT232</t>
  </si>
  <si>
    <t>GT232:GT CHARGEBACKS AMS GENERAL MOBILE</t>
  </si>
  <si>
    <t>GT233</t>
  </si>
  <si>
    <t>GT233:GT CHARGEBACKS AMS TEXAL R&amp;L</t>
  </si>
  <si>
    <t>GT234</t>
  </si>
  <si>
    <t>GT234:GT CHARGEBACKS AMS MOBILE CLAIMS OPS</t>
  </si>
  <si>
    <t>GT235</t>
  </si>
  <si>
    <t>GT235:GT CHARGEBACKS AMS ORACLE &amp; ASPIRE</t>
  </si>
  <si>
    <t>GT236</t>
  </si>
  <si>
    <t>GT236:GT CHARGEBACKS AMS PG &amp; PTS</t>
  </si>
  <si>
    <t>W2050</t>
  </si>
  <si>
    <t>W2050:GLOBAL PRODUCT MGMT</t>
  </si>
  <si>
    <t>W20792</t>
  </si>
  <si>
    <t>W20792:FINANCE SOLUTIONS</t>
  </si>
  <si>
    <t>W6297</t>
  </si>
  <si>
    <t>W6297:PROJECT CORE</t>
  </si>
  <si>
    <t>WS100</t>
  </si>
  <si>
    <t>WS100:MOBILE ADMINISTRATION</t>
  </si>
  <si>
    <t>WS2000</t>
  </si>
  <si>
    <t>WS2000:MOBILE SERVICES DEFAULT COST CENTER</t>
  </si>
  <si>
    <t>WS225:TMUS METRO</t>
  </si>
  <si>
    <t>WS226:AT&amp;T DIRECTV</t>
  </si>
  <si>
    <t>WS227:VERIZON SAMSUNG</t>
  </si>
  <si>
    <t>WS228:REGIONAL CARRIERS &amp; OEMS</t>
  </si>
  <si>
    <t>WS229:MOBILE CLIENT FINANCIAL PARTNERSHIP</t>
  </si>
  <si>
    <t>WS300</t>
  </si>
  <si>
    <t>WS300:GSTP SUPPORT SERVICES</t>
  </si>
  <si>
    <t>WS506:SALES OPTIMIZATION CENTURY LINK</t>
  </si>
  <si>
    <t>WS507</t>
  </si>
  <si>
    <t>WS507:POCKET GEEK MOBILE DEFENSE</t>
  </si>
  <si>
    <t>WS512</t>
  </si>
  <si>
    <t>WS512:REPAIR SERVICE AGREEMENT</t>
  </si>
  <si>
    <t>WS734</t>
  </si>
  <si>
    <t>WS734:TMOBILE DIRECT SUPPORT</t>
  </si>
  <si>
    <t>WS735</t>
  </si>
  <si>
    <t>WS735:T MOBILE MDF</t>
  </si>
  <si>
    <t>WS737</t>
  </si>
  <si>
    <t>WS737:NON TMOBILE CLIENT EXPENSES</t>
  </si>
  <si>
    <t>WS738</t>
  </si>
  <si>
    <t>WS738:CHEETAH</t>
  </si>
  <si>
    <t>WS753:CONNECTED LIVING US EXECUTIVE</t>
  </si>
  <si>
    <t>WS755</t>
  </si>
  <si>
    <t>WS755:PRIVOWNY</t>
  </si>
  <si>
    <t>WS757</t>
  </si>
  <si>
    <t>WS757:PG PTP CLIENT EXPENSES</t>
  </si>
  <si>
    <t>WS759</t>
  </si>
  <si>
    <t>WS759:ASSET DISPOSITION</t>
  </si>
  <si>
    <t>WS759UK</t>
  </si>
  <si>
    <t>WS759UK:ASSET DISPOSITION EUROPE</t>
  </si>
  <si>
    <t>WS765:CL - PROTECTION SOLUTIONS</t>
  </si>
  <si>
    <t>WS768</t>
  </si>
  <si>
    <t>WS768:PROTECT SELECT</t>
  </si>
  <si>
    <t>WS801</t>
  </si>
  <si>
    <t>WS801:WAYNE FACILITY</t>
  </si>
  <si>
    <t>WS826</t>
  </si>
  <si>
    <t>WS826:SALES OPTIMIZATION USCC</t>
  </si>
  <si>
    <t>WS827</t>
  </si>
  <si>
    <t>WS827:SALES OPTIMIZATION SPRINT</t>
  </si>
  <si>
    <t>WS835:SALES OPTIMIZATION CPR</t>
  </si>
  <si>
    <t>WS836:SALES OPTIMIZATION GE TECH</t>
  </si>
  <si>
    <t>WS837</t>
  </si>
  <si>
    <t>WS837:SALES OPTIMIZATION BLUE NILE</t>
  </si>
  <si>
    <t>WS838</t>
  </si>
  <si>
    <t>WS838:SALES OPTIMIZATION REEDS</t>
  </si>
  <si>
    <t>WS839</t>
  </si>
  <si>
    <t>WS839:SALES OPTIMIZATION SUMMIT RACING</t>
  </si>
  <si>
    <t>WS840:SALES OPTIMIZATION AT&amp;T</t>
  </si>
  <si>
    <t>WS900</t>
  </si>
  <si>
    <t>WS900:WIN NEW SALES</t>
  </si>
  <si>
    <t>10241:PROJECT JAMES</t>
  </si>
  <si>
    <t>10249:PROJECT LAND ROVER</t>
  </si>
  <si>
    <t>10253:PROJECT FOX</t>
  </si>
  <si>
    <t>WS514</t>
  </si>
  <si>
    <t>WS514:CELLPHONE REPAIR INDEPENDENCE FACILITY</t>
  </si>
  <si>
    <t>WS515</t>
  </si>
  <si>
    <t>WS515:CELLPHONE REPAIR STRONGSVILLE FACILITY</t>
  </si>
  <si>
    <t>WS953</t>
  </si>
  <si>
    <t>WS953:FACILITIES MGMT ENG YORK GRUMBACHER</t>
  </si>
  <si>
    <t>T1045</t>
  </si>
  <si>
    <t>T1045:WESTFIELD MALL AT MONTGOMERY</t>
  </si>
  <si>
    <t>T1269</t>
  </si>
  <si>
    <t>T1269:CASTLETON SQUARE</t>
  </si>
  <si>
    <t>T1302</t>
  </si>
  <si>
    <t>T1302:PONCE DE LEON BLVD &amp; ALHAMBRA</t>
  </si>
  <si>
    <t>T1SNY</t>
  </si>
  <si>
    <t>T1SNY:PARAMOUNT BLVD &amp; CALIFORNIA AVE</t>
  </si>
  <si>
    <t>T1SQR</t>
  </si>
  <si>
    <t>T1SQR:HIGHLAND AVE &amp; SEINE CT</t>
  </si>
  <si>
    <t>T2SAX</t>
  </si>
  <si>
    <t>T2SAX:MISSION ST &amp; JESSIE ST W</t>
  </si>
  <si>
    <t>T2SEO</t>
  </si>
  <si>
    <t>T2SEO:N POINT PKWY &amp; N POINT MALL ENTRANCE</t>
  </si>
  <si>
    <t>T2SFG</t>
  </si>
  <si>
    <t>T2SFG:HWY 138 SE &amp; STOCKBRIDGE RD</t>
  </si>
  <si>
    <t>T2SLC</t>
  </si>
  <si>
    <t>T2SLC:SW 19TH AVE RD &amp; SW 24TH AVE</t>
  </si>
  <si>
    <t>T2SLN</t>
  </si>
  <si>
    <t>T2SLN:MONTGOMERY HWY &amp; I 459 N</t>
  </si>
  <si>
    <t>T3444</t>
  </si>
  <si>
    <t>T3444:I-45 &amp; FM 1960</t>
  </si>
  <si>
    <t>T3SBP</t>
  </si>
  <si>
    <t>T3SBP:GRAND AVE &amp; N HUNT CLUB RD</t>
  </si>
  <si>
    <t>T3SDP</t>
  </si>
  <si>
    <t>T3SDP:95TH ST &amp; RIDGELAND AVE</t>
  </si>
  <si>
    <t>T3SIF</t>
  </si>
  <si>
    <t>T3SIF:W DODGE RD &amp; N 115TH ST</t>
  </si>
  <si>
    <t>T3SJB</t>
  </si>
  <si>
    <t>T3SJB:BLUEBONNET BLVD &amp; PERKINS RD 2</t>
  </si>
  <si>
    <t>T3SRC</t>
  </si>
  <si>
    <t>T3SRC:GREEN ACRES MALL 7</t>
  </si>
  <si>
    <t>T3SRX</t>
  </si>
  <si>
    <t>T3SRX:AMITY ST &amp; E 5TH AVE</t>
  </si>
  <si>
    <t>T4438</t>
  </si>
  <si>
    <t>T4438:KING ST &amp; MARLEE WAY</t>
  </si>
  <si>
    <t>T4SLP</t>
  </si>
  <si>
    <t>T4SLP:24 ONE HALF RD &amp; US HWY 6</t>
  </si>
  <si>
    <t>T4SLQ</t>
  </si>
  <si>
    <t>T4SLQ:S UNIVERSITY DR &amp; SW 6TH ST</t>
  </si>
  <si>
    <t>T4SLR</t>
  </si>
  <si>
    <t>T4SLR:S PULASKI RD &amp; W 47 ST</t>
  </si>
  <si>
    <t>T4SLS</t>
  </si>
  <si>
    <t>T4SLS:MANHATTAN BLVD &amp; UTE DR</t>
  </si>
  <si>
    <t>T534F</t>
  </si>
  <si>
    <t>T534F:ALA LILIKOI &amp; SALT LAKE 2</t>
  </si>
  <si>
    <t>T5411</t>
  </si>
  <si>
    <t>T5411:N EXPRESSWAY &amp; FM 802</t>
  </si>
  <si>
    <t>T5521</t>
  </si>
  <si>
    <t>T5521:LAS VEGAS STRIP</t>
  </si>
  <si>
    <t>T5853</t>
  </si>
  <si>
    <t>T5853:UNIVERSITY DR &amp; PERIMETER PKWY</t>
  </si>
  <si>
    <t>T7390</t>
  </si>
  <si>
    <t>T7390:WEST COVINA MALL 2</t>
  </si>
  <si>
    <t>T7601</t>
  </si>
  <si>
    <t>T7601:CLINTON CORRIDOR</t>
  </si>
  <si>
    <t>T7855</t>
  </si>
  <si>
    <t>T7855:HIGHWAY 10 &amp; ROUND LAKE BLVD</t>
  </si>
  <si>
    <t>T7914</t>
  </si>
  <si>
    <t>T7914:GESSNER &amp; HWY 249</t>
  </si>
  <si>
    <t>T7939</t>
  </si>
  <si>
    <t>T7939:SUGARLOAF WIRELESS OUTLET</t>
  </si>
  <si>
    <t>T8430</t>
  </si>
  <si>
    <t>T8430:RT 59 &amp; FOX VALLEY CENTER</t>
  </si>
  <si>
    <t>T8444</t>
  </si>
  <si>
    <t>T8444:RED HILL &amp; EDINGER</t>
  </si>
  <si>
    <t>T8542</t>
  </si>
  <si>
    <t>T8542:STORY &amp; KING</t>
  </si>
  <si>
    <t>T8572</t>
  </si>
  <si>
    <t>T8572:PENN &amp; I-494</t>
  </si>
  <si>
    <t>T8581</t>
  </si>
  <si>
    <t>T8581:5TH &amp; 50TH BROOKLYN</t>
  </si>
  <si>
    <t>T8631</t>
  </si>
  <si>
    <t>T8631:OLATHE W 119 ST &amp; STRANG LINE RD</t>
  </si>
  <si>
    <t>T9311</t>
  </si>
  <si>
    <t>T9311:PARHAM RD &amp; STAPLES MILL RD</t>
  </si>
  <si>
    <t>T9356</t>
  </si>
  <si>
    <t>T9356:SKIBO RD &amp; CHASON RIDGE DR</t>
  </si>
  <si>
    <t>T9376</t>
  </si>
  <si>
    <t>T9376:CREEKSIDE PLAZA</t>
  </si>
  <si>
    <t>T9397</t>
  </si>
  <si>
    <t>T9397:CONGAREE</t>
  </si>
  <si>
    <t>T9515</t>
  </si>
  <si>
    <t>T9515:BROADWAY &amp; STEINWAY ST</t>
  </si>
  <si>
    <t>T9521</t>
  </si>
  <si>
    <t>T9521:SUDLEY RD &amp; STREAMWALK LN</t>
  </si>
  <si>
    <t>T9741</t>
  </si>
  <si>
    <t>T9741:LAFAYETTE RD &amp; I-65</t>
  </si>
  <si>
    <t>TM001</t>
  </si>
  <si>
    <t>TM001:S&amp;R DEPOT</t>
  </si>
  <si>
    <t>TM002</t>
  </si>
  <si>
    <t>TM002:S&amp;R STORES</t>
  </si>
  <si>
    <t>WS521</t>
  </si>
  <si>
    <t>WS521:PROJECT GUARDIAN</t>
  </si>
  <si>
    <t>93809:LITIGATION EXPENSE AMS</t>
  </si>
  <si>
    <t>U9980</t>
  </si>
  <si>
    <t>U9980:NEW CONSUMER INITIATIVES</t>
  </si>
  <si>
    <t>W20350</t>
  </si>
  <si>
    <t>W20350:SAMSUNG CD</t>
  </si>
  <si>
    <t>W20351</t>
  </si>
  <si>
    <t>W20351:LGCD</t>
  </si>
  <si>
    <t>W20703</t>
  </si>
  <si>
    <t>W20703:SEARS DIRECT MARKETING</t>
  </si>
  <si>
    <t>W20706</t>
  </si>
  <si>
    <t>W20706:CD IT</t>
  </si>
  <si>
    <t>W20709</t>
  </si>
  <si>
    <t>W20709:DEALER GROUP MARKETING</t>
  </si>
  <si>
    <t>W20751</t>
  </si>
  <si>
    <t>W20751:WHIRLPOOL DIRECT MARKETING</t>
  </si>
  <si>
    <t>W20753</t>
  </si>
  <si>
    <t>W20753:CARCHEX</t>
  </si>
  <si>
    <t>W20755</t>
  </si>
  <si>
    <t>W20755:CONNSCD MKTG</t>
  </si>
  <si>
    <t>W20763</t>
  </si>
  <si>
    <t>W20763:LOUISVILLE KY FACILITIES MGMT</t>
  </si>
  <si>
    <t>W20951</t>
  </si>
  <si>
    <t>W20951:AMERICAN FREIGHT AFTMKT</t>
  </si>
  <si>
    <t>W61642</t>
  </si>
  <si>
    <t>W61642:LOWES CD</t>
  </si>
  <si>
    <t>10211:PROTECT YOUR BUBBLE DOMESTIC</t>
  </si>
  <si>
    <t>20251:LOWES TRANSITION</t>
  </si>
  <si>
    <t>93103:EPS GO GET</t>
  </si>
  <si>
    <t>93500:EXTENDED PROTECTION SOLUTIONS</t>
  </si>
  <si>
    <t>93501:EBAY</t>
  </si>
  <si>
    <t>U9924</t>
  </si>
  <si>
    <t>U9924:AMAZON</t>
  </si>
  <si>
    <t>W20152</t>
  </si>
  <si>
    <t>W20152:NFM</t>
  </si>
  <si>
    <t>W20650</t>
  </si>
  <si>
    <t>W20650:JEWELRY CLIENTS</t>
  </si>
  <si>
    <t>W20701</t>
  </si>
  <si>
    <t>W20701:ESC BAD DEBT</t>
  </si>
  <si>
    <t>W20759</t>
  </si>
  <si>
    <t>W20759:CONNECTED LIVING GENERAL</t>
  </si>
  <si>
    <t>W20761</t>
  </si>
  <si>
    <t>W20761:SAMSUNG</t>
  </si>
  <si>
    <t>W20790</t>
  </si>
  <si>
    <t>W20790:HARBOR FREIGHT</t>
  </si>
  <si>
    <t>W20794:HOME SOLUTIONS IMPLEMENTATION</t>
  </si>
  <si>
    <t>W20795</t>
  </si>
  <si>
    <t>W20795:GOOGLE ESC</t>
  </si>
  <si>
    <t>54001BZ</t>
  </si>
  <si>
    <t>54001BZ:CONNECTED LIVING BZ AE</t>
  </si>
  <si>
    <t>GT210</t>
  </si>
  <si>
    <t>GT210:GT CHARGEBACKS HRO</t>
  </si>
  <si>
    <t>GT211</t>
  </si>
  <si>
    <t>GT211:GT CHARGEBACKS CONNECTED HOME</t>
  </si>
  <si>
    <t>W20770</t>
  </si>
  <si>
    <t>W20770:ESC IT</t>
  </si>
  <si>
    <t>W20800</t>
  </si>
  <si>
    <t>W20800:EPS DATA MANAGEMENT</t>
  </si>
  <si>
    <t>10213:XFINITY PGHOME</t>
  </si>
  <si>
    <t>10224:REEDS JEWELERS</t>
  </si>
  <si>
    <t>50100:HRO ADMIN</t>
  </si>
  <si>
    <t>W20705</t>
  </si>
  <si>
    <t>W20705:BLUE NILE</t>
  </si>
  <si>
    <t>W20710</t>
  </si>
  <si>
    <t>W20710:SUMMIT RACING</t>
  </si>
  <si>
    <t>W20950</t>
  </si>
  <si>
    <t>W20950:AMERICAN FREIGHT</t>
  </si>
  <si>
    <t>W20953</t>
  </si>
  <si>
    <t>W20953:TMO PGHOME</t>
  </si>
  <si>
    <t>W20954</t>
  </si>
  <si>
    <t>W20954:NEW BUSINESS OPS</t>
  </si>
  <si>
    <t>20250:LOWES SERVICE DELIVERY</t>
  </si>
  <si>
    <t>42534:ELECTROLUX</t>
  </si>
  <si>
    <t>W20153</t>
  </si>
  <si>
    <t>W20153:NATIONAL SERVICE NETWORK EPS</t>
  </si>
  <si>
    <t>W20250</t>
  </si>
  <si>
    <t>W20250:CLAIMS AUDIT</t>
  </si>
  <si>
    <t>W20900</t>
  </si>
  <si>
    <t>W20900:SERVICE POWER</t>
  </si>
  <si>
    <t>W61792</t>
  </si>
  <si>
    <t>W61792:SERVICE LOCATING</t>
  </si>
  <si>
    <t>W61793</t>
  </si>
  <si>
    <t>W61793:ADDISON CLAIMS</t>
  </si>
  <si>
    <t>W61794</t>
  </si>
  <si>
    <t>W61794:EPS SERVICE DELIVERY ITS EXPENSE</t>
  </si>
  <si>
    <t>20252:LOWES FRONTLINE</t>
  </si>
  <si>
    <t>20253:LOWES SUPPORT</t>
  </si>
  <si>
    <t>20254:LOWES CHAT</t>
  </si>
  <si>
    <t>20255:LOWES BACK OFFICE SUPPORT</t>
  </si>
  <si>
    <t>22236:CCS IT ONLY</t>
  </si>
  <si>
    <t>G40018</t>
  </si>
  <si>
    <t>G40018:ALBANY FRONTLINE WFH</t>
  </si>
  <si>
    <t>G40019</t>
  </si>
  <si>
    <t>G40019:ALBANY CUSTOMER RELATIONS WFH</t>
  </si>
  <si>
    <t>W20150</t>
  </si>
  <si>
    <t>W20150:ALBANY FRONTLINE</t>
  </si>
  <si>
    <t>W20151</t>
  </si>
  <si>
    <t>W20151:ELECTROLUX CUSTOMER CARE</t>
  </si>
  <si>
    <t>W20200</t>
  </si>
  <si>
    <t>W20200:ALORICA OUTSOURCE</t>
  </si>
  <si>
    <t>W20201</t>
  </si>
  <si>
    <t>W20201:EGS OUTSOURCE</t>
  </si>
  <si>
    <t>W20500</t>
  </si>
  <si>
    <t>W20500:GENERAL OPERATIONS</t>
  </si>
  <si>
    <t>W20501</t>
  </si>
  <si>
    <t>W20501:EPS CALL CENTER MANAGEMENT</t>
  </si>
  <si>
    <t>W20600:HOME SOLUTIONS CUSTOMER SERVICE SUPPORT</t>
  </si>
  <si>
    <t>W20702</t>
  </si>
  <si>
    <t>W20702:CHAT AGENTS</t>
  </si>
  <si>
    <t>W20741</t>
  </si>
  <si>
    <t>W20741:EPS CLAIMS SUPPORT ALBANY</t>
  </si>
  <si>
    <t>W61777</t>
  </si>
  <si>
    <t>W61777:WORK FORCE PLANNING</t>
  </si>
  <si>
    <t>W61783</t>
  </si>
  <si>
    <t>W61783:EPS TRAINING</t>
  </si>
  <si>
    <t>93509:LITIGATION EXPENSE EPS</t>
  </si>
  <si>
    <t>W20793</t>
  </si>
  <si>
    <t>W20793:PGH CPR CH</t>
  </si>
  <si>
    <t>W20952</t>
  </si>
  <si>
    <t>W20952:DETROIT ENERGY</t>
  </si>
  <si>
    <t>54893:SHIPSURANCE INTEGRATION</t>
  </si>
  <si>
    <t>93208:SHIPSURANCE INSURANCE SERV</t>
  </si>
  <si>
    <t>93211:SHIPSURANCE LOS ANGELES FACILITY</t>
  </si>
  <si>
    <t>17901:TWG ESC</t>
  </si>
  <si>
    <t>17904:TWG MOBILE</t>
  </si>
  <si>
    <t>17907:PGAAP NORTH AMERICA ESC</t>
  </si>
  <si>
    <t>3006:Customer Care - Chicago</t>
  </si>
  <si>
    <t>3008:Specialty-Chicago</t>
  </si>
  <si>
    <t>3022:Sales Processing - Chicago</t>
  </si>
  <si>
    <t>GT263</t>
  </si>
  <si>
    <t>GT263:GT CHARGEBACKS TWG US ESC</t>
  </si>
  <si>
    <t>GT264</t>
  </si>
  <si>
    <t>GT264:GT CHARGEBACKS TWG US MOBILE</t>
  </si>
  <si>
    <t>2003:RA Printing &amp; Shipping</t>
  </si>
  <si>
    <t>2012:Emp Lic Fee Renewals</t>
  </si>
  <si>
    <t>2013:Eastern Division</t>
  </si>
  <si>
    <t>2037:TWG Securities</t>
  </si>
  <si>
    <t>2042:RA General</t>
  </si>
  <si>
    <t>2070:RA - IT</t>
  </si>
  <si>
    <t>2071:Sales Team Auto Growth US</t>
  </si>
  <si>
    <t>AA028</t>
  </si>
  <si>
    <t>AA028:AFAS ADS FIELD INTEGRATION</t>
  </si>
  <si>
    <t>ADS2001:NORTHEAST</t>
  </si>
  <si>
    <t>ADS2002:MID CENTRAL</t>
  </si>
  <si>
    <t>ADS2003:ATLANTIC</t>
  </si>
  <si>
    <t>ADS2004:SOUTHEAST</t>
  </si>
  <si>
    <t>ADS2005:MIDWEST</t>
  </si>
  <si>
    <t>ADS2006:GREAT PLAINS</t>
  </si>
  <si>
    <t>ADS2007:GULF SOUTH</t>
  </si>
  <si>
    <t>ADS2008:PACIFIC SOUTHWEST</t>
  </si>
  <si>
    <t>ADS2009:PACIFIC NORTHWEST</t>
  </si>
  <si>
    <t>10214:DIGITAL VSC</t>
  </si>
  <si>
    <t>15B0</t>
  </si>
  <si>
    <t>15B0:Budget Cost Savings</t>
  </si>
  <si>
    <t>17903:TWG VSC</t>
  </si>
  <si>
    <t>17916:PGAAP NORTH AMERICA VSC</t>
  </si>
  <si>
    <t>2011:NADA</t>
  </si>
  <si>
    <t>2015:CarMax &amp; Digital Auto</t>
  </si>
  <si>
    <t>2020:Audi PACs</t>
  </si>
  <si>
    <t>2052:RAS New Business</t>
  </si>
  <si>
    <t>2080:VSC CANADA BRANCH</t>
  </si>
  <si>
    <t>2100:AutoNation Printing</t>
  </si>
  <si>
    <t>7471:PROJECT TVS TWG</t>
  </si>
  <si>
    <t>8000:RAG - Misc Write Offs</t>
  </si>
  <si>
    <t>8115:Hendrick Printing</t>
  </si>
  <si>
    <t>8123:RAG Printing</t>
  </si>
  <si>
    <t>93600:VPS DEFAULT CENTER</t>
  </si>
  <si>
    <t>AA004</t>
  </si>
  <si>
    <t>AA004:AFAS TRAINING SUPPORT</t>
  </si>
  <si>
    <t>AA071:ASSURANT TRAINING ACADEMY</t>
  </si>
  <si>
    <t>AA072:ATA BILLABLE EXPENSES</t>
  </si>
  <si>
    <t>GT215</t>
  </si>
  <si>
    <t>GT215:GT CHARGEBACKS VPS</t>
  </si>
  <si>
    <t>GT262</t>
  </si>
  <si>
    <t>GT262:GT CHARGEBACKS TWG US AUTO</t>
  </si>
  <si>
    <t>U30000</t>
  </si>
  <si>
    <t>U30000:VPS DEFAULT CENTER</t>
  </si>
  <si>
    <t>U9929:AFFINITY SALES</t>
  </si>
  <si>
    <t>U9936:AFFINITY ACCOUNT EXECUTIVES</t>
  </si>
  <si>
    <t>U9950</t>
  </si>
  <si>
    <t>U9950:VPS CONFERENCES AND MEETINGS</t>
  </si>
  <si>
    <t>U9982</t>
  </si>
  <si>
    <t>U9982:INACTIVE VSC IT</t>
  </si>
  <si>
    <t>U9999</t>
  </si>
  <si>
    <t>U9999:VPS DEFAULT DEFAULT</t>
  </si>
  <si>
    <t>17910:AUTO CUSTOMER SERVICE</t>
  </si>
  <si>
    <t>2000:CS - STRATEGIC ACCOUNTS</t>
  </si>
  <si>
    <t>2001:CS - DEALER SERVICES</t>
  </si>
  <si>
    <t>5039:AUTO CLAIMS</t>
  </si>
  <si>
    <t>5042:CLAIMS AIZ INDIA</t>
  </si>
  <si>
    <t>5043:PAYMENTS AIZ INDIA</t>
  </si>
  <si>
    <t>5044:TESTING AIZ INDIA</t>
  </si>
  <si>
    <t>5049:INCONTACT</t>
  </si>
  <si>
    <t>5050:DATA MGT AIZ INDIA</t>
  </si>
  <si>
    <t>5062:CUSTOMER OPERATIONS VENDOR</t>
  </si>
  <si>
    <t>7507:US CLAIMS ADJUDICATION</t>
  </si>
  <si>
    <t>7508:US CLAIMS PAYMENTS</t>
  </si>
  <si>
    <t>7509:US IT PROCESS</t>
  </si>
  <si>
    <t>7511:GCC MANAGEMENT</t>
  </si>
  <si>
    <t>8101:CS - AGENT SERVICES</t>
  </si>
  <si>
    <t>AW005</t>
  </si>
  <si>
    <t>AW005:AFWC GAP ADMINISTRATION</t>
  </si>
  <si>
    <t>U9925:AUTO CUSTOMER SERVICE</t>
  </si>
  <si>
    <t>U9926:AUTO CLAIMS</t>
  </si>
  <si>
    <t>U9927:AUTO CLAIMS MANAGEMENT</t>
  </si>
  <si>
    <t>U9928:AUTO ECLAIMS</t>
  </si>
  <si>
    <t>U9930:AUTO OPS SUPPORT</t>
  </si>
  <si>
    <t>AA002:AFAS EXECUTIVE</t>
  </si>
  <si>
    <t>AA089</t>
  </si>
  <si>
    <t>AA089:AFAS REGION 89 MARKETING NATIONAL CONVENTIONS</t>
  </si>
  <si>
    <t>AA097</t>
  </si>
  <si>
    <t>AA097:AFAS REGION 97 MARKETING DEALER TECH SUPPORT</t>
  </si>
  <si>
    <t>AA998</t>
  </si>
  <si>
    <t>AA998:ADS DAC</t>
  </si>
  <si>
    <t>AA999</t>
  </si>
  <si>
    <t>AA999:AFAS OTHER</t>
  </si>
  <si>
    <t>AW001</t>
  </si>
  <si>
    <t>AW001:AFWC HOME OFFICE</t>
  </si>
  <si>
    <t>AW007</t>
  </si>
  <si>
    <t>AW007:AFWC RISK TRANSFER</t>
  </si>
  <si>
    <t>AW008</t>
  </si>
  <si>
    <t>AW008:AFWC UNDERWRITING SYSTEMS</t>
  </si>
  <si>
    <t>AW010</t>
  </si>
  <si>
    <t>AW010:AFWC EXECUTIVE</t>
  </si>
  <si>
    <t>10257:PROJECT BLACK CATS</t>
  </si>
  <si>
    <t>20257:BLACK CATS</t>
  </si>
  <si>
    <t>20258:ALI GENERAL</t>
  </si>
  <si>
    <t>93203:COMMERCIAL EQUP SALES &amp; SUPPORT</t>
  </si>
  <si>
    <t>EP003:CNH SALES</t>
  </si>
  <si>
    <t>93609:VPS LITIGATION</t>
  </si>
  <si>
    <t>10811:IL PRODUCT STRATEGIES</t>
  </si>
  <si>
    <t>10814:IL FORMS PRINTING</t>
  </si>
  <si>
    <t>10815:CL CLIENT MGMT 1</t>
  </si>
  <si>
    <t>11101:CUSTOMER EXPERIENCE</t>
  </si>
  <si>
    <t>11102:NON DFS CLAIMS</t>
  </si>
  <si>
    <t>11113:INSTALLMENT LENDING</t>
  </si>
  <si>
    <t>11118:DFS SITE MANAGEMENT</t>
  </si>
  <si>
    <t>11121:DOCUMENT CONTROL</t>
  </si>
  <si>
    <t>17902:TWG CREDIT</t>
  </si>
  <si>
    <t>17906:PGAAP NORTH AMERICA CREDIT</t>
  </si>
  <si>
    <t>19010:IL PREMIUM PROCESSING</t>
  </si>
  <si>
    <t>19011:IL SYSTEM SUPPORT IT</t>
  </si>
  <si>
    <t>19013:IL SYSTEM SUPPORT PREMIUM</t>
  </si>
  <si>
    <t>19014:IL RATES AND ADMINISTRATION</t>
  </si>
  <si>
    <t>19015:IL SYSTEM SUPPORT CLIENT IMPLEMENTATION</t>
  </si>
  <si>
    <t>19016:IL SYSTEM SUPPORT CLIENT REQUESTS</t>
  </si>
  <si>
    <t>19060:IL DIRECT RESPONSE OPERATIONS</t>
  </si>
  <si>
    <t>20640:PPO OPERATIONS ANALYSTS</t>
  </si>
  <si>
    <t>20643:PPO OPS ANALYST TEAM 2</t>
  </si>
  <si>
    <t>20644:CANADA MOB BUSINESS ANALYSTS</t>
  </si>
  <si>
    <t>22237:CL CLIENT MGMT 2</t>
  </si>
  <si>
    <t>22238:CONNECTED LIVING CLIENT MANAGEMENT</t>
  </si>
  <si>
    <t>22260:PPO MAIL DATA ENTRY FULFILLMENT</t>
  </si>
  <si>
    <t>22261:PPO PRODUCTION IT ONLY ALLOCATION</t>
  </si>
  <si>
    <t>22263:EPS BUSINESS ANALYSIS</t>
  </si>
  <si>
    <t>22264:DFS FILENET CONVERSION</t>
  </si>
  <si>
    <t>22267:PPO CANADA SPECIFIC IT EXPENSES</t>
  </si>
  <si>
    <t>22269:PPO P R SPECIFIC IT EXPENSES CREDIT MOB</t>
  </si>
  <si>
    <t>22271:PPO GLOBAL IT ONLY EXPENSES</t>
  </si>
  <si>
    <t>50611:DFS CLIENT INITIATED SPECIAL MAILINGS</t>
  </si>
  <si>
    <t>50640:PPO OPS ANALYST CLAIMS</t>
  </si>
  <si>
    <t>51701:COMPLIANCE</t>
  </si>
  <si>
    <t>51710:IL SYSTEM SUPPORT CLAIMS</t>
  </si>
  <si>
    <t>51713:CL OVERSIGHT RISK</t>
  </si>
  <si>
    <t>51715:PPO CLAIMS SYSTEM SUPPORT</t>
  </si>
  <si>
    <t>51716:GLOBAL SYSTEM CHANGES</t>
  </si>
  <si>
    <t>52000:CL CLIENT AND RISK MGMT</t>
  </si>
  <si>
    <t>6009:Global Controller</t>
  </si>
  <si>
    <t>93100:DIVERSIFIED FINANCIAL SERVICES</t>
  </si>
  <si>
    <t>93109:LITIGATION EXPENSE DFS</t>
  </si>
  <si>
    <t>G40015</t>
  </si>
  <si>
    <t>G40015:MBNA</t>
  </si>
  <si>
    <t>G40017</t>
  </si>
  <si>
    <t>G40017:TELECOM ALLOCATIONS</t>
  </si>
  <si>
    <t>G40020</t>
  </si>
  <si>
    <t>G40020:RETENTION CS OUTSOURCING</t>
  </si>
  <si>
    <t>G40021</t>
  </si>
  <si>
    <t>G40021:GE SEARS BUSINESS</t>
  </si>
  <si>
    <t>G40023</t>
  </si>
  <si>
    <t>G40023:CITIBANK CCO</t>
  </si>
  <si>
    <t>G40028</t>
  </si>
  <si>
    <t>G40028:DELL</t>
  </si>
  <si>
    <t>G40029</t>
  </si>
  <si>
    <t>G40029:BARCLAYS</t>
  </si>
  <si>
    <t>G40032</t>
  </si>
  <si>
    <t>G40032:CALL CENTER OPS COB</t>
  </si>
  <si>
    <t>G40104</t>
  </si>
  <si>
    <t>G40104:ADMINISTRATION LAWTON</t>
  </si>
  <si>
    <t>G40110</t>
  </si>
  <si>
    <t>G40110:CONTACT CENTER OPERATIONS LAWTON</t>
  </si>
  <si>
    <t>GT201</t>
  </si>
  <si>
    <t>GT201:GT CHARGEBACKS DFS</t>
  </si>
  <si>
    <t>GT265</t>
  </si>
  <si>
    <t>GT265:GT CHARGEBACKS TWG US CREDIT</t>
  </si>
  <si>
    <t>W20750</t>
  </si>
  <si>
    <t>W20750:EPS OPERATIONS AND BUSINESS ANALYSIS</t>
  </si>
  <si>
    <t>10233:ASSISTANCE AND FIN SERVICES</t>
  </si>
  <si>
    <t>19063:IT DRO INS ALLOC ONLY</t>
  </si>
  <si>
    <t>53951:IT HOMEOWNERS ALLOC ONLY</t>
  </si>
  <si>
    <t>93311:PROJECT BEEHIVE</t>
  </si>
  <si>
    <t>93312:WF EXPENSE REIMB</t>
  </si>
  <si>
    <t>GT202</t>
  </si>
  <si>
    <t>GT202:GT CHARGEBACKS VOL</t>
  </si>
  <si>
    <t>11107:DEBT</t>
  </si>
  <si>
    <t>19061:AFS DIRECT SALES AND SERVICE OPS</t>
  </si>
  <si>
    <t>19065:WF CARD BENEFITS</t>
  </si>
  <si>
    <t>38520:FORD PREMIUM SERVICES</t>
  </si>
  <si>
    <t>FS1000:CLAIMS &amp; BACK OFFICE</t>
  </si>
  <si>
    <t>FS1001:CALL CENTER</t>
  </si>
  <si>
    <t>FS1002:OPM</t>
  </si>
  <si>
    <t>FS1003:QUALITY</t>
  </si>
  <si>
    <t>FS1004</t>
  </si>
  <si>
    <t>FS1004:ESCALATIONS</t>
  </si>
  <si>
    <t>FS2000:CLAIMS &amp; BACK OFFICE</t>
  </si>
  <si>
    <t>FS2001:CALL CENTER ENROLLMENTS</t>
  </si>
  <si>
    <t>FS2002:OPM</t>
  </si>
  <si>
    <t>FS2003:QUALITY</t>
  </si>
  <si>
    <t>FS2004:ESCALATIONS</t>
  </si>
  <si>
    <t>FS2005:CALL CENTER CLAIMS</t>
  </si>
  <si>
    <t>FS3000:CLAIMS &amp; BACK OFFICE</t>
  </si>
  <si>
    <t>FS3001:CALL CENTER</t>
  </si>
  <si>
    <t>FS3002:OPM</t>
  </si>
  <si>
    <t>FS3003:QUALITY</t>
  </si>
  <si>
    <t>FS3004:ESCALATIONS</t>
  </si>
  <si>
    <t>10105:Corporate Planning</t>
  </si>
  <si>
    <t>10148:LFS PLACEHOLDER</t>
  </si>
  <si>
    <t>10170UK</t>
  </si>
  <si>
    <t>10170UK:CORP ROLE UK</t>
  </si>
  <si>
    <t>10178:GLOBAL LIFESTYLE</t>
  </si>
  <si>
    <t>10209:PROJECT HOMEBASE</t>
  </si>
  <si>
    <t>10226:TOTAL 360</t>
  </si>
  <si>
    <t>10235:PROJECT DAREDEVIL CO</t>
  </si>
  <si>
    <t>10821:FEDEX SHARED MAILROOM</t>
  </si>
  <si>
    <t>11900:SOLUTIONS EXECUTIVE OFFICE</t>
  </si>
  <si>
    <t>11900UK</t>
  </si>
  <si>
    <t>11900UK:PYB SOL EXEC</t>
  </si>
  <si>
    <t>11980:GLOBAL STRATEGY AND MERGERS AND ACQ</t>
  </si>
  <si>
    <t>11982:MOBILE OTHER</t>
  </si>
  <si>
    <t>12010:AGENCY</t>
  </si>
  <si>
    <t>93006:IT CHGBK LFS</t>
  </si>
  <si>
    <t>93007:ACT CHGBK LFS</t>
  </si>
  <si>
    <t>93019UK</t>
  </si>
  <si>
    <t>93019UK:LIFESTYLE LEADERSHIP UK</t>
  </si>
  <si>
    <t>93020:LIFESTYLE DOMESTIC</t>
  </si>
  <si>
    <t>93021:LIFESTYLE INTERNATIONAL</t>
  </si>
  <si>
    <t>93800:GW INTERNATIONAL ALLOCATION</t>
  </si>
  <si>
    <t>DIC315</t>
  </si>
  <si>
    <t>DIC315:DISASTER RECOVERY ADDISON</t>
  </si>
  <si>
    <t>GT251</t>
  </si>
  <si>
    <t>GT251:GT CHARGEBACKS LIFESTYLE OTHER</t>
  </si>
  <si>
    <t>10200:LFS SEGMENT FINANCIAL REPORTING</t>
  </si>
  <si>
    <t>10204:FIN REP MIA FOR ACT CHARGES</t>
  </si>
  <si>
    <t>10259:INTERNATIONAL ACCOUNTING</t>
  </si>
  <si>
    <t>10271:CL OPERATIONS</t>
  </si>
  <si>
    <t>10272:MOBILE ACCOUNTING</t>
  </si>
  <si>
    <t>10273:HRO AND FS ACCOUNTING</t>
  </si>
  <si>
    <t>10274:AUTO ACCOUNTING</t>
  </si>
  <si>
    <t>11112:CLAIMS ACCOUNTING DFS</t>
  </si>
  <si>
    <t>11225UK</t>
  </si>
  <si>
    <t>11225UK:INTERNATIONAL FINANCE UK</t>
  </si>
  <si>
    <t>3021:Financial Systems Domestic</t>
  </si>
  <si>
    <t>51500PR</t>
  </si>
  <si>
    <t>51500PR:PR FINANCIAL PROFIT AND ANALYST CAPIC</t>
  </si>
  <si>
    <t>6008:Financial Systems Global</t>
  </si>
  <si>
    <t>6051:Stat Reporting</t>
  </si>
  <si>
    <t>6053:Intl Financial Reporting</t>
  </si>
  <si>
    <t>6054:Budget and Planning</t>
  </si>
  <si>
    <t>6151:Cash Applications</t>
  </si>
  <si>
    <t>9999:Expense Allocation Department</t>
  </si>
  <si>
    <t>W20754</t>
  </si>
  <si>
    <t>W20754:ACCOUNTING CLIENT OPERATIONS</t>
  </si>
  <si>
    <t>10742:MFD LIFESTYLE</t>
  </si>
  <si>
    <t>32171:RAPID CITY SD FACILITY</t>
  </si>
  <si>
    <t>32172:ALBANY OR FACILITY</t>
  </si>
  <si>
    <t>AA063</t>
  </si>
  <si>
    <t>AA063:OAK RIDGE N TX FACILITY</t>
  </si>
  <si>
    <t>AA064</t>
  </si>
  <si>
    <t>AA064:MONTGOMERY TX FACILITY</t>
  </si>
  <si>
    <t>AW011</t>
  </si>
  <si>
    <t>AW011:AFWC HOUSTON TX FACILITY</t>
  </si>
  <si>
    <t>EP002</t>
  </si>
  <si>
    <t>EP002:MEMPHIS FACILITY - EPG</t>
  </si>
  <si>
    <t>U9966</t>
  </si>
  <si>
    <t>U9966:ST PETERSBURG FACILITIES MGMT</t>
  </si>
  <si>
    <t>W61789</t>
  </si>
  <si>
    <t>W61789:ADDISON FACILITY</t>
  </si>
  <si>
    <t>WS508</t>
  </si>
  <si>
    <t>WS508:MOBILE DEFENSE CLEVELAND FACILITY</t>
  </si>
  <si>
    <t>WS812</t>
  </si>
  <si>
    <t>WS812:ALBANY FACILITY</t>
  </si>
  <si>
    <t>WS830</t>
  </si>
  <si>
    <t>WS830:ALBANY SECURITY SERVICES</t>
  </si>
  <si>
    <t>10263:LFS AUDIT FEES</t>
  </si>
  <si>
    <t>11602:EBS CHGBK LFS</t>
  </si>
  <si>
    <t>11602OT</t>
  </si>
  <si>
    <t>11602OT:EBS CHGBK LFS INTL</t>
  </si>
  <si>
    <t>11904:HR CHGBK LFS</t>
  </si>
  <si>
    <t>11904OT</t>
  </si>
  <si>
    <t>11904OT:HR CHGBK LFS INTL</t>
  </si>
  <si>
    <t>11911:TAX AND TREASURY CHGBK LFS</t>
  </si>
  <si>
    <t>11912:ADMIN SVCS CHGBK LFS</t>
  </si>
  <si>
    <t>11912OT</t>
  </si>
  <si>
    <t>11912OT:ADMIN SVCS CHGBK LFS INTL</t>
  </si>
  <si>
    <t>11913:ACTUARIAL CHGBK LFS INTL</t>
  </si>
  <si>
    <t>11914:LEGAL AND COMPLIANCE CHGBK LFS</t>
  </si>
  <si>
    <t>11914OT</t>
  </si>
  <si>
    <t>11914OT:LEGAL AND COMPLIANCE CHGBK LFS INTL</t>
  </si>
  <si>
    <t>11915:DATA ANALYTICS CHGBK LFS</t>
  </si>
  <si>
    <t>11915OT</t>
  </si>
  <si>
    <t>11915OT:DATA ANALYTICS CHGBK LFS INTL</t>
  </si>
  <si>
    <t>11916:ACTUARIAL CHGBK LFS</t>
  </si>
  <si>
    <t>11917:RISK CHGBK LFS</t>
  </si>
  <si>
    <t>11917OT</t>
  </si>
  <si>
    <t>11917OT:RISK CHGBK LFS INTL</t>
  </si>
  <si>
    <t>11918:COO CHGBK LFS</t>
  </si>
  <si>
    <t>11918OT</t>
  </si>
  <si>
    <t>11918OT:COO CHGBK LFS INTL</t>
  </si>
  <si>
    <t>11919:FINANCE OTHER CHGBK LFS</t>
  </si>
  <si>
    <t>11919OT</t>
  </si>
  <si>
    <t>11919OT:FINANCE OTHER CHGBK LFS INTL</t>
  </si>
  <si>
    <t>11921:CX CHGBK LFS</t>
  </si>
  <si>
    <t>11921OT</t>
  </si>
  <si>
    <t>11921OT:CX CHGBK LFS INTL</t>
  </si>
  <si>
    <t>11922:STRAT &amp; INNOV MGMT FEE CHGBK LFS</t>
  </si>
  <si>
    <t>11922OT</t>
  </si>
  <si>
    <t>11922OT:STRAT &amp; INNOV MGMT FEE CHGBK LFS INTL</t>
  </si>
  <si>
    <t>93003:NY CHGBK LFS</t>
  </si>
  <si>
    <t>93022:CEO FUNDING LFS</t>
  </si>
  <si>
    <t>93023:TALENT ACQ CHGBK LFS</t>
  </si>
  <si>
    <t>93024:MKT COMM BUSN SVC CHGBK LFS</t>
  </si>
  <si>
    <t>93024OT</t>
  </si>
  <si>
    <t>93024OT:MKT COMM BUSN SVC CHGBK LFS INTL</t>
  </si>
  <si>
    <t>17905:TWG ALL OTHER</t>
  </si>
  <si>
    <t>9101:Wolverine Expenses</t>
  </si>
  <si>
    <t>R2SIM</t>
  </si>
  <si>
    <t>R2SIM:NORTH AMERICA PGAAP</t>
  </si>
  <si>
    <t>RVBNS</t>
  </si>
  <si>
    <t>RVBNS:VSP-Fred Beans</t>
  </si>
  <si>
    <t>TWGBLNK</t>
  </si>
  <si>
    <t>TWGBLNK:TWGBLNK</t>
  </si>
  <si>
    <t>TWGCLO</t>
  </si>
  <si>
    <t>TWGCLO:TWGCLO</t>
  </si>
  <si>
    <t>3028:Customer Care Champaign</t>
  </si>
  <si>
    <t>5031:Asia Pacific Exec</t>
  </si>
  <si>
    <t>5061:Latin America Exec</t>
  </si>
  <si>
    <t>5064:RDG Mexico</t>
  </si>
  <si>
    <t>6000:Und International</t>
  </si>
  <si>
    <t>6001:Underwriting &amp; Actuarial Mgmt</t>
  </si>
  <si>
    <t>6004:Actuarial_North America</t>
  </si>
  <si>
    <t>6005:Regulatory Affairs</t>
  </si>
  <si>
    <t>6006:Und Automotive</t>
  </si>
  <si>
    <t>6007:Und Consumer Products</t>
  </si>
  <si>
    <t>6010:Taxes &amp; Assessments</t>
  </si>
  <si>
    <t>6011:TWG President</t>
  </si>
  <si>
    <t>6014:Law Dept</t>
  </si>
  <si>
    <t>6015:US HR</t>
  </si>
  <si>
    <t>6016:Talent Management</t>
  </si>
  <si>
    <t>6017:Total Rewards</t>
  </si>
  <si>
    <t>6018:Legal Fees</t>
  </si>
  <si>
    <t>6020:Global Compliance and Risk</t>
  </si>
  <si>
    <t>6021:Global Operations</t>
  </si>
  <si>
    <t>6022:TWG Benefits</t>
  </si>
  <si>
    <t>6024:Communications</t>
  </si>
  <si>
    <t>6025:US Auto Growth</t>
  </si>
  <si>
    <t>6026:Marketing US Auto Growth</t>
  </si>
  <si>
    <t>6200:FH Application Development</t>
  </si>
  <si>
    <t>6400:Risk Management</t>
  </si>
  <si>
    <t>6600:Internal Audit_North America</t>
  </si>
  <si>
    <t>8107:FEI MIS</t>
  </si>
  <si>
    <t>9001:Corp Expenses</t>
  </si>
  <si>
    <t>9100:Global</t>
  </si>
  <si>
    <t>9105:TWG Reins Cayman</t>
  </si>
  <si>
    <t>9110:Integration Management Office</t>
  </si>
  <si>
    <t>9989:Other</t>
  </si>
  <si>
    <t>32173:CHICAGO IL FACILITY</t>
  </si>
  <si>
    <t>6300:JACKSON CHICAGO FACILITY</t>
  </si>
  <si>
    <t>6301:Champaign Building</t>
  </si>
  <si>
    <t>6302:RANDOLPH FACILITY</t>
  </si>
  <si>
    <t>10141:TAX AND TREASURYCHGBK TWG</t>
  </si>
  <si>
    <t>10142:CORP RESOURCESCHGBK TWG</t>
  </si>
  <si>
    <t>10143:FINANCE CHGBK TWG</t>
  </si>
  <si>
    <t>10144:LEGAL AND COMPLIANCE CHGBK TWG</t>
  </si>
  <si>
    <t>10145:DATA ANALYTICS CHGBK TWG</t>
  </si>
  <si>
    <t>10146:ACTUARIAL CHGBK TWG</t>
  </si>
  <si>
    <t>10149:SHARED SERVICES TWG</t>
  </si>
  <si>
    <t>113700:TWG CONSOLIDATED LIFESTYLE</t>
  </si>
  <si>
    <t>2018:MANAGEMENT CHARGE</t>
  </si>
  <si>
    <t>2030:DIRECT CHARGEBACKS</t>
  </si>
  <si>
    <t>3020:AIZ IT OVERHEAD CHARGEBACK</t>
  </si>
  <si>
    <t>5030:TWG Executive</t>
  </si>
  <si>
    <t>93026:TWG IT PROJECT</t>
  </si>
  <si>
    <t>GT261</t>
  </si>
  <si>
    <t>GT261:GT CHARGEBACKS TWG</t>
  </si>
  <si>
    <t>11983:CORPORATE INSURANCE</t>
  </si>
  <si>
    <t>51917:ENTERPRISE CHARGES LFS INTL</t>
  </si>
  <si>
    <t>51919:ENTERPRISE CHARGES LFS DOMESTIC</t>
  </si>
  <si>
    <t>51921:CORPORATE INSURANCE INTL</t>
  </si>
  <si>
    <t>51923:ENTERPRISE CHARGES S&amp;R</t>
  </si>
  <si>
    <t>WS732</t>
  </si>
  <si>
    <t>Amount</t>
  </si>
  <si>
    <t>Sum of Amount</t>
  </si>
  <si>
    <t>WH648</t>
  </si>
  <si>
    <t>WH663</t>
  </si>
  <si>
    <t>W20551</t>
  </si>
  <si>
    <t>WS739</t>
  </si>
  <si>
    <t>SS Cost Center</t>
  </si>
  <si>
    <t>SS Cost Center Description</t>
  </si>
  <si>
    <t>GFS Center</t>
  </si>
  <si>
    <t>GFS Center Description</t>
  </si>
  <si>
    <t>Location Code</t>
  </si>
  <si>
    <t>Descriptions</t>
  </si>
  <si>
    <t>In EDM
Yes/No</t>
  </si>
  <si>
    <t>113040-Office Of CFO</t>
  </si>
  <si>
    <t>C010000</t>
  </si>
  <si>
    <t>Finance - Chief Financial Officer</t>
  </si>
  <si>
    <t>L0001</t>
  </si>
  <si>
    <t>U.S. Home Office</t>
  </si>
  <si>
    <t>Yes</t>
  </si>
  <si>
    <t>2005-Reinsurance Marketing</t>
  </si>
  <si>
    <t>C400030</t>
  </si>
  <si>
    <t>Global Auto - Reinsurance Marketing</t>
  </si>
  <si>
    <t>11112-CLAIMS ACCOUNTING DFS</t>
  </si>
  <si>
    <t>C010101</t>
  </si>
  <si>
    <t>Global Accouting - CAO</t>
  </si>
  <si>
    <t>2015-CarMax &amp; Digital Auto</t>
  </si>
  <si>
    <t>C400025</t>
  </si>
  <si>
    <t>Global Auto - CarMax &amp; Digital Auto</t>
  </si>
  <si>
    <t>2035-Pacific NW</t>
  </si>
  <si>
    <t>C400115</t>
  </si>
  <si>
    <t>Global Auto - ADS - Pacific NW</t>
  </si>
  <si>
    <t>1013402-Investment Accounting</t>
  </si>
  <si>
    <t>C010105</t>
  </si>
  <si>
    <t>Global Accounting - Investments</t>
  </si>
  <si>
    <t>113230-Financial And Sec Reporting</t>
  </si>
  <si>
    <t>C010110</t>
  </si>
  <si>
    <t>Global Accounting - Financial and SEC Reporting</t>
  </si>
  <si>
    <t>C900000</t>
  </si>
  <si>
    <t>2075-Workforce Management</t>
  </si>
  <si>
    <t>C380008</t>
  </si>
  <si>
    <t>VPS Ops - Workforce Management</t>
  </si>
  <si>
    <t>3015-Service Admin-Chicago</t>
  </si>
  <si>
    <t>C515305</t>
  </si>
  <si>
    <t>CL - HRO - TWG - Service Admin-Chicago</t>
  </si>
  <si>
    <t>113049-Accounting &amp; Finance Services</t>
  </si>
  <si>
    <t>C010121</t>
  </si>
  <si>
    <t>Global Accounting - AFS Admin</t>
  </si>
  <si>
    <t>C254015</t>
  </si>
  <si>
    <t>GT - TWG Apps - Network and Systems</t>
  </si>
  <si>
    <t>C254019</t>
  </si>
  <si>
    <t>GT - TWG Apps - Security Phoenix</t>
  </si>
  <si>
    <t>5007-Help Desk &amp; Desktop Spprt</t>
  </si>
  <si>
    <t>C254009</t>
  </si>
  <si>
    <t>GT - TWG Apps - Help Desk and Desktop Support</t>
  </si>
  <si>
    <t>C254007</t>
  </si>
  <si>
    <t>GT - TWG Apps - GLOW Program Software</t>
  </si>
  <si>
    <t>5013-IT Executive</t>
  </si>
  <si>
    <t>C254013</t>
  </si>
  <si>
    <t>GT - TWG Apps - IT Executive</t>
  </si>
  <si>
    <t>C254023</t>
  </si>
  <si>
    <t>GT - TWG Apps - GLOW AIM Lifestyle Project</t>
  </si>
  <si>
    <t>C254017</t>
  </si>
  <si>
    <t>GT - TWG Apps - Public Cloud</t>
  </si>
  <si>
    <t>C254014</t>
  </si>
  <si>
    <t>GT - TWG Apps - Legacy System Support</t>
  </si>
  <si>
    <t>5017- UDB &amp; AIM</t>
  </si>
  <si>
    <t>C254021</t>
  </si>
  <si>
    <t>GT - TWG Apps - UDB &amp; AIM</t>
  </si>
  <si>
    <t>10200-LFS Segment Financial Reporting</t>
  </si>
  <si>
    <t>C010160</t>
  </si>
  <si>
    <t>Global Accounting - Lifestyle Financial Reporting</t>
  </si>
  <si>
    <t>10202-FIN REP MIA CROSS SELL ELIMINATIONS</t>
  </si>
  <si>
    <t>6019-External Reporting</t>
  </si>
  <si>
    <t>10271-CL Operations</t>
  </si>
  <si>
    <t>C010161</t>
  </si>
  <si>
    <t>Global Accounting - Connected Living Acctg Ops</t>
  </si>
  <si>
    <t>10228-GENERAL ACCOUNTING S&amp;R</t>
  </si>
  <si>
    <t>C010162</t>
  </si>
  <si>
    <t>Global Accounting - Mobile Accounting</t>
  </si>
  <si>
    <t>5019- Cloud Technologies</t>
  </si>
  <si>
    <t>C254004</t>
  </si>
  <si>
    <t>GT - TWG Apps - Cloud Technologies</t>
  </si>
  <si>
    <t>10272-Mobile Accounting</t>
  </si>
  <si>
    <t>WS712-GEN ACCTG CWORK</t>
  </si>
  <si>
    <t>10273-HRO and FS Accounting</t>
  </si>
  <si>
    <t>C010163</t>
  </si>
  <si>
    <t>Global Accounting - HRO and FS Accounting</t>
  </si>
  <si>
    <t>W20100-ESC Financial Reporting</t>
  </si>
  <si>
    <t>C254011</t>
  </si>
  <si>
    <t>GT - TWG Apps - Infrastructure</t>
  </si>
  <si>
    <t>5021-Reporting</t>
  </si>
  <si>
    <t>C254018</t>
  </si>
  <si>
    <t>GT - TWG Apps - Reporting</t>
  </si>
  <si>
    <t>10274-Auto Accounting</t>
  </si>
  <si>
    <t>C010164</t>
  </si>
  <si>
    <t>Global Accounting - Auto Accounting</t>
  </si>
  <si>
    <t>AA006-AFAS ACCOUNTING</t>
  </si>
  <si>
    <t>U9922-VPS ACCOUNTING</t>
  </si>
  <si>
    <t>WS400-Financial Operations</t>
  </si>
  <si>
    <t>C010165</t>
  </si>
  <si>
    <t>Global Accounting - Mobile Financial Ops</t>
  </si>
  <si>
    <t>10223-GLOW AND AIM PROJECT</t>
  </si>
  <si>
    <t>C010166</t>
  </si>
  <si>
    <t>Global Accounting - GLOW and AIM Project</t>
  </si>
  <si>
    <t>C254022</t>
  </si>
  <si>
    <t>GT - TWG Apps - Warranty Link</t>
  </si>
  <si>
    <t>C254001</t>
  </si>
  <si>
    <t>GT - TWG Apps - APAC LAM Mgt</t>
  </si>
  <si>
    <t>C254012</t>
  </si>
  <si>
    <t>GT - TWG Apps - International Projects</t>
  </si>
  <si>
    <t>10232-Actuarial Connected Living</t>
  </si>
  <si>
    <t>C010210</t>
  </si>
  <si>
    <t>Actuarial - Connected Living</t>
  </si>
  <si>
    <t>U9913-Actuarial Global Auto</t>
  </si>
  <si>
    <t>C010215</t>
  </si>
  <si>
    <t>Actuarial - Global Auto</t>
  </si>
  <si>
    <t>10264-Actuarial Global Housing</t>
  </si>
  <si>
    <t>C010220</t>
  </si>
  <si>
    <t>Actuarial - Global Housing</t>
  </si>
  <si>
    <t>C254020</t>
  </si>
  <si>
    <t>GT - TWG Apps - Telecom</t>
  </si>
  <si>
    <t>10230RC</t>
  </si>
  <si>
    <t>10230RC-INTERNATIONAL ACTUARIAL</t>
  </si>
  <si>
    <t>C010235</t>
  </si>
  <si>
    <t>Actuarial - International</t>
  </si>
  <si>
    <t>C254008</t>
  </si>
  <si>
    <t>GT - TWG Apps - GLOW Support</t>
  </si>
  <si>
    <t>5030-TWG Executive</t>
  </si>
  <si>
    <t>C700042</t>
  </si>
  <si>
    <t>Mgt Fee - TWG Executive</t>
  </si>
  <si>
    <t>5031-Asia Pacific Exec</t>
  </si>
  <si>
    <t>C390017</t>
  </si>
  <si>
    <t>Lifestyle -Asia Pacific Executive</t>
  </si>
  <si>
    <t>113233-Enterprise FP And A</t>
  </si>
  <si>
    <t>C010401</t>
  </si>
  <si>
    <t>FPA - Enterprise 113233</t>
  </si>
  <si>
    <t>113100-Corporate FP and A</t>
  </si>
  <si>
    <t>C010410</t>
  </si>
  <si>
    <t>FPA - Corporate</t>
  </si>
  <si>
    <t>113232-IT Finance Executive</t>
  </si>
  <si>
    <t>C010415</t>
  </si>
  <si>
    <t>FPA - IT Finance</t>
  </si>
  <si>
    <t>5032-Exec</t>
  </si>
  <si>
    <t>C515000</t>
  </si>
  <si>
    <t>CL - HRO - Executive</t>
  </si>
  <si>
    <t>13100-Client Analysis ATL</t>
  </si>
  <si>
    <t>C010430</t>
  </si>
  <si>
    <t>FPA - Housing</t>
  </si>
  <si>
    <t>39701-CFO ASP</t>
  </si>
  <si>
    <t>C010431</t>
  </si>
  <si>
    <t>FPA - Housing - CFO ASP</t>
  </si>
  <si>
    <t>39702-Finance Ls Ops</t>
  </si>
  <si>
    <t>C010432</t>
  </si>
  <si>
    <t>FPA - Housing - Finance LS Ops</t>
  </si>
  <si>
    <t>46201-Lending Solutions Finance</t>
  </si>
  <si>
    <t>C010433</t>
  </si>
  <si>
    <t>FPA - Housing - Lending Solutions Finance</t>
  </si>
  <si>
    <t>5033-Financial Services</t>
  </si>
  <si>
    <t>C515007</t>
  </si>
  <si>
    <t>CL - HRO - Financial Services</t>
  </si>
  <si>
    <t>5039-Auto Claims</t>
  </si>
  <si>
    <t>C385005</t>
  </si>
  <si>
    <t>VPS Ops - Auto Claims</t>
  </si>
  <si>
    <t>U9933-EPS Finance</t>
  </si>
  <si>
    <t>C010451</t>
  </si>
  <si>
    <t>FPA - Auto</t>
  </si>
  <si>
    <t>5040-Ops Mgmt</t>
  </si>
  <si>
    <t>C380009</t>
  </si>
  <si>
    <t>VPS Ops - Ops Management</t>
  </si>
  <si>
    <t>WS702-Finance CWork</t>
  </si>
  <si>
    <t>C010453</t>
  </si>
  <si>
    <t>FPA - Mobile Cwork</t>
  </si>
  <si>
    <t>L0121</t>
  </si>
  <si>
    <t>York Office - Willow Springs</t>
  </si>
  <si>
    <t>113220-Corporate Tax</t>
  </si>
  <si>
    <t>C010501</t>
  </si>
  <si>
    <t>Tax - Corporate</t>
  </si>
  <si>
    <t>6010-Taxes &amp; Assessments</t>
  </si>
  <si>
    <t>C010595</t>
  </si>
  <si>
    <t>Taxes and Assessments</t>
  </si>
  <si>
    <t>5041-Payment Processing</t>
  </si>
  <si>
    <t>C380007</t>
  </si>
  <si>
    <t>VPS Ops - Payment Processing</t>
  </si>
  <si>
    <t>5042-CLAIMS AIZ INDIA</t>
  </si>
  <si>
    <t>C380010</t>
  </si>
  <si>
    <t>VPS Ops - Claims AIZ India</t>
  </si>
  <si>
    <t>113224-OTHER TAXES LICENSES AND FEES</t>
  </si>
  <si>
    <t>C010598</t>
  </si>
  <si>
    <t>Other Taxes Licenses and Fees</t>
  </si>
  <si>
    <t>6100-Treasury, AP &amp; AR</t>
  </si>
  <si>
    <t>C010698</t>
  </si>
  <si>
    <t>Treasury AP and AR</t>
  </si>
  <si>
    <t>17000-BANK FEES TREASURY MANAGEMENT</t>
  </si>
  <si>
    <t>C010699</t>
  </si>
  <si>
    <t>Treasury - Bank Fees</t>
  </si>
  <si>
    <t>5043-PAYMENTS AIZ INDIA</t>
  </si>
  <si>
    <t>C380011</t>
  </si>
  <si>
    <t>VPS Ops - Payments AIZ India</t>
  </si>
  <si>
    <t>5044-TESTING AIZ INDIA</t>
  </si>
  <si>
    <t>C380012</t>
  </si>
  <si>
    <t>VPS Ops - Testing AIZ India</t>
  </si>
  <si>
    <t>5045-OPERATIONAL DCM INITIATIVES</t>
  </si>
  <si>
    <t>C380013</t>
  </si>
  <si>
    <t>VPS Ops - Operational DCM initiatives</t>
  </si>
  <si>
    <t>8000040-INVESTMENT EXPENSES</t>
  </si>
  <si>
    <t>C010799</t>
  </si>
  <si>
    <t>Investment Expenses</t>
  </si>
  <si>
    <t>C010800</t>
  </si>
  <si>
    <t>Treasury</t>
  </si>
  <si>
    <t>113020-Capital And Financial Ratings</t>
  </si>
  <si>
    <t>C010801</t>
  </si>
  <si>
    <t>Capital and Financial Ratings</t>
  </si>
  <si>
    <t>C010805</t>
  </si>
  <si>
    <t>Global Risk Modeling and Insurance Purchasing</t>
  </si>
  <si>
    <t>C254006</t>
  </si>
  <si>
    <t>GT - TWG Apps - Financial Systems IT</t>
  </si>
  <si>
    <t>C254010</t>
  </si>
  <si>
    <t>GT - TWG Apps - HR Systems</t>
  </si>
  <si>
    <t>113002-NETWORK OPERATIONS</t>
  </si>
  <si>
    <t>C010902</t>
  </si>
  <si>
    <t>Network Operations</t>
  </si>
  <si>
    <t>C254005</t>
  </si>
  <si>
    <t>GT - TWG Apps - Corp Sys and IT Risk</t>
  </si>
  <si>
    <t>113060-Office Of Chief Legal Officer</t>
  </si>
  <si>
    <t>C020201</t>
  </si>
  <si>
    <t>Legal - Office of the Chief Legal Officer</t>
  </si>
  <si>
    <t>5049-INCONTACT</t>
  </si>
  <si>
    <t>C380014</t>
  </si>
  <si>
    <t>VPS Ops - Incontact</t>
  </si>
  <si>
    <t>5050-DATA MGT AIZ INDIA</t>
  </si>
  <si>
    <t>C380015</t>
  </si>
  <si>
    <t>VPS Ops - Data Management AIZ India</t>
  </si>
  <si>
    <t>5056-Auto TPA</t>
  </si>
  <si>
    <t>C400031</t>
  </si>
  <si>
    <t>Global Auto - Auto TPA</t>
  </si>
  <si>
    <t>7487-Legal APAC Other</t>
  </si>
  <si>
    <t>C020206</t>
  </si>
  <si>
    <t>Legal - Other</t>
  </si>
  <si>
    <t>5058-ESC</t>
  </si>
  <si>
    <t>C515307</t>
  </si>
  <si>
    <t xml:space="preserve">CL - HRO - ESC </t>
  </si>
  <si>
    <t>5061-Latin America Exec</t>
  </si>
  <si>
    <t>C390018</t>
  </si>
  <si>
    <t>Lifestyle -Latin America Executive</t>
  </si>
  <si>
    <t>113290-Compliance Enterprise Expenses</t>
  </si>
  <si>
    <t>C020402</t>
  </si>
  <si>
    <t>Legal - Compliance - Corporate</t>
  </si>
  <si>
    <t>93031-Business Unit Compliance Mgmt</t>
  </si>
  <si>
    <t>C020405</t>
  </si>
  <si>
    <t>Legal - Compliance - Business Unit Compliance Mgt</t>
  </si>
  <si>
    <t>5062-CUSTOMER OPERATIONS VENDOR</t>
  </si>
  <si>
    <t>C380016</t>
  </si>
  <si>
    <t>VPS Ops - Customer Operations Vendor</t>
  </si>
  <si>
    <t>93032-Compliance Testing &amp; Monitoring</t>
  </si>
  <si>
    <t>C020420</t>
  </si>
  <si>
    <t>Legal - Compliance - Testing and Monitoring</t>
  </si>
  <si>
    <t>10018AU</t>
  </si>
  <si>
    <t>10018AU-ALEGRE LEGAL &amp; COMPLIANCE</t>
  </si>
  <si>
    <t>C020421</t>
  </si>
  <si>
    <t>Legal - Legal and Compliance - Alegre</t>
  </si>
  <si>
    <t>113291-Ethics</t>
  </si>
  <si>
    <t>C020425</t>
  </si>
  <si>
    <t>Legal - Ethics</t>
  </si>
  <si>
    <t>113030-Government Relations</t>
  </si>
  <si>
    <t>C020501</t>
  </si>
  <si>
    <t>Legal - Government Relations</t>
  </si>
  <si>
    <t>21101-Litigation And HR Practice Group ATL</t>
  </si>
  <si>
    <t>C020502</t>
  </si>
  <si>
    <t>Legal - Litigation and HR Practice Group</t>
  </si>
  <si>
    <t>5064-RDG Mexico</t>
  </si>
  <si>
    <t>C390019</t>
  </si>
  <si>
    <t>Lifestyle -RDG Mexico</t>
  </si>
  <si>
    <t>10070-Privacy Operations</t>
  </si>
  <si>
    <t>C020601</t>
  </si>
  <si>
    <t>Legal - Privary Operations</t>
  </si>
  <si>
    <t>6005-Regulatory Affairs</t>
  </si>
  <si>
    <t>C390024</t>
  </si>
  <si>
    <t>Lifestyle -Regulatory Affairs</t>
  </si>
  <si>
    <t>10370FR</t>
  </si>
  <si>
    <t>10370FR-DATA PRIVACY FR</t>
  </si>
  <si>
    <t>C020603</t>
  </si>
  <si>
    <t>Legal - Data Privacy Internationa;</t>
  </si>
  <si>
    <t>6015-US HR</t>
  </si>
  <si>
    <t>C390030</t>
  </si>
  <si>
    <t>Lifestyle - US HR</t>
  </si>
  <si>
    <t>93709-LITIGATION EXPENSE INTERNATIONAL</t>
  </si>
  <si>
    <t>C020902</t>
  </si>
  <si>
    <t>Legal and Litigation Costs - International</t>
  </si>
  <si>
    <t>6051-Stat Reporting</t>
  </si>
  <si>
    <t>C390039</t>
  </si>
  <si>
    <t>Lifestyle - Stat Reporting</t>
  </si>
  <si>
    <t>6053-Intl Financial Reporting</t>
  </si>
  <si>
    <t>C390040</t>
  </si>
  <si>
    <t>Lifestyle - International Financial Reporting</t>
  </si>
  <si>
    <t>6054-Budget and Planning</t>
  </si>
  <si>
    <t>C390041</t>
  </si>
  <si>
    <t xml:space="preserve">Lifestyle - Budget and Planning </t>
  </si>
  <si>
    <t>10100SP</t>
  </si>
  <si>
    <t>10100SP-CORPORATE</t>
  </si>
  <si>
    <t>C030100</t>
  </si>
  <si>
    <t>113010-Office Of CEO</t>
  </si>
  <si>
    <t>C030101</t>
  </si>
  <si>
    <t>Corporate - CEO - Office of CEO</t>
  </si>
  <si>
    <t>C030102</t>
  </si>
  <si>
    <t>Corporate - CEO - CEO Funding</t>
  </si>
  <si>
    <t>113800-Chief Administrative Officer</t>
  </si>
  <si>
    <t>C030105</t>
  </si>
  <si>
    <t>Chief Administrative Officer</t>
  </si>
  <si>
    <t>113080-Office of the CIO</t>
  </si>
  <si>
    <t>C030110</t>
  </si>
  <si>
    <t>Corporate - CIO - Office of the CIO</t>
  </si>
  <si>
    <t>6151-Cash Applications</t>
  </si>
  <si>
    <t>C390042</t>
  </si>
  <si>
    <t>Lifestyle - Cash Applications</t>
  </si>
  <si>
    <t>113600-Chief Risk Officer</t>
  </si>
  <si>
    <t>C030120</t>
  </si>
  <si>
    <t>CRO - Office of Chief Risk Officer</t>
  </si>
  <si>
    <t>113070-Office Of CSO</t>
  </si>
  <si>
    <t>C030125</t>
  </si>
  <si>
    <t>CSO - Office of Chief Strategy Officer</t>
  </si>
  <si>
    <t>C030151</t>
  </si>
  <si>
    <t>Corporate - Board of Directors</t>
  </si>
  <si>
    <t>1111000-Assurant Foundation</t>
  </si>
  <si>
    <t>C030200</t>
  </si>
  <si>
    <t>Assurant Foundation</t>
  </si>
  <si>
    <t>1112000-ACES</t>
  </si>
  <si>
    <t>C030201</t>
  </si>
  <si>
    <t>Assurant Foundation - ACES</t>
  </si>
  <si>
    <t>C030205</t>
  </si>
  <si>
    <t>Legal - Shareholder Meeting</t>
  </si>
  <si>
    <t>10100-CORPORATE SECRETARY</t>
  </si>
  <si>
    <t>C030300</t>
  </si>
  <si>
    <t>Bus Support - Corporate Secretary</t>
  </si>
  <si>
    <t>10600-CORPORATE SERVICES ADMINISTRATION</t>
  </si>
  <si>
    <t>C030301</t>
  </si>
  <si>
    <t>Bus Support - Corporate Services Administration</t>
  </si>
  <si>
    <t>112002 - Engagement Champion Teams</t>
  </si>
  <si>
    <t>C030400</t>
  </si>
  <si>
    <t>Engagement Champion Teams</t>
  </si>
  <si>
    <t>11983-CORPORATE INSURANCE</t>
  </si>
  <si>
    <t>C030800</t>
  </si>
  <si>
    <t>Corporate Insurance</t>
  </si>
  <si>
    <t>6573-Hyla Tier II Support</t>
  </si>
  <si>
    <t>C251353</t>
  </si>
  <si>
    <t>GT-Infr and Cloud-Hyla Tier II Support</t>
  </si>
  <si>
    <t xml:space="preserve">L0161 </t>
  </si>
  <si>
    <t>La Vergne Office</t>
  </si>
  <si>
    <t>113710-TWG CONSOLIDATED CORPORATE</t>
  </si>
  <si>
    <t>C030900</t>
  </si>
  <si>
    <t>TWG Consolidated Corporate</t>
  </si>
  <si>
    <t>113322-BTL ITEMS</t>
  </si>
  <si>
    <t>C030901</t>
  </si>
  <si>
    <t>Below the Line Items</t>
  </si>
  <si>
    <t>113323-BTL WAYS2WORK</t>
  </si>
  <si>
    <t>C030902</t>
  </si>
  <si>
    <t>Below the Line Items - Ways to Work</t>
  </si>
  <si>
    <t>113324-TRANSFORMATIONAL PLAN</t>
  </si>
  <si>
    <t>C030903</t>
  </si>
  <si>
    <t>Transformational Plan</t>
  </si>
  <si>
    <t>C251354</t>
  </si>
  <si>
    <t>GT-Infr and Cloud-Enterprise It Applications</t>
  </si>
  <si>
    <t>7005-TWG ARGENTINA</t>
  </si>
  <si>
    <t>CI40406</t>
  </si>
  <si>
    <t>TWG - International 7005</t>
  </si>
  <si>
    <t>C030987</t>
  </si>
  <si>
    <t>Balance Sheet Only</t>
  </si>
  <si>
    <t>10800MX</t>
  </si>
  <si>
    <t>10800MX-CORPORATE EXPENSES</t>
  </si>
  <si>
    <t>C030988</t>
  </si>
  <si>
    <t>Corporate Expenses</t>
  </si>
  <si>
    <t>190120-MERGERS AND ACQUISITIONS SOURCING</t>
  </si>
  <si>
    <t>C030989</t>
  </si>
  <si>
    <t>Mergers and Acquisitions Sourcing</t>
  </si>
  <si>
    <t>110019-NON CORE OPS LFS</t>
  </si>
  <si>
    <t>C030990</t>
  </si>
  <si>
    <t>Non-Core Operations - Lifestyle</t>
  </si>
  <si>
    <t>110020-NON CORE OPS HSG</t>
  </si>
  <si>
    <t>C030991</t>
  </si>
  <si>
    <t>Non-Core Operations - Housing</t>
  </si>
  <si>
    <t>10162-DA Internship Program</t>
  </si>
  <si>
    <t>C040002</t>
  </si>
  <si>
    <t>Data Analytics - Internship Program</t>
  </si>
  <si>
    <t>42373-Data Analytics Group Administration</t>
  </si>
  <si>
    <t>C040005</t>
  </si>
  <si>
    <t>Data Analytics - Group Admin</t>
  </si>
  <si>
    <t>7025-AMEX LATIN</t>
  </si>
  <si>
    <t>C610222</t>
  </si>
  <si>
    <t>AMEX LATiN</t>
  </si>
  <si>
    <t>7035-India TVS</t>
  </si>
  <si>
    <t>C610225</t>
  </si>
  <si>
    <t>India TVS</t>
  </si>
  <si>
    <t>113810-Connected Living Cx</t>
  </si>
  <si>
    <t>C040101</t>
  </si>
  <si>
    <t>CX - Connected Living</t>
  </si>
  <si>
    <t>190300-Enterprise CX Initiative</t>
  </si>
  <si>
    <t>C040105</t>
  </si>
  <si>
    <t>CX - Enterprise CX Experience</t>
  </si>
  <si>
    <t>113830-Global Auto Cx</t>
  </si>
  <si>
    <t>C040110</t>
  </si>
  <si>
    <t>CX - Global Auto CX</t>
  </si>
  <si>
    <t>7045- Data Analytics Australia</t>
  </si>
  <si>
    <t>CI40003</t>
  </si>
  <si>
    <t>Data Analytics - Leadership 7045</t>
  </si>
  <si>
    <t>113820-Multi-Family Housing Cx</t>
  </si>
  <si>
    <t>C040120</t>
  </si>
  <si>
    <t>CX - Multi-family Housing CX</t>
  </si>
  <si>
    <t>7050-Sales: Business Develpmnt</t>
  </si>
  <si>
    <t>CI1095G</t>
  </si>
  <si>
    <t>Business Development 7050</t>
  </si>
  <si>
    <t>101837-Enterprise Data Services</t>
  </si>
  <si>
    <t>C040201</t>
  </si>
  <si>
    <t xml:space="preserve">Enterprise Data Services </t>
  </si>
  <si>
    <t>101839-Enterprise Data Services Business Resources Transfer</t>
  </si>
  <si>
    <t>C040205</t>
  </si>
  <si>
    <t>Enterprise Data Services - Business Transfer</t>
  </si>
  <si>
    <t>101838-Enterprise Data Services Global Home</t>
  </si>
  <si>
    <t>C040210</t>
  </si>
  <si>
    <t>Enterprise Data Services - Global Home</t>
  </si>
  <si>
    <t>7051 - Sales: Client Management</t>
  </si>
  <si>
    <t>CI1096C</t>
  </si>
  <si>
    <t>Marketing - Client Management 7051</t>
  </si>
  <si>
    <t>7052-Actuarial Australia</t>
  </si>
  <si>
    <t>CI10202</t>
  </si>
  <si>
    <t>Actuarial Management 7052</t>
  </si>
  <si>
    <t>42636-Data Integrity Dept</t>
  </si>
  <si>
    <t>C040310</t>
  </si>
  <si>
    <t>Data Integrity</t>
  </si>
  <si>
    <t>72004-Database Mgmt</t>
  </si>
  <si>
    <t>C040315</t>
  </si>
  <si>
    <t>Database Management</t>
  </si>
  <si>
    <t>7053-TWG US Exp</t>
  </si>
  <si>
    <t>C610955</t>
  </si>
  <si>
    <t>TWG - US Expenses</t>
  </si>
  <si>
    <t>10167-Information Management</t>
  </si>
  <si>
    <t>C040325</t>
  </si>
  <si>
    <t>Information Management</t>
  </si>
  <si>
    <t>7054-AUSTRALIA PROPERTY</t>
  </si>
  <si>
    <t>C610227</t>
  </si>
  <si>
    <t>Australia Property</t>
  </si>
  <si>
    <t>7055-CD Client Experience 7055</t>
  </si>
  <si>
    <t>CI61228</t>
  </si>
  <si>
    <t>CD Client Experience 7055</t>
  </si>
  <si>
    <t>10809-State Filings Operations</t>
  </si>
  <si>
    <t>C040405</t>
  </si>
  <si>
    <t>Operations - State Filings</t>
  </si>
  <si>
    <t>7056-NEW ZEALAND PROPERTY</t>
  </si>
  <si>
    <t>C610229</t>
  </si>
  <si>
    <t>New Zealand Property</t>
  </si>
  <si>
    <t>10164-Product Analytics</t>
  </si>
  <si>
    <t>C040501</t>
  </si>
  <si>
    <t>Product Analytics</t>
  </si>
  <si>
    <t>72839-Report Administration</t>
  </si>
  <si>
    <t>C040601</t>
  </si>
  <si>
    <t>Report Administration</t>
  </si>
  <si>
    <t>7057-APAC - US Expenses</t>
  </si>
  <si>
    <t>C050014</t>
  </si>
  <si>
    <t>Regional - Management and Admin</t>
  </si>
  <si>
    <t>C042002</t>
  </si>
  <si>
    <t>Risk Management 113200</t>
  </si>
  <si>
    <t>113032-Global Security Services</t>
  </si>
  <si>
    <t>C042005</t>
  </si>
  <si>
    <t>Risk Management - Global Security Services</t>
  </si>
  <si>
    <t>113601-Operational Risk</t>
  </si>
  <si>
    <t>C042010</t>
  </si>
  <si>
    <t>Risk Management - Operational Risk</t>
  </si>
  <si>
    <t>113602-Business Risk</t>
  </si>
  <si>
    <t>C042015</t>
  </si>
  <si>
    <t>Risk Management - Business Risk</t>
  </si>
  <si>
    <t>113604-Financial Risk</t>
  </si>
  <si>
    <t>C042020</t>
  </si>
  <si>
    <t>Risk Management - Financial Risl</t>
  </si>
  <si>
    <t>7058-Harvey Norman NZL</t>
  </si>
  <si>
    <t>CI60104</t>
  </si>
  <si>
    <t>Harvey Norman 7058</t>
  </si>
  <si>
    <t>10608UK</t>
  </si>
  <si>
    <t>10608UK-QA Risk</t>
  </si>
  <si>
    <t>C042026</t>
  </si>
  <si>
    <t>Risk Management - QA</t>
  </si>
  <si>
    <t>113607-Disaster Recovery Business Continuity</t>
  </si>
  <si>
    <t>C042030</t>
  </si>
  <si>
    <t>Risk Management - Disaster Recovery/Bus Continuity</t>
  </si>
  <si>
    <t>10403UK</t>
  </si>
  <si>
    <t>10403UK-RAS RISK UK</t>
  </si>
  <si>
    <t>C042040</t>
  </si>
  <si>
    <t>Risk Management - RAS</t>
  </si>
  <si>
    <t>113001-Mergers And Acquisitions</t>
  </si>
  <si>
    <t>C043001</t>
  </si>
  <si>
    <t>Strategy - Mergers and Acquisitions</t>
  </si>
  <si>
    <t>7059:LEGAL</t>
  </si>
  <si>
    <t>CI20404</t>
  </si>
  <si>
    <t>Legal 7059</t>
  </si>
  <si>
    <t>121010-Consumer Insights</t>
  </si>
  <si>
    <t>C043010</t>
  </si>
  <si>
    <t>Strategy - Consumer Insights</t>
  </si>
  <si>
    <t>121020-Growth &amp; Innovation</t>
  </si>
  <si>
    <t>C043015</t>
  </si>
  <si>
    <t>Strategy - Growth and Innovation</t>
  </si>
  <si>
    <t>121030-Business Strategy</t>
  </si>
  <si>
    <t>C043020</t>
  </si>
  <si>
    <t>Strategy - Business Strategy</t>
  </si>
  <si>
    <t>C043030</t>
  </si>
  <si>
    <t>Strategy - Renewable and Energy Project</t>
  </si>
  <si>
    <t>190110-Enterprise Strategy</t>
  </si>
  <si>
    <t>C043035</t>
  </si>
  <si>
    <t>Strategy - Enterprise</t>
  </si>
  <si>
    <t>C043040</t>
  </si>
  <si>
    <t>Strategy - Direct Funding Pool</t>
  </si>
  <si>
    <t>C043045</t>
  </si>
  <si>
    <t>Strategy - Consulting Support Funding</t>
  </si>
  <si>
    <t>10201MX</t>
  </si>
  <si>
    <t>10201MX-People Org Regional Mgr</t>
  </si>
  <si>
    <t>C050001</t>
  </si>
  <si>
    <t>Regional - People Organization</t>
  </si>
  <si>
    <t>7075-CD: Client Experience</t>
  </si>
  <si>
    <t>CI10965</t>
  </si>
  <si>
    <t>Marketing - Client Experience 7075</t>
  </si>
  <si>
    <t>7085-CD: Client Experience</t>
  </si>
  <si>
    <t>C610309</t>
  </si>
  <si>
    <t>Client Experience</t>
  </si>
  <si>
    <t>7095:HN NZ OPS</t>
  </si>
  <si>
    <t>CI60010</t>
  </si>
  <si>
    <t>Operations - HN NZ</t>
  </si>
  <si>
    <t>10802AG</t>
  </si>
  <si>
    <t>10802AG-Regional Treasury</t>
  </si>
  <si>
    <t>C050005</t>
  </si>
  <si>
    <t>Regional - Treasury</t>
  </si>
  <si>
    <t>7145-IT Brazil</t>
  </si>
  <si>
    <t>CI25516</t>
  </si>
  <si>
    <t>IT INTL - IT 7145</t>
  </si>
  <si>
    <t>7150-Compliance and Legal Director</t>
  </si>
  <si>
    <t>CI20241</t>
  </si>
  <si>
    <t>Legal - Compliance 7150</t>
  </si>
  <si>
    <t>7151-Contracts  Lawyer</t>
  </si>
  <si>
    <t>C020207</t>
  </si>
  <si>
    <t>Legal - Contracts Lawyer</t>
  </si>
  <si>
    <t>10283AG</t>
  </si>
  <si>
    <t>10283AG-Mktg and Data Analytics Andean ARG</t>
  </si>
  <si>
    <t>C050009</t>
  </si>
  <si>
    <t>Regional - Data Analytics</t>
  </si>
  <si>
    <t>7152-Compliance Brazil</t>
  </si>
  <si>
    <t>CI20242</t>
  </si>
  <si>
    <t>Legal - Compliance 7152</t>
  </si>
  <si>
    <t>10688AG</t>
  </si>
  <si>
    <t>10688AG-Supply Chain Andean ARG</t>
  </si>
  <si>
    <t>C050012</t>
  </si>
  <si>
    <t>Regional - Supply Chain</t>
  </si>
  <si>
    <t>7215-Sales &amp; Marketing B&amp;W</t>
  </si>
  <si>
    <t>C100960</t>
  </si>
  <si>
    <t>Marketing - Sales &amp; Mktg - B&amp;W</t>
  </si>
  <si>
    <t>10604UK</t>
  </si>
  <si>
    <t>10604UK-Policy Administration Continental</t>
  </si>
  <si>
    <t>C050015</t>
  </si>
  <si>
    <t>Regional - Policy Administration</t>
  </si>
  <si>
    <t>10402AG</t>
  </si>
  <si>
    <t>10402AG-Actuarial Andean ARG</t>
  </si>
  <si>
    <t>C050016</t>
  </si>
  <si>
    <t>Regional - Actuarial</t>
  </si>
  <si>
    <t>10321AG</t>
  </si>
  <si>
    <t>10321AG-IT Infrastructure Andean ARG</t>
  </si>
  <si>
    <t>C050017</t>
  </si>
  <si>
    <t>Regional - IT Infrastructure</t>
  </si>
  <si>
    <t>10282AG</t>
  </si>
  <si>
    <t>10282AG-REGIONAL POSITIONS MARKETING</t>
  </si>
  <si>
    <t>C050018</t>
  </si>
  <si>
    <t>Regional Marketing</t>
  </si>
  <si>
    <t>10276MX</t>
  </si>
  <si>
    <t>10276MX-REGIONAL VPS</t>
  </si>
  <si>
    <t>C050019</t>
  </si>
  <si>
    <t>Regional - VPS</t>
  </si>
  <si>
    <t>7441-APAC RISK</t>
  </si>
  <si>
    <t>C050020</t>
  </si>
  <si>
    <t>Regional Risk</t>
  </si>
  <si>
    <t>7225-Human Resources Argentina</t>
  </si>
  <si>
    <t>CI20502</t>
  </si>
  <si>
    <t>Human Resources - People Business Partners 7225</t>
  </si>
  <si>
    <t>7235-Human Resources Columbia</t>
  </si>
  <si>
    <t>CI20512</t>
  </si>
  <si>
    <t>Human Resources - People Business Partners 7235</t>
  </si>
  <si>
    <t>1K1M</t>
  </si>
  <si>
    <t>1K1M-European Executive</t>
  </si>
  <si>
    <t>C050023</t>
  </si>
  <si>
    <t>Regional - Executive</t>
  </si>
  <si>
    <t>10002RC</t>
  </si>
  <si>
    <t>10002RC-CHINA FOR TAIWAN</t>
  </si>
  <si>
    <t>C050100</t>
  </si>
  <si>
    <t>Regional - China for Taiwan</t>
  </si>
  <si>
    <t>7245 - Human Resource Peru</t>
  </si>
  <si>
    <t>CI20523</t>
  </si>
  <si>
    <t>Human Resources - People Business Partners 7245</t>
  </si>
  <si>
    <t>10006RC</t>
  </si>
  <si>
    <t>10006RC-CHINA FOR ASIA OTHER</t>
  </si>
  <si>
    <t>C050102</t>
  </si>
  <si>
    <t>Regional - China for Asia Other</t>
  </si>
  <si>
    <t>10004RC</t>
  </si>
  <si>
    <t>10004RC-HONG KONG MOBILE</t>
  </si>
  <si>
    <t>C050103</t>
  </si>
  <si>
    <t>Regional - Hong Kong Mobile</t>
  </si>
  <si>
    <t>11600MX</t>
  </si>
  <si>
    <t>11600MX:REGIONAL ROLES</t>
  </si>
  <si>
    <t>C050104</t>
  </si>
  <si>
    <t>Regional - Mexico</t>
  </si>
  <si>
    <t>10633UK</t>
  </si>
  <si>
    <t>10633UK-Global Roles Compliance</t>
  </si>
  <si>
    <t>C052000</t>
  </si>
  <si>
    <t>Global Roles - Compliance</t>
  </si>
  <si>
    <t>10634UK</t>
  </si>
  <si>
    <t>10634UK-Global Roles Developer</t>
  </si>
  <si>
    <t>C052001</t>
  </si>
  <si>
    <t>Global Roles - Developer</t>
  </si>
  <si>
    <t>10201AG</t>
  </si>
  <si>
    <t>10201AG-Global Positions HR ARG</t>
  </si>
  <si>
    <t>C052003</t>
  </si>
  <si>
    <t>Global Roles - People Organization</t>
  </si>
  <si>
    <t>10637UK</t>
  </si>
  <si>
    <t>10637UK-Global Roles Int Business Dev</t>
  </si>
  <si>
    <t>C052004</t>
  </si>
  <si>
    <t>Global Roles - International Business Development</t>
  </si>
  <si>
    <t>10639UK</t>
  </si>
  <si>
    <t>10639UK-Global Roles System</t>
  </si>
  <si>
    <t>C052005</t>
  </si>
  <si>
    <t>Global Roles - Systems</t>
  </si>
  <si>
    <t>10640UK</t>
  </si>
  <si>
    <t>10640UK-Global Roles Underwriting</t>
  </si>
  <si>
    <t>C052006</t>
  </si>
  <si>
    <t>Global Roles - Underwriting</t>
  </si>
  <si>
    <t>10641UK</t>
  </si>
  <si>
    <t>10641UK-Global Roles IT</t>
  </si>
  <si>
    <t>C052007</t>
  </si>
  <si>
    <t>Global Roles - IT</t>
  </si>
  <si>
    <t>10910UK</t>
  </si>
  <si>
    <t>10910UK - Global Roles Commercial</t>
  </si>
  <si>
    <t>C052008</t>
  </si>
  <si>
    <t>Global Roles - Commercial</t>
  </si>
  <si>
    <t>17976UK</t>
  </si>
  <si>
    <t>17976UK-Global Roles Auto</t>
  </si>
  <si>
    <t>C052009</t>
  </si>
  <si>
    <t>Global Roles - Auto</t>
  </si>
  <si>
    <t>17977UK</t>
  </si>
  <si>
    <t>17977UK-Global Roles Finance Systems</t>
  </si>
  <si>
    <t>C052010</t>
  </si>
  <si>
    <t>Global Roles - Global Financial Systems</t>
  </si>
  <si>
    <t>7251-TWG COLOMBIA</t>
  </si>
  <si>
    <t>CI40402</t>
  </si>
  <si>
    <t>TWG - International 7251</t>
  </si>
  <si>
    <t>10401AG</t>
  </si>
  <si>
    <t>10401AG-Global Positions Actuarial ARG</t>
  </si>
  <si>
    <t>C052012</t>
  </si>
  <si>
    <t>Global Roles - Actuarial</t>
  </si>
  <si>
    <t>10801AG</t>
  </si>
  <si>
    <t>10801AG-Global Tax</t>
  </si>
  <si>
    <t>C052013</t>
  </si>
  <si>
    <t>Global Roles - Tax</t>
  </si>
  <si>
    <t>10803AG</t>
  </si>
  <si>
    <t>10803AG-Global Executive</t>
  </si>
  <si>
    <t>C052014</t>
  </si>
  <si>
    <t>Global Roles - Executive</t>
  </si>
  <si>
    <t>10900AG-CCO Support Global Positions</t>
  </si>
  <si>
    <t>C052015</t>
  </si>
  <si>
    <t>Global Roles - CCO Support</t>
  </si>
  <si>
    <t>7252-GLOW LATAM</t>
  </si>
  <si>
    <t>C610245</t>
  </si>
  <si>
    <t>GLOW LATAM</t>
  </si>
  <si>
    <t>10618PR</t>
  </si>
  <si>
    <t>10618PR-Global Positions Operations PR</t>
  </si>
  <si>
    <t>C052017</t>
  </si>
  <si>
    <t>Global Roles - Operations</t>
  </si>
  <si>
    <t>L3601</t>
  </si>
  <si>
    <t>San Juan Office</t>
  </si>
  <si>
    <t>10161BZ</t>
  </si>
  <si>
    <t>10161BZ-Global Positions Brazil</t>
  </si>
  <si>
    <t>C052018</t>
  </si>
  <si>
    <t>Global Roles - Brazil</t>
  </si>
  <si>
    <t>10161AG</t>
  </si>
  <si>
    <t>10161AG-GLOBAL POSITIONS ARGENTINA</t>
  </si>
  <si>
    <t>C052019</t>
  </si>
  <si>
    <t>Global Roles - Argentina</t>
  </si>
  <si>
    <t>10617AU</t>
  </si>
  <si>
    <t>10617AU-GLOBAL ROLES AU</t>
  </si>
  <si>
    <t>C052020</t>
  </si>
  <si>
    <t>Global Roles - Australia</t>
  </si>
  <si>
    <t>10617BZ</t>
  </si>
  <si>
    <t>10617BZ-GLOBAL ROLES BZ</t>
  </si>
  <si>
    <t>C052021</t>
  </si>
  <si>
    <t>10617CN</t>
  </si>
  <si>
    <t>10617CN-GLOBAL ROLES CN</t>
  </si>
  <si>
    <t>C052022</t>
  </si>
  <si>
    <t>Global Roles - Canada</t>
  </si>
  <si>
    <t>10617CL</t>
  </si>
  <si>
    <t>10617CL-GLOBAL ROLES CL</t>
  </si>
  <si>
    <t>C052023</t>
  </si>
  <si>
    <t>Global Roles - Chile</t>
  </si>
  <si>
    <t>10617RC</t>
  </si>
  <si>
    <t>10617RC-GLOBAL ROLES RC</t>
  </si>
  <si>
    <t>C052024</t>
  </si>
  <si>
    <t>Global Roles - China</t>
  </si>
  <si>
    <t>10617CO</t>
  </si>
  <si>
    <t>10617CO-GLOBAL ROLES CO</t>
  </si>
  <si>
    <t>C052025</t>
  </si>
  <si>
    <t>Global Roles - Colombia</t>
  </si>
  <si>
    <t>10617JP</t>
  </si>
  <si>
    <t>10617JP-GLOBAL ROLES JP</t>
  </si>
  <si>
    <t>C052026</t>
  </si>
  <si>
    <t>Global Roles -  Japan</t>
  </si>
  <si>
    <t>10617KR</t>
  </si>
  <si>
    <t>10617KR-GLOBAL ROLES KR</t>
  </si>
  <si>
    <t>C052027</t>
  </si>
  <si>
    <t>Global Roles - Korea</t>
  </si>
  <si>
    <t>10617PE</t>
  </si>
  <si>
    <t>10617PE-GLOBAL ROLES PE</t>
  </si>
  <si>
    <t>C052028</t>
  </si>
  <si>
    <t>Global Roles - Peru</t>
  </si>
  <si>
    <t>10617PR</t>
  </si>
  <si>
    <t>10617PR-GLOBAL ROLES PR</t>
  </si>
  <si>
    <t>C052029</t>
  </si>
  <si>
    <t>Global Roles - Puerto Rico</t>
  </si>
  <si>
    <t>10623UK</t>
  </si>
  <si>
    <t>10623UK-GLOBAL ROLES NETWORK ENGINNER</t>
  </si>
  <si>
    <t>C052030</t>
  </si>
  <si>
    <t>Global Roles - Network Engineer</t>
  </si>
  <si>
    <t>10617IN</t>
  </si>
  <si>
    <t>10617IN-GLOBAL ROLES IN</t>
  </si>
  <si>
    <t>C052031</t>
  </si>
  <si>
    <t>Global Roles - India</t>
  </si>
  <si>
    <t>10617SG</t>
  </si>
  <si>
    <t>10617SG-GLOBAL ROLES</t>
  </si>
  <si>
    <t>C052032</t>
  </si>
  <si>
    <t>Global Roles - Singapore</t>
  </si>
  <si>
    <t>11342AG</t>
  </si>
  <si>
    <t>11342AG-GLOBAL PROCUREMENT ARGENTINA</t>
  </si>
  <si>
    <t>C052033</t>
  </si>
  <si>
    <t>Global Roles - Argentina Procurement</t>
  </si>
  <si>
    <t>11160DE</t>
  </si>
  <si>
    <t>11160DE-DATA ANALYTICS GLOBAL ROLE</t>
  </si>
  <si>
    <t>C052034</t>
  </si>
  <si>
    <t>Global Roles - Data Analytics</t>
  </si>
  <si>
    <t>17879UK</t>
  </si>
  <si>
    <t>17879UK:GLOBAL ROLES TRAINING</t>
  </si>
  <si>
    <t>C052035</t>
  </si>
  <si>
    <t xml:space="preserve">Global Roles - Training </t>
  </si>
  <si>
    <t>93700IO</t>
  </si>
  <si>
    <t>93700IO:INTL WELL-BEING PROGRAM</t>
  </si>
  <si>
    <t>C052036</t>
  </si>
  <si>
    <t>Intl Wellbeing Program</t>
  </si>
  <si>
    <t>111300:GCS HR PBP CORP AG</t>
  </si>
  <si>
    <t>C055001</t>
  </si>
  <si>
    <t>GCS - Arg - HR People Business Partner Corp</t>
  </si>
  <si>
    <t>111301:GCS HR TALENT CORP AG</t>
  </si>
  <si>
    <t>C055002</t>
  </si>
  <si>
    <t>GCS - Arg - HR Talent Corp</t>
  </si>
  <si>
    <t>111302:GCS EMP EXP CORP AG</t>
  </si>
  <si>
    <t>C055003</t>
  </si>
  <si>
    <t>GCS - Arg - Emp Exp Corp</t>
  </si>
  <si>
    <t>111303:GCS MRKTG CORP AG</t>
  </si>
  <si>
    <t>C055004</t>
  </si>
  <si>
    <t>GCS - Arg - Marketing Corp</t>
  </si>
  <si>
    <t>111304:GCS  COMM CORP AG</t>
  </si>
  <si>
    <t>C055005</t>
  </si>
  <si>
    <t>GCS - Arg - Communicatons Corp</t>
  </si>
  <si>
    <t>7405-Harvey Norman AUS</t>
  </si>
  <si>
    <t>C601004</t>
  </si>
  <si>
    <t>Harvey Norman</t>
  </si>
  <si>
    <t>111306:GCS DA CORP AG</t>
  </si>
  <si>
    <t>C055007</t>
  </si>
  <si>
    <t>GCS - Arg - Data Analytics Corp</t>
  </si>
  <si>
    <t>111307:GCS RISK CORP AG</t>
  </si>
  <si>
    <t>C055008</t>
  </si>
  <si>
    <t>GCS - Arg - Risk Corp</t>
  </si>
  <si>
    <t>111308:GCS IAS CORP AG</t>
  </si>
  <si>
    <t>C055009</t>
  </si>
  <si>
    <t>GCS - Arg - Internal Audit Services Corp</t>
  </si>
  <si>
    <t>111309:GCS GSF CORP AG</t>
  </si>
  <si>
    <t>C055010</t>
  </si>
  <si>
    <t>GCS - Arg - GSF Corp</t>
  </si>
  <si>
    <t>1310AG</t>
  </si>
  <si>
    <t>1310AG:GCS ACTUARIAL RESERVING AND REPORTING</t>
  </si>
  <si>
    <t>C055011</t>
  </si>
  <si>
    <t>GCS - Arg - Actuarial - Reserving and Reporting</t>
  </si>
  <si>
    <t>1311AG</t>
  </si>
  <si>
    <t>1311AG:GCS ACTUARIAL CONNECTED LIVING</t>
  </si>
  <si>
    <t>C055012</t>
  </si>
  <si>
    <t>GCS - Arg - Actuarial - Connected Living</t>
  </si>
  <si>
    <t>1312AG</t>
  </si>
  <si>
    <t>1312AG:GCS ACTUARIAL GLOBAL HOUSING</t>
  </si>
  <si>
    <t>C055013</t>
  </si>
  <si>
    <t>GCS - Arg - Actuarial - Global Housing</t>
  </si>
  <si>
    <t>1313AG</t>
  </si>
  <si>
    <t>1313AG:GCS ACTUARIAL DATA OPS &amp; TECH</t>
  </si>
  <si>
    <t>C055014</t>
  </si>
  <si>
    <t>GCS - Arg - Actuarial - Data Ops and Tech</t>
  </si>
  <si>
    <t>1314AG</t>
  </si>
  <si>
    <t>1314AG:GCS ACTUARIAL GLOBAL AUTO</t>
  </si>
  <si>
    <t>C055015</t>
  </si>
  <si>
    <t>GCS - Arg - Actuarial - Global Auto</t>
  </si>
  <si>
    <t>1300AG</t>
  </si>
  <si>
    <t>1300AG:GCS HR PBP AG</t>
  </si>
  <si>
    <t>C055100</t>
  </si>
  <si>
    <t>GCS - Arg - HR People Business Partner</t>
  </si>
  <si>
    <t>1301AG</t>
  </si>
  <si>
    <t>1301AG:GCS HR TALENT AG</t>
  </si>
  <si>
    <t>C055101</t>
  </si>
  <si>
    <t>GCS - Arg - HR Talent</t>
  </si>
  <si>
    <t>1302AG</t>
  </si>
  <si>
    <t>1302AG:GCS EMP EXP AG</t>
  </si>
  <si>
    <t>C055102</t>
  </si>
  <si>
    <t>GCS - Arg - Emp Exp</t>
  </si>
  <si>
    <t>1303AG</t>
  </si>
  <si>
    <t>1303AG:GCS MRKTG AG</t>
  </si>
  <si>
    <t>C055103</t>
  </si>
  <si>
    <t>GCS - Arg - Marketing</t>
  </si>
  <si>
    <t>1304AG</t>
  </si>
  <si>
    <t>1304AG:GCS  COMM AG</t>
  </si>
  <si>
    <t>C055104</t>
  </si>
  <si>
    <t>GCS - Arg - Communications</t>
  </si>
  <si>
    <t>7445-CD-IT-(India-Motor)</t>
  </si>
  <si>
    <t>CI25506</t>
  </si>
  <si>
    <t>IT INTL - IT 7445</t>
  </si>
  <si>
    <t>1306AG</t>
  </si>
  <si>
    <t>1306AG:GCS DA AG</t>
  </si>
  <si>
    <t>C055106</t>
  </si>
  <si>
    <t>GCS - Arg - Data Analytics</t>
  </si>
  <si>
    <t>1307AG</t>
  </si>
  <si>
    <t>1307AG:GCS RISK AG</t>
  </si>
  <si>
    <t>C055107</t>
  </si>
  <si>
    <t>GCS - Arg - Risk</t>
  </si>
  <si>
    <t>1308AG</t>
  </si>
  <si>
    <t>1308AG:GCS IAS AAGS</t>
  </si>
  <si>
    <t>C055108</t>
  </si>
  <si>
    <t>GCS - Arg - Internal Audit Services</t>
  </si>
  <si>
    <t>1309AG</t>
  </si>
  <si>
    <t>1309AG:GCS GSF AG</t>
  </si>
  <si>
    <t>C055109</t>
  </si>
  <si>
    <t>GCS - Arg - GSF</t>
  </si>
  <si>
    <t>111310:GCS HR PBP CORP INDIA</t>
  </si>
  <si>
    <t>C056001</t>
  </si>
  <si>
    <t>GCS - India - HR People Business Partner Corp</t>
  </si>
  <si>
    <t>111311:GCS HR TALENT CORP INDIA</t>
  </si>
  <si>
    <t>C056002</t>
  </si>
  <si>
    <t>GCS - India - HR Talent Corp</t>
  </si>
  <si>
    <t>111312:GCS EMP EXP CORP INDIA</t>
  </si>
  <si>
    <t>C056003</t>
  </si>
  <si>
    <t>GCS - India - Empl Exp Corp</t>
  </si>
  <si>
    <t>111313:GCS MRKTG CORP INDIA</t>
  </si>
  <si>
    <t>C056004</t>
  </si>
  <si>
    <t>GCS - India - Marketing Corp</t>
  </si>
  <si>
    <t>111314:GCS  COMM CORP INDIA</t>
  </si>
  <si>
    <t>C056005</t>
  </si>
  <si>
    <t>GCS - India - Communications Corp</t>
  </si>
  <si>
    <t>111316:GCS DA CORP INDIA</t>
  </si>
  <si>
    <t>C056007</t>
  </si>
  <si>
    <t>GCS - India - Data Analytics Corp</t>
  </si>
  <si>
    <t>111317:GCS RISK CORP INDIA</t>
  </si>
  <si>
    <t>C056008</t>
  </si>
  <si>
    <t>GCS - India - Risk Corp</t>
  </si>
  <si>
    <t>111318:GCS IAS CORP INDIA</t>
  </si>
  <si>
    <t>C056009</t>
  </si>
  <si>
    <t>GCS - India - Internal Audit Services Corp</t>
  </si>
  <si>
    <t>111319:GCS GSF CORP INDIA</t>
  </si>
  <si>
    <t>C056010</t>
  </si>
  <si>
    <t>GCS - India - GSF Corp</t>
  </si>
  <si>
    <t>1310IN</t>
  </si>
  <si>
    <t>1310IN:GCS HR PBP AG</t>
  </si>
  <si>
    <t>C056100</t>
  </si>
  <si>
    <t>GCS - India - HR People Business Partner</t>
  </si>
  <si>
    <t>1311IN</t>
  </si>
  <si>
    <t>1311IN:GCS HR TALENT INDIA</t>
  </si>
  <si>
    <t>C056101</t>
  </si>
  <si>
    <t>GCS - India - HR Talent</t>
  </si>
  <si>
    <t>1312IN</t>
  </si>
  <si>
    <t>1312IN:GCS EMP EXP INDIA</t>
  </si>
  <si>
    <t>C056102</t>
  </si>
  <si>
    <t>GCS - India - Emp Exp</t>
  </si>
  <si>
    <t>1313IN</t>
  </si>
  <si>
    <t>1313IN:GCS MRKTG INDIA</t>
  </si>
  <si>
    <t>C056103</t>
  </si>
  <si>
    <t>GCS - India - Marketing</t>
  </si>
  <si>
    <t>1314IN</t>
  </si>
  <si>
    <t>1314IN:GCS  COMM INDIA</t>
  </si>
  <si>
    <t>C056104</t>
  </si>
  <si>
    <t>GCS - India - Communications</t>
  </si>
  <si>
    <t>7465-CD: Business Implemntatin</t>
  </si>
  <si>
    <t>CI10968</t>
  </si>
  <si>
    <t>Marketing - Business Implementation 7465</t>
  </si>
  <si>
    <t>1316IN</t>
  </si>
  <si>
    <t>1316IN:GCS DA INDIA</t>
  </si>
  <si>
    <t>C056106</t>
  </si>
  <si>
    <t>GCS - India - Data Analytics</t>
  </si>
  <si>
    <t>1317IN</t>
  </si>
  <si>
    <t>1317IN:GCS RISK INDIA</t>
  </si>
  <si>
    <t>C056107</t>
  </si>
  <si>
    <t>GCS - India - Risk</t>
  </si>
  <si>
    <t>1318IN</t>
  </si>
  <si>
    <t>1318IN:GCS IAS INDIA</t>
  </si>
  <si>
    <t>C056108</t>
  </si>
  <si>
    <t>GCS - India - Internal Audit Services</t>
  </si>
  <si>
    <t>1319IN</t>
  </si>
  <si>
    <t>1319IN:GCS GSF INDIA</t>
  </si>
  <si>
    <t>C056109</t>
  </si>
  <si>
    <t>GCS - India - GSF</t>
  </si>
  <si>
    <t>7475-CD Business Implementation</t>
  </si>
  <si>
    <t>CI6123A</t>
  </si>
  <si>
    <t>CD Business Implementation 7475</t>
  </si>
  <si>
    <t>7485-CD  Business Implementation APAC Other</t>
  </si>
  <si>
    <t>C610248</t>
  </si>
  <si>
    <t>CD Business Implementation Other</t>
  </si>
  <si>
    <t>7500-COMPLIANCE</t>
  </si>
  <si>
    <t>CI20229</t>
  </si>
  <si>
    <t>Legal - Compliance 7500</t>
  </si>
  <si>
    <t>7501-RISK</t>
  </si>
  <si>
    <t>C042001</t>
  </si>
  <si>
    <t>Risk Management - Admin</t>
  </si>
  <si>
    <t>10222-PROJECT ETOILE</t>
  </si>
  <si>
    <t>C090000</t>
  </si>
  <si>
    <t>Project Etoile</t>
  </si>
  <si>
    <t>10241-PROJECT JAMES</t>
  </si>
  <si>
    <t>C090001</t>
  </si>
  <si>
    <t>Project James</t>
  </si>
  <si>
    <t>10246-PROJECT T</t>
  </si>
  <si>
    <t>C090002</t>
  </si>
  <si>
    <t>Project T</t>
  </si>
  <si>
    <t>7502-APAC Analytics</t>
  </si>
  <si>
    <t>CI50010</t>
  </si>
  <si>
    <t>Regional - Data Analytics 7502</t>
  </si>
  <si>
    <t>7503-FPS CANADA IGCC</t>
  </si>
  <si>
    <t>C601021</t>
  </si>
  <si>
    <t>Canada IGCC</t>
  </si>
  <si>
    <t>7504-APAC Finance</t>
  </si>
  <si>
    <t>CI50014</t>
  </si>
  <si>
    <t>Regional - Finance 7504</t>
  </si>
  <si>
    <t>7505-APAC Others</t>
  </si>
  <si>
    <t>C050021</t>
  </si>
  <si>
    <t>Regoinal - Other Placeholder</t>
  </si>
  <si>
    <t>7507-US Claims Adjudication</t>
  </si>
  <si>
    <t>C560004</t>
  </si>
  <si>
    <t>Claims - International Lifestyle - US Claims Adjudication</t>
  </si>
  <si>
    <t>7508-US Claims Payments</t>
  </si>
  <si>
    <t>C560005</t>
  </si>
  <si>
    <t>Claims - International Lifestyle - US Claims Payments</t>
  </si>
  <si>
    <t>7509-US IT Process</t>
  </si>
  <si>
    <t>CI25601</t>
  </si>
  <si>
    <t>IT INTL - US Support 7509</t>
  </si>
  <si>
    <t>7510-US Analytics</t>
  </si>
  <si>
    <t>C040121</t>
  </si>
  <si>
    <t>Data Analytics - US</t>
  </si>
  <si>
    <t>7511-GCC MANAGEMENT</t>
  </si>
  <si>
    <t>C380017</t>
  </si>
  <si>
    <t>VPS Ops - GCC Management</t>
  </si>
  <si>
    <t>42727-PROJECT CEIBO</t>
  </si>
  <si>
    <t>C090013</t>
  </si>
  <si>
    <t>Project CEIBO</t>
  </si>
  <si>
    <t>7512-HR GCC Service</t>
  </si>
  <si>
    <t>CI20517</t>
  </si>
  <si>
    <t>Human Resources - People Business Partners 7512</t>
  </si>
  <si>
    <t>7513-GLOBAL HOUSING IT CC FROM INDIA</t>
  </si>
  <si>
    <t>C303302</t>
  </si>
  <si>
    <t>GH - Intl - Global Hsg IT CC from India</t>
  </si>
  <si>
    <t>93311-PROJECT BEEHIVE</t>
  </si>
  <si>
    <t>C090016</t>
  </si>
  <si>
    <t>Project Beehive</t>
  </si>
  <si>
    <t>R40000-PROJECT SUN</t>
  </si>
  <si>
    <t>C090017</t>
  </si>
  <si>
    <t>Project Sun</t>
  </si>
  <si>
    <t>W6297-PROJECT CORE</t>
  </si>
  <si>
    <t>C090018</t>
  </si>
  <si>
    <t>Project Core</t>
  </si>
  <si>
    <t>7514-LD BPM INDIA</t>
  </si>
  <si>
    <t>C350682</t>
  </si>
  <si>
    <t>Housing Ops - BPM India</t>
  </si>
  <si>
    <t>7515:OPS TECHNOLOGY IGCC</t>
  </si>
  <si>
    <t>C350683</t>
  </si>
  <si>
    <t>Housing Ops – Ops Technology IGCC</t>
  </si>
  <si>
    <t>T1064-ELM CREEK BLVD &amp; MAIN ST</t>
  </si>
  <si>
    <t>C090020</t>
  </si>
  <si>
    <t>Project Guardian</t>
  </si>
  <si>
    <t>T1099-SANDLAKE</t>
  </si>
  <si>
    <t>T1269-CASTLETON SQUARE</t>
  </si>
  <si>
    <t>T1286-28TH &amp; BELTLINE</t>
  </si>
  <si>
    <t>T1302-PONCE DE LEON BLVD &amp; ALHAMBRA</t>
  </si>
  <si>
    <t>T1466-JAMAICA &amp; SUTPHIN</t>
  </si>
  <si>
    <t>T1SAP-W INTERESTATE 20 &amp; W BARDIN RD</t>
  </si>
  <si>
    <t>T1SAQ-STATE HWY 121 &amp; WILTSHIRE BLVD</t>
  </si>
  <si>
    <t>T1SAV-E ROUND GROVE RD &amp; VISTA RIDGE MALL</t>
  </si>
  <si>
    <t>T1SAX-CRAIG DR &amp; ELDORADO PKWY</t>
  </si>
  <si>
    <t>T1SAZ-US HWY 75 &amp; TOWN CTR</t>
  </si>
  <si>
    <t>T1SBA-PRESTON RD &amp; W PARK BLVD</t>
  </si>
  <si>
    <t>T1SBD-TOWN EAST BLVD &amp; PAVILLION CT</t>
  </si>
  <si>
    <t>T1SBL-PARK LN &amp; N CENTRAL EXPY</t>
  </si>
  <si>
    <t>T1SBN-W CAMP WISDOM RD &amp; RED BIRD CTR</t>
  </si>
  <si>
    <t>T1SBP-CAMPBELL RD &amp; COIT RD</t>
  </si>
  <si>
    <t>T1SBW-BROADWAY AVE &amp; CROOKED TRL</t>
  </si>
  <si>
    <t>T1SCH-W PIPELINE RD &amp; PACIFIC ST</t>
  </si>
  <si>
    <t>T1SCL-W DEBBIE LN &amp; HWY 287 N</t>
  </si>
  <si>
    <t>T1SCP-HULEN ST &amp; BELLAIRE DR S</t>
  </si>
  <si>
    <t>T1SCX-DENTON HWY &amp; KELLY LYNN LN</t>
  </si>
  <si>
    <t>T1SDC-S LOOP 288 &amp; SPENCER RD</t>
  </si>
  <si>
    <t>T1SDE-KEMP BLVD &amp; KELL BLVD</t>
  </si>
  <si>
    <t>T1SDG-E CENTRAL TEXAS EXPY &amp; S W S YOUNG D</t>
  </si>
  <si>
    <t>T1SDJ-SHERWOOD WAY &amp; SUNSET DR</t>
  </si>
  <si>
    <t>T1SDL-WESTPARK DR &amp; COUNTY RD</t>
  </si>
  <si>
    <t>T1SDM-KOEHLER ST &amp; YALE ST</t>
  </si>
  <si>
    <t>T1SEC-INTERSTATE 45 N &amp; AARON PASTERNACK D</t>
  </si>
  <si>
    <t>T1SED-HWY 59 N &amp; E DENTON</t>
  </si>
  <si>
    <t>T1SEI-W GRAND PKWY &amp; BELLAIRE BLVD</t>
  </si>
  <si>
    <t>T1SEJ-US-290 &amp; SPRING CYPRESS RD</t>
  </si>
  <si>
    <t>T1SEN-HWY 6 &amp; PRUDENTIAL CIR</t>
  </si>
  <si>
    <t>T1SEU-W BAY AREA BLVD &amp; BAYBROOK SQUARE DR</t>
  </si>
  <si>
    <t>T1SEZ-DEL MAR BLVD &amp; SPRINGFIELD AVE</t>
  </si>
  <si>
    <t>T1SFC-E BASSE RD &amp; JONES MALTSBERGER RD 2</t>
  </si>
  <si>
    <t>T1SFE-SAN PEDRO AVE &amp; EMBASSY OAKS</t>
  </si>
  <si>
    <t>T1SFH-WALZEM RD &amp; WINDSOR CROSS</t>
  </si>
  <si>
    <t>T1SFM-NW LOOP 410 &amp; WIGWAM DR</t>
  </si>
  <si>
    <t>T1SFP-BANDERA RD &amp; BRAE RIDGE DR</t>
  </si>
  <si>
    <t>T1SFW-PADRE ISLAND DR &amp; NEMEC ST</t>
  </si>
  <si>
    <t>T1SFX-E EXPRESSWAY 83 &amp;S MCCOLL RD</t>
  </si>
  <si>
    <t>T1SGB-BOCA CHICA BLVD &amp; VICTORY ST</t>
  </si>
  <si>
    <t>T1SGJ-TOWN CENTER BLVD &amp; W EXPRESSWAY 83</t>
  </si>
  <si>
    <t>T1SGP-FM 685 &amp; E PFLUGERVILLE PKWY</t>
  </si>
  <si>
    <t>T1SGW-S INTERSTATE 35 &amp; W SLAUGHTER LN</t>
  </si>
  <si>
    <t>T1SGY-41ST ST &amp; E 43RD ST</t>
  </si>
  <si>
    <t>T1SHA-N CAPITAL OF TEXAS HWY &amp; STONELAKE B</t>
  </si>
  <si>
    <t>T1SHC-WESTGATE PKWY &amp; SONCY RD</t>
  </si>
  <si>
    <t>T1SHE-LOOP 289 &amp; 66TH ST</t>
  </si>
  <si>
    <t>T1SHG-CLACK ST &amp; PARK CENTRAL BLVD</t>
  </si>
  <si>
    <t>T1SHL-HWY 191 &amp; NE LOOP 338</t>
  </si>
  <si>
    <t>T1SHN-MONTANA AVE &amp; LOCKHART ST</t>
  </si>
  <si>
    <t>T1SHO-N ZARAGOZA RD &amp; SAUL KLEINFELD DR</t>
  </si>
  <si>
    <t>T1SHS-E ARAPAHOE RD &amp; S HELENA ST</t>
  </si>
  <si>
    <t>T1SHV-COMMONS ST &amp; E LINCOLN AVE 2</t>
  </si>
  <si>
    <t>T1SHY-QUEBEC ST &amp; E 38TH AVE</t>
  </si>
  <si>
    <t>T1SIC-GRANT ST &amp; E 98TH PL</t>
  </si>
  <si>
    <t>T1SIN-24 1 2 RD &amp; US HWY 6</t>
  </si>
  <si>
    <t>T1SIP-EAGLE RD &amp; N CAJUN CT</t>
  </si>
  <si>
    <t>T1SIR-W HILL FIELD RD &amp; N MAIN ST</t>
  </si>
  <si>
    <t>T1SIT-W SOUTH JORDAN PKWY &amp; BANGERTER HWY</t>
  </si>
  <si>
    <t>T1SIX-STATE ST &amp; S 100 E</t>
  </si>
  <si>
    <t>T1SJA-700 S &amp; RIVER RD</t>
  </si>
  <si>
    <t>T1SJH-W THOMAS RD &amp; N 75TH AVE 2</t>
  </si>
  <si>
    <t>T1SJI-28TH DR &amp; N METRO PKWY E</t>
  </si>
  <si>
    <t>T1SJN-E BASELINE RD &amp; S POWER RD</t>
  </si>
  <si>
    <t>T1SJS-E SOUTHERN AVE &amp; S KACHINA DR</t>
  </si>
  <si>
    <t>T1SJU-S MARKET ST &amp; E WILLIAMS FIELD RD</t>
  </si>
  <si>
    <t>T1SJX-W 24TH ST &amp; S AVE B</t>
  </si>
  <si>
    <t>T1SLA-ORACLE RD &amp; W WETMORE RD</t>
  </si>
  <si>
    <t>T1SLB-BROADWAY BLVD &amp; E WILLIAMS CIR</t>
  </si>
  <si>
    <t>T1SLO-W SAHARA AVE &amp; S VALLEY VIEW BLVD</t>
  </si>
  <si>
    <t>T1SLP-E CHARLESTON BLVD &amp; MOONLIGHT DR</t>
  </si>
  <si>
    <t>T1SLQ-RAINBOW &amp; LAKE MEAD</t>
  </si>
  <si>
    <t>T1SLV-N DECATUR BLVD &amp; RICE AVE</t>
  </si>
  <si>
    <t>T1SLX-LAVENDER HILL DR &amp; SUMMA DR</t>
  </si>
  <si>
    <t>T1SLZ-MEADOWOOD MALL 3</t>
  </si>
  <si>
    <t>T1SME-WILSHIRE BLVD &amp; S MARIPOSA AVE</t>
  </si>
  <si>
    <t>T1SMR-S LA CIENEGA BLVD &amp; W 4TH ST</t>
  </si>
  <si>
    <t>T1SMW-SEPULVEDA BLVD &amp; BERRYMAN AVE</t>
  </si>
  <si>
    <t>T1SNC-E FLORENCE AVE &amp; MOUNTAIN VIEW AVE</t>
  </si>
  <si>
    <t>T1SNL-W CENTURY BLVD &amp; CLUB DR</t>
  </si>
  <si>
    <t>T1SNN-HAWTHORNE BLVD &amp; MARICOPA ST</t>
  </si>
  <si>
    <t>T1SNO-WHITTWOOD LN &amp; WHITTWOOD DR</t>
  </si>
  <si>
    <t>T1SNW-LAKEWOOD BLVD &amp; ROSECRANS AVE</t>
  </si>
  <si>
    <t>T1SNX-LAKEWOOD CENTER 4</t>
  </si>
  <si>
    <t>T1SNY-PARAMOUNT BLVD &amp; CALIFORNIA AVE</t>
  </si>
  <si>
    <t>T1SOE-E COLORADO BLVD &amp; S RAYMOND AVE</t>
  </si>
  <si>
    <t>T1SOG-VENTURA BLVD &amp; AMESTOY AVE</t>
  </si>
  <si>
    <t>T1SOH-NORDHOFF ST &amp; NORDHOFF WAY</t>
  </si>
  <si>
    <t>T1SOL-MCBEAN PKWY &amp; MAGIC MOUNTAIN PKWY</t>
  </si>
  <si>
    <t>T1SOV-N AZUSA AVE &amp; W GRONDAHL ST</t>
  </si>
  <si>
    <t>T1SOW-FOOTHILL BLVD &amp; ROCHESTER AVE</t>
  </si>
  <si>
    <t>T1SOX-VALLEY MALL &amp; CENTER AVE</t>
  </si>
  <si>
    <t>T1SPC-S MOUNTAIN AVE &amp; W 7TH ST</t>
  </si>
  <si>
    <t>T1SPD-CALIFORNIA AVE &amp; S VINCENT AVE</t>
  </si>
  <si>
    <t>T1SPG-BROADWAY &amp; OXFORD ST 2</t>
  </si>
  <si>
    <t>T1SPN-EL CAMINO REAL &amp; TOWN CENTER PL</t>
  </si>
  <si>
    <t>T1SPO-W VALLEY PKWY &amp; N ESCONDIDO BLVD</t>
  </si>
  <si>
    <t>T1SPU-FENTON PKWY &amp; MISSION CITY PARK</t>
  </si>
  <si>
    <t>T1SPY-COLLEGE AVE &amp; COLLEGE GROVE DR</t>
  </si>
  <si>
    <t>T1SQB-ROCKWOOD AVE &amp; SCARONI AVE</t>
  </si>
  <si>
    <t>T1SQR-HIGHLAND AVE &amp; SEINE CT</t>
  </si>
  <si>
    <t>T1SQS-TYLER ST &amp; TYLER MALL ST</t>
  </si>
  <si>
    <t>T1SRD-HAUN RD &amp; NEWPORT RD</t>
  </si>
  <si>
    <t>T1SRE-WINCHESTER RD &amp; PROMENADE MALL W</t>
  </si>
  <si>
    <t>T1SRF-CLINTON KEITH RD &amp; CORONA FWY N</t>
  </si>
  <si>
    <t>T1SRJ-ALISO CREEK RD &amp; THEATRE LN</t>
  </si>
  <si>
    <t>T1SRM-WESTMINSTER BLVD &amp; COMMERCE LN</t>
  </si>
  <si>
    <t>T1SRT-W ORANGETHORPE AVE &amp; S HARBOR BLVD</t>
  </si>
  <si>
    <t>T1SRU-HARBOR BLVD &amp; BUARO ST</t>
  </si>
  <si>
    <t>T206F-BARRY RD &amp; US 169 2</t>
  </si>
  <si>
    <t>T213-LAKE UNDERHILL &amp; CHICKASAW</t>
  </si>
  <si>
    <t>T219F-JEFFERSON RD &amp; MARKETPLACE DRIVE</t>
  </si>
  <si>
    <t>T229E-1960 &amp; CUTTEN</t>
  </si>
  <si>
    <t>T230F-RENAISSANCE PKWY &amp; AYALA DR</t>
  </si>
  <si>
    <t>T260F-OLD COUNTRY RD &amp; KROEMER AVE 2</t>
  </si>
  <si>
    <t>T288-ACADEMY &amp; SAN MATEO</t>
  </si>
  <si>
    <t>7516:ANZ CONTROLLER &amp; ACCOUNTING</t>
  </si>
  <si>
    <t>CI10161</t>
  </si>
  <si>
    <t>Global Accounting - Controller and Acctg - ANZ</t>
  </si>
  <si>
    <t>T2918-324TH &amp; PACIFIC HIGHWAY</t>
  </si>
  <si>
    <t>7517:INDIA CONTROLLER &amp; ACCOUNTING</t>
  </si>
  <si>
    <t>CI10164</t>
  </si>
  <si>
    <t>Global Accounting - Controller and Acctg - India</t>
  </si>
  <si>
    <t>T2SAA-GRAND OAKS &amp; CAJALCO RD</t>
  </si>
  <si>
    <t>T2SAC-W ESPLANADE DR &amp; WAGON WHEEL RD</t>
  </si>
  <si>
    <t>T2SAG-STATE ST &amp; E CARRILLO ST</t>
  </si>
  <si>
    <t>T2SAN-VALLEY CENTRAL WAY &amp; W AVE J</t>
  </si>
  <si>
    <t>T2SAQ-N BLACKSTONE AVE &amp; W SHAW AVE</t>
  </si>
  <si>
    <t>T2SAR-MAIN ST &amp; E BORONDA RD</t>
  </si>
  <si>
    <t>T2SAS-GELLERT BLVD &amp; SERRAMONTE BLVD</t>
  </si>
  <si>
    <t>T2SAU-W EL CAMINO REAL &amp; SAN ANTONIO RD</t>
  </si>
  <si>
    <t>T2SAX-MISSION ST &amp; JESSIE ST W</t>
  </si>
  <si>
    <t>T2SAY-BRYANT ST &amp; 15TH ST</t>
  </si>
  <si>
    <t>T2SBC-EL CAMINO REAL &amp; IVY ST</t>
  </si>
  <si>
    <t>T2SBF-EL CERRITO PLZ &amp; FAIRMOUNT AVE</t>
  </si>
  <si>
    <t>T2SBG-GATEWAY BLVD &amp; B GALE WILSON BLVD</t>
  </si>
  <si>
    <t>T2SBM-MARINA BLVD &amp; TEAGARDEN ST</t>
  </si>
  <si>
    <t>T2SBP-JOHNSON DR &amp; OWENS DR</t>
  </si>
  <si>
    <t>T2SBQ-CHRISTIE AVE &amp; I 80 E</t>
  </si>
  <si>
    <t>T2SCB-MCKEE RD &amp; RUSSO CMNS</t>
  </si>
  <si>
    <t>T2SCC-STEVENS CREEK BLVD &amp; LAWRENCE EXPY</t>
  </si>
  <si>
    <t>T2SCF-W KETTLEMAN LN &amp; S LOWER SACRAMENTO</t>
  </si>
  <si>
    <t>T2SCJ-DALE RD &amp; BRADEN AVE</t>
  </si>
  <si>
    <t>T2SCM-GREENBACK LN &amp; COUNTY HWY E14</t>
  </si>
  <si>
    <t>T2SCT-ELK GROVE FLORIN RD &amp; SIENNA SAND DR</t>
  </si>
  <si>
    <t>T2SCV-TRUXEL RD &amp; N MARKETPLACE</t>
  </si>
  <si>
    <t>T2SCZ-KAMEHAMEHA HWY &amp; HI 99</t>
  </si>
  <si>
    <t>T2SDB-QUEEN KAAHUMANU CENTER MALL 2</t>
  </si>
  <si>
    <t>T2SDD-ALA MOANA BLVD &amp; KEAWE ST</t>
  </si>
  <si>
    <t>T2SDH-SE 82ND AVE &amp; SE BOYER DR</t>
  </si>
  <si>
    <t>T2SDM-SW HALL BLVD &amp; SW SCHOLLS FERRY RD</t>
  </si>
  <si>
    <t>T2SDO-W 7TH AVE &amp; WASHINGTON ST</t>
  </si>
  <si>
    <t>T2SDP-BIDDLE RD &amp; PROGRESS DR</t>
  </si>
  <si>
    <t>T2SDT-196TH ST SW &amp; 44TH AVE W</t>
  </si>
  <si>
    <t>T2SDU-148TH AVE NE &amp; NE 20TH ST</t>
  </si>
  <si>
    <t>T2SEG-CHKALOV DR &amp; SE 5TH ST</t>
  </si>
  <si>
    <t>T2SEJ-FRANCIS AVE &amp; N ELGIN ST</t>
  </si>
  <si>
    <t>T2SEL-N COLUMBIA CENTER BLVD &amp; W GRANDRIDG</t>
  </si>
  <si>
    <t>T2SEO-N POINT PKWY &amp; N POINT MALL ENTRANCE</t>
  </si>
  <si>
    <t>T2SEU-HOLCOMB BRIDGE RD &amp; FOUTS RD</t>
  </si>
  <si>
    <t>T2SEZ-JIMMY LEE SMITH PKWY &amp; GA 6</t>
  </si>
  <si>
    <t>T2SFB-COBB PKWY &amp; RIDENOUR BLVD NW</t>
  </si>
  <si>
    <t>T2SFF-MOUNT ZION RD &amp; SPRING PL</t>
  </si>
  <si>
    <t>T2SFG-HWY 138 SE &amp; STOCKBRIDGE RD</t>
  </si>
  <si>
    <t>T2SFL-COBB PKWY &amp; AKERS MILL RD SE</t>
  </si>
  <si>
    <t>T2SFP-PERIMETER CTR W &amp; PERIMETER PLACE WA</t>
  </si>
  <si>
    <t>T2SFQ-SPOUT SPRINGS RD &amp; HOG MOUNTAIN RD 3</t>
  </si>
  <si>
    <t>T2SFS-WASHINGTON RD &amp; RUMSON DR</t>
  </si>
  <si>
    <t>T2SGB-BAYMEADOWS RD &amp; PEACH DR</t>
  </si>
  <si>
    <t>T2SGC-N MONROE ST &amp; SILVER SLIPPER LN</t>
  </si>
  <si>
    <t>T2SGD-N DAVIS HWY &amp; SCHUBERT DR</t>
  </si>
  <si>
    <t>T2SGJ-SW ARCHER RD &amp; SW 35TH BLVD</t>
  </si>
  <si>
    <t>T2SGT-RED BUG LAKE RD &amp; VIDINA PL</t>
  </si>
  <si>
    <t>T2SGU-WP BALL BLVD &amp; GARNET LN</t>
  </si>
  <si>
    <t>T2SGY-W COLONIAL DR &amp; DORSCHER RD</t>
  </si>
  <si>
    <t>T2SHQ-PINES BLVD &amp; S FLAMINGO RD</t>
  </si>
  <si>
    <t>T2SHX-NE 2ND AVE &amp; NE 94TH ST</t>
  </si>
  <si>
    <t>T2SIB-BISCAYNE BLVD &amp; NE 178TH ST</t>
  </si>
  <si>
    <t>T2SIN-S UNIVERSITY DR &amp; SW 6TH ST</t>
  </si>
  <si>
    <t>T2SIR-US HWY 1 &amp; WHEELER RD</t>
  </si>
  <si>
    <t>T2SIS-N MILITARY TRL &amp; OKEECHOBEE BLVD</t>
  </si>
  <si>
    <t>T2SIX-GLADES RD &amp; NW 16TH ST</t>
  </si>
  <si>
    <t>T2SJC-W BRANDON BLVD &amp; PROVIDENCE RD</t>
  </si>
  <si>
    <t>T2SJH-KENNEDY BLVD &amp; GRAY CT</t>
  </si>
  <si>
    <t>T2SJM-CITRUS PARK DR &amp; CITRUS PLAZA DR</t>
  </si>
  <si>
    <t>T2SJN-TYRONE BLVD N &amp; 38TH AVE N</t>
  </si>
  <si>
    <t>T2SJQ-S FLORIDA AVE &amp; EASTWAY DR</t>
  </si>
  <si>
    <t>T2SJU-S CLEVELAND AVE &amp; DANA DR</t>
  </si>
  <si>
    <t>T2SJX-SANTA BARBARA BLVD &amp; SW 2ND AVE</t>
  </si>
  <si>
    <t>T2SJZ-TAMIAMI TRL N &amp; 106TH AVE N</t>
  </si>
  <si>
    <t>T2SLA-14TH ST W &amp; 45TH AVE CIR W</t>
  </si>
  <si>
    <t>T2SLC-SW 19TH AVE RD &amp; SW 24TH AVE</t>
  </si>
  <si>
    <t>T2SLE-US HWY 19 N &amp; CORAL LANDINGS BLVD</t>
  </si>
  <si>
    <t>T2SLG-W VINE ST &amp; MANN ST</t>
  </si>
  <si>
    <t>T2SLM-US HWY 280 &amp; LYNDON DR</t>
  </si>
  <si>
    <t>T2SLN-MONTGOMERY HWY &amp; I 459 N</t>
  </si>
  <si>
    <t>T2SLP-HAMILTON PLACE BLVD &amp; BAMS DR</t>
  </si>
  <si>
    <t>T2SLQ-STRATFORD RD &amp; LOWER MALL DR</t>
  </si>
  <si>
    <t>T2SLT-HOLDEN RD &amp; BOULEVARD ST</t>
  </si>
  <si>
    <t>T2SLW-BEAVER CREEK COMMONS &amp; HADDON HALL D</t>
  </si>
  <si>
    <t>T2SME-FAYETTEVILLE RD &amp; E NC HWY 54</t>
  </si>
  <si>
    <t>T2SMI-E FRANKLIN BLVD &amp; GREEN DR</t>
  </si>
  <si>
    <t>T2SMJ-SAM FURR RD &amp; NORTHCROSS DR</t>
  </si>
  <si>
    <t>T2SMO-SHARON RD &amp; SHARON CORNERS SHOPP DR</t>
  </si>
  <si>
    <t>T2SMQ-E W T HARRIS BLVD &amp; E MCCOLLOUGH DR</t>
  </si>
  <si>
    <t>T2SMT-OLEANDER DR &amp; PEACHTREE AVE</t>
  </si>
  <si>
    <t>T2SMY-HARBISON BLVD &amp; RAIL FENCE DR</t>
  </si>
  <si>
    <t>T2SMZ-TWO NOTCH RD &amp; FORE AVE</t>
  </si>
  <si>
    <t>T2SND-W EVANS ST &amp; DAVID H MCLEOD BLVD</t>
  </si>
  <si>
    <t>T2SNO-TOWNSFAIR WAY &amp; EASTON LOOP W</t>
  </si>
  <si>
    <t>T2SNS-S HAMILTON RD &amp; KIMBERLY PKWY N</t>
  </si>
  <si>
    <t>T2SNT-SAWMILL RD &amp; FEDERATED BLVD</t>
  </si>
  <si>
    <t>T2SNV-AIRPORT HWY &amp; NELA PKWY</t>
  </si>
  <si>
    <t>T2SNZ-LORAIN RD &amp; ROOT RD</t>
  </si>
  <si>
    <t>T2SOC-CHAGRIN BLVD &amp; GREEN RD</t>
  </si>
  <si>
    <t>T2SOF-S ARLINGTON ST &amp; JONATHAN AVE</t>
  </si>
  <si>
    <t>T2SOH-W MARKET ST &amp; MERZ BLVD</t>
  </si>
  <si>
    <t>T2SOP-VOICE OF AMERICA CENTRE DR &amp; TYLERSV</t>
  </si>
  <si>
    <t>T2SPA-TROY PIKE &amp; SHULL RD</t>
  </si>
  <si>
    <t>T2SPB-N FAIRFIELD RD &amp; REX DR</t>
  </si>
  <si>
    <t>T2SPC-SPRINGBORO PIKE &amp; MALL WOODS DR</t>
  </si>
  <si>
    <t>T2SPD-BRIDGE ST &amp; CENTRAL AVE</t>
  </si>
  <si>
    <t>T2SPJ-E WASHINGTON ST &amp; N DEVON AVE</t>
  </si>
  <si>
    <t>T2SPM-US 31 &amp; BRIARWOOD DR</t>
  </si>
  <si>
    <t>T2SPS-MICHIGAN RD &amp; SIGNATURE DR</t>
  </si>
  <si>
    <t>T2SPT-165TH ST &amp; 167TH ST</t>
  </si>
  <si>
    <t>T2SPX-E 80TH AVE &amp; MISSISSIPPI ST</t>
  </si>
  <si>
    <t>T2SQB-GRAPE RD &amp; EDISON LAKES PKWY</t>
  </si>
  <si>
    <t>T2SQF-COLDWATER RD &amp; COLDWATER XING</t>
  </si>
  <si>
    <t>T2SQG-MAIN ST &amp; S 37TH ST</t>
  </si>
  <si>
    <t>T2SQI-N GREEN RIVER RD &amp; PLAZA EAST BLVD</t>
  </si>
  <si>
    <t>T2SQL-GRATIOT AVE &amp; MI 3</t>
  </si>
  <si>
    <t>T2SQM-W 14 MILE RD &amp; CONCORD DR</t>
  </si>
  <si>
    <t>T2SQO-OAK VALLEY DR &amp; BOULDER RIDGE BLVD</t>
  </si>
  <si>
    <t>T2SQR-MICHIGAN AVE &amp; NOWLIN ST</t>
  </si>
  <si>
    <t>T2SQS-HAGGERTY RD &amp; DANIELLE DR</t>
  </si>
  <si>
    <t>T2SQT-ALLEN RD &amp; WOODHAVEN CMNS</t>
  </si>
  <si>
    <t>T2SQW-TELEGRAPH RD &amp; VASSAR AVE</t>
  </si>
  <si>
    <t>T2SQX-HALL RD &amp; DELCO BLVD</t>
  </si>
  <si>
    <t>T2SQY-BALDWIN RD &amp; N LAKE ANGELUS RD</t>
  </si>
  <si>
    <t>T2SQZ-ORCHARD LAKE RD &amp; W MAPLE RD</t>
  </si>
  <si>
    <t>T2SRD-E COURT ST &amp; COMMERCE PKWY</t>
  </si>
  <si>
    <t>T2SRE-TITTABAWASSEE RD &amp; FORTUNE BLVD</t>
  </si>
  <si>
    <t>T2SRJ-SAGINAW HWY &amp; GRANITE DR</t>
  </si>
  <si>
    <t>T2SRR-SE DELAWARE AVE &amp; SE LORENZ DR</t>
  </si>
  <si>
    <t>T2SRS-UNIVERSITY AVE &amp; CORPORATE DR</t>
  </si>
  <si>
    <t>T2SRV-W BLUEMOUND RD &amp; SERVICE DR</t>
  </si>
  <si>
    <t>T320F-GULL RD &amp; LAKE CREST DRIVE</t>
  </si>
  <si>
    <t>T342-CENTURY PLAZA RETAIL</t>
  </si>
  <si>
    <t>T3444-I-45 &amp; FM 1960</t>
  </si>
  <si>
    <t>T387F-LEGACY DR &amp; N DALLAS PARKWAY</t>
  </si>
  <si>
    <t>T392F-MAIN &amp; CENTRAL</t>
  </si>
  <si>
    <t>T3SAA-N GREEN BAY RD &amp; N DEERWOOD DR</t>
  </si>
  <si>
    <t>T3SAC-LAYTON AVE &amp; W FOREST HOME AVE</t>
  </si>
  <si>
    <t>T3SAD-N 124TH ST &amp; W FEERICK ST</t>
  </si>
  <si>
    <t>T3SAF-LIEN RD &amp; EAGAN RD</t>
  </si>
  <si>
    <t>T3SAJ-S ONEIDA ST &amp; WILLARD DR</t>
  </si>
  <si>
    <t>T3SAM-W COLLEGE AVE &amp; N BLUEMOUND DR</t>
  </si>
  <si>
    <t>T3SAN-N ROLLING MEADOWS DR &amp; W SCOTT ST</t>
  </si>
  <si>
    <t>T3SAQ-WHITE BEAR AVE &amp; COUNTY RD D E</t>
  </si>
  <si>
    <t>T3SAS-ROBERT ST S &amp; MURIEL BLVD</t>
  </si>
  <si>
    <t>T3SAT-150TH ST W &amp; HOOVER LN</t>
  </si>
  <si>
    <t>T3SAW-PLYMOUTH RD &amp; CARTWAY LN</t>
  </si>
  <si>
    <t>T3SBF-W FRONTAGE RD NW &amp; 43RD ST NW</t>
  </si>
  <si>
    <t>T3SBG-RAINTREE RD &amp; ADAMS ST</t>
  </si>
  <si>
    <t>T3SBM-GOLF RD &amp; ALGONQUIN RD</t>
  </si>
  <si>
    <t>T3SBN-NORTHWEST HWY &amp; COG CIR</t>
  </si>
  <si>
    <t>T3SBP-GRAND AVE &amp; N HUNT CLUB RD</t>
  </si>
  <si>
    <t>T3SBQ-GURNEE MILLS 9</t>
  </si>
  <si>
    <t>T3SCD-W LAKE ST &amp; N ITASCA RD</t>
  </si>
  <si>
    <t>T3SDP-95TH ST &amp; RIDGELAND AVE</t>
  </si>
  <si>
    <t>T3SDZ-OGDEN AVE &amp; DOUGLAS RD</t>
  </si>
  <si>
    <t>T3SEM-RANDOLPH ST &amp; N LA SALLE ST</t>
  </si>
  <si>
    <t>T3SES-E 53RD ST &amp; DORCHESTER AVE</t>
  </si>
  <si>
    <t>T3SEX-S PULASKI RD &amp; W 47TH ST</t>
  </si>
  <si>
    <t>T3SFC-W DEVON AVE &amp; N SAINT LOUIS AVE</t>
  </si>
  <si>
    <t>T3SFF-W NORTH AVE &amp; N 74TH AVE</t>
  </si>
  <si>
    <t>T3SFM-S CICERO AVE &amp; W 28TH ST</t>
  </si>
  <si>
    <t>T3SFO-E STATE ST &amp; MID AMERICA DR</t>
  </si>
  <si>
    <t>T3SFQ-41ST AVE DR &amp; 10TH ST DR</t>
  </si>
  <si>
    <t>T3SFT-GREENBRIAR DR &amp; PATROIT DR</t>
  </si>
  <si>
    <t>T3SFV-FREY LN &amp; LINCOLN HWY</t>
  </si>
  <si>
    <t>T3SGD-HWY 67 &amp; N WATERFORD DR</t>
  </si>
  <si>
    <t>T3SGE-SAINT CHARLES ROCK RD &amp; DEPAUL DR</t>
  </si>
  <si>
    <t>T3SGG-CLAYTON RD &amp; ETHEL AVE</t>
  </si>
  <si>
    <t>T3SGH-SUNSET HILLS PLZ &amp; S LINDBERGH BLVD</t>
  </si>
  <si>
    <t>T3SGL-OLIVE BLVD &amp; REUTHER LN</t>
  </si>
  <si>
    <t>T3SGN-HWY K &amp; SUNSHINE CT</t>
  </si>
  <si>
    <t>T3SGO-VETERANS MEMORIAL PKWY &amp; N CLOVERLEA</t>
  </si>
  <si>
    <t>T3SGS-E 39TH ST S &amp; INDEPENDENCE CENTER DR</t>
  </si>
  <si>
    <t>T3SGT-NE DOUGLAS ST &amp; NE MULBERRY ST</t>
  </si>
  <si>
    <t>T3SGU-E 14TH ST &amp; GRAND BLVD</t>
  </si>
  <si>
    <t>T3SHE-W BROADWAY &amp; HIGHLAND DR</t>
  </si>
  <si>
    <t>T3SHF-E BATTLEFIELD ST &amp; S JEFFERSON AVE</t>
  </si>
  <si>
    <t>T3SHH-VILLAGE WEST PKWY &amp; PRAIRIE CROSSING</t>
  </si>
  <si>
    <t>T3SHM-TOWN CENTER DR &amp; W 117TH ST</t>
  </si>
  <si>
    <t>T3SHN-W 95TH ST &amp; QUIVIRA RD</t>
  </si>
  <si>
    <t>T3SHS-N WASHINGTON ST &amp; E 7TH ST</t>
  </si>
  <si>
    <t>T3SHW-S SENECA ST &amp; W SAVANNAH ST</t>
  </si>
  <si>
    <t>T3SHX-N ROCK RD &amp; E 30TH ST N</t>
  </si>
  <si>
    <t>T3SHZ-TOWNE CENTER PKWY &amp; S 73RD ST</t>
  </si>
  <si>
    <t>T3SIF-W DODGE RD &amp; N 115TH ST</t>
  </si>
  <si>
    <t>T3SII-VETERANS MEMORIAL BLVD &amp; RICHLAND AV</t>
  </si>
  <si>
    <t>T3SIN-MANHATTAN BLVD &amp; UTE DR</t>
  </si>
  <si>
    <t>T3SIY-DEREK DR &amp; GERSTNER MEMORIAL BLVD</t>
  </si>
  <si>
    <t>T3SJB-BLUEBONNET BLVD &amp; PERKINS RD 2</t>
  </si>
  <si>
    <t>T3SJD-LOUISVILLE AVE &amp; PLAZA BLVD</t>
  </si>
  <si>
    <t>T3SJE-S UNIVERSITY AVE &amp; MIDTOWN AVE</t>
  </si>
  <si>
    <t>T3SJH-SE WALTON BLVD &amp; DODSON RD</t>
  </si>
  <si>
    <t>T3SJL-S BROADWAY &amp; E 33RD ST</t>
  </si>
  <si>
    <t>T3SJM-24TH AVE NW &amp; LEGACY PARK DR</t>
  </si>
  <si>
    <t>T3SJO-SW 3RD ST &amp; HAMBY DR</t>
  </si>
  <si>
    <t>T3SJR-NW CACHE RD &amp; NW ERWIN LN</t>
  </si>
  <si>
    <t>T3SJU-E 71ST ST &amp; S 92ND EAST AVE</t>
  </si>
  <si>
    <t>T3SLD-BOSTON TPKE &amp; BAKER AVE</t>
  </si>
  <si>
    <t>T3SLF-LINCOLN ST &amp; COUNTRY CLUB BLVD</t>
  </si>
  <si>
    <t>T3SLR-BROADWAY &amp; ILA RD</t>
  </si>
  <si>
    <t>T3SLX-BOYLSTON ST &amp; BERKELEY ST</t>
  </si>
  <si>
    <t>T3SNE-PONTIAC AVE &amp; WHOLESALE WAY</t>
  </si>
  <si>
    <t>T3SNG-DANIEL WEBSTER HWY &amp; WEBSTER SQ</t>
  </si>
  <si>
    <t>T3SNJ-WESTFARMS 4</t>
  </si>
  <si>
    <t>T3SNQ-BOSTON POST RD &amp; DOGBURN LN</t>
  </si>
  <si>
    <t>T3SNT-BLACK ROCK TPKE &amp; STILLSON RD</t>
  </si>
  <si>
    <t>T3SOA-KENNEDY BLVD &amp; 31ST ST</t>
  </si>
  <si>
    <t>T3SOE-US HWY 22 W &amp; MONROE ST</t>
  </si>
  <si>
    <t>T3SOF-US HWY 22 &amp; W CHESTNUT</t>
  </si>
  <si>
    <t>T3SOJ-US HWY 46 &amp; UNION BLVD</t>
  </si>
  <si>
    <t>T3SON-STATE ROUTE 36 &amp; MARIN WAY</t>
  </si>
  <si>
    <t>T3SOT-KINGS HWY &amp; VALLEY RUN DR</t>
  </si>
  <si>
    <t>T3SPD-HOOPER AVE &amp; OAKWOOD AVE</t>
  </si>
  <si>
    <t>T3SPF-QUALITY WAY &amp; HUBER AVE</t>
  </si>
  <si>
    <t>T3SPI-5TH AVE &amp; E 23RD ST</t>
  </si>
  <si>
    <t>T3SPQ-W 125TH ST &amp; ADAM CLAYTON POWELL JR</t>
  </si>
  <si>
    <t>T3SPR-E 86TH ST &amp; 3RD AVE</t>
  </si>
  <si>
    <t>T3SPU-RICHMOND AVE &amp; NOME AVE</t>
  </si>
  <si>
    <t>T3SPY-W 225TH ST &amp; BROADWAY</t>
  </si>
  <si>
    <t>T3SPZ-E FORDHAM RD &amp; CRESTON AVE</t>
  </si>
  <si>
    <t>T3SQB-MALL AT BAY PLAZA 3</t>
  </si>
  <si>
    <t>T3SQE-CENTRAL PARK AVE &amp; CRISFIELD ST</t>
  </si>
  <si>
    <t>T3SQF-PALISADES CENTER 9</t>
  </si>
  <si>
    <t>T3SQI-FULTON ST &amp; HOYT ST</t>
  </si>
  <si>
    <t>T3SQQ-KINGS PLAZA SHOPPING CENTER 8</t>
  </si>
  <si>
    <t>T3SQS-GATEWAY DR &amp; ELTON ST</t>
  </si>
  <si>
    <t>T3SQW-QUEENS PLACE</t>
  </si>
  <si>
    <t>T3SQZ-JAMAICA AVE &amp; 161ST ST 2</t>
  </si>
  <si>
    <t>T3SRC-GREEN ACRES MALL 7</t>
  </si>
  <si>
    <t>T3SRI-SMITH HAVEN MALL 4</t>
  </si>
  <si>
    <t>T3SRP-ROUTE 300 &amp; ORR AVE</t>
  </si>
  <si>
    <t>T3SRX-AMITY ST &amp; E 5TH AVE</t>
  </si>
  <si>
    <t>T3SRZ-WILLIAM PENN HWY &amp; PENN CENTER BLVD</t>
  </si>
  <si>
    <t>T4021-CONCORD MILLS BLVD &amp; THUNDER RD NW</t>
  </si>
  <si>
    <t>T4044-1000N &amp; 400E</t>
  </si>
  <si>
    <t>T4129-SAN FRANCISCO</t>
  </si>
  <si>
    <t>T4138-HUTCHINSON RIVER PKWY &amp; LAFAYETTE AV</t>
  </si>
  <si>
    <t>T422-SALEM</t>
  </si>
  <si>
    <t>T4233-HOLT RD &amp; RIDGE RD</t>
  </si>
  <si>
    <t>7518:IGCC CONTROL</t>
  </si>
  <si>
    <t>C610394</t>
  </si>
  <si>
    <t>IGCC Control</t>
  </si>
  <si>
    <t>T4332-DANBURY FAIR MALL</t>
  </si>
  <si>
    <t>T436-FACTORIA &amp; SE 36TH ST</t>
  </si>
  <si>
    <t>T4438-KING ST &amp; MARLEE WAY</t>
  </si>
  <si>
    <t>7520:FPA PTT</t>
  </si>
  <si>
    <t>CI10430</t>
  </si>
  <si>
    <t>FPA - PTT 7520</t>
  </si>
  <si>
    <t>7521:FINANCIAL CONTROLLER PTT</t>
  </si>
  <si>
    <t>CI10070</t>
  </si>
  <si>
    <t>Finance - PTT 7521</t>
  </si>
  <si>
    <t>7522:HUMAN RESOURCE PTT</t>
  </si>
  <si>
    <t>CI50533</t>
  </si>
  <si>
    <t>Human Resources - People Business Partners - PTT 7522</t>
  </si>
  <si>
    <t>T4608-NEWELL &amp; MAIN</t>
  </si>
  <si>
    <t>T461F-HWY 80 W &amp; BROADWAY ST</t>
  </si>
  <si>
    <t>T4679-TORRENCE &amp; 176TH</t>
  </si>
  <si>
    <t>T4712-TREASURE COAST SQUARE 4</t>
  </si>
  <si>
    <t>T4829-TRANSIT RD &amp; LOSSON RD 1</t>
  </si>
  <si>
    <t>T4900-HAZLET</t>
  </si>
  <si>
    <t>T4SAD-TRINITY POINT DR &amp; TRINITY CIR</t>
  </si>
  <si>
    <t>T4SAE-ROUTE 228 &amp; MARS CRIDER RD</t>
  </si>
  <si>
    <t>T4SAM-OXFORD VALLEY MALL 6</t>
  </si>
  <si>
    <t>T4SAX-E ROOSEVELT BLVD &amp; ADAMS AVE</t>
  </si>
  <si>
    <t>T4SAY-CITY AVE &amp; BRYN MAWR AVE</t>
  </si>
  <si>
    <t>T4SBG-E GERMANTOWN PIKE &amp; HANNAH AVE</t>
  </si>
  <si>
    <t>T4SBJ-PAPERMILL RD &amp; CENTURY BLVD</t>
  </si>
  <si>
    <t>T4SBM-KIRKWOOD HWY &amp; MONICA BLVD</t>
  </si>
  <si>
    <t>T4SBS-SUDLEY RD &amp; LOMOND DR</t>
  </si>
  <si>
    <t>T4SBU-SUNRISE VALLEY DR &amp; THUNDER CHASE DR</t>
  </si>
  <si>
    <t>T4SBX-MONTROSE AVE &amp; ARMSTRONG AVE</t>
  </si>
  <si>
    <t>T4SBZ-OXON HILL RD &amp; THOMPSON LN</t>
  </si>
  <si>
    <t>T4SCA-DONNELL DR &amp; PENNSYLVANIA AVE</t>
  </si>
  <si>
    <t>T4SCD-ANNAPOLIS RD &amp; MD 450</t>
  </si>
  <si>
    <t>T4SCG-QUINCE ORCHARD RD &amp; FIRSTFIELD RD</t>
  </si>
  <si>
    <t>T4SCN-REISTERSTOWN RD &amp; KENMAR AVE</t>
  </si>
  <si>
    <t>T4SCT-PUTTY HILL AVE &amp; E JOPPA RD</t>
  </si>
  <si>
    <t>T4SCU-FOREST DR &amp; HEARNE RD</t>
  </si>
  <si>
    <t>T4SCV-BUCKEYSTOWN PIKE &amp; PEGASUS CT</t>
  </si>
  <si>
    <t>T4SCZ-PRINCE WILLIAM PKWY &amp; SHOPPERS BEST</t>
  </si>
  <si>
    <t>T4SDB-S JOYCE ST &amp; ARMY NAVY DR</t>
  </si>
  <si>
    <t>T4SDE-LITTLE RIVER TPKE &amp; BRADDOCK RD</t>
  </si>
  <si>
    <t>T4SDI-MIDLOTHIAN TPKE &amp; MOOREFIELD PARK DR</t>
  </si>
  <si>
    <t>T4SDM-VIRGINIA BEACH BLVD &amp; SILVERBROOK LN</t>
  </si>
  <si>
    <t>T4SDT-MALLORY LN &amp; SEABOARD LN</t>
  </si>
  <si>
    <t>T4SDW-GALLATIN PIKE &amp; CONFERENCE DR</t>
  </si>
  <si>
    <t>T4SDZ-NOLENSVILLE PIKE &amp; PARAGON MILLS RD</t>
  </si>
  <si>
    <t>T4SEC-MORRELL RD &amp; CENTRE AT DEANE HL</t>
  </si>
  <si>
    <t>T4SEL-BEACH BLVD &amp; EISENHOWER DR</t>
  </si>
  <si>
    <t>T4SEQ-S HURSTBOURNE PKWY &amp; KY 1747</t>
  </si>
  <si>
    <t>T4SET-MALL RD &amp; MALL CIRCLE RD</t>
  </si>
  <si>
    <t>T4SEV-FAIRMONT PKWY &amp; E SAM HOUSTON PKWY S</t>
  </si>
  <si>
    <t>T4SFA-KATY FWY &amp; HOUGHTON RD</t>
  </si>
  <si>
    <t>T4SFI-SW 160TH AVE &amp; SW 29TH ST</t>
  </si>
  <si>
    <t>T4SFR-W 72ND ST &amp; S CICERO AVE</t>
  </si>
  <si>
    <t>T4SFT-RIVERDALE ST &amp; MYRON ST</t>
  </si>
  <si>
    <t>T4SFV-CORPORATE DR &amp; MERCHANTS CONCOURSE</t>
  </si>
  <si>
    <t>T4SFW-SUNRISE HWY &amp; REDMOND AVE</t>
  </si>
  <si>
    <t>T4SGA-WILLOW LAWN DR &amp; FITZHUGH AVE</t>
  </si>
  <si>
    <t>T4SGC-W MERCURY BLVD &amp; TODDS LN</t>
  </si>
  <si>
    <t>T4SGD-POPLAR AVE &amp; ESTATE DR</t>
  </si>
  <si>
    <t>T4SGE-NICHOLASVILLE RD &amp; ROJAY DR</t>
  </si>
  <si>
    <t>T4SIW-PHEASANT RIDGE DR NE &amp; LEXINGTON AVE</t>
  </si>
  <si>
    <t>T4SJC-SHEEPSHEAD BAY RD &amp; JEROME AVE 3</t>
  </si>
  <si>
    <t>T4SJT-BIRD RD &amp; SW 107TH AVE 2</t>
  </si>
  <si>
    <t>T4SLP-24 ONE HALF RD &amp; US HWY 6</t>
  </si>
  <si>
    <t>T4SLQ-S UNIVERSITY DR &amp; SW 6TH ST</t>
  </si>
  <si>
    <t>T4SLR-S PULASKI RD &amp; W 47 ST</t>
  </si>
  <si>
    <t>T4SLS-MANHATTAN BLVD &amp; UTE DR</t>
  </si>
  <si>
    <t>7523:UNDERWRITING PTT</t>
  </si>
  <si>
    <t>CI61297</t>
  </si>
  <si>
    <t>Underwriting PTT 7523</t>
  </si>
  <si>
    <t>7524:DATA ANALYTICS PTT</t>
  </si>
  <si>
    <t>CI40017</t>
  </si>
  <si>
    <t>Data Analytics - PTT 7524</t>
  </si>
  <si>
    <t>7525:IT PTT</t>
  </si>
  <si>
    <t>CI25517</t>
  </si>
  <si>
    <t>IT INTL - IT PTT 7525</t>
  </si>
  <si>
    <t>7526:SALES &amp; BUSINESS DEV PTT</t>
  </si>
  <si>
    <t>CI1095M</t>
  </si>
  <si>
    <t xml:space="preserve">Business Development PTT 7526 </t>
  </si>
  <si>
    <t>7527:CD CLIENT EXPERIENCE PTT</t>
  </si>
  <si>
    <t>CI61229</t>
  </si>
  <si>
    <t>CD Client Experience PTT 7527</t>
  </si>
  <si>
    <t>7805:TELSTRA TWG</t>
  </si>
  <si>
    <t>C509706</t>
  </si>
  <si>
    <t>Telestra - TWG</t>
  </si>
  <si>
    <t>8115-Hendrick Printing</t>
  </si>
  <si>
    <t>C400034</t>
  </si>
  <si>
    <t>Global Auto - Hendrick Printing</t>
  </si>
  <si>
    <t>9105-TWG Reins Cayman</t>
  </si>
  <si>
    <t>C390049</t>
  </si>
  <si>
    <t>Lifestyle - TWG Reinsurance Cayman</t>
  </si>
  <si>
    <t>10045-Specialty Property Solutions Dir Mktg</t>
  </si>
  <si>
    <t>C510000</t>
  </si>
  <si>
    <t>CL - HRO - Specialty Property Solutions Direct Marketing</t>
  </si>
  <si>
    <t>10050-Actuarial Reserving and Reporting</t>
  </si>
  <si>
    <t>C010230</t>
  </si>
  <si>
    <t>Actuarial - Reserving and Reporting</t>
  </si>
  <si>
    <t>10152-Data Analytics Leadership</t>
  </si>
  <si>
    <t>C040001</t>
  </si>
  <si>
    <t>Data Analytics - Leadership</t>
  </si>
  <si>
    <t>10158 - Digital Performance</t>
  </si>
  <si>
    <t>C040320</t>
  </si>
  <si>
    <t>Digital Performance</t>
  </si>
  <si>
    <t>10159-Data Analytic Integration</t>
  </si>
  <si>
    <t>C040015</t>
  </si>
  <si>
    <t>Data Analytics - Integration</t>
  </si>
  <si>
    <t>10165-Advanced Analytics</t>
  </si>
  <si>
    <t>C040301</t>
  </si>
  <si>
    <t>Advanced Analytics</t>
  </si>
  <si>
    <t>10175-INTERNATIONAL OPERATIONS DR</t>
  </si>
  <si>
    <t>C610301</t>
  </si>
  <si>
    <t>Operations - International</t>
  </si>
  <si>
    <t>10225-Financial Planning And Analysis</t>
  </si>
  <si>
    <t>C010450</t>
  </si>
  <si>
    <t>FPA - Lifestyle</t>
  </si>
  <si>
    <t>10252-PROJECT ALEGRE</t>
  </si>
  <si>
    <t>C090003</t>
  </si>
  <si>
    <t>Project Alegre</t>
  </si>
  <si>
    <t>10253-PROJECT FOX</t>
  </si>
  <si>
    <t>C090004</t>
  </si>
  <si>
    <t>Project Fox</t>
  </si>
  <si>
    <t>T623E-GATTIS SCHOOL &amp; 130</t>
  </si>
  <si>
    <t>T6844-KENDALL CORNERS</t>
  </si>
  <si>
    <t>T6926-SIEGEN PLAZA</t>
  </si>
  <si>
    <t>T737E-72ND &amp; JONES CIRCLE</t>
  </si>
  <si>
    <t>T738E-PINE LAKE RD &amp; S 27TH ST</t>
  </si>
  <si>
    <t>T7390-WEST COVINA MALL 2</t>
  </si>
  <si>
    <t>T7402-VENTURA BLVD &amp; VANTAGE</t>
  </si>
  <si>
    <t>10255-Financial Systems</t>
  </si>
  <si>
    <t>C250531</t>
  </si>
  <si>
    <t>GT-Strat Tran Gov-Financial Systems</t>
  </si>
  <si>
    <t>T7601-CLINTON CORRIDOR</t>
  </si>
  <si>
    <t>T7611-PORTSMOUTH VICTORY CROSSING</t>
  </si>
  <si>
    <t>T7640-STEINWAY &amp; 30TH</t>
  </si>
  <si>
    <t>10256 - Lending Solutions CX</t>
  </si>
  <si>
    <t>C040115</t>
  </si>
  <si>
    <t>CX - Lending Solutions</t>
  </si>
  <si>
    <t>T7687-STOCKWELL DRIVE &amp; HARRISON BLVD</t>
  </si>
  <si>
    <t>T7689-ROUTE 28 &amp; ROUTE 128</t>
  </si>
  <si>
    <t>T7691-I-20 &amp; TURNER HILL</t>
  </si>
  <si>
    <t>T7694-RT 70 &amp; CHAMBERS BRIDGE ROAD</t>
  </si>
  <si>
    <t>T7721-FLETCHER AVENUE &amp; I-95</t>
  </si>
  <si>
    <t>T7728-LOS FELIZ BLVD &amp; PERLITA</t>
  </si>
  <si>
    <t>10257-PROJECT BLACK CATS</t>
  </si>
  <si>
    <t>C090005</t>
  </si>
  <si>
    <t>Project Black Cats</t>
  </si>
  <si>
    <t>T7914-GESSNER &amp; HWY 249</t>
  </si>
  <si>
    <t>T7939-SUGARLOAF WIRELESS OUTLET</t>
  </si>
  <si>
    <t>T8012-POWERS &amp; CONSTITUTION</t>
  </si>
  <si>
    <t>T8020-67TH &amp; PEORIA</t>
  </si>
  <si>
    <t>T8030-RTE 33 &amp; FREEMANSBURG</t>
  </si>
  <si>
    <t>T8031-ROSEMEAD &amp; MARSHALL</t>
  </si>
  <si>
    <t>10258-PROJECT KIWI</t>
  </si>
  <si>
    <t>C090006</t>
  </si>
  <si>
    <t>Project Kiwi</t>
  </si>
  <si>
    <t>10259-International Accounting</t>
  </si>
  <si>
    <t>C010155</t>
  </si>
  <si>
    <t>Global Accounting - International Accounting</t>
  </si>
  <si>
    <t>T8086-HWY 365 &amp; US 69</t>
  </si>
  <si>
    <t>T8102-HWY 290 &amp; 34TH 4</t>
  </si>
  <si>
    <t>10265-BROADTECH ACCOUNTING</t>
  </si>
  <si>
    <t>T8136-HWY 192 &amp; MELBOURNE MALL</t>
  </si>
  <si>
    <t>T8146-TEXAS AVE &amp; LINCOLN</t>
  </si>
  <si>
    <t>T8314-CONNECTICUT AVE NW &amp; M ST NW</t>
  </si>
  <si>
    <t>T8321-HWY 124 &amp; RONALD REAGAN PKWY</t>
  </si>
  <si>
    <t>T8393-3500 SOUTH &amp; 3600 WEST</t>
  </si>
  <si>
    <t>T8430-RT 59 &amp; FOX VALLEY CENTER</t>
  </si>
  <si>
    <t>T8444-RED HILL &amp; EDINGER</t>
  </si>
  <si>
    <t>C251302</t>
  </si>
  <si>
    <t>GT-Infr and Cloud-Web Hosting</t>
  </si>
  <si>
    <t>10325-Miami Tier II Support</t>
  </si>
  <si>
    <t>C251306</t>
  </si>
  <si>
    <t>GT-Infr and Cloud-Miami Tier II Support</t>
  </si>
  <si>
    <t>10335-Digital Architecture</t>
  </si>
  <si>
    <t>C251003</t>
  </si>
  <si>
    <t>GT-Digital-Digital Architecture</t>
  </si>
  <si>
    <t>10510-PROJECT LIMA</t>
  </si>
  <si>
    <t>C090007</t>
  </si>
  <si>
    <t>Project Lima</t>
  </si>
  <si>
    <t>T8608-ROSECRANS &amp; CENTRAL</t>
  </si>
  <si>
    <t>T8618-SW WANAMAKER &amp; SW 21ST ST</t>
  </si>
  <si>
    <t>T8631-OLATHE W 119 ST &amp; STRANG LINE RD</t>
  </si>
  <si>
    <t>T8663-BOSTON &amp; SEWELL</t>
  </si>
  <si>
    <t>T8693-EAST BIDWELL &amp; BLUE RAVINE RD</t>
  </si>
  <si>
    <t>T8713-167TH &amp; CRAWFORD</t>
  </si>
  <si>
    <t>T8717-2ND &amp; CENTRAL</t>
  </si>
  <si>
    <t>T8728-DRAKE &amp; W MAIN</t>
  </si>
  <si>
    <t>10525-IKE</t>
  </si>
  <si>
    <t>C610283</t>
  </si>
  <si>
    <t>Ike</t>
  </si>
  <si>
    <t>C251313</t>
  </si>
  <si>
    <t>GT-Infr and Cloud-AS ASP Data Protection</t>
  </si>
  <si>
    <t>T8774-45TH &amp; STONE WAY</t>
  </si>
  <si>
    <t>T877C-DIVISION &amp; 33RD</t>
  </si>
  <si>
    <t>C251316</t>
  </si>
  <si>
    <t>GT-Infr and Cloud-AS ASP San Storage Hw Sw Direct</t>
  </si>
  <si>
    <t>T8913-COCHRAN &amp; SYCAMORE</t>
  </si>
  <si>
    <t>T8979-59TH AVE &amp; BELL RD</t>
  </si>
  <si>
    <t>T903C-HIGHWAY 19 &amp; EMBASSY BLVD</t>
  </si>
  <si>
    <t>C251317</t>
  </si>
  <si>
    <t>GT-Infr and Cloud-AS ASP Server Hw Sw Direct</t>
  </si>
  <si>
    <t>10534-Electronic File Transfer Staff</t>
  </si>
  <si>
    <t>C251318</t>
  </si>
  <si>
    <t>GT-Infr and Cloud-Electronic File Transfer Staff</t>
  </si>
  <si>
    <t>T9130-PAVILION PARKWAY &amp; HIGHWAY 85</t>
  </si>
  <si>
    <t>T9139-W EDGAR RD &amp; SYLVAN ST</t>
  </si>
  <si>
    <t>T9181-RAINBOW BLVD &amp; W BADURA AVE</t>
  </si>
  <si>
    <t>T9281-CHURCH AVE &amp; MCDONALD AVE</t>
  </si>
  <si>
    <t>10540-MAILROOM MIAMI</t>
  </si>
  <si>
    <t>C500116</t>
  </si>
  <si>
    <t>Miami Facility - Mailroom</t>
  </si>
  <si>
    <t>T9311-PARHAM RD &amp; STAPLES MILL RD</t>
  </si>
  <si>
    <t>10560-MIAMI SECURITY SERVICES</t>
  </si>
  <si>
    <t>C500117</t>
  </si>
  <si>
    <t>Miami Facility - Security Services</t>
  </si>
  <si>
    <t>T9349-CAROLINA PAVILION</t>
  </si>
  <si>
    <t>T9376-CREEKSIDE PLAZA</t>
  </si>
  <si>
    <t>T9382-CROSSROADS</t>
  </si>
  <si>
    <t>T9397-CONGAREE</t>
  </si>
  <si>
    <t>T9400-WOODRUFF</t>
  </si>
  <si>
    <t>T9482-6TH &amp; PEARL</t>
  </si>
  <si>
    <t>10570-WAREHOUSE MIAMI</t>
  </si>
  <si>
    <t>C500118</t>
  </si>
  <si>
    <t>Miami Facility - Warehouse</t>
  </si>
  <si>
    <t>10575-CAFETERIA BUILDING EXPENSES MIA</t>
  </si>
  <si>
    <t>C500119</t>
  </si>
  <si>
    <t>Miami Facility - Cafeteria Expenses</t>
  </si>
  <si>
    <t>10580-Regulatory Comms</t>
  </si>
  <si>
    <t>C100931</t>
  </si>
  <si>
    <t>Regulatory Communications</t>
  </si>
  <si>
    <t>C100940</t>
  </si>
  <si>
    <t>Brand and Marketing Strategy</t>
  </si>
  <si>
    <t>10715-Switchboard</t>
  </si>
  <si>
    <t>C200120</t>
  </si>
  <si>
    <t>Switchboard</t>
  </si>
  <si>
    <t>10750-WELLNESS CENTER</t>
  </si>
  <si>
    <t>C500120</t>
  </si>
  <si>
    <t>Miami Facility - Wellness Center</t>
  </si>
  <si>
    <t>10756-Client Marketing</t>
  </si>
  <si>
    <t>C100941</t>
  </si>
  <si>
    <t>Client Marketing</t>
  </si>
  <si>
    <t>T9741-LAFAYETTE RD &amp; I-65</t>
  </si>
  <si>
    <t>10815-CL CLIENT MGMT 1</t>
  </si>
  <si>
    <t>C515602</t>
  </si>
  <si>
    <t>Div Fin Svcs - CL Client Management 1</t>
  </si>
  <si>
    <t>T9769-BOSTON ST &amp; FRONTAGE RD</t>
  </si>
  <si>
    <t>T9818-HWY 151 &amp; LOOP 410</t>
  </si>
  <si>
    <t>T9847-MAMARONECK AVE &amp; MARTINE AVE</t>
  </si>
  <si>
    <t>11115-INVESTIGATIONS</t>
  </si>
  <si>
    <t>C590022</t>
  </si>
  <si>
    <t>AFS Ops - Investigations</t>
  </si>
  <si>
    <t>T9898-22ND &amp; MIDWEST</t>
  </si>
  <si>
    <t>T9917-SLEATER KINNEY RD &amp; 6TH AVE</t>
  </si>
  <si>
    <t>11225 - International Finance</t>
  </si>
  <si>
    <t>CI10429</t>
  </si>
  <si>
    <t>FPA - International 11225</t>
  </si>
  <si>
    <t>11915-DATA ANALYTICS CHGBK LFS</t>
  </si>
  <si>
    <t>C700009</t>
  </si>
  <si>
    <t>Mgt Fee - Data Analytics Chgbk LFS</t>
  </si>
  <si>
    <t>12525-Real Estate Planning And Lease Management</t>
  </si>
  <si>
    <t>C200115</t>
  </si>
  <si>
    <t>Admin Services - RE Planning and Lease Management</t>
  </si>
  <si>
    <t>13150-Financial Reporting</t>
  </si>
  <si>
    <t>C010170</t>
  </si>
  <si>
    <t>Global Accounting - Housing</t>
  </si>
  <si>
    <t>13235-Check Printing</t>
  </si>
  <si>
    <t>C350501</t>
  </si>
  <si>
    <t>Housing Ops - Check Printing</t>
  </si>
  <si>
    <t>15000-Reinsurance Solutions</t>
  </si>
  <si>
    <t>C010180</t>
  </si>
  <si>
    <t>Global Accounting - Reinsurance Solutions</t>
  </si>
  <si>
    <t>15010-Client Financial Services ASP</t>
  </si>
  <si>
    <t>CI10170</t>
  </si>
  <si>
    <t>17015-TECHNOLOGY CENTER</t>
  </si>
  <si>
    <t>C500111</t>
  </si>
  <si>
    <t>Miami Facility - Technology Center</t>
  </si>
  <si>
    <t>17050-DAY CARE NORTH 1</t>
  </si>
  <si>
    <t>C500113</t>
  </si>
  <si>
    <t>Miami Facility - Day Care North 1</t>
  </si>
  <si>
    <t>17065-SATELLITE LEARNING CENTER</t>
  </si>
  <si>
    <t>C500115</t>
  </si>
  <si>
    <t>Satellite Learning Center</t>
  </si>
  <si>
    <t>17500-OTHER TAXES LICENSES AND FEES</t>
  </si>
  <si>
    <t>CI10598</t>
  </si>
  <si>
    <t>Other Taxes Licenses and Fees 17500</t>
  </si>
  <si>
    <t>17905-TWG ALL OTHER</t>
  </si>
  <si>
    <t>C499999</t>
  </si>
  <si>
    <t>Lifestyle Other - TWG All Other</t>
  </si>
  <si>
    <t>17915-TWG INTL ALL OTHER</t>
  </si>
  <si>
    <t>C910954</t>
  </si>
  <si>
    <t>TWG - Intl All Other</t>
  </si>
  <si>
    <t>93014-ARIC TSA</t>
  </si>
  <si>
    <t>C090034</t>
  </si>
  <si>
    <t>Project ARIC TSA</t>
  </si>
  <si>
    <t>19065 - WF Card Benefits</t>
  </si>
  <si>
    <t>C590001</t>
  </si>
  <si>
    <t>AFS Ops - WF Card Benefits</t>
  </si>
  <si>
    <t>20250-Lowes Service Delivery</t>
  </si>
  <si>
    <t>C515003</t>
  </si>
  <si>
    <t>CL - HRO - Lowes Service Delivery</t>
  </si>
  <si>
    <t>20251-Lowes Transition</t>
  </si>
  <si>
    <t>C515004</t>
  </si>
  <si>
    <t>CL - HRO - Lowes Transition</t>
  </si>
  <si>
    <t>17800UK</t>
  </si>
  <si>
    <t>17800UK-PROJECT ROSE</t>
  </si>
  <si>
    <t>C090038</t>
  </si>
  <si>
    <t>Project Rose</t>
  </si>
  <si>
    <t>17801UK</t>
  </si>
  <si>
    <t>17801UK-PROJECT INDIGO</t>
  </si>
  <si>
    <t>C090039</t>
  </si>
  <si>
    <t>Project Indigo</t>
  </si>
  <si>
    <t>17802UK</t>
  </si>
  <si>
    <t>17802UK-PROJECT SPACE</t>
  </si>
  <si>
    <t>C090040</t>
  </si>
  <si>
    <t>Project Space</t>
  </si>
  <si>
    <t>20252-Lowes Frontline</t>
  </si>
  <si>
    <t>C550000</t>
  </si>
  <si>
    <t>HRO Ops - Lowes Frontline</t>
  </si>
  <si>
    <t>10628UK</t>
  </si>
  <si>
    <t>10628UK-PROJECT BLUEPRINT</t>
  </si>
  <si>
    <t>C090042</t>
  </si>
  <si>
    <t>Project Blueprint</t>
  </si>
  <si>
    <t>20253-Lowes Support</t>
  </si>
  <si>
    <t>C550001</t>
  </si>
  <si>
    <t>HRO Ops - Lowes Support</t>
  </si>
  <si>
    <t>93272:PROJECT EMPIRE</t>
  </si>
  <si>
    <t>C090044</t>
  </si>
  <si>
    <t>Project Empire (93272)</t>
  </si>
  <si>
    <t>17202-Treasury Management</t>
  </si>
  <si>
    <t>C100601</t>
  </si>
  <si>
    <t>Treasury - Management</t>
  </si>
  <si>
    <t>20254-LOWES CHAT</t>
  </si>
  <si>
    <t>C550008</t>
  </si>
  <si>
    <t>HRO Ops - Lowes Chat</t>
  </si>
  <si>
    <t>10036-Marketing Creative Services</t>
  </si>
  <si>
    <t>C100905</t>
  </si>
  <si>
    <t>Marketing Creative Services</t>
  </si>
  <si>
    <t>10037-Marketing Execution</t>
  </si>
  <si>
    <t>C100906</t>
  </si>
  <si>
    <t>Marketing Execution</t>
  </si>
  <si>
    <t>113840-Housing Marketing</t>
  </si>
  <si>
    <t>C100907</t>
  </si>
  <si>
    <t>House Marketing</t>
  </si>
  <si>
    <t>118600-Global Auto Marketing</t>
  </si>
  <si>
    <t>C100908</t>
  </si>
  <si>
    <t>Global Auto Marketing</t>
  </si>
  <si>
    <t>121000-Digital Marketing and Social</t>
  </si>
  <si>
    <t>C100909</t>
  </si>
  <si>
    <t>Digital Marketing and Social</t>
  </si>
  <si>
    <t>7162-Marketing Services</t>
  </si>
  <si>
    <t>C100910</t>
  </si>
  <si>
    <t>Marketing - Services</t>
  </si>
  <si>
    <t>20255-LOWES BACK OFFICE SUPPORT</t>
  </si>
  <si>
    <t>C550009</t>
  </si>
  <si>
    <t>HRO Ops - Lowes Back Office Support</t>
  </si>
  <si>
    <t>124000-Investor Relations</t>
  </si>
  <si>
    <t>C100920</t>
  </si>
  <si>
    <t>Investor Relations</t>
  </si>
  <si>
    <t>123000-Corporate Communications</t>
  </si>
  <si>
    <t>C100930</t>
  </si>
  <si>
    <t>Corporate Communications</t>
  </si>
  <si>
    <t>20256:LOWES CHATS</t>
  </si>
  <si>
    <t>C550024</t>
  </si>
  <si>
    <t>HR Ops - Lowes Chat (20256)</t>
  </si>
  <si>
    <t>20257-ALI</t>
  </si>
  <si>
    <t>C400300</t>
  </si>
  <si>
    <t>Global Auto - ALI</t>
  </si>
  <si>
    <t>20258-ALI GENERAL</t>
  </si>
  <si>
    <t>C400301</t>
  </si>
  <si>
    <t>Global Auto - ALI General</t>
  </si>
  <si>
    <t>10768-B2B and Product Marketing</t>
  </si>
  <si>
    <t>C100942</t>
  </si>
  <si>
    <t>B2B and Product Marketing</t>
  </si>
  <si>
    <t>10774-Client Training</t>
  </si>
  <si>
    <t>C100943</t>
  </si>
  <si>
    <t>Client Training</t>
  </si>
  <si>
    <t>113606-Sustainability</t>
  </si>
  <si>
    <t>C100944</t>
  </si>
  <si>
    <t>Sustainability</t>
  </si>
  <si>
    <t>12M3</t>
  </si>
  <si>
    <t>12M3-Honda Sales</t>
  </si>
  <si>
    <t>C100945</t>
  </si>
  <si>
    <t>Marketing - Honda Sales</t>
  </si>
  <si>
    <t>17911UK</t>
  </si>
  <si>
    <t>17911UK-Toyota/Fiat Sales</t>
  </si>
  <si>
    <t>C100946</t>
  </si>
  <si>
    <t>Marketing - Toyota Sale</t>
  </si>
  <si>
    <t>17922UK</t>
  </si>
  <si>
    <t>17922UK-European Sales AT</t>
  </si>
  <si>
    <t>C100947</t>
  </si>
  <si>
    <t>Marketing - European Sales AT</t>
  </si>
  <si>
    <t>10180BZ</t>
  </si>
  <si>
    <t>10180BZ-BRAZIL NEW SALES</t>
  </si>
  <si>
    <t>C100948</t>
  </si>
  <si>
    <t>Marketing - New Sales</t>
  </si>
  <si>
    <t>7040-Sales: Business Develpmnt</t>
  </si>
  <si>
    <t>C100950</t>
  </si>
  <si>
    <t>Business Development</t>
  </si>
  <si>
    <t>12M2</t>
  </si>
  <si>
    <t>12M2-Motor Business Development</t>
  </si>
  <si>
    <t>C100951</t>
  </si>
  <si>
    <t>Business Development - Auto</t>
  </si>
  <si>
    <t>C703005</t>
  </si>
  <si>
    <t>Assessments and Fees - USLIC Compliance</t>
  </si>
  <si>
    <t>7217-Sales &amp; Marketing Auto</t>
  </si>
  <si>
    <t>C100961</t>
  </si>
  <si>
    <t>Marketing - Sales &amp; Mktg - Auto</t>
  </si>
  <si>
    <t>7041- Sales: Client Management</t>
  </si>
  <si>
    <t>C100962</t>
  </si>
  <si>
    <t>Marketing - Client Management</t>
  </si>
  <si>
    <t>C020904</t>
  </si>
  <si>
    <t>Legal - International 20951</t>
  </si>
  <si>
    <t>21500-Registration Operations</t>
  </si>
  <si>
    <t>C020801</t>
  </si>
  <si>
    <t>Legal - Registration Operations</t>
  </si>
  <si>
    <t>7043- CD: Client Experience</t>
  </si>
  <si>
    <t>C100965</t>
  </si>
  <si>
    <t>Marketing - Client Experience</t>
  </si>
  <si>
    <t>7044-CD: Business Implemntatin</t>
  </si>
  <si>
    <t>C100966</t>
  </si>
  <si>
    <t>Marketing - Business Implementation</t>
  </si>
  <si>
    <t>10280AG</t>
  </si>
  <si>
    <t>10280AG-MARKETING AND DATA ANALITICS</t>
  </si>
  <si>
    <t>C100967</t>
  </si>
  <si>
    <t>Marketing and Data Analytics</t>
  </si>
  <si>
    <t>10290AG</t>
  </si>
  <si>
    <t>10290AG-MOBILE MARKETING</t>
  </si>
  <si>
    <t>C100968</t>
  </si>
  <si>
    <t>Marketing - Mobile</t>
  </si>
  <si>
    <t>C251320</t>
  </si>
  <si>
    <t>GT-Infr and Cloud-Rrd Warehouse Expense</t>
  </si>
  <si>
    <t>21585-Print Tier2 Technical Support</t>
  </si>
  <si>
    <t>C251321</t>
  </si>
  <si>
    <t>GT-Infr and Cloud-Print Tier2 Technical Support</t>
  </si>
  <si>
    <t>10000AG</t>
  </si>
  <si>
    <t>10000AG-Argentina Executive Administration</t>
  </si>
  <si>
    <t>C200001</t>
  </si>
  <si>
    <t>Country Executive Administration</t>
  </si>
  <si>
    <t>10001RC</t>
  </si>
  <si>
    <t>10001RC-GENERAL MANAGER</t>
  </si>
  <si>
    <t>C200002</t>
  </si>
  <si>
    <t>General Manager</t>
  </si>
  <si>
    <t>21590-Print Tier1 Customer Support Svcs</t>
  </si>
  <si>
    <t>C251322</t>
  </si>
  <si>
    <t>GT-Infr and Cloud-Print Tier1 Customer Support Svcs</t>
  </si>
  <si>
    <t>17200PR</t>
  </si>
  <si>
    <t>17200PR-EXECUTIVE OPERATIONS</t>
  </si>
  <si>
    <t>C200004</t>
  </si>
  <si>
    <t>Executive Operations</t>
  </si>
  <si>
    <t>93700KR</t>
  </si>
  <si>
    <t>93700KR-SOUTH KOREA OTHER</t>
  </si>
  <si>
    <t>C200099</t>
  </si>
  <si>
    <t>International Other</t>
  </si>
  <si>
    <t>22205-Subrogation</t>
  </si>
  <si>
    <t>C350101</t>
  </si>
  <si>
    <t>Housing Claims - Subrogation</t>
  </si>
  <si>
    <t>114400-AIZ Facilities Management</t>
  </si>
  <si>
    <t>C200110</t>
  </si>
  <si>
    <t>Admin Services - Facilities Management</t>
  </si>
  <si>
    <t>10002DE</t>
  </si>
  <si>
    <t>10002DE-EXECUTIVE FACILITIES DE</t>
  </si>
  <si>
    <t>C200111</t>
  </si>
  <si>
    <t>Admin Services - Executive Facilities</t>
  </si>
  <si>
    <t>22235-GA GCL Workforce Planning</t>
  </si>
  <si>
    <t>C350502</t>
  </si>
  <si>
    <t>Housing Ops - GA GCL Workforce Planning</t>
  </si>
  <si>
    <t>C200116</t>
  </si>
  <si>
    <t>Admin Services - MFD AIZ</t>
  </si>
  <si>
    <t>22350-Mobility and Antique Auto ISA</t>
  </si>
  <si>
    <t>C350102</t>
  </si>
  <si>
    <t>Housing Claims - Mobility and Antique Auto ISA</t>
  </si>
  <si>
    <t>110000-CORPORATE</t>
  </si>
  <si>
    <t>C200125</t>
  </si>
  <si>
    <t>Admin Services - Corporate</t>
  </si>
  <si>
    <t>110003-ATLANTA CORP RENT</t>
  </si>
  <si>
    <t>C200126</t>
  </si>
  <si>
    <t>Admin Services - Atlanta Corp Rent</t>
  </si>
  <si>
    <t>22351-Atlanta Lending Solutions ISA</t>
  </si>
  <si>
    <t>C350103</t>
  </si>
  <si>
    <t>Housing Claims - Atlanta Lending Solutions ISA</t>
  </si>
  <si>
    <t>113210-ALLOCATION ADJUSTMENT</t>
  </si>
  <si>
    <t>C200128</t>
  </si>
  <si>
    <t>Admin Services - Allocation Adjustment</t>
  </si>
  <si>
    <t>32140-SHARED SVC ALLOC ADJ</t>
  </si>
  <si>
    <t>C200129</t>
  </si>
  <si>
    <t>Admin Services - Shared Service Alloc Adjust</t>
  </si>
  <si>
    <t>22353-ASP Claims Administration</t>
  </si>
  <si>
    <t>C350104</t>
  </si>
  <si>
    <t>Housing Claims - ASP Claims Administration</t>
  </si>
  <si>
    <t>113041-Vendor Risk &amp; Analytics</t>
  </si>
  <si>
    <t>C200205</t>
  </si>
  <si>
    <t>Global Sourcing - Vendor and Risk Analytics</t>
  </si>
  <si>
    <t>113042-Business Procurement Category Spend</t>
  </si>
  <si>
    <t>C200210</t>
  </si>
  <si>
    <t>Global Sourcing - Bus Procurement Catg Spend</t>
  </si>
  <si>
    <t>C200215</t>
  </si>
  <si>
    <t>Global Sourcing - Commercial Print</t>
  </si>
  <si>
    <t>113047-Shared Procurement Category Spend</t>
  </si>
  <si>
    <t>C200220</t>
  </si>
  <si>
    <t>Global Sourcing - Shared Procurement Catg Spend</t>
  </si>
  <si>
    <t>C200225</t>
  </si>
  <si>
    <t>Global Sourcing - Corporate Mobility</t>
  </si>
  <si>
    <t>C200230</t>
  </si>
  <si>
    <t>Global Sourcing - Travel Services</t>
  </si>
  <si>
    <t>11342MX</t>
  </si>
  <si>
    <t>11342MX-Global Procurement Argentina</t>
  </si>
  <si>
    <t>C200231</t>
  </si>
  <si>
    <t>Global Sourcing - Procurement</t>
  </si>
  <si>
    <t>39112-People Partners</t>
  </si>
  <si>
    <t>C200501</t>
  </si>
  <si>
    <t>Human Resources - People Business Partners</t>
  </si>
  <si>
    <t>114040-PBP Enterprise SS</t>
  </si>
  <si>
    <t>C200506</t>
  </si>
  <si>
    <t>Human Resources - People Bus Prtners Enterprise SS</t>
  </si>
  <si>
    <t>39114-PBP Enterprise SM</t>
  </si>
  <si>
    <t>C200507</t>
  </si>
  <si>
    <t>Human Resources - People Bus Prtners Enterprise SM</t>
  </si>
  <si>
    <t>39111-PBP Enterprise JB</t>
  </si>
  <si>
    <t>C200508</t>
  </si>
  <si>
    <t>Human Resources - People Bus Prtners Enterprise JB</t>
  </si>
  <si>
    <t>22356-PREFORECLOSURER</t>
  </si>
  <si>
    <t>C309001</t>
  </si>
  <si>
    <t>GH - Runoff Products - Preforeclosure</t>
  </si>
  <si>
    <t>114000-PBP Enterprise AR</t>
  </si>
  <si>
    <t>C200510</t>
  </si>
  <si>
    <t>Human Resources - People Bus Prtners Enterprise AR</t>
  </si>
  <si>
    <t>22357-LS LAE</t>
  </si>
  <si>
    <t>C350116</t>
  </si>
  <si>
    <t>Housing Claims - LS LAE</t>
  </si>
  <si>
    <t>114060-Talent Acquisition</t>
  </si>
  <si>
    <t>C200521</t>
  </si>
  <si>
    <t>Human Resources - Talent Acquisition</t>
  </si>
  <si>
    <t>114010-Talent Enablement</t>
  </si>
  <si>
    <t>C200522</t>
  </si>
  <si>
    <t>Human Resources - Talent Enablement</t>
  </si>
  <si>
    <t>22359-Scottsdale Global P And C Claims</t>
  </si>
  <si>
    <t>C350105</t>
  </si>
  <si>
    <t>Housing Claims - Scottsdale Global P And C Claims</t>
  </si>
  <si>
    <t>114090-Learning Delivery</t>
  </si>
  <si>
    <t>C200532</t>
  </si>
  <si>
    <t>Human Resources - Learning Delivery</t>
  </si>
  <si>
    <t>114100-Benefits</t>
  </si>
  <si>
    <t>C200541</t>
  </si>
  <si>
    <t>Human Resources - Benefits</t>
  </si>
  <si>
    <t>32135-ATLANTA CRE SECURITY</t>
  </si>
  <si>
    <t>C500204</t>
  </si>
  <si>
    <t>Atlanta Facility - CRE Security</t>
  </si>
  <si>
    <t>32145-SPRINGFIELD FACILITY</t>
  </si>
  <si>
    <t>C500302</t>
  </si>
  <si>
    <t>Springfield Facility</t>
  </si>
  <si>
    <t>32150-COMMERCE FACILITY</t>
  </si>
  <si>
    <t>C500320</t>
  </si>
  <si>
    <t>Commerce Facility</t>
  </si>
  <si>
    <t>114041-Empl Exp Digital &amp; Analytics</t>
  </si>
  <si>
    <t>C200553</t>
  </si>
  <si>
    <t>Human Resources - Employee Exp Digital and Analytics</t>
  </si>
  <si>
    <t>114030-Employee Services</t>
  </si>
  <si>
    <t>C200560</t>
  </si>
  <si>
    <t>Human Resources - Employee Services</t>
  </si>
  <si>
    <t>C251348</t>
  </si>
  <si>
    <t>GT-Infr and Cloud-Duluth Tier II Support</t>
  </si>
  <si>
    <t>38255-Atlanta Tier II Support</t>
  </si>
  <si>
    <t>C251349</t>
  </si>
  <si>
    <t>GT-Infr and Cloud-Atlanta Tier II Support</t>
  </si>
  <si>
    <t>W0200MX</t>
  </si>
  <si>
    <t>W0200MX-MOBILE SERVICES HUMAN RESOURCES</t>
  </si>
  <si>
    <t>C200563</t>
  </si>
  <si>
    <t>Human Resources  - Mobile Services</t>
  </si>
  <si>
    <t>38259-Florence Tier II Support</t>
  </si>
  <si>
    <t>C251350</t>
  </si>
  <si>
    <t>GT-Infr and Cloud-Florence Tier II Support</t>
  </si>
  <si>
    <t>L0141</t>
  </si>
  <si>
    <t>Florence Office</t>
  </si>
  <si>
    <t>10763CN</t>
  </si>
  <si>
    <t>10763CN-HR SOL INTERNATIONAL</t>
  </si>
  <si>
    <t>C200565</t>
  </si>
  <si>
    <t>Human Resources - HR Solutions International</t>
  </si>
  <si>
    <t>17722UK</t>
  </si>
  <si>
    <t>17722UK-HR Trainers</t>
  </si>
  <si>
    <t>C200567</t>
  </si>
  <si>
    <t>Human Resources - Trainers</t>
  </si>
  <si>
    <t>10601-VACATION ACCRUAL</t>
  </si>
  <si>
    <t>C200590</t>
  </si>
  <si>
    <t>Vacation Accrual</t>
  </si>
  <si>
    <t>NEW</t>
  </si>
  <si>
    <t>C200591</t>
  </si>
  <si>
    <t>Payroll and Benefits</t>
  </si>
  <si>
    <t>93013-TUITION REIMBURSEMENT</t>
  </si>
  <si>
    <t>C200592</t>
  </si>
  <si>
    <t>Tuition Reimbursement</t>
  </si>
  <si>
    <t>PYRL001-GROUP INSURANCE PRE-ALLOCATION</t>
  </si>
  <si>
    <t>C200593</t>
  </si>
  <si>
    <t>Group Insurance</t>
  </si>
  <si>
    <t>10618UK</t>
  </si>
  <si>
    <t>10618UK-RECRUITMENT FEES</t>
  </si>
  <si>
    <t>C200595</t>
  </si>
  <si>
    <t>Recruiting Fees</t>
  </si>
  <si>
    <t>10170-International Development</t>
  </si>
  <si>
    <t>C200601</t>
  </si>
  <si>
    <t>International Development</t>
  </si>
  <si>
    <t>7074-Innovation &amp; Strategic Costs</t>
  </si>
  <si>
    <t>C200602</t>
  </si>
  <si>
    <t>Innovation and Strategic Costs</t>
  </si>
  <si>
    <t>38575-CAFETERIA BUILDING EXPENSES ATL</t>
  </si>
  <si>
    <t>C500205</t>
  </si>
  <si>
    <t>Atlanta Facility - Cafeteria Expenses</t>
  </si>
  <si>
    <t>3100438-Chief Technology Officer</t>
  </si>
  <si>
    <t>C250000</t>
  </si>
  <si>
    <t>GT - CTO - Chief Technology Officer</t>
  </si>
  <si>
    <t>39125-DEI - EMPLOYEE RESOURCE GROUPS</t>
  </si>
  <si>
    <t>C200564</t>
  </si>
  <si>
    <t>Human Resournce - Employee Resource Groups</t>
  </si>
  <si>
    <t>104021 - CTO - Miscellaneous (Contingent Workers)</t>
  </si>
  <si>
    <t>C250009</t>
  </si>
  <si>
    <t>GT - CTO - Miscellaneous - Cont Workers</t>
  </si>
  <si>
    <t>C250010</t>
  </si>
  <si>
    <t>GT - CTO - ACT CIO Misc</t>
  </si>
  <si>
    <t>39150-Diversity Equity and Inclusion</t>
  </si>
  <si>
    <t>C200551</t>
  </si>
  <si>
    <t>Human Resources - Diversity Equity and Inclusion</t>
  </si>
  <si>
    <t>C250012</t>
  </si>
  <si>
    <t>GT - CTO - Entitlement Platform Cap Amort</t>
  </si>
  <si>
    <t>104302-Emerging Channels</t>
  </si>
  <si>
    <t>C250013</t>
  </si>
  <si>
    <t>GT - CTO - Emerging Channels</t>
  </si>
  <si>
    <t>104303-Assurant Labs Products</t>
  </si>
  <si>
    <t>C250050</t>
  </si>
  <si>
    <t>GT - CTO - Assurant Labs - Products</t>
  </si>
  <si>
    <t>104304-Assurant Labs Platforms</t>
  </si>
  <si>
    <t>C250051</t>
  </si>
  <si>
    <t>GT - CTO - Assurant Labs - Platforms</t>
  </si>
  <si>
    <t>39155-DEI-Assurant Foundation</t>
  </si>
  <si>
    <t>C200550</t>
  </si>
  <si>
    <t>Human Resources - Corp &amp; Social Responsibility</t>
  </si>
  <si>
    <t>42405-VOIP Analysts</t>
  </si>
  <si>
    <t>C350505</t>
  </si>
  <si>
    <t>Housing Ops - VOIP Analysts</t>
  </si>
  <si>
    <t>42435-Administration</t>
  </si>
  <si>
    <t>C350507</t>
  </si>
  <si>
    <t>Housing Ops - Administration</t>
  </si>
  <si>
    <t>42450-SPRINGFIELD CUSTOMER CARE</t>
  </si>
  <si>
    <t>C350644</t>
  </si>
  <si>
    <t>Housing Ops - Springfield Customer Care</t>
  </si>
  <si>
    <t>10321-Compliance And Audit</t>
  </si>
  <si>
    <t>C250112</t>
  </si>
  <si>
    <t>GT - Sec - Compliance and Audit</t>
  </si>
  <si>
    <t>38261-Information Risk And Compliance Office</t>
  </si>
  <si>
    <t>C250113</t>
  </si>
  <si>
    <t>GT - Sec - Info Risk and Compliance Office</t>
  </si>
  <si>
    <t>3100428-Security Compliance Review</t>
  </si>
  <si>
    <t>C250120</t>
  </si>
  <si>
    <t>GT - Sec - Security Compliance Review</t>
  </si>
  <si>
    <t>C250121</t>
  </si>
  <si>
    <t>GT - Sec - Security Operations</t>
  </si>
  <si>
    <t>3100468-Security Access Services</t>
  </si>
  <si>
    <t>C250122</t>
  </si>
  <si>
    <t>GT - Sec - Security Access Services</t>
  </si>
  <si>
    <t>3100600-Secure Delivery</t>
  </si>
  <si>
    <t>C250123</t>
  </si>
  <si>
    <t>GT - Sec - Secure Delivery</t>
  </si>
  <si>
    <t>C250200</t>
  </si>
  <si>
    <t>GT - Strat Inv - AIZ Cloud Migration</t>
  </si>
  <si>
    <t>104032-Cloud Engineering</t>
  </si>
  <si>
    <t>C250210</t>
  </si>
  <si>
    <t>GT - Strat Inv - Cloud Engineering</t>
  </si>
  <si>
    <t>C250211</t>
  </si>
  <si>
    <t>GT - Strat Inv - Cloud Foundation</t>
  </si>
  <si>
    <t>C250212</t>
  </si>
  <si>
    <t>GT - Strat Inv - Cloud Migrations</t>
  </si>
  <si>
    <t>C250220</t>
  </si>
  <si>
    <t>GT - Strat Inv - CTO1 Adjusments</t>
  </si>
  <si>
    <t>C250221</t>
  </si>
  <si>
    <t>GT - Strat Inv - CTO2 Adjustments</t>
  </si>
  <si>
    <t>C250230</t>
  </si>
  <si>
    <t>GT - Strat Inv - Elita Amortization</t>
  </si>
  <si>
    <t>C250231</t>
  </si>
  <si>
    <t>GT - Strat Inv - Elita Modernization</t>
  </si>
  <si>
    <t>C250241</t>
  </si>
  <si>
    <t>GT - Strat Inv - FIT Transformation Office</t>
  </si>
  <si>
    <t>C250242</t>
  </si>
  <si>
    <t>GT - Strat Inv - DCO FIT Apps</t>
  </si>
  <si>
    <t>C250250</t>
  </si>
  <si>
    <t>GT - Strat Inv - GFS ERP Stabilization Costs</t>
  </si>
  <si>
    <t>104036-ERP Acct Finance Project Support</t>
  </si>
  <si>
    <t>C250251</t>
  </si>
  <si>
    <t>GT - Strat Inv - GFS Finance Project Support</t>
  </si>
  <si>
    <t>104030 - GFS Implementation</t>
  </si>
  <si>
    <t>C250252</t>
  </si>
  <si>
    <t>GT - Strat Inv - GFS Implementation Costs</t>
  </si>
  <si>
    <t>C250260</t>
  </si>
  <si>
    <t>GT - Strat Inv - GH API</t>
  </si>
  <si>
    <t>C250261</t>
  </si>
  <si>
    <t>GT - Strat Inv - GS SSE</t>
  </si>
  <si>
    <t>C250270</t>
  </si>
  <si>
    <t>GT - Strat Inv - Lifestyle Adjustments</t>
  </si>
  <si>
    <t>C250290</t>
  </si>
  <si>
    <t>GT - Strat Inv - Workday</t>
  </si>
  <si>
    <t>3110389-Solution Architecture</t>
  </si>
  <si>
    <t>C250400</t>
  </si>
  <si>
    <t>GT - Architecture - Solution Architecture</t>
  </si>
  <si>
    <t>42456-HURRICANE LD PROCESSING</t>
  </si>
  <si>
    <t>C350650</t>
  </si>
  <si>
    <t>Housing Ops - Hurricane LD Processing</t>
  </si>
  <si>
    <t>42458-QA Remediation</t>
  </si>
  <si>
    <t>C350509</t>
  </si>
  <si>
    <t>Housing Ops - QA Remediation</t>
  </si>
  <si>
    <t>10331-Corp Systems Controls and Compliance</t>
  </si>
  <si>
    <t>C250520</t>
  </si>
  <si>
    <t>GT-Strat Tran Gov-Corp Systems Controls And Compliance</t>
  </si>
  <si>
    <t>10333-Corp Systems Shared Applications</t>
  </si>
  <si>
    <t>C250521</t>
  </si>
  <si>
    <t>GT-Strat Tran Gov-Corp Systems Shared Applications</t>
  </si>
  <si>
    <t>10337-Corp Systems Technology Product Owners</t>
  </si>
  <si>
    <t>C250522</t>
  </si>
  <si>
    <t>GT-Strat Tran Gov-Corp Systems Technology Product Owners</t>
  </si>
  <si>
    <t>1013406-Corporate Systems Management</t>
  </si>
  <si>
    <t>C250523</t>
  </si>
  <si>
    <t>GT-Strat Tran Gov-Corporate Systems Management</t>
  </si>
  <si>
    <t>1013416-Financial Enterprise Accounting Sys</t>
  </si>
  <si>
    <t>C250530</t>
  </si>
  <si>
    <t>GT-Strat Tran Gov-Financial Enterprise Accounting Sys</t>
  </si>
  <si>
    <t>42459-Springfield Secure Master Banking Room</t>
  </si>
  <si>
    <t>C350510</t>
  </si>
  <si>
    <t>Housing Ops - Springfield Secure Master Banking Room</t>
  </si>
  <si>
    <t>C250532</t>
  </si>
  <si>
    <t>GT-Strat Tran Gov-Financial Systems Sw And Contracted Svcs</t>
  </si>
  <si>
    <t>42475 - Check Recon Check Processing</t>
  </si>
  <si>
    <t>C350515</t>
  </si>
  <si>
    <t>Housing Ops - Check Recon Check Processing</t>
  </si>
  <si>
    <t>C250540</t>
  </si>
  <si>
    <t>GT-Strat Tran Gov-FIT App Refactoring Amortization</t>
  </si>
  <si>
    <t>C250541</t>
  </si>
  <si>
    <t>GT-Strat Tran Gov-FIT Cloud Foundation Amortization</t>
  </si>
  <si>
    <t>C250550</t>
  </si>
  <si>
    <t>GT-Strat Tran Gov-HR Software And Contracted Services</t>
  </si>
  <si>
    <t>3000408-Human Resources Systems</t>
  </si>
  <si>
    <t>C250551</t>
  </si>
  <si>
    <t>GT-Strat Tran Gov-Human Resources Systems</t>
  </si>
  <si>
    <t>787480-International Financial Systems</t>
  </si>
  <si>
    <t>C250560</t>
  </si>
  <si>
    <t>GT-Strat Tran Gov-International Financial Systems</t>
  </si>
  <si>
    <t>600003-IT Transformation Innovation</t>
  </si>
  <si>
    <t>C250570</t>
  </si>
  <si>
    <t>GT-Strat Tran Gov-IT Transformation Innovation</t>
  </si>
  <si>
    <t>C250580</t>
  </si>
  <si>
    <t>GT-Strat Tran Gov-Legal And Risk Sw And Contracted Svcs</t>
  </si>
  <si>
    <t>42501-Florence Loss Draft Processing</t>
  </si>
  <si>
    <t>C350519</t>
  </si>
  <si>
    <t>Housing Ops - Florence Loss Draft Processing</t>
  </si>
  <si>
    <t>C250590</t>
  </si>
  <si>
    <t>GT-Strat Tran Gov-M and A Strategy And Governance</t>
  </si>
  <si>
    <t>42502-Quality Risk Assessments</t>
  </si>
  <si>
    <t>C350520</t>
  </si>
  <si>
    <t>Housing Ops - Quality Risk Assessments</t>
  </si>
  <si>
    <t>104009-PMO Delivery Corporate Enterprise Apps Atlanta</t>
  </si>
  <si>
    <t>C250601</t>
  </si>
  <si>
    <t>GT-Strat Tran Gov-PMO Delivery Corporate Enterprise Apps Atlanta</t>
  </si>
  <si>
    <t>C250602</t>
  </si>
  <si>
    <t>GT-Strat Tran Gov-PMO Delivery Lending Solutions</t>
  </si>
  <si>
    <t>C250610</t>
  </si>
  <si>
    <t>GT-Strat Tran Gov-BIDS Reporting And Planning Svc</t>
  </si>
  <si>
    <t>42503-BPM QA Tech</t>
  </si>
  <si>
    <t>C040305</t>
  </si>
  <si>
    <t>BPM QA Tech</t>
  </si>
  <si>
    <t>C250621</t>
  </si>
  <si>
    <t>GT-Strat Tran Gov-Strategy Trans &amp; Gov Management</t>
  </si>
  <si>
    <t>104002-Technology Investment and Portfolio Management</t>
  </si>
  <si>
    <t>C250622</t>
  </si>
  <si>
    <t>GT-Strat Tran Gov-Technology Investment And Portfolio Management</t>
  </si>
  <si>
    <t>1013412-Actuarial Systems (Cont Workers)</t>
  </si>
  <si>
    <t>C250623</t>
  </si>
  <si>
    <t>GT-Strat Tran Gov-Actuarial Systems - Contingent Workers</t>
  </si>
  <si>
    <t>C250624</t>
  </si>
  <si>
    <t>GT-Strat Tran Gov-PMO Delivery Global Lifestyle and International</t>
  </si>
  <si>
    <t>C250625</t>
  </si>
  <si>
    <t>GT-Strat Tran Gov-SS IT Performance Management</t>
  </si>
  <si>
    <t>C250626</t>
  </si>
  <si>
    <t>GT-Strat Tran Gov-Legal and Risk Application Support</t>
  </si>
  <si>
    <t>C250627</t>
  </si>
  <si>
    <t>GT-Strat Tran Gov-PM Global Lifestyle Intl Supply Chain  Front Office</t>
  </si>
  <si>
    <t>C250628</t>
  </si>
  <si>
    <t>GT-Strat Tran Gov-Technology Program Management</t>
  </si>
  <si>
    <t>C250629</t>
  </si>
  <si>
    <t>GT-Strat Tran Gov-PMO Management Global Home</t>
  </si>
  <si>
    <t>C250630</t>
  </si>
  <si>
    <t>GT-Strat Tran Gov-Unprioritized Strategic Projects</t>
  </si>
  <si>
    <t>C251000</t>
  </si>
  <si>
    <t>GT-Digital-Application Development Services</t>
  </si>
  <si>
    <t>42504 - Cast</t>
  </si>
  <si>
    <t>C350521</t>
  </si>
  <si>
    <t>Housing Ops - Cast</t>
  </si>
  <si>
    <t>102190-Digital Performance</t>
  </si>
  <si>
    <t>C251002</t>
  </si>
  <si>
    <t>GT-Digital-Digital And Omni Channel Services</t>
  </si>
  <si>
    <t>42528-Payee Administration</t>
  </si>
  <si>
    <t>C350522</t>
  </si>
  <si>
    <t>Housing Ops - Payee Administration</t>
  </si>
  <si>
    <t>C251006</t>
  </si>
  <si>
    <t>GT-Digital-Digital Delivery</t>
  </si>
  <si>
    <t>42539-WFM Command Center</t>
  </si>
  <si>
    <t>C350523</t>
  </si>
  <si>
    <t>Housing Ops - WFM Command Center</t>
  </si>
  <si>
    <t>42556-Verification</t>
  </si>
  <si>
    <t>C350524</t>
  </si>
  <si>
    <t>Housing Ops - Verification</t>
  </si>
  <si>
    <t>8210329-Digital Delivery Leadership</t>
  </si>
  <si>
    <t>C251009</t>
  </si>
  <si>
    <t>GT-Digital-Digital Delivery Leadership</t>
  </si>
  <si>
    <t>42575-Quality Control LPI</t>
  </si>
  <si>
    <t>C350525</t>
  </si>
  <si>
    <t>Housing Ops - Quality Control LPI</t>
  </si>
  <si>
    <t>42576-Quality Control Management</t>
  </si>
  <si>
    <t>C350526</t>
  </si>
  <si>
    <t>Housing Ops - Quality Control Management</t>
  </si>
  <si>
    <t>42577-Quality Control IT</t>
  </si>
  <si>
    <t>C350527</t>
  </si>
  <si>
    <t>Housing Ops - Quality Control IT</t>
  </si>
  <si>
    <t>C251013</t>
  </si>
  <si>
    <t>GT-Digital-Digital External Vendor Development</t>
  </si>
  <si>
    <t>102160-Digital Management And Strategy</t>
  </si>
  <si>
    <t>C251014</t>
  </si>
  <si>
    <t>GT-Digital-Digital Management And Strategy</t>
  </si>
  <si>
    <t>C251015</t>
  </si>
  <si>
    <t>GT-Digital-Digital Sw</t>
  </si>
  <si>
    <t>104321-Omnichannel Solutions</t>
  </si>
  <si>
    <t>C251016</t>
  </si>
  <si>
    <t>GT-Digital-Omnichannel Solutions</t>
  </si>
  <si>
    <t>42578-Quality Control LD</t>
  </si>
  <si>
    <t>C350528</t>
  </si>
  <si>
    <t>Housing Ops - Quality Control LD</t>
  </si>
  <si>
    <t>C251018</t>
  </si>
  <si>
    <t>GT-Digital-Venture Consulting</t>
  </si>
  <si>
    <t>C251050</t>
  </si>
  <si>
    <t>GT-Digital-Adp Amoritization</t>
  </si>
  <si>
    <t>C251051</t>
  </si>
  <si>
    <t>GT-Digital-Adp Capitalization</t>
  </si>
  <si>
    <t>102211-Assurant Labs Delivery</t>
  </si>
  <si>
    <t>C251070</t>
  </si>
  <si>
    <t>GT-Digital-Assurant Labs Delivery</t>
  </si>
  <si>
    <t>C251071</t>
  </si>
  <si>
    <t>GT-Digital-Assurant Labs Operations</t>
  </si>
  <si>
    <t>C251072</t>
  </si>
  <si>
    <t>GT-Digital-Assurant Labs Product</t>
  </si>
  <si>
    <t>8210328-Call Center Application Development</t>
  </si>
  <si>
    <t>C251080</t>
  </si>
  <si>
    <t>GT-Digital-Call Center Application Developmnt</t>
  </si>
  <si>
    <t>104308-CL - DIGITAL INTL</t>
  </si>
  <si>
    <t>C251090</t>
  </si>
  <si>
    <t>GT-Digital-Cl - Digital Intl</t>
  </si>
  <si>
    <t>104307-CL - DIGITAL TECH</t>
  </si>
  <si>
    <t>C251091</t>
  </si>
  <si>
    <t>GT-Digital-Cl - Digital Tech</t>
  </si>
  <si>
    <t>102210-Mobile Defense</t>
  </si>
  <si>
    <t>C251100</t>
  </si>
  <si>
    <t>GT-Digital-Mobile Defense</t>
  </si>
  <si>
    <t>C251101</t>
  </si>
  <si>
    <t>GT-Digital-Pocket Geek Cap Amort</t>
  </si>
  <si>
    <t>42579-Quality Control Reports</t>
  </si>
  <si>
    <t>C350529</t>
  </si>
  <si>
    <t>Housing Ops - Quality Control Reports</t>
  </si>
  <si>
    <t>C251135</t>
  </si>
  <si>
    <t>GT-GH-Enterprise Data Services</t>
  </si>
  <si>
    <t>42645-LS Ops Intake And Governance</t>
  </si>
  <si>
    <t>C350540</t>
  </si>
  <si>
    <t>Housing Ops - LS Ops Intake And Governance</t>
  </si>
  <si>
    <t>C251137</t>
  </si>
  <si>
    <t>GT-GH-GH Agile</t>
  </si>
  <si>
    <t>10301-Technology Services Management</t>
  </si>
  <si>
    <t>C251300</t>
  </si>
  <si>
    <t>GT-Infr and Cloud-Technology Services Management</t>
  </si>
  <si>
    <t>C251301</t>
  </si>
  <si>
    <t>GT-Infr and Cloud-Solutions Delivery Staff</t>
  </si>
  <si>
    <t>42650-LS OPS INITIATIVES</t>
  </si>
  <si>
    <t>C350643</t>
  </si>
  <si>
    <t>Housing Ops - LS Ops Initiatves</t>
  </si>
  <si>
    <t>C251303</t>
  </si>
  <si>
    <t>GT-Infr and Cloud-Enterprise Monitoring</t>
  </si>
  <si>
    <t>C251304</t>
  </si>
  <si>
    <t>GT-Infr and Cloud-Contact Segment Sw</t>
  </si>
  <si>
    <t>C251305</t>
  </si>
  <si>
    <t>GT-Infr and Cloud-AV Technology</t>
  </si>
  <si>
    <t>42651-Process Engineering</t>
  </si>
  <si>
    <t>C350544</t>
  </si>
  <si>
    <t>Housing Ops - Process Engineering</t>
  </si>
  <si>
    <t>10326-24x7 Service Ops</t>
  </si>
  <si>
    <t>C251307</t>
  </si>
  <si>
    <t>GT-Infr and Cloud-24X7 Service Ops</t>
  </si>
  <si>
    <t>10327-Desktop Technology</t>
  </si>
  <si>
    <t>C251308</t>
  </si>
  <si>
    <t>GT-Infr and Cloud-Desktop Technology</t>
  </si>
  <si>
    <t>10328-Call Center Services</t>
  </si>
  <si>
    <t>C251309</t>
  </si>
  <si>
    <t>GT-Infr and Cloud-Call Center Services</t>
  </si>
  <si>
    <t>10329-Messaging Services</t>
  </si>
  <si>
    <t>C251310</t>
  </si>
  <si>
    <t>GT-Infr and Cloud-Messaging Services</t>
  </si>
  <si>
    <t>C251311</t>
  </si>
  <si>
    <t>GT-Infr and Cloud-Imaging And Publishing Sw And Contracted Svcs</t>
  </si>
  <si>
    <t>C251312</t>
  </si>
  <si>
    <t>GT-Infr and Cloud-IT Related Software And Contracted Services</t>
  </si>
  <si>
    <t>42652-WFM Mgmt</t>
  </si>
  <si>
    <t>C350545</t>
  </si>
  <si>
    <t>Housing Ops - WFM Mgmt</t>
  </si>
  <si>
    <t>42655-GHO-FLOOD SAVINGS INITIATIVES</t>
  </si>
  <si>
    <t>C350656</t>
  </si>
  <si>
    <t>Housing Ops - GHO - Flood Savings Initiatives</t>
  </si>
  <si>
    <t>42657-Delivery &amp; Pymnt Sol Admin</t>
  </si>
  <si>
    <t>C350546</t>
  </si>
  <si>
    <t>Housing Ops - Delivery &amp; Pymnt Sol Admin</t>
  </si>
  <si>
    <t>42658-Ops Productivity Analysis</t>
  </si>
  <si>
    <t>C350547</t>
  </si>
  <si>
    <t>Housing Ops - Ops Productivity Analysis</t>
  </si>
  <si>
    <t>42659-GA GCL CC Tech</t>
  </si>
  <si>
    <t>C350548</t>
  </si>
  <si>
    <t>Housing Ops - GA GCL CC Tech</t>
  </si>
  <si>
    <t>42945-CLIENT SERVICES AND RESEARCH ADMIN</t>
  </si>
  <si>
    <t>CI35632</t>
  </si>
  <si>
    <t>Housing Ops - LOB LS 42945</t>
  </si>
  <si>
    <t>45302-Learning &amp; Performance</t>
  </si>
  <si>
    <t>C200531</t>
  </si>
  <si>
    <t>Human Resources - Learning and Performance</t>
  </si>
  <si>
    <t>3100403-MI and Problem</t>
  </si>
  <si>
    <t>C251323</t>
  </si>
  <si>
    <t>GT-Infr and Cloud-Mi And Problem</t>
  </si>
  <si>
    <t>C251324</t>
  </si>
  <si>
    <t>GT-Infr and Cloud-Data Center Facilities</t>
  </si>
  <si>
    <t>C251325</t>
  </si>
  <si>
    <t>GT-Infr and Cloud-EDCPO Senior Managment</t>
  </si>
  <si>
    <t>C251326</t>
  </si>
  <si>
    <t>GT-Infr and Cloud-Act Shared Dba Hw Sw</t>
  </si>
  <si>
    <t>45303-Content Design</t>
  </si>
  <si>
    <t>C350555</t>
  </si>
  <si>
    <t>Housing Ops - Content Design</t>
  </si>
  <si>
    <t>C251328</t>
  </si>
  <si>
    <t>GT-Infr and Cloud-Data Center Software</t>
  </si>
  <si>
    <t>3100443-Inc Enterprise Tools</t>
  </si>
  <si>
    <t>C251329</t>
  </si>
  <si>
    <t>GT-Infr and Cloud-DSO Software Service Management</t>
  </si>
  <si>
    <t>45306-QA SSP</t>
  </si>
  <si>
    <t>C350556</t>
  </si>
  <si>
    <t>Housing Ops - QA SSP</t>
  </si>
  <si>
    <t>C251331</t>
  </si>
  <si>
    <t>GT-Infr and Cloud-Data Center</t>
  </si>
  <si>
    <t>46205-Condo Team</t>
  </si>
  <si>
    <t>C301006</t>
  </si>
  <si>
    <t>GH - LS - Condo Team</t>
  </si>
  <si>
    <t>46215-AFAS INTEGRATION</t>
  </si>
  <si>
    <t>C309003</t>
  </si>
  <si>
    <t>GH - Runoff Products - Integration</t>
  </si>
  <si>
    <t>C251334</t>
  </si>
  <si>
    <t>GT-Infr and Cloud-Data Center Consolidation Facilities</t>
  </si>
  <si>
    <t>46252-AFS GENERAL</t>
  </si>
  <si>
    <t>C309005</t>
  </si>
  <si>
    <t>GH - Runoff Products - AFS General</t>
  </si>
  <si>
    <t>C251336</t>
  </si>
  <si>
    <t>GT-Infr and Cloud-DdDInitiatives</t>
  </si>
  <si>
    <t>3200420-Bids Service Management Hpsd</t>
  </si>
  <si>
    <t>C251337</t>
  </si>
  <si>
    <t>GT-Infr and Cloud-BIDS Service Mgmt Hpsd</t>
  </si>
  <si>
    <t>46258-AFS INSPECTIONS</t>
  </si>
  <si>
    <t>C309006</t>
  </si>
  <si>
    <t>GH - Runoff Products - AFS Inspections</t>
  </si>
  <si>
    <t>46295-SMALL BUSINESS</t>
  </si>
  <si>
    <t>C305000</t>
  </si>
  <si>
    <t>GH - Housing Other</t>
  </si>
  <si>
    <t>3200463-Service Management Office</t>
  </si>
  <si>
    <t>C251340</t>
  </si>
  <si>
    <t>GT-Infr and Cloud-Service Management Office</t>
  </si>
  <si>
    <t>3200471-Production Control</t>
  </si>
  <si>
    <t>C251341</t>
  </si>
  <si>
    <t>GT-Infr and Cloud-Production Control</t>
  </si>
  <si>
    <t>3200473-ACT Shared Enterprise Tools</t>
  </si>
  <si>
    <t>C251342</t>
  </si>
  <si>
    <t>GT-Infr and Cloud-Enterprise Tools</t>
  </si>
  <si>
    <t>C251343</t>
  </si>
  <si>
    <t>GT-Infr and Cloud-Performance Testing</t>
  </si>
  <si>
    <t>38100-IT Administration</t>
  </si>
  <si>
    <t>C251344</t>
  </si>
  <si>
    <t>GT-Infr and Cloud-IT Administration</t>
  </si>
  <si>
    <t>38101-International Support Staff</t>
  </si>
  <si>
    <t>C251345</t>
  </si>
  <si>
    <t>GT-Infr and Cloud-International Support Staff</t>
  </si>
  <si>
    <t>38213-Lewisville Tier II</t>
  </si>
  <si>
    <t>C251346</t>
  </si>
  <si>
    <t>GT-Infr and Cloud-Lewisville Tier II</t>
  </si>
  <si>
    <t>L0174</t>
  </si>
  <si>
    <t>Lewisville Office</t>
  </si>
  <si>
    <t>38214-Rcg Nirvana Tier II</t>
  </si>
  <si>
    <t>C251347</t>
  </si>
  <si>
    <t>GT-Infr and Cloud-Rcg Nirvana Tier II</t>
  </si>
  <si>
    <t>50031-GH Operations Administration</t>
  </si>
  <si>
    <t>C350559</t>
  </si>
  <si>
    <t>Housing Ops - GH Operations Administration</t>
  </si>
  <si>
    <t>38280-Springfield Tier II Support</t>
  </si>
  <si>
    <t>C251351</t>
  </si>
  <si>
    <t>GT-Infr and Cloud-Springfield Tier II Support</t>
  </si>
  <si>
    <t>C251352</t>
  </si>
  <si>
    <t>GT-Infr and Cloud-UK IVR</t>
  </si>
  <si>
    <t>50033-GH Ops Product Owners</t>
  </si>
  <si>
    <t>C350560</t>
  </si>
  <si>
    <t>Housing Ops - GH Ops Product Owners</t>
  </si>
  <si>
    <t>50034-GH VOIP Analysts</t>
  </si>
  <si>
    <t>C350561</t>
  </si>
  <si>
    <t>Housing Ops - GH VOIP Analysts</t>
  </si>
  <si>
    <t>C251355</t>
  </si>
  <si>
    <t>GT-Infr and Cloud-West Coast Tier II Support</t>
  </si>
  <si>
    <t>C251356</t>
  </si>
  <si>
    <t>GT-Infr and Cloud-Canada Telecom</t>
  </si>
  <si>
    <t>C251357</t>
  </si>
  <si>
    <t>GT-Infr and Cloud-Applications</t>
  </si>
  <si>
    <t>C251358</t>
  </si>
  <si>
    <t>GT-Infr and Cloud-Global Hsg Business Relationship</t>
  </si>
  <si>
    <t>50035-MFH Client Installations</t>
  </si>
  <si>
    <t>C350562</t>
  </si>
  <si>
    <t>Housing Ops - MFH Client Installations</t>
  </si>
  <si>
    <t>50036-GH VOLUNTARY OPS MAILINGS</t>
  </si>
  <si>
    <t>C350663</t>
  </si>
  <si>
    <t>Housing Ops - GH Voluntary Ops Mailing</t>
  </si>
  <si>
    <t>50037-GH MFH MAILINGS</t>
  </si>
  <si>
    <t>C350664</t>
  </si>
  <si>
    <t>Housing Ops - GH MFH Mailings</t>
  </si>
  <si>
    <t>50038-MFH Product Owners</t>
  </si>
  <si>
    <t>C350563</t>
  </si>
  <si>
    <t>Housing Ops - MFH Product Owners</t>
  </si>
  <si>
    <t>50100-HRO ADMIN</t>
  </si>
  <si>
    <t>C515201</t>
  </si>
  <si>
    <t>CL - HRO - New Sales - HRO Admin</t>
  </si>
  <si>
    <t>50525-PROJECT SIGMA</t>
  </si>
  <si>
    <t>C090031</t>
  </si>
  <si>
    <t>Project SIGMA</t>
  </si>
  <si>
    <t>50641-FSOCARDBENEFITS</t>
  </si>
  <si>
    <t>C590026</t>
  </si>
  <si>
    <t>AFS Ops - FSO Card Benefits</t>
  </si>
  <si>
    <t>50951-NON GFA</t>
  </si>
  <si>
    <t>C703000</t>
  </si>
  <si>
    <t>Assessment and Fees - Non GFA</t>
  </si>
  <si>
    <t>50952-GFA</t>
  </si>
  <si>
    <t>C703001</t>
  </si>
  <si>
    <t>Assessment and Fees - GFA</t>
  </si>
  <si>
    <t>50953-ASSESSMENTS RECOUP</t>
  </si>
  <si>
    <t>C703002</t>
  </si>
  <si>
    <t>Assessment and Fees - Recoup of Assessments</t>
  </si>
  <si>
    <t>50954-RECOUPMENT OF GUARANTY FUND ASSESSMENTS</t>
  </si>
  <si>
    <t>C703003</t>
  </si>
  <si>
    <t>Assessment and Fees - Recoup of Guaranty Fund Assessment</t>
  </si>
  <si>
    <t>51200-Reinsurance Solutions</t>
  </si>
  <si>
    <t>CI10181</t>
  </si>
  <si>
    <t>51502-Compliance Comm Operations</t>
  </si>
  <si>
    <t>C040401</t>
  </si>
  <si>
    <t>Operations - Compliance Communications</t>
  </si>
  <si>
    <t>51700-MH Condo Auto And Hazard</t>
  </si>
  <si>
    <t>C350107</t>
  </si>
  <si>
    <t>Housing Claims - MH Condo Auto And Hazard</t>
  </si>
  <si>
    <t>51701-COMPLIANCE</t>
  </si>
  <si>
    <t>C515604</t>
  </si>
  <si>
    <t>Div Fin Svcs - Compliance</t>
  </si>
  <si>
    <t>51702-Claims Call Center</t>
  </si>
  <si>
    <t>C350108</t>
  </si>
  <si>
    <t>Housing Claims - Claims Call Center</t>
  </si>
  <si>
    <t>51705-Claims Business Technology</t>
  </si>
  <si>
    <t>C350109</t>
  </si>
  <si>
    <t>Housing Claims - Claims Business Technology</t>
  </si>
  <si>
    <t>51708-PD Liability ISA</t>
  </si>
  <si>
    <t>C350110</t>
  </si>
  <si>
    <t>Housing Claims - PD Liability ISA</t>
  </si>
  <si>
    <t>51709-Miami Lending Solutions ISA</t>
  </si>
  <si>
    <t>C350111</t>
  </si>
  <si>
    <t>Housing Claims - Miami Lending Solutions ISA</t>
  </si>
  <si>
    <t>51711-ASP Claims Flood</t>
  </si>
  <si>
    <t>C350112</t>
  </si>
  <si>
    <t>Housing Claims - ASP Claims Flood</t>
  </si>
  <si>
    <t>51723-BI Liability ISA</t>
  </si>
  <si>
    <t>C350113</t>
  </si>
  <si>
    <t>Housing Claims - BI Liability ISA</t>
  </si>
  <si>
    <t>51724-Renters ISA</t>
  </si>
  <si>
    <t>C350114</t>
  </si>
  <si>
    <t>Housing Claims - Renters ISA</t>
  </si>
  <si>
    <t>51725-PS ISA LAE</t>
  </si>
  <si>
    <t>C350117</t>
  </si>
  <si>
    <t>Housing Claims - PS ISA LAE</t>
  </si>
  <si>
    <t>51740-CLAIMS VENDOR MANAGEMENT</t>
  </si>
  <si>
    <t>C350118</t>
  </si>
  <si>
    <t>Housing Claims - Claims Vendor Management</t>
  </si>
  <si>
    <t>51775-Field Staff Adjusters</t>
  </si>
  <si>
    <t>C350115</t>
  </si>
  <si>
    <t>Housing Claims - Field Staff Adjusters</t>
  </si>
  <si>
    <t>51776-PS FSA LAE</t>
  </si>
  <si>
    <t>C350119</t>
  </si>
  <si>
    <t>Housing Claims - PS FSA LAE</t>
  </si>
  <si>
    <t>C020503</t>
  </si>
  <si>
    <t>Legal - Government Relations 51800</t>
  </si>
  <si>
    <t>51900-Licensing Operations</t>
  </si>
  <si>
    <t>C040330</t>
  </si>
  <si>
    <t>Licensing Operations</t>
  </si>
  <si>
    <t>51903-GH OPS LEASED AND FINANCED ANALYST</t>
  </si>
  <si>
    <t>C350665</t>
  </si>
  <si>
    <t>Housing Ops - GH Ops Leased and Financed Analyst</t>
  </si>
  <si>
    <t>51905-Direct Sales Team</t>
  </si>
  <si>
    <t>C350900</t>
  </si>
  <si>
    <t>Global Spec Ops - Direct Sales Teams</t>
  </si>
  <si>
    <t>51906-MFH Account Management</t>
  </si>
  <si>
    <t>C302002</t>
  </si>
  <si>
    <t>GH - MFH - Account Management</t>
  </si>
  <si>
    <t>51910-LICENSING RECOVERY INCOME CENTER</t>
  </si>
  <si>
    <t>C010597</t>
  </si>
  <si>
    <t>Licensing Recovery Income Center</t>
  </si>
  <si>
    <t>51911-LICENSING REGULATORY FEES</t>
  </si>
  <si>
    <t>C010596</t>
  </si>
  <si>
    <t>Licensing Regulatory Fees</t>
  </si>
  <si>
    <t>C251406</t>
  </si>
  <si>
    <t>GT-Infr and Cloud-Conduent Print Expenses</t>
  </si>
  <si>
    <t>C251407</t>
  </si>
  <si>
    <t>GT-Infr and Cloud-Data Center Operations</t>
  </si>
  <si>
    <t>51913-ANTIQUE AUTO EXPENSES</t>
  </si>
  <si>
    <t>C303052</t>
  </si>
  <si>
    <t>GH - GS - Antique Auto Expenses</t>
  </si>
  <si>
    <t>C703006</t>
  </si>
  <si>
    <t>Assessment and Fees - State Filing Fees</t>
  </si>
  <si>
    <t>C251410</t>
  </si>
  <si>
    <t>GT-Infr and Cloud-St Petersburg Tier II Support</t>
  </si>
  <si>
    <t>C251411</t>
  </si>
  <si>
    <t>GT-Infr and Cloud-Addison Texas Tier II Support</t>
  </si>
  <si>
    <t>51917-ENTERPRISE CHARGES LFS INTL</t>
  </si>
  <si>
    <t>C702001</t>
  </si>
  <si>
    <t>Enterprise Charges - LFS International</t>
  </si>
  <si>
    <t>C251413</t>
  </si>
  <si>
    <t>GT-Infr and Cloud-AS Enterprise Tools</t>
  </si>
  <si>
    <t>C251414</t>
  </si>
  <si>
    <t>GT-Infr and Cloud-AS DBA HW SW</t>
  </si>
  <si>
    <t>C251415</t>
  </si>
  <si>
    <t>GT-Infr and Cloud-ACT Service Operations Admin</t>
  </si>
  <si>
    <t>51919-ENTERPRISE CHARGES LFS DOMESTIC</t>
  </si>
  <si>
    <t>C702002</t>
  </si>
  <si>
    <t>Enterprise Charges - LFS Domestic</t>
  </si>
  <si>
    <t>898301-Applications Home Specialty And Preneed Management</t>
  </si>
  <si>
    <t>C252000</t>
  </si>
  <si>
    <t>GT-GH-Applications Home Specialty And Preneed Management</t>
  </si>
  <si>
    <t>C252001</t>
  </si>
  <si>
    <t>GT-GH-Enterprise Data Services Business Resources Transfer</t>
  </si>
  <si>
    <t>51921-CORPORATE INSURANCE INTL</t>
  </si>
  <si>
    <t>C030801</t>
  </si>
  <si>
    <t>Corporate Insurance - International</t>
  </si>
  <si>
    <t>C252003</t>
  </si>
  <si>
    <t>GT-GH-Housing IT Other</t>
  </si>
  <si>
    <t>383001-DevOps</t>
  </si>
  <si>
    <t>C252004</t>
  </si>
  <si>
    <t>GT-GH-Devops</t>
  </si>
  <si>
    <t>51923-ENTERPRISE CHARGES S&amp;R</t>
  </si>
  <si>
    <t>C702003</t>
  </si>
  <si>
    <t>Enterprise Charges  - S&amp;R</t>
  </si>
  <si>
    <t>51950-Compliance Tech</t>
  </si>
  <si>
    <t>C020415</t>
  </si>
  <si>
    <t>Legal - Compliance - Tech</t>
  </si>
  <si>
    <t>C252012</t>
  </si>
  <si>
    <t>GT-GH-Flood Enterprise Data Services Devops Management</t>
  </si>
  <si>
    <t>C252020</t>
  </si>
  <si>
    <t>GT-GH-Geico Ho3 CapITalization</t>
  </si>
  <si>
    <t>C252021</t>
  </si>
  <si>
    <t>GT-GH-Geico MFH</t>
  </si>
  <si>
    <t>389002-LPI</t>
  </si>
  <si>
    <t>C252030</t>
  </si>
  <si>
    <t>GT-GH-LPI</t>
  </si>
  <si>
    <t>389007-LPI Form Services</t>
  </si>
  <si>
    <t>C252031</t>
  </si>
  <si>
    <t>GT-GH-LPI Form Services</t>
  </si>
  <si>
    <t>389000-IT App Dev Lender Placed Insurance Management</t>
  </si>
  <si>
    <t>C252032</t>
  </si>
  <si>
    <t>GT-GH-IT App Dev Lender Placed Ins Mgnt</t>
  </si>
  <si>
    <t>C252041</t>
  </si>
  <si>
    <t>GT-GH-MFH Modern</t>
  </si>
  <si>
    <t>51980-PRIVACY MAILINGS</t>
  </si>
  <si>
    <t>C020602</t>
  </si>
  <si>
    <t>Legal - Privacy Mailings</t>
  </si>
  <si>
    <t>52261-GS Property Product Owners</t>
  </si>
  <si>
    <t>C303002</t>
  </si>
  <si>
    <t>GH - GS - Property Product Owners</t>
  </si>
  <si>
    <t>389010-SSP Delivery Lead Eric Cero</t>
  </si>
  <si>
    <t>C252070</t>
  </si>
  <si>
    <t>GT-GH-SSP Delivery Lead  Eric Cero</t>
  </si>
  <si>
    <t>389009-SSP Delivery Lead Krishna Party</t>
  </si>
  <si>
    <t>C252071</t>
  </si>
  <si>
    <t>GT-GH-SSP Delivery Lead  Krishna Party</t>
  </si>
  <si>
    <t>389011-SSP Delivery Lead Priya Krishnamoorthy</t>
  </si>
  <si>
    <t>C252072</t>
  </si>
  <si>
    <t>GT-GH-SSP Delivery Lead  Priya Krishnamoorthy</t>
  </si>
  <si>
    <t>204002 - SSP Delivery Lead Diwakar Kamisetti</t>
  </si>
  <si>
    <t>C252073</t>
  </si>
  <si>
    <t>GT-GH-SSP Delivery Lead Diwakar Kamisetti</t>
  </si>
  <si>
    <t>389013 - SSP Tier 2 BA</t>
  </si>
  <si>
    <t>C252075</t>
  </si>
  <si>
    <t>GT-GH-SSP Tier 2 Ba</t>
  </si>
  <si>
    <t>52262-GS Specialty Intl Product Owners</t>
  </si>
  <si>
    <t>C350564</t>
  </si>
  <si>
    <t>Housing Ops - GS Specialty Intl Product Owners</t>
  </si>
  <si>
    <t>389003-Delivery Management</t>
  </si>
  <si>
    <t>C252081</t>
  </si>
  <si>
    <t>GT-GH-Delivery Management</t>
  </si>
  <si>
    <t>52263-Flood Voluntary Product Owners</t>
  </si>
  <si>
    <t>C303110</t>
  </si>
  <si>
    <t>GH - GS - Flood Voluntary Product Owners</t>
  </si>
  <si>
    <t>52908-Bus And Entrprs App Services</t>
  </si>
  <si>
    <t>C250510</t>
  </si>
  <si>
    <t>GT-Strat Tran Gov-Bus And Entrprs App Services</t>
  </si>
  <si>
    <t>389012-T2 Application Support Desk Manager</t>
  </si>
  <si>
    <t>C252100</t>
  </si>
  <si>
    <t>GT-GH-T2 Application Support Desk Manager</t>
  </si>
  <si>
    <t>C252110</t>
  </si>
  <si>
    <t>GT-GH-Encore Data Capture</t>
  </si>
  <si>
    <t>C252111</t>
  </si>
  <si>
    <t>GT-GH-Encore Software Maintenance</t>
  </si>
  <si>
    <t>C252112</t>
  </si>
  <si>
    <t>GT-GH-Encore SSP Amortization</t>
  </si>
  <si>
    <t>C790050</t>
  </si>
  <si>
    <t>AHC - Tax Payments 1</t>
  </si>
  <si>
    <t>53500-Corporate Legal MIA</t>
  </si>
  <si>
    <t>CI20227</t>
  </si>
  <si>
    <t>Legal - Corporate 53500</t>
  </si>
  <si>
    <t>C252123</t>
  </si>
  <si>
    <t>GT-GH-Documaker Services</t>
  </si>
  <si>
    <t>383006-Draft Trac</t>
  </si>
  <si>
    <t>C252124</t>
  </si>
  <si>
    <t>GT-GH-Draft Trac</t>
  </si>
  <si>
    <t>C020901</t>
  </si>
  <si>
    <t>Legal - Corporate Litigation Costs</t>
  </si>
  <si>
    <t>53750-GH Document Services</t>
  </si>
  <si>
    <t>C350565</t>
  </si>
  <si>
    <t>Housing Ops - GH Document Services</t>
  </si>
  <si>
    <t>53801-GH Rating Voluntary BA Team</t>
  </si>
  <si>
    <t>C350566</t>
  </si>
  <si>
    <t>Housing Ops - GH Rating Voluntary BA Team</t>
  </si>
  <si>
    <t>C252128</t>
  </si>
  <si>
    <t>GT-GH-ITDP</t>
  </si>
  <si>
    <t>389001-Legacy Tracking</t>
  </si>
  <si>
    <t>C252129</t>
  </si>
  <si>
    <t>GT-GH-Legacy Tracking</t>
  </si>
  <si>
    <t>C252130</t>
  </si>
  <si>
    <t>GT-GH-RGI Capitalization</t>
  </si>
  <si>
    <t>383004-Smartflow Corp Tech</t>
  </si>
  <si>
    <t>C252131</t>
  </si>
  <si>
    <t>GT-GH-Smartflow Corp Tech</t>
  </si>
  <si>
    <t>204001 - SSP DEV OPS (Contingent Workers)</t>
  </si>
  <si>
    <t>C252132</t>
  </si>
  <si>
    <t>GT-GH-SSP Dev Ops - Contingent Workers</t>
  </si>
  <si>
    <t>53802-GH Reporting</t>
  </si>
  <si>
    <t>C350567</t>
  </si>
  <si>
    <t>Housing Ops - GH Reporting</t>
  </si>
  <si>
    <t>53803-21ST MORTGAGE PROCESSING</t>
  </si>
  <si>
    <t>CI35542</t>
  </si>
  <si>
    <t>Housing Ops - Hazard Processing Administration 53803</t>
  </si>
  <si>
    <t>C253000</t>
  </si>
  <si>
    <t>GT-LS INTL-IT Solutions Administration</t>
  </si>
  <si>
    <t>C253001</t>
  </si>
  <si>
    <t>GT-LS INTL-Lifestyle Integration Services</t>
  </si>
  <si>
    <t>787060-Lifestyle Release Management</t>
  </si>
  <si>
    <t>C253002</t>
  </si>
  <si>
    <t>GT-LS INTL-Lifestyle Release Management</t>
  </si>
  <si>
    <t>C253003</t>
  </si>
  <si>
    <t>GT-LS INTL-BA Transformation</t>
  </si>
  <si>
    <t>C253004</t>
  </si>
  <si>
    <t>GT-LS INTL-Digital Customer Engagement</t>
  </si>
  <si>
    <t>787180-DTM BRMS</t>
  </si>
  <si>
    <t>C253005</t>
  </si>
  <si>
    <t>GT-LS INTL-DTM BRMS</t>
  </si>
  <si>
    <t>53804-GH Tracking Client Support</t>
  </si>
  <si>
    <t>C350568</t>
  </si>
  <si>
    <t>Housing Ops - GH Tracking Client Support</t>
  </si>
  <si>
    <t>C253007</t>
  </si>
  <si>
    <t>GT-LS INTL-GSU And TIU Expansion</t>
  </si>
  <si>
    <t>53850-GH Tracking Business Analysts</t>
  </si>
  <si>
    <t>C350569</t>
  </si>
  <si>
    <t>Housing Ops - GH Tracking Business Analysts</t>
  </si>
  <si>
    <t>104206 - Management</t>
  </si>
  <si>
    <t>C253011</t>
  </si>
  <si>
    <t>GT-LS INTL-Management</t>
  </si>
  <si>
    <t>798040-Modules</t>
  </si>
  <si>
    <t>C253012</t>
  </si>
  <si>
    <t>GT-LS INTL-Modules</t>
  </si>
  <si>
    <t>787140-Quality Controls</t>
  </si>
  <si>
    <t>C253013</t>
  </si>
  <si>
    <t>GT-LS INTL-Quality Controls</t>
  </si>
  <si>
    <t>53851-AA CC VENDOR EXPENSES</t>
  </si>
  <si>
    <t>C350666</t>
  </si>
  <si>
    <t>Housing Ops - AA CC Vendor Expenses</t>
  </si>
  <si>
    <t>787840-Shared Capabilities</t>
  </si>
  <si>
    <t>C253015</t>
  </si>
  <si>
    <t>GT-LS INTL-Shared Capabilities</t>
  </si>
  <si>
    <t>C253016</t>
  </si>
  <si>
    <t>GT-LS INTL-Studio Tech Project Bam Capex</t>
  </si>
  <si>
    <t>C253017</t>
  </si>
  <si>
    <t>GT-LS INTL-Studio Tech Project Fusion Capex</t>
  </si>
  <si>
    <t>C253018</t>
  </si>
  <si>
    <t>GT-LS INTL-System Integration</t>
  </si>
  <si>
    <t>787710-TEC Solutions and Implementation</t>
  </si>
  <si>
    <t>C253019</t>
  </si>
  <si>
    <t>GT-LS INTL-Tec Solution And Implementation</t>
  </si>
  <si>
    <t>C253020</t>
  </si>
  <si>
    <t>GT-LS INTL-Wecare Cap-Amort</t>
  </si>
  <si>
    <t>C253021</t>
  </si>
  <si>
    <t>GT-LS INTL-WF Card Benefits</t>
  </si>
  <si>
    <t>787430-Domestic Systems VSC Claims</t>
  </si>
  <si>
    <t>C253100</t>
  </si>
  <si>
    <t>GT-LS INTL-Domestic Systems VSC Claims</t>
  </si>
  <si>
    <t>53904-CARD BENEFIT OPS</t>
  </si>
  <si>
    <t>C590027</t>
  </si>
  <si>
    <t>AFS Ops - Card Benefit Ops</t>
  </si>
  <si>
    <t>C253102</t>
  </si>
  <si>
    <t>GT-LS INTL-VPS Claims CRM</t>
  </si>
  <si>
    <t>C253103</t>
  </si>
  <si>
    <t>GT-LS INTL-GW Amortization</t>
  </si>
  <si>
    <t>C253104</t>
  </si>
  <si>
    <t>GT-LS INTL-Global Readiness Amortization</t>
  </si>
  <si>
    <t>C253105</t>
  </si>
  <si>
    <t>GT-LS INTL-International Systems Portal Development</t>
  </si>
  <si>
    <t>787090-CL and INTL Systems Leaders</t>
  </si>
  <si>
    <t>C253200</t>
  </si>
  <si>
    <t>GT-LS INTL-CL And Intl Systems Leaders</t>
  </si>
  <si>
    <t>104207 - CL Diagnostics Technologies</t>
  </si>
  <si>
    <t>C253201</t>
  </si>
  <si>
    <t>GT-LS INTL-CL Diagnostic Technologies</t>
  </si>
  <si>
    <t>53940-GH Tracking Admin</t>
  </si>
  <si>
    <t>C350570</t>
  </si>
  <si>
    <t>Housing Ops - GH Tracking Admin</t>
  </si>
  <si>
    <t>787730-BA DFS US</t>
  </si>
  <si>
    <t>C253300</t>
  </si>
  <si>
    <t>GT-LS INTL-BA DFS US</t>
  </si>
  <si>
    <t>787030-Domestic Systems DFS</t>
  </si>
  <si>
    <t>C253301</t>
  </si>
  <si>
    <t>GT-LS INTL-Domestic Systems DFS</t>
  </si>
  <si>
    <t>C253400</t>
  </si>
  <si>
    <t>GT-LS INTL-DCM Amortization</t>
  </si>
  <si>
    <t>C253401</t>
  </si>
  <si>
    <t>GT-LS INTL-DCm Capex</t>
  </si>
  <si>
    <t>53950-AFS COMPLIANCE AND BUSINESS SUPPORT</t>
  </si>
  <si>
    <t>C590028</t>
  </si>
  <si>
    <t>AFS Ops -AFS Compliance and Business Support</t>
  </si>
  <si>
    <t>787740-BA ESC Mobile</t>
  </si>
  <si>
    <t>C253501</t>
  </si>
  <si>
    <t>GT-LS INTL-BA ESC Mobile</t>
  </si>
  <si>
    <t>787640-Beehive</t>
  </si>
  <si>
    <t>C253502</t>
  </si>
  <si>
    <t>GT-LS INTL-Beehive</t>
  </si>
  <si>
    <t>C253503</t>
  </si>
  <si>
    <t>GT-LS INTL-Beehive Cap Amort</t>
  </si>
  <si>
    <t>787660-Elita ESC VSC Implementations BAS</t>
  </si>
  <si>
    <t>C253504</t>
  </si>
  <si>
    <t>GT-LS INTL-ELITA ESC VSC Implementations Bas</t>
  </si>
  <si>
    <t>53951-IT HOMEOWNERS ALLOC ONLY</t>
  </si>
  <si>
    <t>C390090</t>
  </si>
  <si>
    <t>IT Homeowners Alloc Only</t>
  </si>
  <si>
    <t>787120-ESC QA Prod Support</t>
  </si>
  <si>
    <t>C253506</t>
  </si>
  <si>
    <t>GT-LS INTL-ESC QA Prod Support</t>
  </si>
  <si>
    <t>53970-GH Multilines Underwriting</t>
  </si>
  <si>
    <t>C350571</t>
  </si>
  <si>
    <t>Housing Ops - GH Multilines Underwriting</t>
  </si>
  <si>
    <t>53980-GH Voluntary Processing</t>
  </si>
  <si>
    <t>C350572</t>
  </si>
  <si>
    <t>Housing Ops - GH Voluntary Processing</t>
  </si>
  <si>
    <t>53982-Specialty Services Customer Service</t>
  </si>
  <si>
    <t>C350573</t>
  </si>
  <si>
    <t>Housing Ops - Specialty Services Customer Service</t>
  </si>
  <si>
    <t>53983-GH Quality Assurance</t>
  </si>
  <si>
    <t>C350574</t>
  </si>
  <si>
    <t>Housing Ops - GH Quality Assurance</t>
  </si>
  <si>
    <t>C253700</t>
  </si>
  <si>
    <t>GT-LS INTL-Aspire Amortization</t>
  </si>
  <si>
    <t>787130-Domestic Mobile Prod Support</t>
  </si>
  <si>
    <t>C253701</t>
  </si>
  <si>
    <t>GT-LS INTL-Domestic Mobile Prod Support</t>
  </si>
  <si>
    <t>787300 - Dynamic Fulfillment</t>
  </si>
  <si>
    <t>C253702</t>
  </si>
  <si>
    <t>GT-LS INTL-Dynamic Fulfillment</t>
  </si>
  <si>
    <t>C253703</t>
  </si>
  <si>
    <t>GT-LS INTL-Hyla Amortization</t>
  </si>
  <si>
    <t>C253704</t>
  </si>
  <si>
    <t>GT-LS INTL-Hyla Capitalization</t>
  </si>
  <si>
    <t>104208 - HYLA DLS Platforms</t>
  </si>
  <si>
    <t>C253705</t>
  </si>
  <si>
    <t>GT-LS INTL-Hyla DLS Platforms</t>
  </si>
  <si>
    <t>C253706</t>
  </si>
  <si>
    <t>GT-LS INTL-Hyla Enterprise Development</t>
  </si>
  <si>
    <t>787380-IT Integration</t>
  </si>
  <si>
    <t>C253707</t>
  </si>
  <si>
    <t>GT-LS INTL-Hyla Technology Integration</t>
  </si>
  <si>
    <t>C253708</t>
  </si>
  <si>
    <t>GT-LS INTL-Mobile Claims Eff Capex</t>
  </si>
  <si>
    <t>C253709</t>
  </si>
  <si>
    <t>GT-LS INTL-Mobile ERP Capex</t>
  </si>
  <si>
    <t>60006-Mobile Repair And Logistics Lewisville</t>
  </si>
  <si>
    <t>C253710</t>
  </si>
  <si>
    <t>GT-LS INTL-Mobile Repair And Logistics Lewisville</t>
  </si>
  <si>
    <t>53984-RTS Customer Care</t>
  </si>
  <si>
    <t>C350575</t>
  </si>
  <si>
    <t>Housing Ops - RTS Customer Care</t>
  </si>
  <si>
    <t>60001-Mobile Services</t>
  </si>
  <si>
    <t>C253712</t>
  </si>
  <si>
    <t>GT-LS INTL-Mobile Services</t>
  </si>
  <si>
    <t>787610-Mobile Services BAS</t>
  </si>
  <si>
    <t>C253713</t>
  </si>
  <si>
    <t>GT-LS INTL-Mobile Services Bas</t>
  </si>
  <si>
    <t>60007-Mobile Services ERP</t>
  </si>
  <si>
    <t>C253714</t>
  </si>
  <si>
    <t>GT-LS INTL-Mobile Services ERP</t>
  </si>
  <si>
    <t>787490-Mobile Svcs US Prod Support</t>
  </si>
  <si>
    <t>C253715</t>
  </si>
  <si>
    <t>GT-LS INTL-Mobile Svcs US Prod Support</t>
  </si>
  <si>
    <t>787810-Mobile Svcs US QA</t>
  </si>
  <si>
    <t>C253716</t>
  </si>
  <si>
    <t>GT-LS INTL-Mobile Svcs US QA</t>
  </si>
  <si>
    <t>C253717</t>
  </si>
  <si>
    <t>GT-LS INTL-MV ALP SS TPO Team</t>
  </si>
  <si>
    <t>C253718</t>
  </si>
  <si>
    <t>GT-LS INTL-Oracle TPO Team</t>
  </si>
  <si>
    <t>787772:SATURN CAPITALIZATION</t>
  </si>
  <si>
    <t>C253719</t>
  </si>
  <si>
    <t>GT - LS INTL - Saturn - Capitalization</t>
  </si>
  <si>
    <t>787771:SATURN AMORTIZATION</t>
  </si>
  <si>
    <t>C253720</t>
  </si>
  <si>
    <t>GT - LS INTL - Saturn - Amortization</t>
  </si>
  <si>
    <t>787773:AFS CLOUD MIGRATIONS</t>
  </si>
  <si>
    <t>C253721</t>
  </si>
  <si>
    <t>GT - LS INTL - AFS Cloud Migrations</t>
  </si>
  <si>
    <t>53985-RTS</t>
  </si>
  <si>
    <t>C350576</t>
  </si>
  <si>
    <t>Housing Ops - RTS</t>
  </si>
  <si>
    <t>53986-GH Voluntary Client Support</t>
  </si>
  <si>
    <t>C350577</t>
  </si>
  <si>
    <t>Housing Ops - GH Voluntary Client Support</t>
  </si>
  <si>
    <t>53987-MFH SPECIALTY CARE QC</t>
  </si>
  <si>
    <t>C350667</t>
  </si>
  <si>
    <t>Housing Ops - MFH Specialty Care QC</t>
  </si>
  <si>
    <t>53988-Customer Care HO3</t>
  </si>
  <si>
    <t>C350578</t>
  </si>
  <si>
    <t>Housing Ops - Customer Care HO3</t>
  </si>
  <si>
    <t>53989-GH MF &amp; Condo Customer Care</t>
  </si>
  <si>
    <t>C350579</t>
  </si>
  <si>
    <t>Housing Ops - GH MF &amp; Condo Customer Care</t>
  </si>
  <si>
    <t>53990-AIA Operations</t>
  </si>
  <si>
    <t>C303050</t>
  </si>
  <si>
    <t>GH - GS - AIA Operations</t>
  </si>
  <si>
    <t>53993-AIA Sales</t>
  </si>
  <si>
    <t>C303051</t>
  </si>
  <si>
    <t>GH - GS - AIA Sales</t>
  </si>
  <si>
    <t>53994-CTS</t>
  </si>
  <si>
    <t>C350580</t>
  </si>
  <si>
    <t>Housing Ops - CTS</t>
  </si>
  <si>
    <t>53995-ITS</t>
  </si>
  <si>
    <t>C350581</t>
  </si>
  <si>
    <t>Housing Ops - ITS</t>
  </si>
  <si>
    <t>53996-SELF SERVICE SET UP COSTS</t>
  </si>
  <si>
    <t>C350668</t>
  </si>
  <si>
    <t>Housing Ops - Self Service Set Up Costs</t>
  </si>
  <si>
    <t>54001-Connected Living AE</t>
  </si>
  <si>
    <t>C515008</t>
  </si>
  <si>
    <t>CL - HRO - Connected Living AE</t>
  </si>
  <si>
    <t>54003-Business Development</t>
  </si>
  <si>
    <t>C515009</t>
  </si>
  <si>
    <t>CL - HRO - Business Development</t>
  </si>
  <si>
    <t>54016-BLUEGRASS</t>
  </si>
  <si>
    <t>C506099</t>
  </si>
  <si>
    <t>CL - Mobile - Bluegrass</t>
  </si>
  <si>
    <t>54025 - Insurance Tracking BPM</t>
  </si>
  <si>
    <t>C350582</t>
  </si>
  <si>
    <t>Housing Ops -  Insurance Tracking BPM</t>
  </si>
  <si>
    <t>54026-GEICO REIMBURSEMENT</t>
  </si>
  <si>
    <t>C350669</t>
  </si>
  <si>
    <t>Housing Ops - GEICO Reimbursement</t>
  </si>
  <si>
    <t>54101-LOB EQUIPMENT INSURANCE</t>
  </si>
  <si>
    <t>C350670</t>
  </si>
  <si>
    <t>Housing Ops - LOB Equipment Insurance</t>
  </si>
  <si>
    <t>54300-RISK AFA</t>
  </si>
  <si>
    <t>C700038</t>
  </si>
  <si>
    <t>Risk AFA</t>
  </si>
  <si>
    <t>54310-RISK AIA</t>
  </si>
  <si>
    <t>C700039</t>
  </si>
  <si>
    <t>Risk AIA</t>
  </si>
  <si>
    <t>54320-Actuarial Data Ops &amp; Tech</t>
  </si>
  <si>
    <t>C010205</t>
  </si>
  <si>
    <t>Actuarial - Data Ops and Technology</t>
  </si>
  <si>
    <t>7047- CD: IT</t>
  </si>
  <si>
    <t>C255000</t>
  </si>
  <si>
    <t>IT INTL - IT</t>
  </si>
  <si>
    <t>10310AG</t>
  </si>
  <si>
    <t>10310AG-IT Application Development Argentina</t>
  </si>
  <si>
    <t>C255001</t>
  </si>
  <si>
    <t>IT INTL - Application Development</t>
  </si>
  <si>
    <t>10312AG</t>
  </si>
  <si>
    <t>10312AG-IT Development Tech Hub</t>
  </si>
  <si>
    <t>C255002</t>
  </si>
  <si>
    <t>IT INTL - Development Tech Hub</t>
  </si>
  <si>
    <t>10311AG</t>
  </si>
  <si>
    <t>10311AG-IT Development Andean ARG</t>
  </si>
  <si>
    <t>C255003</t>
  </si>
  <si>
    <t>IT INTL - IT Development</t>
  </si>
  <si>
    <t>10320AG</t>
  </si>
  <si>
    <t>10320AG-IT INFRASTRUCTURE ARGENTINA</t>
  </si>
  <si>
    <t>C255004</t>
  </si>
  <si>
    <t>IT INTL - Infrastructure</t>
  </si>
  <si>
    <t>10330AG</t>
  </si>
  <si>
    <t>10330AG - IT App Enterprise Data Service</t>
  </si>
  <si>
    <t>C255005</t>
  </si>
  <si>
    <t>IT INTL - App Enterprise Data Service</t>
  </si>
  <si>
    <t>10310CN</t>
  </si>
  <si>
    <t>10310CN-IT and Business Solutions US SUPP</t>
  </si>
  <si>
    <t>C255006</t>
  </si>
  <si>
    <t>IT INTL - US Support</t>
  </si>
  <si>
    <t>L3000</t>
  </si>
  <si>
    <t>Canada Home Office</t>
  </si>
  <si>
    <t>10320CN</t>
  </si>
  <si>
    <t>10320CN-IT TORONTO</t>
  </si>
  <si>
    <t>C255007</t>
  </si>
  <si>
    <t>IT INTL - Toronto</t>
  </si>
  <si>
    <t>10219BZ</t>
  </si>
  <si>
    <t>10219BZ-DIGITAL IT BZ</t>
  </si>
  <si>
    <t>C255008</t>
  </si>
  <si>
    <t>IT INTL - Digital</t>
  </si>
  <si>
    <t>54330-Property Solutions Financial Services</t>
  </si>
  <si>
    <t>CI10171</t>
  </si>
  <si>
    <t>7203-CD  IT Japan</t>
  </si>
  <si>
    <t>C255010</t>
  </si>
  <si>
    <t>IT INTL - CD IT</t>
  </si>
  <si>
    <t>10301UK</t>
  </si>
  <si>
    <t>10301UK-ISD APPLICATIONS UK</t>
  </si>
  <si>
    <t>C255011</t>
  </si>
  <si>
    <t>IT INTL - ISD Applications</t>
  </si>
  <si>
    <t>17947SZ</t>
  </si>
  <si>
    <t>17947SZ-IT INFRASTRUCTURE1</t>
  </si>
  <si>
    <t>C255012</t>
  </si>
  <si>
    <t>IT INTL - Infrastructure 1</t>
  </si>
  <si>
    <t>17948SZ</t>
  </si>
  <si>
    <t>17948SZ-IT INFRASTRUCTURE2</t>
  </si>
  <si>
    <t>C255013</t>
  </si>
  <si>
    <t>IT INTL - Infrastructure 2</t>
  </si>
  <si>
    <t>10312LO</t>
  </si>
  <si>
    <t>10312LO-IT DEVELOPMENT TECH HUB GLOW</t>
  </si>
  <si>
    <t>C255014</t>
  </si>
  <si>
    <t>IT INTL - Development Tech Hub GLOW</t>
  </si>
  <si>
    <t>10629UK</t>
  </si>
  <si>
    <t>10629UK-IT PROJECTS</t>
  </si>
  <si>
    <t>C255050</t>
  </si>
  <si>
    <t>INTL IT - IT Projects</t>
  </si>
  <si>
    <t>17900UK</t>
  </si>
  <si>
    <t>17900UK-IT Production Support</t>
  </si>
  <si>
    <t>C255051</t>
  </si>
  <si>
    <t>INTL IT - Production Support</t>
  </si>
  <si>
    <t>17901UK</t>
  </si>
  <si>
    <t>17901UK-IT Legacy</t>
  </si>
  <si>
    <t>C255052</t>
  </si>
  <si>
    <t>INTL IT - Legacy</t>
  </si>
  <si>
    <t>10313AG</t>
  </si>
  <si>
    <t>10313AG:IT DEV TECH HUB GLOW</t>
  </si>
  <si>
    <t>C255100</t>
  </si>
  <si>
    <t>IT INTL - IT Dev Hub GLOW - Argentina</t>
  </si>
  <si>
    <t>10313BZ</t>
  </si>
  <si>
    <t>10313BZ:IT DEV TECH HUB GLOW</t>
  </si>
  <si>
    <t>C255101</t>
  </si>
  <si>
    <t>IT INTL - IT Dev Hub GLOW - Brazil</t>
  </si>
  <si>
    <t>10313CL</t>
  </si>
  <si>
    <t>10313CL:IT DEV TECH HUB GLOW</t>
  </si>
  <si>
    <t>C255102</t>
  </si>
  <si>
    <t>IT INTL - IT Dev Hub GLOW - Chile</t>
  </si>
  <si>
    <t>10313CO</t>
  </si>
  <si>
    <t>10313CO:IT DEV TECH HUB GLOW</t>
  </si>
  <si>
    <t>C255103</t>
  </si>
  <si>
    <t>IT INTL - IT Dev Hub GLOW - Colombia</t>
  </si>
  <si>
    <t>10313MX</t>
  </si>
  <si>
    <t>10313MX:IT DEV TECH HUB GLOW CARIBBEAN</t>
  </si>
  <si>
    <t>C255104</t>
  </si>
  <si>
    <t>IT INTL - IT Dev Hub GLOW - Mexico</t>
  </si>
  <si>
    <t>10313PE</t>
  </si>
  <si>
    <t>10313PE:IT DEV TECH HUB GLOW</t>
  </si>
  <si>
    <t>C255105</t>
  </si>
  <si>
    <t>IT INTL - IT Dev Hub GLOW - Peru</t>
  </si>
  <si>
    <t>C258998</t>
  </si>
  <si>
    <t>GT - ACH - Wire IT Pass Thru</t>
  </si>
  <si>
    <t>787230-Cheetah</t>
  </si>
  <si>
    <t>C259000</t>
  </si>
  <si>
    <t>GT-Closed-Cheetah</t>
  </si>
  <si>
    <t>C259012</t>
  </si>
  <si>
    <t>GT-Closed-IT Preneed Oracle</t>
  </si>
  <si>
    <t>C259013</t>
  </si>
  <si>
    <t>GT-Closed-IT Telecom - LP</t>
  </si>
  <si>
    <t>C259014</t>
  </si>
  <si>
    <t>GT-Closed-IT Telecom - Flood</t>
  </si>
  <si>
    <t>C259015</t>
  </si>
  <si>
    <t>GT-Closed-IT Telecom - Voluntary</t>
  </si>
  <si>
    <t>C259016</t>
  </si>
  <si>
    <t>GT-Closed-IT Telecom - Global Specialty</t>
  </si>
  <si>
    <t>C259017</t>
  </si>
  <si>
    <t>GT-Closed-IT Telecom - Financial Services</t>
  </si>
  <si>
    <t>C259018</t>
  </si>
  <si>
    <t>GT-Closed-IT Telecom - AMS</t>
  </si>
  <si>
    <t>C259019</t>
  </si>
  <si>
    <t>GT-Closed-IT Telecom - HR and OEM</t>
  </si>
  <si>
    <t>C259020</t>
  </si>
  <si>
    <t>GT-Closed-IT Telecom - VPS</t>
  </si>
  <si>
    <t>C259021</t>
  </si>
  <si>
    <t>GT-Closed-IT Telecom - Eckoh</t>
  </si>
  <si>
    <t>C259022</t>
  </si>
  <si>
    <t>GT-Closed-IT Telecom - Inc</t>
  </si>
  <si>
    <t>54333-ALL OTHER HOUSING</t>
  </si>
  <si>
    <t>C305001</t>
  </si>
  <si>
    <t>54334-Global Specialty Finance</t>
  </si>
  <si>
    <t>C010434</t>
  </si>
  <si>
    <t>FPA - Housing  - Global Specialty Finance</t>
  </si>
  <si>
    <t>54871-WCBP STANDARD SINGLE PLATFORM IT</t>
  </si>
  <si>
    <t>C350671</t>
  </si>
  <si>
    <t>Housing Ops - WCBP Standard Single Platform IT</t>
  </si>
  <si>
    <t>C290102</t>
  </si>
  <si>
    <t>GT Chargebacks - Global Specialty</t>
  </si>
  <si>
    <t>C290103</t>
  </si>
  <si>
    <t>GT Chargebacks - GS Property</t>
  </si>
  <si>
    <t>C290200</t>
  </si>
  <si>
    <t>GT Chargebacks - LP Homeowners</t>
  </si>
  <si>
    <t>C290300</t>
  </si>
  <si>
    <t>GT Chargebacks - GS MFH</t>
  </si>
  <si>
    <t>C290301</t>
  </si>
  <si>
    <t>GT Chargebacks -GS Rec Management</t>
  </si>
  <si>
    <t>54878-INTERNATIONAL PROPERTY</t>
  </si>
  <si>
    <t>C303301</t>
  </si>
  <si>
    <t>GH - Intl - International Property</t>
  </si>
  <si>
    <t>C290501</t>
  </si>
  <si>
    <t>GT Chargebacks - TWG US Auto</t>
  </si>
  <si>
    <t>C290600</t>
  </si>
  <si>
    <t>GT Chargebacks - DFS</t>
  </si>
  <si>
    <t>C290700</t>
  </si>
  <si>
    <t>GT Chargebacks - HRO</t>
  </si>
  <si>
    <t>C290701</t>
  </si>
  <si>
    <t>GT Chargebacks - Connected Home</t>
  </si>
  <si>
    <t>C290702</t>
  </si>
  <si>
    <t>GT Chargebacks - TWG US ESC</t>
  </si>
  <si>
    <t>54880-WCBP Standard Single Platform</t>
  </si>
  <si>
    <t>C350583</t>
  </si>
  <si>
    <t>Housing Ops - WCBP Standard Single Platform</t>
  </si>
  <si>
    <t xml:space="preserve"> GT CHARGEBACKS INTL (Location will define Country)</t>
  </si>
  <si>
    <t>C290899</t>
  </si>
  <si>
    <t>GT Chargebacks - International</t>
  </si>
  <si>
    <t>C290900</t>
  </si>
  <si>
    <t>GT Chargebacks - AMS Cwork Repair and Logistics</t>
  </si>
  <si>
    <t>C290901</t>
  </si>
  <si>
    <t>GT Chargebacks -  AMS General Mobile</t>
  </si>
  <si>
    <t>C290902</t>
  </si>
  <si>
    <t>GT Chargebacks - Texas R&amp;L</t>
  </si>
  <si>
    <t>C290903</t>
  </si>
  <si>
    <t>GT Chargebacks - Mobile Claim Ops</t>
  </si>
  <si>
    <t>C290904</t>
  </si>
  <si>
    <t>GT Chargebacks - PG &amp; PTS</t>
  </si>
  <si>
    <t>C290905</t>
  </si>
  <si>
    <t>GT Chargebacks - TWG US Mobile</t>
  </si>
  <si>
    <t>54886-WCBP ALIGNMENT AND EXECUTION</t>
  </si>
  <si>
    <t>CI35646</t>
  </si>
  <si>
    <t>Housing Ops - Wcbp Alignment And Execution</t>
  </si>
  <si>
    <t>C291000</t>
  </si>
  <si>
    <t>GT Chargebacks - Vol</t>
  </si>
  <si>
    <t>54887-ORGANIZATION OPTIMIZATION</t>
  </si>
  <si>
    <t>CI35647</t>
  </si>
  <si>
    <t>Housing Ops - Organization Optimization</t>
  </si>
  <si>
    <t>54890-WCBP BUSINESS ANALYST RESOURCES</t>
  </si>
  <si>
    <t>C350672</t>
  </si>
  <si>
    <t>Housing Ops - WCBP Business Analyst Resources</t>
  </si>
  <si>
    <t>54891-PROJECT NIRVANA</t>
  </si>
  <si>
    <t>C090032</t>
  </si>
  <si>
    <t>Project NIRVANA</t>
  </si>
  <si>
    <t>54894-PROJECT ARROW</t>
  </si>
  <si>
    <t>C090014</t>
  </si>
  <si>
    <t>Project Arrow</t>
  </si>
  <si>
    <t>7232ALO</t>
  </si>
  <si>
    <t>7232ALO:SALES COLOMBIA ALLOCATIONS</t>
  </si>
  <si>
    <t>C292005</t>
  </si>
  <si>
    <t>Allocations - Sales - Colombia</t>
  </si>
  <si>
    <t>7234ALO</t>
  </si>
  <si>
    <t>7234ALO:OPERACIONES COLOMBIA ALLOCATIONS</t>
  </si>
  <si>
    <t>C292006</t>
  </si>
  <si>
    <t>Allocations - Operaciones - Colombia</t>
  </si>
  <si>
    <t>46269-Global Home Administration</t>
  </si>
  <si>
    <t>C300000</t>
  </si>
  <si>
    <t>Global Housing - Executive</t>
  </si>
  <si>
    <t>93241-Sales Executive</t>
  </si>
  <si>
    <t>C300005</t>
  </si>
  <si>
    <t>Global Housing - Sales Executive</t>
  </si>
  <si>
    <t>93242-Specialty Sales</t>
  </si>
  <si>
    <t>C300010</t>
  </si>
  <si>
    <t>Global Housing - Specialty Sales</t>
  </si>
  <si>
    <t>93243-MFH Sales</t>
  </si>
  <si>
    <t>C300011</t>
  </si>
  <si>
    <t>Global Housing - MFH Sales</t>
  </si>
  <si>
    <t>14100-BUSINESS ANALYTICS</t>
  </si>
  <si>
    <t>C300012</t>
  </si>
  <si>
    <t>Global Housing - Business Analytics</t>
  </si>
  <si>
    <t>12000-ATLANTA EXECUTIVE</t>
  </si>
  <si>
    <t>C300014</t>
  </si>
  <si>
    <t>Global Housing - Atlanta Executive</t>
  </si>
  <si>
    <t>46210-LS Executive</t>
  </si>
  <si>
    <t>C301000</t>
  </si>
  <si>
    <t>GH - LS - Executive</t>
  </si>
  <si>
    <t>46206-GH Client Svcs</t>
  </si>
  <si>
    <t>C301001</t>
  </si>
  <si>
    <t>GH - LS - Client Svcs</t>
  </si>
  <si>
    <t>54901:OPS TRANSFORMATION</t>
  </si>
  <si>
    <t>C350684</t>
  </si>
  <si>
    <t>Housing Ops - Operations Transformation</t>
  </si>
  <si>
    <t>42634-HO3 &amp; Condo</t>
  </si>
  <si>
    <t>C301003</t>
  </si>
  <si>
    <t>GH - LS - HO3 &amp; Condo</t>
  </si>
  <si>
    <t>42638-LS Product Management</t>
  </si>
  <si>
    <t>C301004</t>
  </si>
  <si>
    <t>GH - LS - Product Management</t>
  </si>
  <si>
    <t>72764-LS Sales</t>
  </si>
  <si>
    <t>C301005</t>
  </si>
  <si>
    <t>GH - LS - Sales</t>
  </si>
  <si>
    <t>56000-FS Growth</t>
  </si>
  <si>
    <t>C303100</t>
  </si>
  <si>
    <t>GH - Flood Sales - Growth</t>
  </si>
  <si>
    <t>46213-Industry Relations</t>
  </si>
  <si>
    <t>C301007</t>
  </si>
  <si>
    <t>GH - LS - Industry Relations</t>
  </si>
  <si>
    <t>46216-GH Strategic Account Management</t>
  </si>
  <si>
    <t>C301008</t>
  </si>
  <si>
    <t>GH - LS - Strategic Account Management</t>
  </si>
  <si>
    <t>46290-LS Growth Initiatives</t>
  </si>
  <si>
    <t>C301009</t>
  </si>
  <si>
    <t>GH - LS - Growth Initiatives</t>
  </si>
  <si>
    <t>46202-LS MEETINGS AND PROMOTIONS</t>
  </si>
  <si>
    <t>C301110</t>
  </si>
  <si>
    <t>GH - LS - Meetings and Promotions</t>
  </si>
  <si>
    <t>46214-LS EXCEPTIONS EXPENSE</t>
  </si>
  <si>
    <t>C301111</t>
  </si>
  <si>
    <t>GH - LS - Exceptions Expense</t>
  </si>
  <si>
    <t>46217-LS EXPENSE MISC</t>
  </si>
  <si>
    <t>C301112</t>
  </si>
  <si>
    <t>GH - LS - Miscellaneous Expense</t>
  </si>
  <si>
    <t>46218-PRODUCT DIGITAL VISION</t>
  </si>
  <si>
    <t>C301113</t>
  </si>
  <si>
    <t>GH - LS - Product Digital Vision</t>
  </si>
  <si>
    <t>72763-LS THIRD PARTY SVCS</t>
  </si>
  <si>
    <t>C301114</t>
  </si>
  <si>
    <t>GH - LS - Third Party Services</t>
  </si>
  <si>
    <t>72766-AGM STRATEGIC INVESTMENT</t>
  </si>
  <si>
    <t>C301115</t>
  </si>
  <si>
    <t>GH - LS - AGM Strategic Investment</t>
  </si>
  <si>
    <t>72773-LS MARKETING TEAM</t>
  </si>
  <si>
    <t>C301116</t>
  </si>
  <si>
    <t>GH - LS - Marketing Team</t>
  </si>
  <si>
    <t>72810-LS SPONSORSHIPS</t>
  </si>
  <si>
    <t>C301117</t>
  </si>
  <si>
    <t>GH - LS - Sponsorships</t>
  </si>
  <si>
    <t>93300-LENDING SOLUTIONS</t>
  </si>
  <si>
    <t>C301118</t>
  </si>
  <si>
    <t>GH - LS - Lending Solutions</t>
  </si>
  <si>
    <t>93309-LITIGATION EXPENSE LS</t>
  </si>
  <si>
    <t>C301800</t>
  </si>
  <si>
    <t>GH - LS - Litigation - Expenses</t>
  </si>
  <si>
    <t>93319-LS LITIGATION RESERVES</t>
  </si>
  <si>
    <t>C301801</t>
  </si>
  <si>
    <t>GH - LS - Litigation - Reserves</t>
  </si>
  <si>
    <t>93380-LS INTANGIBLES AMORTIZATION</t>
  </si>
  <si>
    <t>C301999</t>
  </si>
  <si>
    <t>GH - LS - Intangibles Amortization</t>
  </si>
  <si>
    <t>93240-MFH Executive</t>
  </si>
  <si>
    <t>C302000</t>
  </si>
  <si>
    <t>GH - MFH - Executive</t>
  </si>
  <si>
    <t>93206-MFH Administration</t>
  </si>
  <si>
    <t>C302001</t>
  </si>
  <si>
    <t>GH - MFH - Administration</t>
  </si>
  <si>
    <t>56100-Flood Sales</t>
  </si>
  <si>
    <t>C303104</t>
  </si>
  <si>
    <t>GH - Flood Sales</t>
  </si>
  <si>
    <t>93270 - Platform Modernization - Bus</t>
  </si>
  <si>
    <t>C302050</t>
  </si>
  <si>
    <t>GH - MFH - Platform Modernization</t>
  </si>
  <si>
    <t>93220-ARS Collection Operations</t>
  </si>
  <si>
    <t>C302100</t>
  </si>
  <si>
    <t>GH - MFH - ARS Collection Operations</t>
  </si>
  <si>
    <t>93221-ARS Compliance</t>
  </si>
  <si>
    <t>C302101</t>
  </si>
  <si>
    <t>GH - MFH - ARS Compliance</t>
  </si>
  <si>
    <t>93222-ARS Client Services</t>
  </si>
  <si>
    <t>C302102</t>
  </si>
  <si>
    <t>GH  - MFH -ARS Client Services</t>
  </si>
  <si>
    <t>93227-ARS Legal</t>
  </si>
  <si>
    <t>C302103</t>
  </si>
  <si>
    <t>GH - MFH - ARS Legal</t>
  </si>
  <si>
    <t>93231-ARS Administration Operations</t>
  </si>
  <si>
    <t>C302104</t>
  </si>
  <si>
    <t>GH - MFH - ARS Administration Operations</t>
  </si>
  <si>
    <t>93223-ARS EXECUTIVE</t>
  </si>
  <si>
    <t>C302105</t>
  </si>
  <si>
    <t>GH - MFH - ARS Executive</t>
  </si>
  <si>
    <t>56101-FS North Acct Management</t>
  </si>
  <si>
    <t>C303101</t>
  </si>
  <si>
    <t>GH - Flood Sales - North Acct Management</t>
  </si>
  <si>
    <t>93244-MFH EXPENSES</t>
  </si>
  <si>
    <t>C302107</t>
  </si>
  <si>
    <t>GH - MFH - Expenses</t>
  </si>
  <si>
    <t>93271-MFH PRODUCT INVESTMENTS</t>
  </si>
  <si>
    <t>C302108</t>
  </si>
  <si>
    <t>GH - MFH - Product Investments</t>
  </si>
  <si>
    <t>93232-ARS DEFENSE</t>
  </si>
  <si>
    <t>C302109</t>
  </si>
  <si>
    <t>GH - MFH - ARS Defense</t>
  </si>
  <si>
    <t>46203-Choice Product Management</t>
  </si>
  <si>
    <t>C303000</t>
  </si>
  <si>
    <t>GH - GS - Choice Product Management</t>
  </si>
  <si>
    <t>46204-Choice Ops And Underwriting</t>
  </si>
  <si>
    <t>C303001</t>
  </si>
  <si>
    <t>GH - GS - Choice Ops And Underwriting</t>
  </si>
  <si>
    <t>56102-FS South Acct Management</t>
  </si>
  <si>
    <t>C303102</t>
  </si>
  <si>
    <t>GH - Flood Sales - South Acct Management</t>
  </si>
  <si>
    <t>72793-Homeowners HO3 Program</t>
  </si>
  <si>
    <t>C303007</t>
  </si>
  <si>
    <t>GH - GS - Homeowners HO3 Program</t>
  </si>
  <si>
    <t>93200-Global Specialty Sales And Marketing</t>
  </si>
  <si>
    <t>C303008</t>
  </si>
  <si>
    <t>GH - GS - Sales And Marketing</t>
  </si>
  <si>
    <t>93202-Global Specialty Property</t>
  </si>
  <si>
    <t>C303009</t>
  </si>
  <si>
    <t>GH - GS - Global Specialty Property</t>
  </si>
  <si>
    <t>56103-FS National Acct Management</t>
  </si>
  <si>
    <t>C303103</t>
  </si>
  <si>
    <t>GH - Flood Sales - National Acct Management</t>
  </si>
  <si>
    <t>56200-FS Operations</t>
  </si>
  <si>
    <t>C350584</t>
  </si>
  <si>
    <t>Housing Ops - FS Operations</t>
  </si>
  <si>
    <t>56201-SCOTTSDALE FACILITY</t>
  </si>
  <si>
    <t>C500305</t>
  </si>
  <si>
    <t>Scottsdale Facility</t>
  </si>
  <si>
    <t>93201-SHARING ECONOMY DIRECT EXPENSES</t>
  </si>
  <si>
    <t>C303053</t>
  </si>
  <si>
    <t>GH - GS - Sharing Economy Direct Expenses</t>
  </si>
  <si>
    <t>93212-GS EXPENSES</t>
  </si>
  <si>
    <t>C303054</t>
  </si>
  <si>
    <t>GH - GS - Expenses</t>
  </si>
  <si>
    <t>56500-NFIP Flood</t>
  </si>
  <si>
    <t>C303150</t>
  </si>
  <si>
    <t>GH - NFIP Flood</t>
  </si>
  <si>
    <t>46237-DEPOP EXPENSES</t>
  </si>
  <si>
    <t>C303056</t>
  </si>
  <si>
    <t>GH - GS - DEPOP Expenses</t>
  </si>
  <si>
    <t>93209-LITIGATION EXPENSE PS</t>
  </si>
  <si>
    <t>C303080</t>
  </si>
  <si>
    <t>GH - GS - Litigation</t>
  </si>
  <si>
    <t>30001CN-PROPERTY BUSINESS CANADA</t>
  </si>
  <si>
    <t>C303090</t>
  </si>
  <si>
    <t>GH - GS - Intl - Property Business Canada</t>
  </si>
  <si>
    <t>56501-NFIP NATIONWIDE</t>
  </si>
  <si>
    <t>C303151</t>
  </si>
  <si>
    <t>GH - NFIP Nationwide</t>
  </si>
  <si>
    <t>56502-PF Residential</t>
  </si>
  <si>
    <t>C303200</t>
  </si>
  <si>
    <t>GH - GS - PF Residential</t>
  </si>
  <si>
    <t>56505-PF RCBAP</t>
  </si>
  <si>
    <t>C303201</t>
  </si>
  <si>
    <t>GH - GS - PF RCBAP</t>
  </si>
  <si>
    <t>56506-PF COMMERCIAL</t>
  </si>
  <si>
    <t>C303160</t>
  </si>
  <si>
    <t>GH - GS - PF - Commercial</t>
  </si>
  <si>
    <t>56509-PROJECT MICROWAVE INTEGRATION</t>
  </si>
  <si>
    <t>C090015</t>
  </si>
  <si>
    <t>Project Microwave Integration</t>
  </si>
  <si>
    <t>56510-Flood Customer Care</t>
  </si>
  <si>
    <t>C350585</t>
  </si>
  <si>
    <t>Housing Ops - Flood Customer Care</t>
  </si>
  <si>
    <t>57101-LAKESIDE BUILDING</t>
  </si>
  <si>
    <t>C500300</t>
  </si>
  <si>
    <t>Laekside Building</t>
  </si>
  <si>
    <t>57313-Business And Strategy Dev Latam</t>
  </si>
  <si>
    <t>C200650</t>
  </si>
  <si>
    <t>Business and Strategy Development LATAM</t>
  </si>
  <si>
    <t>60005-Mobile Repair And Logistics Wayne</t>
  </si>
  <si>
    <t>C253711</t>
  </si>
  <si>
    <t>GT-LS INTL-Mobile Repair And Logistics Wayne</t>
  </si>
  <si>
    <t>46291-ASP INTERNATIONAL</t>
  </si>
  <si>
    <t>C303300</t>
  </si>
  <si>
    <t>GH - Intl - ASP International</t>
  </si>
  <si>
    <t>72125-DUL SMBR</t>
  </si>
  <si>
    <t>C350674</t>
  </si>
  <si>
    <t>Housing Ops - Duluth SMBR</t>
  </si>
  <si>
    <t>72250 - Reporting Admin</t>
  </si>
  <si>
    <t>C350591</t>
  </si>
  <si>
    <t>Housing Ops -  Reporting Admin</t>
  </si>
  <si>
    <t>72251 - Flood Admin</t>
  </si>
  <si>
    <t>C350592</t>
  </si>
  <si>
    <t>Housing Ops -  Flood Admin</t>
  </si>
  <si>
    <t>72375-FLO LD CUSTOMER CARE</t>
  </si>
  <si>
    <t>C350675</t>
  </si>
  <si>
    <t>Housing Ops - FLO LD Customer Care</t>
  </si>
  <si>
    <t>72425-PROCESSING QUALITY REVIEW</t>
  </si>
  <si>
    <t>CI35544</t>
  </si>
  <si>
    <t>Housing Ops - Hazard Processing Administration 72425</t>
  </si>
  <si>
    <t>22362-APA ADMINISTRATION</t>
  </si>
  <si>
    <t>C309002</t>
  </si>
  <si>
    <t>GH - Runoff Products - APA Administration</t>
  </si>
  <si>
    <t>72551 - Virtual Inspections</t>
  </si>
  <si>
    <t>C350604</t>
  </si>
  <si>
    <t>Housing Ops - Virtual Inspections</t>
  </si>
  <si>
    <t>46230-TITLE EO REINSURANCE ACTIVITY</t>
  </si>
  <si>
    <t>C309004</t>
  </si>
  <si>
    <t>GH - Runoff Products - Title EO Reinsurance Activity</t>
  </si>
  <si>
    <t>72552-Loss Drafts Business Process</t>
  </si>
  <si>
    <t>C350605</t>
  </si>
  <si>
    <t>Housing Ops - Loss Drafts Business Process</t>
  </si>
  <si>
    <t>72775-LS Underwriting</t>
  </si>
  <si>
    <t>C301002</t>
  </si>
  <si>
    <t>GH - LS - Underwriting</t>
  </si>
  <si>
    <t>46266-AFAS PROPERTY PRESERVATION</t>
  </si>
  <si>
    <t>C309007</t>
  </si>
  <si>
    <t>GH - Runoff Products - AFAS Property Preservation</t>
  </si>
  <si>
    <t>46317-MTG SOL LEGACY LITIGATION</t>
  </si>
  <si>
    <t>C309008</t>
  </si>
  <si>
    <t>GH - Runoff Products - Mtg Sol Legacy Litication</t>
  </si>
  <si>
    <t>11119-Special Investigations Unit</t>
  </si>
  <si>
    <t>C350100</t>
  </si>
  <si>
    <t>Housing Claims - Special Investigations Unit</t>
  </si>
  <si>
    <t>72825-SMARTFLOW CTQ MONITORING</t>
  </si>
  <si>
    <t>CI35608</t>
  </si>
  <si>
    <t>Housing Ops - Smartflow Business Analysts 72825</t>
  </si>
  <si>
    <t>72852-DTE Rules And Workflow</t>
  </si>
  <si>
    <t>C350611</t>
  </si>
  <si>
    <t>Housing Ops - DTE Rules And Workflow</t>
  </si>
  <si>
    <t>72995-LD Processing Resolution Team</t>
  </si>
  <si>
    <t>C350635</t>
  </si>
  <si>
    <t>Housing Ops - LD Processing Resolution Team</t>
  </si>
  <si>
    <t>22361-Audit And Compliance</t>
  </si>
  <si>
    <t>C350106</t>
  </si>
  <si>
    <t>Housing Claims - Audit And Compliance</t>
  </si>
  <si>
    <t>85711 - Customer Insights &amp; Process Optim</t>
  </si>
  <si>
    <t>C350640</t>
  </si>
  <si>
    <t>Housing Ops -  Customer Insights &amp; Process Optim</t>
  </si>
  <si>
    <t>93005-SPECIALTY OTHER</t>
  </si>
  <si>
    <t>C300013</t>
  </si>
  <si>
    <t>Global Housing - Specialty Other</t>
  </si>
  <si>
    <t>93015-HR CHGBK HSG</t>
  </si>
  <si>
    <t>C700025</t>
  </si>
  <si>
    <t>Hr Chgbk Hsg</t>
  </si>
  <si>
    <t>93025-MKT COMM BUSN SVC CHGBK HSG</t>
  </si>
  <si>
    <t>C700028</t>
  </si>
  <si>
    <t>Mkt Comm Busn Svc Chgbk Hsg</t>
  </si>
  <si>
    <t>93035-DATA ANALYTICS CHGBK HSG</t>
  </si>
  <si>
    <t>C700030</t>
  </si>
  <si>
    <t>Data Analytics Chgbk Hsg</t>
  </si>
  <si>
    <t>93225-BOTHELL SEATTLE FACILITY</t>
  </si>
  <si>
    <t>C302106</t>
  </si>
  <si>
    <t>GH - MFH - ARS Bothell Seattle Facility</t>
  </si>
  <si>
    <t>93250-Shipsurance Sales And Marketing</t>
  </si>
  <si>
    <t>C515100</t>
  </si>
  <si>
    <t>CL - HRO - Shipsurance Sales And Marketing</t>
  </si>
  <si>
    <t>93251-Shipsurance Claims Adjusters</t>
  </si>
  <si>
    <t>C515101</t>
  </si>
  <si>
    <t>CL - HRO - Shipsurance Claims Adjusters</t>
  </si>
  <si>
    <t>93500-EXTENDED PROTECTION SOLUTIONS</t>
  </si>
  <si>
    <t>C515030</t>
  </si>
  <si>
    <t>CL - HRO - Extended Protection Solutions</t>
  </si>
  <si>
    <t>93501-EBAY</t>
  </si>
  <si>
    <t>C515031</t>
  </si>
  <si>
    <t>CL - HRO - EBAY</t>
  </si>
  <si>
    <t>11117-Document Solutions</t>
  </si>
  <si>
    <t>C350500</t>
  </si>
  <si>
    <t>Housing Ops - Document Solutions</t>
  </si>
  <si>
    <t>93509-LITIGATION EXPENSE EPS</t>
  </si>
  <si>
    <t>C515900</t>
  </si>
  <si>
    <t>HRO Litigation</t>
  </si>
  <si>
    <t>101250-INTRL Prod Support</t>
  </si>
  <si>
    <t>C253602</t>
  </si>
  <si>
    <t>GT-LS INTL-Intrl Prod Support</t>
  </si>
  <si>
    <t>42401-GH Workforce Planning</t>
  </si>
  <si>
    <t>C350503</t>
  </si>
  <si>
    <t>Housing Ops - GH Workforce Planning</t>
  </si>
  <si>
    <t>42403-Springfield Condo Database</t>
  </si>
  <si>
    <t>C350504</t>
  </si>
  <si>
    <t>Housing Ops - Springfield Condo Database</t>
  </si>
  <si>
    <t>102150-Digital Client Solutions</t>
  </si>
  <si>
    <t>C251102</t>
  </si>
  <si>
    <t>GT-Digital-Client Solutions</t>
  </si>
  <si>
    <t>42421-LPI Administration</t>
  </si>
  <si>
    <t>C350506</t>
  </si>
  <si>
    <t>Housing Ops - LPI Administration</t>
  </si>
  <si>
    <t>102151 - Digital Delivery Global Home Sites</t>
  </si>
  <si>
    <t>C251008</t>
  </si>
  <si>
    <t>GT-Digital-Digital Delivery Global Home Sites</t>
  </si>
  <si>
    <t>42446 -LPHO Flood Tech Ops</t>
  </si>
  <si>
    <t>C350508</t>
  </si>
  <si>
    <t>Housing Ops - LPHO Flood Tech Ops</t>
  </si>
  <si>
    <t>102152 - Digital Delivery Global Lifestyle and Intl</t>
  </si>
  <si>
    <t>C251011</t>
  </si>
  <si>
    <t>GT-Digital-Digital Dlv Gbl Lifestyle And Int</t>
  </si>
  <si>
    <t>102153 - Digital Delivery Global Self Service Domestic</t>
  </si>
  <si>
    <t>C251012</t>
  </si>
  <si>
    <t>GT-Digital-Digital Dlv Gbl Self Serv Domestic</t>
  </si>
  <si>
    <t>42460-Escrow Analysis</t>
  </si>
  <si>
    <t>C350511</t>
  </si>
  <si>
    <t>Housing Ops - Escrow Analysis</t>
  </si>
  <si>
    <t>42471-QA Transactional</t>
  </si>
  <si>
    <t>C350512</t>
  </si>
  <si>
    <t>Housing Ops - QA Transactional</t>
  </si>
  <si>
    <t>42473-Open Items</t>
  </si>
  <si>
    <t>C350513</t>
  </si>
  <si>
    <t>Housing Ops - Open Items</t>
  </si>
  <si>
    <t>42474-Springfield Mail Services</t>
  </si>
  <si>
    <t>C350514</t>
  </si>
  <si>
    <t>Housing Ops - Springfield Mail Services</t>
  </si>
  <si>
    <t>102154 - Digital Delivery Run and Migrations</t>
  </si>
  <si>
    <t>C251010</t>
  </si>
  <si>
    <t>GT-Digital-Digital Delivery Run And Migrations</t>
  </si>
  <si>
    <t>42476-EDI Processing</t>
  </si>
  <si>
    <t>C350516</t>
  </si>
  <si>
    <t>Housing Ops - EDI Processing</t>
  </si>
  <si>
    <t>42491-Springfield LD Mail Services</t>
  </si>
  <si>
    <t>C350517</t>
  </si>
  <si>
    <t>Housing Ops - Springfield LD Mail Services</t>
  </si>
  <si>
    <t>42498-Chat</t>
  </si>
  <si>
    <t>C350518</t>
  </si>
  <si>
    <t>Housing Ops - Chat</t>
  </si>
  <si>
    <t>102155 - Digital Global Housing Solutions</t>
  </si>
  <si>
    <t>C251001</t>
  </si>
  <si>
    <t>GT-Digital-Digital  Global Housing Solutions</t>
  </si>
  <si>
    <t>102156-Digital Delivery Fin Svcs</t>
  </si>
  <si>
    <t>C251007</t>
  </si>
  <si>
    <t>GT-Digital-Digital Delivery Financial Services</t>
  </si>
  <si>
    <t>104005-PM ENT APPS IT GLB COROP FUNCTIONS SUPPL</t>
  </si>
  <si>
    <t>C250600</t>
  </si>
  <si>
    <t>GT-Strat Tran Gov-PM Ent Apps It Glb Corp Functions Supply Chain Bk Office</t>
  </si>
  <si>
    <t>104035-FIT Technology Wellness</t>
  </si>
  <si>
    <t>C250008</t>
  </si>
  <si>
    <t>GT - CTO - FIT Technology Wellness</t>
  </si>
  <si>
    <t>104205 -CL Product Disposition</t>
  </si>
  <si>
    <t>C253202</t>
  </si>
  <si>
    <t>GT-LS INTL-CL Product Disposition</t>
  </si>
  <si>
    <t>104305-Assurant Labs TPOS</t>
  </si>
  <si>
    <t>C250052</t>
  </si>
  <si>
    <t>GT - CTO - Assurant Labs - TPOS</t>
  </si>
  <si>
    <t>110015-OPERATIONS  MANAGEMENT FEE</t>
  </si>
  <si>
    <t>C701006</t>
  </si>
  <si>
    <t>Management Fee - Operations</t>
  </si>
  <si>
    <t>111305:GCS IR  SUS CORP AG</t>
  </si>
  <si>
    <t>C055006</t>
  </si>
  <si>
    <t>GCS - Arg - IR Sus Corp</t>
  </si>
  <si>
    <t>111315:GCS IR  SUS CORP INDIA</t>
  </si>
  <si>
    <t>C056006</t>
  </si>
  <si>
    <t>GCS - India - IR Sus Corp</t>
  </si>
  <si>
    <t>113005-PROJECT TEMPEST</t>
  </si>
  <si>
    <t>C090035</t>
  </si>
  <si>
    <t>Project Tempest</t>
  </si>
  <si>
    <t>113015-SKI TRIP</t>
  </si>
  <si>
    <t>C200127</t>
  </si>
  <si>
    <t>Admin Service - Ski Trip</t>
  </si>
  <si>
    <t>42616 - Client Access</t>
  </si>
  <si>
    <t>C350530</t>
  </si>
  <si>
    <t>Housing Ops -  Client Access</t>
  </si>
  <si>
    <t>42618-Springfield Processing Administration</t>
  </si>
  <si>
    <t>C350531</t>
  </si>
  <si>
    <t>Housing Ops - Springfield Processing Administration</t>
  </si>
  <si>
    <t>42621-Insurance Line Setup</t>
  </si>
  <si>
    <t>C350532</t>
  </si>
  <si>
    <t>Housing Ops - Insurance Line Setup</t>
  </si>
  <si>
    <t>42623-Springfield Processing</t>
  </si>
  <si>
    <t>C350533</t>
  </si>
  <si>
    <t>Housing Ops - Springfield Processing</t>
  </si>
  <si>
    <t>42626 - Research Admin</t>
  </si>
  <si>
    <t>C350534</t>
  </si>
  <si>
    <t>Housing Ops -  Research Admin</t>
  </si>
  <si>
    <t>42628-Loss Drafts Admin</t>
  </si>
  <si>
    <t>C350535</t>
  </si>
  <si>
    <t>Housing Ops - Loss Drafts Admin</t>
  </si>
  <si>
    <t>42631-LD Processing</t>
  </si>
  <si>
    <t>C350536</t>
  </si>
  <si>
    <t>Housing Ops - LD Processing</t>
  </si>
  <si>
    <t>42637-CC IT Customer Solutions</t>
  </si>
  <si>
    <t>C350537</t>
  </si>
  <si>
    <t>Housing Ops - CC IT Customer Solutions</t>
  </si>
  <si>
    <t>42642-Customer &amp; Employee Success</t>
  </si>
  <si>
    <t>C350538</t>
  </si>
  <si>
    <t>Housing Ops - Customer &amp; Employee Success</t>
  </si>
  <si>
    <t>42644-Performance Engineering</t>
  </si>
  <si>
    <t>C350539</t>
  </si>
  <si>
    <t>Housing Ops - Performance Engineering</t>
  </si>
  <si>
    <t>C200201</t>
  </si>
  <si>
    <t>Global Sourcing - Procurement Outsourcing</t>
  </si>
  <si>
    <t>42646-Shared Services Administration</t>
  </si>
  <si>
    <t>C350541</t>
  </si>
  <si>
    <t>Housing Ops - Shared Services Administration</t>
  </si>
  <si>
    <t>42647-Hazard Processing Administration</t>
  </si>
  <si>
    <t>C350542</t>
  </si>
  <si>
    <t>Housing Ops - Hazard Processing Administration</t>
  </si>
  <si>
    <t>42648-LD Processing</t>
  </si>
  <si>
    <t>C350543</t>
  </si>
  <si>
    <t>113045-Administrative Services Mgmt</t>
  </si>
  <si>
    <t>C200101</t>
  </si>
  <si>
    <t>Admin Services - Management</t>
  </si>
  <si>
    <t>C010123</t>
  </si>
  <si>
    <t>Global Accounting - AFS One Time</t>
  </si>
  <si>
    <t>113052-A&amp;FS Operations</t>
  </si>
  <si>
    <t>C010124</t>
  </si>
  <si>
    <t>Global Accounting - AFS Operations</t>
  </si>
  <si>
    <t>113053-A&amp;FS Cash Applications</t>
  </si>
  <si>
    <t>C010122</t>
  </si>
  <si>
    <t>Global Accounting - AFS Cash App</t>
  </si>
  <si>
    <t>113054-A&amp;FS Recon CoE</t>
  </si>
  <si>
    <t>C010127</t>
  </si>
  <si>
    <t>Global Accounting - AFS Recon COE</t>
  </si>
  <si>
    <t>42660-CTS Customer Care</t>
  </si>
  <si>
    <t>C350549</t>
  </si>
  <si>
    <t>Housing Ops - CTS Customer Care</t>
  </si>
  <si>
    <t>42661-ITS Customer Care</t>
  </si>
  <si>
    <t>C350550</t>
  </si>
  <si>
    <t>Housing Ops - ITS Customer Care</t>
  </si>
  <si>
    <t>42662-GH Tracking Care Admin</t>
  </si>
  <si>
    <t>C350551</t>
  </si>
  <si>
    <t>Housing Ops - GH Tracking Care Admin</t>
  </si>
  <si>
    <t>42663-CC Reporting</t>
  </si>
  <si>
    <t>C350552</t>
  </si>
  <si>
    <t>Housing Ops - CC Reporting</t>
  </si>
  <si>
    <t>42791 - SSP Analytics</t>
  </si>
  <si>
    <t>C350553</t>
  </si>
  <si>
    <t>Housing Ops -  SSP Analytics</t>
  </si>
  <si>
    <t>43000-COE Analytics</t>
  </si>
  <si>
    <t>C350554</t>
  </si>
  <si>
    <t>Housing Ops - COE Analytics</t>
  </si>
  <si>
    <t>113055-Statutory Reporting</t>
  </si>
  <si>
    <t>C010115</t>
  </si>
  <si>
    <t>Global Accounting - Statutory Reporting</t>
  </si>
  <si>
    <t>C010126</t>
  </si>
  <si>
    <t>Global Accounting - AFS Outsourcing</t>
  </si>
  <si>
    <t>46211-GH Multilines Processing</t>
  </si>
  <si>
    <t>C350557</t>
  </si>
  <si>
    <t>Housing Ops - GH Multilines Processing</t>
  </si>
  <si>
    <t>46340 - Focused Care Team</t>
  </si>
  <si>
    <t>C350558</t>
  </si>
  <si>
    <t>Housing Ops -  Focused Care Team</t>
  </si>
  <si>
    <t>113057-Payroll Services</t>
  </si>
  <si>
    <t>C200545</t>
  </si>
  <si>
    <t>Human Resources - Payroll Services</t>
  </si>
  <si>
    <t>C010125</t>
  </si>
  <si>
    <t>Global Accounting - AFS Rebates</t>
  </si>
  <si>
    <t>113215 - General Accounting</t>
  </si>
  <si>
    <t>C010150</t>
  </si>
  <si>
    <t>Global Accounting - General Accounting</t>
  </si>
  <si>
    <t>113250-Legal</t>
  </si>
  <si>
    <t>C020202</t>
  </si>
  <si>
    <t>Legal</t>
  </si>
  <si>
    <t>113255-IP and Procurement Legal</t>
  </si>
  <si>
    <t>C020205</t>
  </si>
  <si>
    <t>Legal - IP and Procurement</t>
  </si>
  <si>
    <t>113285-Corporate Litigation RF</t>
  </si>
  <si>
    <t>C020298</t>
  </si>
  <si>
    <t>Legal - Corporate Litigation RF</t>
  </si>
  <si>
    <t>113295-Legal Operations</t>
  </si>
  <si>
    <t>CI20223</t>
  </si>
  <si>
    <t>Legal 113295</t>
  </si>
  <si>
    <t>113325–BTL RE Restructuring Costs</t>
  </si>
  <si>
    <t>C030905</t>
  </si>
  <si>
    <t>Below the Line – RE Restructuring</t>
  </si>
  <si>
    <t>113500-Chief Operating Officer</t>
  </si>
  <si>
    <t>C030115</t>
  </si>
  <si>
    <t>COO - Office of Chief Operating Officer</t>
  </si>
  <si>
    <t>113510-Operations Transformation</t>
  </si>
  <si>
    <t>C040410</t>
  </si>
  <si>
    <t>Operations - Transformation</t>
  </si>
  <si>
    <t>113520-Transformation COE</t>
  </si>
  <si>
    <t>C043005</t>
  </si>
  <si>
    <t>Strategy - Enterprise Transformation COE</t>
  </si>
  <si>
    <t>113605-LS Risk Mgmt</t>
  </si>
  <si>
    <t>C042025</t>
  </si>
  <si>
    <t>Risk Management - LS</t>
  </si>
  <si>
    <t>113850-Marketing</t>
  </si>
  <si>
    <t>C100901</t>
  </si>
  <si>
    <t>Marketing</t>
  </si>
  <si>
    <t>114005-PBP Enterprise COO</t>
  </si>
  <si>
    <t>C200509</t>
  </si>
  <si>
    <t>Human Resources - People Bus Prtners Enterprise COO</t>
  </si>
  <si>
    <t>114015-Operational Excellence</t>
  </si>
  <si>
    <t>C200561</t>
  </si>
  <si>
    <t>Human Resources - Operational Excellence</t>
  </si>
  <si>
    <t>114045-Learning &amp; Change Solutions</t>
  </si>
  <si>
    <t>C200530</t>
  </si>
  <si>
    <t>Human Resources - Learning and Change Solutions</t>
  </si>
  <si>
    <t>114065-Talent</t>
  </si>
  <si>
    <t>C200520</t>
  </si>
  <si>
    <t>Human Resources - Talent</t>
  </si>
  <si>
    <t>114225-AIZ Compensation</t>
  </si>
  <si>
    <t>C200540</t>
  </si>
  <si>
    <t>Human Resources - Compensation</t>
  </si>
  <si>
    <t>C500522</t>
  </si>
  <si>
    <t>Atlanta Data Center</t>
  </si>
  <si>
    <t>C500519</t>
  </si>
  <si>
    <t>INC NY Corporate Facility</t>
  </si>
  <si>
    <t>115000-IAS Corporate</t>
  </si>
  <si>
    <t>C010301</t>
  </si>
  <si>
    <t>Internal Audit - Corporate</t>
  </si>
  <si>
    <t>115001-IAS General</t>
  </si>
  <si>
    <t>C010310</t>
  </si>
  <si>
    <t>Internal Audit - General</t>
  </si>
  <si>
    <t>115002-IAS</t>
  </si>
  <si>
    <t>C010305</t>
  </si>
  <si>
    <t>Internal Audit</t>
  </si>
  <si>
    <t>C020990</t>
  </si>
  <si>
    <t>Legal - RAS IT</t>
  </si>
  <si>
    <t>69320-Tracking Systems Business Analysts</t>
  </si>
  <si>
    <t>C350586</t>
  </si>
  <si>
    <t>Housing Ops - Tracking Systems Business Analysts</t>
  </si>
  <si>
    <t>72006-QA Processing</t>
  </si>
  <si>
    <t>C350587</t>
  </si>
  <si>
    <t>Housing Ops - QA Processing</t>
  </si>
  <si>
    <t>72018 - Check Recon Financial Transactions</t>
  </si>
  <si>
    <t>C350588</t>
  </si>
  <si>
    <t>Housing Ops -  Check Recon Financial Transactions</t>
  </si>
  <si>
    <t>72020-EDI Carrier Strategy</t>
  </si>
  <si>
    <t>C350589</t>
  </si>
  <si>
    <t>Housing Ops - EDI Carrier Strategy</t>
  </si>
  <si>
    <t>72110-Duluth Mailroom</t>
  </si>
  <si>
    <t>C350590</t>
  </si>
  <si>
    <t>Housing Ops - Duluth Mailroom</t>
  </si>
  <si>
    <t>72374-LD Customer Care</t>
  </si>
  <si>
    <t>C350593</t>
  </si>
  <si>
    <t>Housing Ops - LD Customer Care</t>
  </si>
  <si>
    <t>72376-Spr LD Customer Care</t>
  </si>
  <si>
    <t>C350594</t>
  </si>
  <si>
    <t>Housing Ops - Spr LD Customer Care</t>
  </si>
  <si>
    <t>72377-LD Admin</t>
  </si>
  <si>
    <t>C350595</t>
  </si>
  <si>
    <t>Housing Ops - LD Admin</t>
  </si>
  <si>
    <t>72379-LD Chat</t>
  </si>
  <si>
    <t>C350596</t>
  </si>
  <si>
    <t>Housing Ops - LD Chat</t>
  </si>
  <si>
    <t>72380-LD Resolution</t>
  </si>
  <si>
    <t>C350597</t>
  </si>
  <si>
    <t>Housing Ops - LD Resolution</t>
  </si>
  <si>
    <t>72382 - Process Analysis &amp; Capability</t>
  </si>
  <si>
    <t>C350598</t>
  </si>
  <si>
    <t>Housing Ops -  Process Analysis &amp; Capability</t>
  </si>
  <si>
    <t>72401-Insurance Tracking CC Front Line</t>
  </si>
  <si>
    <t>C350599</t>
  </si>
  <si>
    <t>Housing Ops - Insurance Tracking CC Front Line</t>
  </si>
  <si>
    <t>72403-Duluth Customer Care Administration</t>
  </si>
  <si>
    <t>C350600</t>
  </si>
  <si>
    <t>Housing Ops - Duluth Customer Care Administration</t>
  </si>
  <si>
    <t>72404-Bilingual Customer Care</t>
  </si>
  <si>
    <t>C350601</t>
  </si>
  <si>
    <t>Housing Ops - Bilingual Customer Care</t>
  </si>
  <si>
    <t>72416-Reporting</t>
  </si>
  <si>
    <t>C350602</t>
  </si>
  <si>
    <t>Housing Ops - Reporting</t>
  </si>
  <si>
    <t>72429-LPHO Flood Processing</t>
  </si>
  <si>
    <t>C350603</t>
  </si>
  <si>
    <t>Housing Ops - LPHO Flood Processing</t>
  </si>
  <si>
    <t>C020903</t>
  </si>
  <si>
    <t>Legal - TWG Legal Services</t>
  </si>
  <si>
    <t>118530-CAO</t>
  </si>
  <si>
    <t>72737-Tracking Systems Management</t>
  </si>
  <si>
    <t>C350606</t>
  </si>
  <si>
    <t>Housing Ops - Tracking Systems Management</t>
  </si>
  <si>
    <t>72784-Smartflow Business Analysts</t>
  </si>
  <si>
    <t>C350607</t>
  </si>
  <si>
    <t>Housing Ops - Smartflow Business Analysts</t>
  </si>
  <si>
    <t>72806-SSP Ops Tech</t>
  </si>
  <si>
    <t>C350608</t>
  </si>
  <si>
    <t>Housing Ops - SSP Ops Tech</t>
  </si>
  <si>
    <t>72841-OPS Tech Management</t>
  </si>
  <si>
    <t>C350609</t>
  </si>
  <si>
    <t>Housing Ops - OPS Tech Management</t>
  </si>
  <si>
    <t>72846-Smartflow Managers</t>
  </si>
  <si>
    <t>C350610</t>
  </si>
  <si>
    <t>Housing Ops - Smartflow Managers</t>
  </si>
  <si>
    <t>118535 - Accounting &amp; Operations</t>
  </si>
  <si>
    <t>C010140</t>
  </si>
  <si>
    <t>Global Accounting - Acctg Systems</t>
  </si>
  <si>
    <t>72901-Florence Mail Services</t>
  </si>
  <si>
    <t>C350612</t>
  </si>
  <si>
    <t>Housing Ops - Florence Mail Services</t>
  </si>
  <si>
    <t>72907-Florence Carrier Callouts</t>
  </si>
  <si>
    <t>C350613</t>
  </si>
  <si>
    <t>Housing Ops - Florence Carrier Callouts</t>
  </si>
  <si>
    <t>72911-Florence Exceptions Processing</t>
  </si>
  <si>
    <t>C350614</t>
  </si>
  <si>
    <t>Housing Ops - Florence Exceptions Processing</t>
  </si>
  <si>
    <t>72912 - Research</t>
  </si>
  <si>
    <t>C350615</t>
  </si>
  <si>
    <t>Housing Ops - Research</t>
  </si>
  <si>
    <t>72916-QA Risk Based Reviews</t>
  </si>
  <si>
    <t>C350616</t>
  </si>
  <si>
    <t>Housing Ops - QA Risk Based Reviews</t>
  </si>
  <si>
    <t>72931 - Check Recon Check Validation Tasks</t>
  </si>
  <si>
    <t>C350617</t>
  </si>
  <si>
    <t>Housing Ops - Check Recon Check Validation Tasks</t>
  </si>
  <si>
    <t>72932-Florence SMBR</t>
  </si>
  <si>
    <t>C350618</t>
  </si>
  <si>
    <t>Housing Ops - Florence SMBR</t>
  </si>
  <si>
    <t>72940-Florence Customer Care</t>
  </si>
  <si>
    <t>C350619</t>
  </si>
  <si>
    <t>Housing Ops - Florence Customer Care</t>
  </si>
  <si>
    <t>72943-Insurance Tracking Customer Care Admin</t>
  </si>
  <si>
    <t>C350620</t>
  </si>
  <si>
    <t>Housing Ops - Insurance Tracking Customer Care Admin</t>
  </si>
  <si>
    <t>72972-Florence Loss Draft Administration</t>
  </si>
  <si>
    <t>C350621</t>
  </si>
  <si>
    <t>Housing Ops - Florence Loss Draft Administration</t>
  </si>
  <si>
    <t>72973-Florence Loss Draft Mail Services</t>
  </si>
  <si>
    <t>C350622</t>
  </si>
  <si>
    <t>Housing Ops - Florence Loss Draft Mail Services</t>
  </si>
  <si>
    <t>72974-Florence Processing Administration</t>
  </si>
  <si>
    <t>C350623</t>
  </si>
  <si>
    <t>Housing Ops - Florence Processing Administration</t>
  </si>
  <si>
    <t>72979-Quality Control Flood Solutions</t>
  </si>
  <si>
    <t>C350624</t>
  </si>
  <si>
    <t>Housing Ops - Quality Control Flood Solutions</t>
  </si>
  <si>
    <t>72984-LOB Specialty and Flood</t>
  </si>
  <si>
    <t>C350625</t>
  </si>
  <si>
    <t>Housing Ops - LOB Specialty and Flood</t>
  </si>
  <si>
    <t>72986-Quality Assurance Admin</t>
  </si>
  <si>
    <t>C350626</t>
  </si>
  <si>
    <t>Housing Ops - Quality Assurance Admin</t>
  </si>
  <si>
    <t>72987-SSP UAT</t>
  </si>
  <si>
    <t>C350627</t>
  </si>
  <si>
    <t>Housing Ops - SSP UAT</t>
  </si>
  <si>
    <t>72988-Customer Care Admin</t>
  </si>
  <si>
    <t>C350628</t>
  </si>
  <si>
    <t>Housing Ops - Customer Care Admin</t>
  </si>
  <si>
    <t>72989-Tracking and Processing Admin</t>
  </si>
  <si>
    <t>C350629</t>
  </si>
  <si>
    <t>Housing Ops - Tracking and Processing Admin</t>
  </si>
  <si>
    <t>72990-Customer Care QC</t>
  </si>
  <si>
    <t>C350630</t>
  </si>
  <si>
    <t>Housing Ops - Customer Care QC</t>
  </si>
  <si>
    <t>72991-LOB MFH</t>
  </si>
  <si>
    <t>C350631</t>
  </si>
  <si>
    <t>Housing Ops - LOB MFH</t>
  </si>
  <si>
    <t>72992-LOB LS</t>
  </si>
  <si>
    <t>C350632</t>
  </si>
  <si>
    <t>Housing Ops - LOB LS</t>
  </si>
  <si>
    <t>72993-Vendor Management</t>
  </si>
  <si>
    <t>C350633</t>
  </si>
  <si>
    <t>Housing Ops - Vendor Management</t>
  </si>
  <si>
    <t>72994-Payment Solutions</t>
  </si>
  <si>
    <t>C350634</t>
  </si>
  <si>
    <t>Housing Ops - Payment Solutions</t>
  </si>
  <si>
    <t>140535-HYLA INTEGRATION</t>
  </si>
  <si>
    <t>C090021</t>
  </si>
  <si>
    <t>Hyla Integaration</t>
  </si>
  <si>
    <t>72997 - Customer Care Antique Auto</t>
  </si>
  <si>
    <t>C350636</t>
  </si>
  <si>
    <t>Housing Ops - Customer Care Antique Auto</t>
  </si>
  <si>
    <t>73001-Quality Control Open Items</t>
  </si>
  <si>
    <t>C350637</t>
  </si>
  <si>
    <t>Housing Ops - Quality Control Open Items</t>
  </si>
  <si>
    <t>73010-New Hire Nesting</t>
  </si>
  <si>
    <t>C350638</t>
  </si>
  <si>
    <t>Housing Ops - New Hire Nesting</t>
  </si>
  <si>
    <t>84429-LPI Exceptions Processing</t>
  </si>
  <si>
    <t>C350639</t>
  </si>
  <si>
    <t>Housing Ops - LPI Exceptions Processing</t>
  </si>
  <si>
    <t>140536-PROJECT BULLDOG INTEGRATION</t>
  </si>
  <si>
    <t>C090008</t>
  </si>
  <si>
    <t>Project Bulldog Integration</t>
  </si>
  <si>
    <t>93207-Sure Deposit Operations</t>
  </si>
  <si>
    <t>C350641</t>
  </si>
  <si>
    <t>Housing Ops - Sure Deposit Operations</t>
  </si>
  <si>
    <t>93260-Property Ops System Support</t>
  </si>
  <si>
    <t>C350642</t>
  </si>
  <si>
    <t>Housing Ops - Property Ops System Support</t>
  </si>
  <si>
    <t>140537-PROJ VIKING INTEGRATION</t>
  </si>
  <si>
    <t>C090022</t>
  </si>
  <si>
    <t>Project Viking Integration</t>
  </si>
  <si>
    <t>150300-CORPORATE LTIP</t>
  </si>
  <si>
    <t>C200594</t>
  </si>
  <si>
    <t>Corporate LTIP</t>
  </si>
  <si>
    <t>10031-GHO-MFH SAVINGS INITIATIVES</t>
  </si>
  <si>
    <t>C350645</t>
  </si>
  <si>
    <t>Housing Ops - MFH Savings Initiatives</t>
  </si>
  <si>
    <t>41928-GHO-SPECIALTY-MH SAVINGS INITIATIVES</t>
  </si>
  <si>
    <t>C350646</t>
  </si>
  <si>
    <t>Housing Ops - Specialty - MFH Savings Initiatives</t>
  </si>
  <si>
    <t>42422-SPRINGFIELD ADMIN</t>
  </si>
  <si>
    <t>C350647</t>
  </si>
  <si>
    <t>Housing Ops - Springfield Admin</t>
  </si>
  <si>
    <t>42426-FLORENCE ADMINISTRATION</t>
  </si>
  <si>
    <t>C350648</t>
  </si>
  <si>
    <t>Housing Ops - Florence Administration</t>
  </si>
  <si>
    <t>42447-SMARTFLOW FLO TEAM</t>
  </si>
  <si>
    <t>C350649</t>
  </si>
  <si>
    <t>Housing Ops - Smartflow FLO Team</t>
  </si>
  <si>
    <t>150350-TIC SALE</t>
  </si>
  <si>
    <t>C090023</t>
  </si>
  <si>
    <t>TIC SALE</t>
  </si>
  <si>
    <t>42463-LD TRANSFORMATION</t>
  </si>
  <si>
    <t>C350651</t>
  </si>
  <si>
    <t>Housing Ops - LD Transformation</t>
  </si>
  <si>
    <t>42466-AUTOMATION INITIATIVES</t>
  </si>
  <si>
    <t>C350652</t>
  </si>
  <si>
    <t>Housing Ops - Automation Initiatives</t>
  </si>
  <si>
    <t>42472-GHO TRAINING</t>
  </si>
  <si>
    <t>C350653</t>
  </si>
  <si>
    <t>Housing Ops - GHO Training</t>
  </si>
  <si>
    <t>42641-CUSTOMER CARE INSURANCE TRACKING</t>
  </si>
  <si>
    <t>C350654</t>
  </si>
  <si>
    <t>Housing Ops - Customer Care Insurance Tracking</t>
  </si>
  <si>
    <t>42649-BLACK KNIGHT</t>
  </si>
  <si>
    <t>C350655</t>
  </si>
  <si>
    <t>Housing Ops - Black Knight</t>
  </si>
  <si>
    <t>42700-ENCORE WS SSP</t>
  </si>
  <si>
    <t>C350657</t>
  </si>
  <si>
    <t>Housing Ops -Encore WS SSP</t>
  </si>
  <si>
    <t>42722-DIGITAL FIRST CARRIER API</t>
  </si>
  <si>
    <t>C350658</t>
  </si>
  <si>
    <t>Housing Ops - Digital First - Carrier API</t>
  </si>
  <si>
    <t>42723-DIGITAL FIRST PAYMENT PROCESSING</t>
  </si>
  <si>
    <t>C350659</t>
  </si>
  <si>
    <t>Housing Ops - Digital First - Payment Processing</t>
  </si>
  <si>
    <t>42724-DIGITAL FIRST IT CARE INITIATIVES</t>
  </si>
  <si>
    <t>C350660</t>
  </si>
  <si>
    <t>Housing Ops - Digital First - IT Care Initiatives</t>
  </si>
  <si>
    <t>42726-DIGITAL FIRST DYNAMIC TRACKING</t>
  </si>
  <si>
    <t>C350661</t>
  </si>
  <si>
    <t>Housing Ops - Digital First - Dynamic Tracking</t>
  </si>
  <si>
    <t>46294-GHO-GS CONDO SAVINGS INITIATIVES</t>
  </si>
  <si>
    <t>C350662</t>
  </si>
  <si>
    <t>Housing Ops - GHO - GS - Condo Savings Initiatives</t>
  </si>
  <si>
    <t>150356-PROJECT ROCKET HUMAN RESOURCES</t>
  </si>
  <si>
    <t>C090009</t>
  </si>
  <si>
    <t>Project Rocket Human Resources</t>
  </si>
  <si>
    <t>150357-PROJECT ROCKET INFO TECHNOLOGY</t>
  </si>
  <si>
    <t>C090010</t>
  </si>
  <si>
    <t>Project Rocket Info Technology</t>
  </si>
  <si>
    <t>150358-PROJECT ROCKET GENERAL</t>
  </si>
  <si>
    <t>C090011</t>
  </si>
  <si>
    <t>Project Rocket General</t>
  </si>
  <si>
    <t>150361-PROJECT TITAN DEAL EXPENSES</t>
  </si>
  <si>
    <t>C090012</t>
  </si>
  <si>
    <t>Project Titan Deal Expenses</t>
  </si>
  <si>
    <t>72001-NEW SERVICES FORECAST</t>
  </si>
  <si>
    <t>C350673</t>
  </si>
  <si>
    <t>Housing Ops - New Services Forecast</t>
  </si>
  <si>
    <t>150362-PROJECT TITAN ONE TIME EXP</t>
  </si>
  <si>
    <t>C090026</t>
  </si>
  <si>
    <t>Project Titan One Time Expense</t>
  </si>
  <si>
    <t>150363-PROJECT TITAN TSA EXPENSES</t>
  </si>
  <si>
    <t>C090027</t>
  </si>
  <si>
    <t>Project Titan TSA Expenses</t>
  </si>
  <si>
    <t>72378-FLO LD CUSTOMER CARE ADMIN</t>
  </si>
  <si>
    <t>C350676</t>
  </si>
  <si>
    <t>Housing Ops - FLO LD Customer Care Admin</t>
  </si>
  <si>
    <t>72843-TSI</t>
  </si>
  <si>
    <t>C350677</t>
  </si>
  <si>
    <t>Housing Ops - TSI</t>
  </si>
  <si>
    <t>72874-TCS</t>
  </si>
  <si>
    <t>C350678</t>
  </si>
  <si>
    <t>Housing Ops - TCS</t>
  </si>
  <si>
    <t>72996-DIGITAL FIRST GHO</t>
  </si>
  <si>
    <t>C350679</t>
  </si>
  <si>
    <t>Housing Ops - Digital First - GHO</t>
  </si>
  <si>
    <t>72998-DIGITAL FIRST CARE EXP</t>
  </si>
  <si>
    <t>C350680</t>
  </si>
  <si>
    <t>Housing Ops - Digital First - Care Expense</t>
  </si>
  <si>
    <t>73000-PAYMENT PROCESSING</t>
  </si>
  <si>
    <t>C350681</t>
  </si>
  <si>
    <t>Housing Ops - Payment Processing</t>
  </si>
  <si>
    <t>150364-PROJECT VIKING</t>
  </si>
  <si>
    <t>C090028</t>
  </si>
  <si>
    <t>Project Viking</t>
  </si>
  <si>
    <t>150365-PROJECT USLICONY</t>
  </si>
  <si>
    <t>C090029</t>
  </si>
  <si>
    <t>Project USLICONY</t>
  </si>
  <si>
    <t>150366-PROJ SAPPHIRE</t>
  </si>
  <si>
    <t>C090024</t>
  </si>
  <si>
    <t>Project Sapphire</t>
  </si>
  <si>
    <t>150367-JALIC TSA</t>
  </si>
  <si>
    <t>C090025</t>
  </si>
  <si>
    <t>JALIC TSA</t>
  </si>
  <si>
    <t>17910-Auto Customer Service</t>
  </si>
  <si>
    <t>C380000</t>
  </si>
  <si>
    <t>VPS Ops - Auto Customer Service</t>
  </si>
  <si>
    <t>2000-CS-Strategic Accounts</t>
  </si>
  <si>
    <t>C380001</t>
  </si>
  <si>
    <t>VPS Ops - CS - Strategic Accounts</t>
  </si>
  <si>
    <t>2001-CS-Dealer Services</t>
  </si>
  <si>
    <t>C380002</t>
  </si>
  <si>
    <t>VPS Ops - CS - Dealer Services</t>
  </si>
  <si>
    <t>2002-Auto- Operations Support</t>
  </si>
  <si>
    <t>C380003</t>
  </si>
  <si>
    <t>VPS Ops - Auto - Operations Support</t>
  </si>
  <si>
    <t>2004-Auto Risk Management</t>
  </si>
  <si>
    <t>C380004</t>
  </si>
  <si>
    <t>VPS Ops - Auto Risk Management</t>
  </si>
  <si>
    <t>2008-BDC Management</t>
  </si>
  <si>
    <t>C380005</t>
  </si>
  <si>
    <t>VPS Ops - BDC Management</t>
  </si>
  <si>
    <t>150368-PROJ BLACK CATS</t>
  </si>
  <si>
    <t>C090033</t>
  </si>
  <si>
    <t>150369-PROJECT ALTA</t>
  </si>
  <si>
    <t>C090030</t>
  </si>
  <si>
    <t>Project ALTA</t>
  </si>
  <si>
    <t>150370:PROJECT EMPIRE</t>
  </si>
  <si>
    <t>C090043</t>
  </si>
  <si>
    <t>Project Empire (150370)</t>
  </si>
  <si>
    <t>C010890</t>
  </si>
  <si>
    <t>Revolver Issuance Costs</t>
  </si>
  <si>
    <t>150700-AAM EQUITY REAL ESTATE</t>
  </si>
  <si>
    <t>C010702</t>
  </si>
  <si>
    <t>AAM - Real Estate</t>
  </si>
  <si>
    <t>150800-AAM Fixed Income</t>
  </si>
  <si>
    <t>C010701</t>
  </si>
  <si>
    <t>AAM - Fixed Income</t>
  </si>
  <si>
    <t>150950-AIM CORP</t>
  </si>
  <si>
    <t>C010750</t>
  </si>
  <si>
    <t>AIM Corp</t>
  </si>
  <si>
    <t>C043050</t>
  </si>
  <si>
    <t>Strategy - Growth Council Funding</t>
  </si>
  <si>
    <t>C252060</t>
  </si>
  <si>
    <t>GT-GH-IT Preneed</t>
  </si>
  <si>
    <t>U9960-VPS SYSTEM SUPPORT</t>
  </si>
  <si>
    <t>C380018</t>
  </si>
  <si>
    <t>VPS Ops - VPS System Support</t>
  </si>
  <si>
    <t>8101-CS-Agent Services</t>
  </si>
  <si>
    <t>C380019</t>
  </si>
  <si>
    <t>VPS Ops - CS - Agent Services</t>
  </si>
  <si>
    <t>AA098-AFAS Region 98 Marketing Account Development</t>
  </si>
  <si>
    <t>C380100</t>
  </si>
  <si>
    <t>VPS Ops - AFAS Region 98 Marketing Account Development</t>
  </si>
  <si>
    <t>AW002-AFWC Premium Processing</t>
  </si>
  <si>
    <t>C380101</t>
  </si>
  <si>
    <t>VPS Ops - AFWC Premium Processing</t>
  </si>
  <si>
    <t>AW003-AFWC Customer Service</t>
  </si>
  <si>
    <t>C380102</t>
  </si>
  <si>
    <t>VPS Ops - AFWC Customer Service</t>
  </si>
  <si>
    <t>AW004-AFWC Claims Adjusters</t>
  </si>
  <si>
    <t>C380103</t>
  </si>
  <si>
    <t>VPS Ops - AFWC Claims Adjusters</t>
  </si>
  <si>
    <t>AW006-AFWC Risk Management</t>
  </si>
  <si>
    <t>C380104</t>
  </si>
  <si>
    <t>VPS Ops - AFWC Risk Management</t>
  </si>
  <si>
    <t>389005-Delivery Leader Management</t>
  </si>
  <si>
    <t>C252080</t>
  </si>
  <si>
    <t>GT-GH-Delivery Leader Management</t>
  </si>
  <si>
    <t>10603NL</t>
  </si>
  <si>
    <t>10603NL-Toyota Claims Admin</t>
  </si>
  <si>
    <t>C385001</t>
  </si>
  <si>
    <t>U9927-Auto Claims Management</t>
  </si>
  <si>
    <t>C385002</t>
  </si>
  <si>
    <t>VPS Ops - Auto Claims Management</t>
  </si>
  <si>
    <t>U9928-Auto eClaims</t>
  </si>
  <si>
    <t>C385003</t>
  </si>
  <si>
    <t>VPS Ops - Auto eClaims</t>
  </si>
  <si>
    <t>U9930-Auto Ops Support</t>
  </si>
  <si>
    <t>C385004</t>
  </si>
  <si>
    <t>VPS Ops - Auto Ops Support</t>
  </si>
  <si>
    <t>528901-Exceed Billing Project</t>
  </si>
  <si>
    <t>C252050</t>
  </si>
  <si>
    <t>GT-GH-Exceed Billing Project</t>
  </si>
  <si>
    <t>10178-GLOBAL LIFESTYLE</t>
  </si>
  <si>
    <t>C390000</t>
  </si>
  <si>
    <t>Lifestyle - Global Lifestyle</t>
  </si>
  <si>
    <t>10742-MFD LIFESTYLE</t>
  </si>
  <si>
    <t>C390009</t>
  </si>
  <si>
    <t>Lifestyle - MFD</t>
  </si>
  <si>
    <t>10148-LFS PLACEHOLDER</t>
  </si>
  <si>
    <t>C390010</t>
  </si>
  <si>
    <t>Lifestyle - Placeholder</t>
  </si>
  <si>
    <t>10821-FEDEX SHARED MAILROOM</t>
  </si>
  <si>
    <t>C390011</t>
  </si>
  <si>
    <t>Lifestyle -Fedex Shared Mailroom</t>
  </si>
  <si>
    <t>11900-SOLUTIONS EXECUTIVE OFFICE</t>
  </si>
  <si>
    <t>C390013</t>
  </si>
  <si>
    <t>Lifestyle - Solutions Executive Office</t>
  </si>
  <si>
    <t>11980-GLOBAL STRATEGY AND MERGERS AND ACQ</t>
  </si>
  <si>
    <t>C390014</t>
  </si>
  <si>
    <t>Lifestyle - Global Strategy and Mergers and Acq</t>
  </si>
  <si>
    <t>3021-Financial Systems Domestic</t>
  </si>
  <si>
    <t>C390015</t>
  </si>
  <si>
    <t>Lifestyle -Financial Systems Domestic</t>
  </si>
  <si>
    <t>3028-Customer Care Champaign</t>
  </si>
  <si>
    <t>C390016</t>
  </si>
  <si>
    <t>Lifestyle -Customer Care Campaign</t>
  </si>
  <si>
    <t>529000-Global Specialty Support Systems Management</t>
  </si>
  <si>
    <t>C252002</t>
  </si>
  <si>
    <t>GT-GH-Global Specialty Support Systems Management</t>
  </si>
  <si>
    <t>529001-Multifamily Housing</t>
  </si>
  <si>
    <t>C252043</t>
  </si>
  <si>
    <t>GT-GH-Multifamily Housing</t>
  </si>
  <si>
    <t>C252127</t>
  </si>
  <si>
    <t>GT-GH-IT Outsourcing</t>
  </si>
  <si>
    <t>529003-Pms Series II Daily Weekly</t>
  </si>
  <si>
    <t>C252120</t>
  </si>
  <si>
    <t>GT-GH-Assurtrack</t>
  </si>
  <si>
    <t>6000-Und International</t>
  </si>
  <si>
    <t>C390021</t>
  </si>
  <si>
    <t>Lifestyle - Underwriting International</t>
  </si>
  <si>
    <t>6001-Underwriting &amp; Actuarial Mgmt</t>
  </si>
  <si>
    <t>C390022</t>
  </si>
  <si>
    <t>Lifestyle - Underwriting and Actuarial Management</t>
  </si>
  <si>
    <t>6004-Actuarial_North America</t>
  </si>
  <si>
    <t>C390023</t>
  </si>
  <si>
    <t>Lifestyle -Actuarial North America</t>
  </si>
  <si>
    <t>529004-PMS Month End</t>
  </si>
  <si>
    <t>C252051</t>
  </si>
  <si>
    <t>GT-GH-PMS Month End</t>
  </si>
  <si>
    <t>6006-Und Automotive</t>
  </si>
  <si>
    <t>C390025</t>
  </si>
  <si>
    <t>Lifestyle -Underwriting Automotive</t>
  </si>
  <si>
    <t>6007-Und Consumer Products</t>
  </si>
  <si>
    <t>C390026</t>
  </si>
  <si>
    <t>Lifestyle -Underwriting Consumer Products</t>
  </si>
  <si>
    <t>6008-Financial Systems Global</t>
  </si>
  <si>
    <t>C390027</t>
  </si>
  <si>
    <t>Lifestyle -Financial Systems Global</t>
  </si>
  <si>
    <t>6011-TWG President</t>
  </si>
  <si>
    <t>C390028</t>
  </si>
  <si>
    <t>Lifestyle -TWG Presidnet</t>
  </si>
  <si>
    <t>6014-Law Dept</t>
  </si>
  <si>
    <t>C390029</t>
  </si>
  <si>
    <t>Lifestyle -Law Department</t>
  </si>
  <si>
    <t>529005-P And C Claims Shared Services</t>
  </si>
  <si>
    <t>C252090</t>
  </si>
  <si>
    <t>GT-GH-P And C Claims Shared Services</t>
  </si>
  <si>
    <t>6016-Talent Management</t>
  </si>
  <si>
    <t>C390031</t>
  </si>
  <si>
    <t>Lifestyle - Talent Management</t>
  </si>
  <si>
    <t>6017-Total Rewards</t>
  </si>
  <si>
    <t>C390032</t>
  </si>
  <si>
    <t>Lifestyle - Total Rewards</t>
  </si>
  <si>
    <t>6018-Legal Fees</t>
  </si>
  <si>
    <t>C390033</t>
  </si>
  <si>
    <t>Lifestyle - Legal Fees</t>
  </si>
  <si>
    <t>6020-Global Compliance and Risk</t>
  </si>
  <si>
    <t>C390034</t>
  </si>
  <si>
    <t>Lifestyle - Global Compliance and Risk</t>
  </si>
  <si>
    <t>6021-Global Operations</t>
  </si>
  <si>
    <t>C390035</t>
  </si>
  <si>
    <t>Lifestyle - Global Operations</t>
  </si>
  <si>
    <t>6022-TWG Benefits</t>
  </si>
  <si>
    <t>C390036</t>
  </si>
  <si>
    <t>Lifestyle - TWG Benefits</t>
  </si>
  <si>
    <t>6024-Communications</t>
  </si>
  <si>
    <t>C390037</t>
  </si>
  <si>
    <t>Lifestyle - Communications</t>
  </si>
  <si>
    <t>6026-Marketing US Auto Growth</t>
  </si>
  <si>
    <t>C390038</t>
  </si>
  <si>
    <t>Lifestyle - Marketing US Auto Growth</t>
  </si>
  <si>
    <t>529006-Global Specialty BA QA</t>
  </si>
  <si>
    <t>C252010</t>
  </si>
  <si>
    <t>GT-GH-Flood</t>
  </si>
  <si>
    <t>C252091</t>
  </si>
  <si>
    <t>GT-GH-P&amp;C Shared Services</t>
  </si>
  <si>
    <t>529008-Claims CBT</t>
  </si>
  <si>
    <t>C252121</t>
  </si>
  <si>
    <t>GT-GH-Claims CBT</t>
  </si>
  <si>
    <t>529027-Cover360</t>
  </si>
  <si>
    <t>C252134</t>
  </si>
  <si>
    <t>GT-GH-Cover360</t>
  </si>
  <si>
    <t>6200-FH Application Development</t>
  </si>
  <si>
    <t>C390043</t>
  </si>
  <si>
    <t>Lifestyle - FH Application Development</t>
  </si>
  <si>
    <t>6400-Risk Management</t>
  </si>
  <si>
    <t>C390044</t>
  </si>
  <si>
    <t>Lifestyle - Risk Management</t>
  </si>
  <si>
    <t>6600-Internal Audit_North America</t>
  </si>
  <si>
    <t>C390045</t>
  </si>
  <si>
    <t>Lifestyle - Internal Audit North America</t>
  </si>
  <si>
    <t>8107-FEI MIS</t>
  </si>
  <si>
    <t>C390046</t>
  </si>
  <si>
    <t>Lifestyle - FEI MIS</t>
  </si>
  <si>
    <t>9001-Corp Expenses</t>
  </si>
  <si>
    <t>C390047</t>
  </si>
  <si>
    <t>Lifestyle - Corporate Expenses</t>
  </si>
  <si>
    <t>9100-Global</t>
  </si>
  <si>
    <t>C390048</t>
  </si>
  <si>
    <t>Lifestyle - Global</t>
  </si>
  <si>
    <t>529028 - MFH - Modernization</t>
  </si>
  <si>
    <t>C252040</t>
  </si>
  <si>
    <t>GT-GH-MFH - Modernization</t>
  </si>
  <si>
    <t>9110-Integration Management Office</t>
  </si>
  <si>
    <t>C390050</t>
  </si>
  <si>
    <t>Lifestyle - Integration Management Office</t>
  </si>
  <si>
    <t>93019-LIFESTYLE LEADERSHIP</t>
  </si>
  <si>
    <t>C390051</t>
  </si>
  <si>
    <t>Lifestyle - Leadership</t>
  </si>
  <si>
    <t>93020-LIFESTYLE DOMESTIC</t>
  </si>
  <si>
    <t>C390052</t>
  </si>
  <si>
    <t>Lifestyle - Domestic</t>
  </si>
  <si>
    <t>93021-LIFESTYLE INTERNATIONAL</t>
  </si>
  <si>
    <t>C390053</t>
  </si>
  <si>
    <t>Lifestyle - International</t>
  </si>
  <si>
    <t>9989-Other</t>
  </si>
  <si>
    <t>C390054</t>
  </si>
  <si>
    <t>Lifestyle - Other</t>
  </si>
  <si>
    <t>9999-Expense Allocation Department</t>
  </si>
  <si>
    <t>C390055</t>
  </si>
  <si>
    <t>Lifestyle - Expense Allocation Department</t>
  </si>
  <si>
    <t>C252011</t>
  </si>
  <si>
    <t>93312-WF EXPENSE REIMB</t>
  </si>
  <si>
    <t>C390091</t>
  </si>
  <si>
    <t>WF Expense Reimbursement</t>
  </si>
  <si>
    <t>529043:COMMEQUIP</t>
  </si>
  <si>
    <t>C251136</t>
  </si>
  <si>
    <t>GT-GH-Commequip</t>
  </si>
  <si>
    <t>10780NL</t>
  </si>
  <si>
    <t>10780NL-Auto</t>
  </si>
  <si>
    <t>C400001</t>
  </si>
  <si>
    <t>Global Auto - Management</t>
  </si>
  <si>
    <t>529044 - MH-Classic C</t>
  </si>
  <si>
    <t>C252133</t>
  </si>
  <si>
    <t>GT-GH-MH-Classic C 529044</t>
  </si>
  <si>
    <t>U9936-Affinity Account Executives</t>
  </si>
  <si>
    <t>C400010</t>
  </si>
  <si>
    <t>Global Auto - Affinity Account Executives</t>
  </si>
  <si>
    <t>U9929-Affinity Sales</t>
  </si>
  <si>
    <t>C400015</t>
  </si>
  <si>
    <t>Global Auto - Affinity Sales</t>
  </si>
  <si>
    <t>11981-Global Sales Operations Solutions</t>
  </si>
  <si>
    <t>C400020</t>
  </si>
  <si>
    <t>Global Auto - Global Sales Ops Solutions</t>
  </si>
  <si>
    <t>10214-DIGITAL VSC</t>
  </si>
  <si>
    <t>C400021</t>
  </si>
  <si>
    <t>Global Auto - Digital VSC</t>
  </si>
  <si>
    <t>17903-TWG VSC</t>
  </si>
  <si>
    <t>C400022</t>
  </si>
  <si>
    <t>Global Auto - TWG VSC</t>
  </si>
  <si>
    <t>17916-PGAAP NORTH AMERICA VSC</t>
  </si>
  <si>
    <t>C400023</t>
  </si>
  <si>
    <t>Global Auto - PGAAP North America VSC</t>
  </si>
  <si>
    <t>2011-NADA</t>
  </si>
  <si>
    <t>C400024</t>
  </si>
  <si>
    <t>Global Auto - NADA</t>
  </si>
  <si>
    <t>787050-Shared Application Leaders</t>
  </si>
  <si>
    <t>C253014</t>
  </si>
  <si>
    <t>GT-LS INTL-Shared Application Leaders</t>
  </si>
  <si>
    <t>2016-Retail Training</t>
  </si>
  <si>
    <t>C400026</t>
  </si>
  <si>
    <t>Global Auto - Retail Training</t>
  </si>
  <si>
    <t>2020-Audi PACs</t>
  </si>
  <si>
    <t>C400027</t>
  </si>
  <si>
    <t>Global Auto - Audi PACs</t>
  </si>
  <si>
    <t>2080-VSC CANADA BRANCH</t>
  </si>
  <si>
    <t>C400028</t>
  </si>
  <si>
    <t>Global Auto - VSC Canada Branch</t>
  </si>
  <si>
    <t>2100-AutoNation Printing</t>
  </si>
  <si>
    <t>C400029</t>
  </si>
  <si>
    <t>Global Auto - AutoNation Printing</t>
  </si>
  <si>
    <t>787450-International Systems Elita</t>
  </si>
  <si>
    <t>C253601</t>
  </si>
  <si>
    <t>GT-LS INTL-International Systems ELITA</t>
  </si>
  <si>
    <t>C253505</t>
  </si>
  <si>
    <t>GT-LS INTL-ELITA Modernization</t>
  </si>
  <si>
    <t>8000-RAG - Misc Write Offs</t>
  </si>
  <si>
    <t>C400032</t>
  </si>
  <si>
    <t>Global Auto - RAG - Miscellaneous Write Offs</t>
  </si>
  <si>
    <t>8100-RAG - Exec</t>
  </si>
  <si>
    <t>C400033</t>
  </si>
  <si>
    <t>Global Auto - RAG - Executive</t>
  </si>
  <si>
    <t>C253101</t>
  </si>
  <si>
    <t>GT-LS INTL-Domestic Systems VSC Policy</t>
  </si>
  <si>
    <t>8123-RAG Printing</t>
  </si>
  <si>
    <t>C400035</t>
  </si>
  <si>
    <t>Global Auto - RAG Printing</t>
  </si>
  <si>
    <t>U9934-GLOBAL TRAINING AND MKTG DEVELOPMENT</t>
  </si>
  <si>
    <t>C400036</t>
  </si>
  <si>
    <t>Global Auto - Global Training and Mktg Development</t>
  </si>
  <si>
    <t>787560-AS 400 Support</t>
  </si>
  <si>
    <t>C253500</t>
  </si>
  <si>
    <t>GT-LS INTL-AS400 Support</t>
  </si>
  <si>
    <t>2006-RDG Exec</t>
  </si>
  <si>
    <t>C400050</t>
  </si>
  <si>
    <t>Global Auto - RDG - Exec</t>
  </si>
  <si>
    <t>2009-RA-National Accounts</t>
  </si>
  <si>
    <t>C400051</t>
  </si>
  <si>
    <t>Global Auto - RDG - National Accounts</t>
  </si>
  <si>
    <t>2010-Specialist Program</t>
  </si>
  <si>
    <t>C400052</t>
  </si>
  <si>
    <t>Global Auto - RDG - Specialist Program</t>
  </si>
  <si>
    <t>2033-Southeast</t>
  </si>
  <si>
    <t>C400053</t>
  </si>
  <si>
    <t>Global Auto - RDG - Southeast</t>
  </si>
  <si>
    <t>6003-Prod Development</t>
  </si>
  <si>
    <t>C400054</t>
  </si>
  <si>
    <t>Global Auto - RDG - Product Development</t>
  </si>
  <si>
    <t>8117-Agent Support</t>
  </si>
  <si>
    <t>C400055</t>
  </si>
  <si>
    <t>Global Auto - RDG - Agent Support</t>
  </si>
  <si>
    <t>93203-Global Specialty Innovation</t>
  </si>
  <si>
    <t>C400056</t>
  </si>
  <si>
    <t>Global Auto - RDG - Global Specialty Innovation</t>
  </si>
  <si>
    <t>2007-RDG National Sales Team</t>
  </si>
  <si>
    <t>C400057</t>
  </si>
  <si>
    <t>Global Auto - RDG - National Sales Team</t>
  </si>
  <si>
    <t>Auto Digital Sales</t>
  </si>
  <si>
    <t>C400060</t>
  </si>
  <si>
    <t>ADS2000-ADS Exec</t>
  </si>
  <si>
    <t>C400100</t>
  </si>
  <si>
    <t>Global Auto - ADS - Executive</t>
  </si>
  <si>
    <t>ADS2001-Northeast</t>
  </si>
  <si>
    <t>C400101</t>
  </si>
  <si>
    <t>Global Auto - ADS - Northeast</t>
  </si>
  <si>
    <t>ADS2002-Mid Central</t>
  </si>
  <si>
    <t>C400102</t>
  </si>
  <si>
    <t>Global Auto - ADS - Mid Central</t>
  </si>
  <si>
    <t>ADS2003-Atlantic</t>
  </si>
  <si>
    <t>C400103</t>
  </si>
  <si>
    <t>Global Auto - ADS - Atlantic</t>
  </si>
  <si>
    <t>ADS2004-Southeast</t>
  </si>
  <si>
    <t>C400104</t>
  </si>
  <si>
    <t>Global Auto - ADS - Southeast</t>
  </si>
  <si>
    <t>787570-Portal Development</t>
  </si>
  <si>
    <t>C251017</t>
  </si>
  <si>
    <t>GT-Digital-Portal Development</t>
  </si>
  <si>
    <t>ADS2006-Great Plains</t>
  </si>
  <si>
    <t>C400106</t>
  </si>
  <si>
    <t>Global Auto - ADS - Great Plains</t>
  </si>
  <si>
    <t>2014-GULF SOUTH</t>
  </si>
  <si>
    <t>C400107</t>
  </si>
  <si>
    <t>Global Auto - ADS - Gulf South</t>
  </si>
  <si>
    <t>ADS2008-Pacific Southwest</t>
  </si>
  <si>
    <t>C400108</t>
  </si>
  <si>
    <t>Global Auto - ADS - Pacific Southwest</t>
  </si>
  <si>
    <t>ADS2009-Pacific Northwest</t>
  </si>
  <si>
    <t>C400109</t>
  </si>
  <si>
    <t>Global Auto - ADS - Pacific Northwest</t>
  </si>
  <si>
    <t>AA028-AFAS ADS FIELD INTEGRATION</t>
  </si>
  <si>
    <t>C400110</t>
  </si>
  <si>
    <t>Global Auto - ADS AFAS Field Integration</t>
  </si>
  <si>
    <t>2003-RA Printing &amp; Shipping</t>
  </si>
  <si>
    <t>C400111</t>
  </si>
  <si>
    <t>Global Auto - ADS - RA Printing and Shipping</t>
  </si>
  <si>
    <t>2012-Emp Lic Fee Renewals</t>
  </si>
  <si>
    <t>C400112</t>
  </si>
  <si>
    <t>Global Auto - ADS - Employee License Fee Renewals</t>
  </si>
  <si>
    <t>2013-Eastern Division</t>
  </si>
  <si>
    <t>C400113</t>
  </si>
  <si>
    <t>Global Auto - ADS - Eastern Division</t>
  </si>
  <si>
    <t>2032-Northeast</t>
  </si>
  <si>
    <t>C400114</t>
  </si>
  <si>
    <t>787650-International Mobile Implementations</t>
  </si>
  <si>
    <t>C253600</t>
  </si>
  <si>
    <t>GT-LS INTL-International Mobile Implementations</t>
  </si>
  <si>
    <t>2036-Pacific SW</t>
  </si>
  <si>
    <t>C400116</t>
  </si>
  <si>
    <t>Global Auto - ADS - Pacific SW</t>
  </si>
  <si>
    <t>2037-TWG Securities</t>
  </si>
  <si>
    <t>C400117</t>
  </si>
  <si>
    <t>Global Auto - ADS - TWG Securities</t>
  </si>
  <si>
    <t>2038-Mid Central</t>
  </si>
  <si>
    <t>C400118</t>
  </si>
  <si>
    <t>2039-Great Plains</t>
  </si>
  <si>
    <t>C400119</t>
  </si>
  <si>
    <t>2040-Midwest</t>
  </si>
  <si>
    <t>C400120</t>
  </si>
  <si>
    <t>Global Auto - ADS - Midwest</t>
  </si>
  <si>
    <t>2042-RA General</t>
  </si>
  <si>
    <t>C400121</t>
  </si>
  <si>
    <t>Global Auto - ADS - RA General</t>
  </si>
  <si>
    <t>2070-RA - IT</t>
  </si>
  <si>
    <t>C400122</t>
  </si>
  <si>
    <t>Global Auto - ADS - RA - IT</t>
  </si>
  <si>
    <t>2071-Sales Team Auto Growth US</t>
  </si>
  <si>
    <t>C400123</t>
  </si>
  <si>
    <t>Global Auto - ADS - Sales Team Auto Growth US</t>
  </si>
  <si>
    <t>2034-MID ATLANTIC</t>
  </si>
  <si>
    <t>C400124</t>
  </si>
  <si>
    <t>Global Auto - ADS - Mid Atlantic</t>
  </si>
  <si>
    <t>AA071-Field Region 71 Training - FIU</t>
  </si>
  <si>
    <t>C400150</t>
  </si>
  <si>
    <t>Global Auto - AFAS  Trainining FIU</t>
  </si>
  <si>
    <t>AA093-AFAS Region 93 Information Technology</t>
  </si>
  <si>
    <t>C400151</t>
  </si>
  <si>
    <t>Global Auto - AFAS  Information Technology</t>
  </si>
  <si>
    <t>AA099-AFAS Region 99 Marketing Procurement</t>
  </si>
  <si>
    <t>C400152</t>
  </si>
  <si>
    <t>Global Auto - AFAS  Marketing Procurement</t>
  </si>
  <si>
    <t>AA002-AFAS EXECUTIVE</t>
  </si>
  <si>
    <t>C400153</t>
  </si>
  <si>
    <t>Global Auto - AFAS Executive</t>
  </si>
  <si>
    <t>787750-INTRL QA</t>
  </si>
  <si>
    <t>C253603</t>
  </si>
  <si>
    <t>GT-LS INTL-Intrl QA</t>
  </si>
  <si>
    <t>AA007-AFAS SERVICE CONTRACTS</t>
  </si>
  <si>
    <t>C400155</t>
  </si>
  <si>
    <t>Global Auto - AFAS Service Contracts</t>
  </si>
  <si>
    <t>AA010-AFAS FIELD REGION 10</t>
  </si>
  <si>
    <t>C400156</t>
  </si>
  <si>
    <t>Global Auto - AFAS Field Region 10</t>
  </si>
  <si>
    <t>AA011-AFAS FIELD REGION 11</t>
  </si>
  <si>
    <t>C400157</t>
  </si>
  <si>
    <t>Global Auto - AFAS Field Region 11</t>
  </si>
  <si>
    <t>AA012-AFAS FIELD REGION 12</t>
  </si>
  <si>
    <t>C400158</t>
  </si>
  <si>
    <t>Global Auto - AFAS Field Region 12</t>
  </si>
  <si>
    <t>AA013-AFAS FIELD REGION 13</t>
  </si>
  <si>
    <t>C400159</t>
  </si>
  <si>
    <t>Global Auto - AFAS Field Region 13</t>
  </si>
  <si>
    <t>AA014-AFAS FIELD REGION 14</t>
  </si>
  <si>
    <t>C400160</t>
  </si>
  <si>
    <t>Global Auto - AFAS Field Region 14</t>
  </si>
  <si>
    <t>AA020-AFAS FIELD REGION 20</t>
  </si>
  <si>
    <t>C400161</t>
  </si>
  <si>
    <t>Global Auto - AFAS Field Region 20</t>
  </si>
  <si>
    <t>AA021-AFAS FIELD REGION 21</t>
  </si>
  <si>
    <t>C400162</t>
  </si>
  <si>
    <t>Global Auto - AFAS Field Region 21</t>
  </si>
  <si>
    <t>AA022-AFAS FIELD REGION 22</t>
  </si>
  <si>
    <t>C400163</t>
  </si>
  <si>
    <t>Global Auto - AFAS Field Region 22</t>
  </si>
  <si>
    <t>AA024-AFAS FIELD REGION 24</t>
  </si>
  <si>
    <t>C400164</t>
  </si>
  <si>
    <t>Global Auto - AFAS Field Region 23</t>
  </si>
  <si>
    <t>1013415-Financial Tax Treasury and Invt Sys</t>
  </si>
  <si>
    <t>C250533</t>
  </si>
  <si>
    <t>GT-Strat Tran Gov-Financial Tax Treasury And Invt Sys</t>
  </si>
  <si>
    <t>AA026-AFAS FIELD REGION 26</t>
  </si>
  <si>
    <t>C400166</t>
  </si>
  <si>
    <t>Global Auto - AFAS Field Region 26</t>
  </si>
  <si>
    <t>AA027-AFAS FIELD REGION 27</t>
  </si>
  <si>
    <t>C400167</t>
  </si>
  <si>
    <t>Global Auto - AFAS Field Region 27</t>
  </si>
  <si>
    <t>AA030-AFAS FIELD REGION 30</t>
  </si>
  <si>
    <t>C400168</t>
  </si>
  <si>
    <t>Global Auto - AFAS Field Region 30</t>
  </si>
  <si>
    <t>AA031-AFAS FIELD REGION 31</t>
  </si>
  <si>
    <t>C400169</t>
  </si>
  <si>
    <t>Global Auto - AFAS Field Region 31</t>
  </si>
  <si>
    <t>AA032-AFAS FIELD REGION 32</t>
  </si>
  <si>
    <t>C400170</t>
  </si>
  <si>
    <t>Global Auto - AFAS Field Region 32</t>
  </si>
  <si>
    <t>AA036-AFAS FIELD REGION 36</t>
  </si>
  <si>
    <t>C400171</t>
  </si>
  <si>
    <t>AA040-AFAS FIELD REGION 40</t>
  </si>
  <si>
    <t>C400172</t>
  </si>
  <si>
    <t>Global Auto - AFAS Field Region 36</t>
  </si>
  <si>
    <t>1013435-SEC Reporting</t>
  </si>
  <si>
    <t>C010111</t>
  </si>
  <si>
    <t>Global Accounting - SEC Reporting</t>
  </si>
  <si>
    <t>AA067-AFAS REGION 67 RISK</t>
  </si>
  <si>
    <t>C400174</t>
  </si>
  <si>
    <t>Global Auto - AFAS Field Region 67 Risk</t>
  </si>
  <si>
    <t>AA072-ATA BILLABLE EXPENSES</t>
  </si>
  <si>
    <t>C400175</t>
  </si>
  <si>
    <t>Global Auto - AFAS - ATA Billable Expenses</t>
  </si>
  <si>
    <t>AA091-AFAS REGION 91 MARKETING INFO SYSTEMS</t>
  </si>
  <si>
    <t>C400176</t>
  </si>
  <si>
    <t>Global Auto - AFAS - Field Region 89 Info Systems</t>
  </si>
  <si>
    <t>AA092-AFAS REGION 92 MARKETING CREATIVE</t>
  </si>
  <si>
    <t>C400177</t>
  </si>
  <si>
    <t>Global Auto - AFAS - Field Region 92 Marketing Creative</t>
  </si>
  <si>
    <t>AA094-AFAS REGION 94 MARKETING COMMUNICATIONS</t>
  </si>
  <si>
    <t>C400178</t>
  </si>
  <si>
    <t>Global Auto - AFAS - Field Region 94 Marketing Comms</t>
  </si>
  <si>
    <t>AA096-AFAS REGION 96 MARKETING PRODUCT DEVELOPMENT</t>
  </si>
  <si>
    <t>C400179</t>
  </si>
  <si>
    <t>Global Auto - AFAS - Field Region 96 Product Development</t>
  </si>
  <si>
    <t>AA999-AFAS OTHER</t>
  </si>
  <si>
    <t>C400180</t>
  </si>
  <si>
    <t>Global Auto - AFAS Other</t>
  </si>
  <si>
    <t>AA998-ADS DAC</t>
  </si>
  <si>
    <t>C400181</t>
  </si>
  <si>
    <t>Global Auto - AFAS ADS DAC</t>
  </si>
  <si>
    <t>AW001-AFWC HOME OFFICE</t>
  </si>
  <si>
    <t>C400182</t>
  </si>
  <si>
    <t>Global Auto - AFAS AFWC Home Office</t>
  </si>
  <si>
    <t>AW010-AFWC EXECUTIVE</t>
  </si>
  <si>
    <t>C400183</t>
  </si>
  <si>
    <t>Global Auto - AFAS AFWC Executive</t>
  </si>
  <si>
    <t>C500517</t>
  </si>
  <si>
    <t>Washington DC Facility</t>
  </si>
  <si>
    <t>1052700-Operational Support Staff</t>
  </si>
  <si>
    <t>C251314</t>
  </si>
  <si>
    <t>GT-Infr and Cloud-Operational Support Staff</t>
  </si>
  <si>
    <t>EP003-CNH SALES</t>
  </si>
  <si>
    <t>C400302</t>
  </si>
  <si>
    <t>Global Auto - CNH Sales</t>
  </si>
  <si>
    <t>L0162</t>
  </si>
  <si>
    <t>Memphis Office</t>
  </si>
  <si>
    <t>73011-ALI OPERATIONS</t>
  </si>
  <si>
    <t>C400303</t>
  </si>
  <si>
    <t>Global Auto - ALI Operations</t>
  </si>
  <si>
    <t>EP001 - VPS EPG</t>
  </si>
  <si>
    <t>C400305</t>
  </si>
  <si>
    <t>Global Auto - EPG</t>
  </si>
  <si>
    <t>7000-VSC AUSTRALIA</t>
  </si>
  <si>
    <t>C400400</t>
  </si>
  <si>
    <t>VSC - International</t>
  </si>
  <si>
    <t>7002-TWG AUSTRALIA</t>
  </si>
  <si>
    <t>C400401</t>
  </si>
  <si>
    <t>TWG - International</t>
  </si>
  <si>
    <t>C251315</t>
  </si>
  <si>
    <t>GT-Infr and Cloud-UK Team</t>
  </si>
  <si>
    <t>93609-VPS LITIGATION</t>
  </si>
  <si>
    <t>C400900</t>
  </si>
  <si>
    <t>Global Auto - VPS Litigation</t>
  </si>
  <si>
    <t>1053500-Planning And Design Staff</t>
  </si>
  <si>
    <t>C251319</t>
  </si>
  <si>
    <t>GT-Infr and Cloud-Devsecops</t>
  </si>
  <si>
    <t>1053501 - Forms Management</t>
  </si>
  <si>
    <t>C252125</t>
  </si>
  <si>
    <t>GT-GH-Forms Management</t>
  </si>
  <si>
    <t>1087503:GCS INDIA IT LIFESTYLE</t>
  </si>
  <si>
    <t>C056110</t>
  </si>
  <si>
    <t>GCS - India - IT Lifestyle</t>
  </si>
  <si>
    <t>1087513:GCS INDIA IT GLOBAL HOUSING</t>
  </si>
  <si>
    <t>C056111</t>
  </si>
  <si>
    <t>GCS - India - IT Global Housing</t>
  </si>
  <si>
    <t>32173-CHICAGO IL FACILITY</t>
  </si>
  <si>
    <t>C500102</t>
  </si>
  <si>
    <t>Chicago IL Facility</t>
  </si>
  <si>
    <t>114300-NY Office Services</t>
  </si>
  <si>
    <t>C500105</t>
  </si>
  <si>
    <t>Global Facilities Services - NY Office Services</t>
  </si>
  <si>
    <t>17011-MIAMI MAIN BUILDING</t>
  </si>
  <si>
    <t>C500110</t>
  </si>
  <si>
    <t>Miami Facility - Main Building</t>
  </si>
  <si>
    <t>C251327</t>
  </si>
  <si>
    <t>GT-Infr and Cloud-File Transfer</t>
  </si>
  <si>
    <t>17016-MIAMI ASSESSMENT</t>
  </si>
  <si>
    <t>C500112</t>
  </si>
  <si>
    <t>Miami Facility - Miami Assessment</t>
  </si>
  <si>
    <t>C251330</t>
  </si>
  <si>
    <t>GT-Infr and Cloud-Messaging Services Sw Hw</t>
  </si>
  <si>
    <t>17060-DAY CARE NORTH 2</t>
  </si>
  <si>
    <t>C500114</t>
  </si>
  <si>
    <t>Miami Facility - Day Care North 2</t>
  </si>
  <si>
    <t>3100501-Legal Risk Comm and Marketing Systems</t>
  </si>
  <si>
    <t>C250581</t>
  </si>
  <si>
    <t>GT-Strat Tran Gov-Legal Risk Comm And Marketing Systems</t>
  </si>
  <si>
    <t>C251332</t>
  </si>
  <si>
    <t>GT-Infr and Cloud-Greenfield</t>
  </si>
  <si>
    <t>3100545-Enterprise Apps - Operations</t>
  </si>
  <si>
    <t>C251333</t>
  </si>
  <si>
    <t>GT-Infr and Cloud-Enterprise Apps - Operations</t>
  </si>
  <si>
    <t>C251335</t>
  </si>
  <si>
    <t>GT-Infr and Cloud-Voice Services</t>
  </si>
  <si>
    <t>3200445-Enterprise IT Apps</t>
  </si>
  <si>
    <t>C251338</t>
  </si>
  <si>
    <t>GT-Infr and Cloud-Enterprise IT Apps</t>
  </si>
  <si>
    <t>3200452-Enterprise Tools Staff</t>
  </si>
  <si>
    <t>C251339</t>
  </si>
  <si>
    <t>GT-Infr and Cloud-Enterprise Tools Staff</t>
  </si>
  <si>
    <t>32100-ATLANTA FACILITY RENT</t>
  </si>
  <si>
    <t>C500200</t>
  </si>
  <si>
    <t>Atlanta Facility - Rent</t>
  </si>
  <si>
    <t>32110-ATLANTA DC ASIC FACILITY</t>
  </si>
  <si>
    <t>C500201</t>
  </si>
  <si>
    <t>Atlanta Facility - DC ASIC</t>
  </si>
  <si>
    <t>32120-ATLANTA MAILROOM</t>
  </si>
  <si>
    <t>C500202</t>
  </si>
  <si>
    <t>Atlanta Facility - Mailroom</t>
  </si>
  <si>
    <t>32130-ATLANTA FACILITY</t>
  </si>
  <si>
    <t>C500203</t>
  </si>
  <si>
    <t>Atlanta Facility</t>
  </si>
  <si>
    <t>C251408</t>
  </si>
  <si>
    <t>GT-Infr and Cloud-Woodbury Tier II Support</t>
  </si>
  <si>
    <t>C259023</t>
  </si>
  <si>
    <t>GT-Closed-IT Telecom - International</t>
  </si>
  <si>
    <t>8020725-Info Security Office</t>
  </si>
  <si>
    <t>C250100</t>
  </si>
  <si>
    <t>GT - Sec - Info Security Office</t>
  </si>
  <si>
    <t>10741-MFD HOUSING</t>
  </si>
  <si>
    <t>C500301</t>
  </si>
  <si>
    <t>MFD Housing</t>
  </si>
  <si>
    <t>C251359</t>
  </si>
  <si>
    <t>GT-Infr and Cloud-BRM Operational Support</t>
  </si>
  <si>
    <t>32170-SANTA ANA CA FACILITY</t>
  </si>
  <si>
    <t>C500303</t>
  </si>
  <si>
    <t>Santa Ana California Facility</t>
  </si>
  <si>
    <t>33301-TS SANTA ANA FACILITY</t>
  </si>
  <si>
    <t>C500304</t>
  </si>
  <si>
    <t>TS Santa Ana California Facility</t>
  </si>
  <si>
    <t>8520351-NYC Tier II Support</t>
  </si>
  <si>
    <t>C251360</t>
  </si>
  <si>
    <t>GT-Infr and Cloud-NYC Tier II Support</t>
  </si>
  <si>
    <t>32146-OHIO SERVICE CENTER MAINTENANCE</t>
  </si>
  <si>
    <t>C500310</t>
  </si>
  <si>
    <t>Ohio Service Center Facility - Maintenance</t>
  </si>
  <si>
    <t>32148-OHIO SERVICE CENTER SECURITY</t>
  </si>
  <si>
    <t>C500311</t>
  </si>
  <si>
    <t>Ohio Service Center Facility - Security</t>
  </si>
  <si>
    <t>93211-SHIPSURANCE LOS ANGELES FACILITY</t>
  </si>
  <si>
    <t>C500312</t>
  </si>
  <si>
    <t>CL - HRO - Shipsurance Los Angeles Facility</t>
  </si>
  <si>
    <t>32144-OHIO CORPORATE SERVICES</t>
  </si>
  <si>
    <t>C500313</t>
  </si>
  <si>
    <t>Ohio Corporate Services</t>
  </si>
  <si>
    <t>8520418-Signal Albany Tier II</t>
  </si>
  <si>
    <t>C251361</t>
  </si>
  <si>
    <t>GT-Infr and Cloud-Signal Albany Tier II</t>
  </si>
  <si>
    <t>72611-COMMERCE SECURITY</t>
  </si>
  <si>
    <t>C500321</t>
  </si>
  <si>
    <t>Commerce Facility Security</t>
  </si>
  <si>
    <t>32160-FLORENCE SERVICE CENTER</t>
  </si>
  <si>
    <t>C500330</t>
  </si>
  <si>
    <t>Florence Service Center Facility</t>
  </si>
  <si>
    <t>72948-SECURITY FLORENCE SC</t>
  </si>
  <si>
    <t>C500331</t>
  </si>
  <si>
    <t>Florence Service Center Facility - Security</t>
  </si>
  <si>
    <t>WH404-FARMERS BRANCH TX FACILITY</t>
  </si>
  <si>
    <t>C500350</t>
  </si>
  <si>
    <t>HYLA Farmers Branch Texas Facility</t>
  </si>
  <si>
    <t>8520419-Signal York Tier II</t>
  </si>
  <si>
    <t>C251362</t>
  </si>
  <si>
    <t>GT-Infr and Cloud-Signal York Tier II</t>
  </si>
  <si>
    <t>WH406-SAN DIEGO CA FACILITY</t>
  </si>
  <si>
    <t>C500352</t>
  </si>
  <si>
    <t>HYLA San Diego California Facility</t>
  </si>
  <si>
    <t>WH407-NASHVILLE FACILITY</t>
  </si>
  <si>
    <t>C500353</t>
  </si>
  <si>
    <t>HYLA Nashville Facility</t>
  </si>
  <si>
    <t>WH408-CHICAGO FACILITY</t>
  </si>
  <si>
    <t>C500354</t>
  </si>
  <si>
    <t>HYLA Chicago Facility</t>
  </si>
  <si>
    <t>WS801-WAYNE FACILITY</t>
  </si>
  <si>
    <t>C500355</t>
  </si>
  <si>
    <t>Wayne Facility</t>
  </si>
  <si>
    <t>WH409-NASHVILLE ENGINEERING FACILITY</t>
  </si>
  <si>
    <t>C500356</t>
  </si>
  <si>
    <t>HYLA Nashville Engineering Facility</t>
  </si>
  <si>
    <t>8520503-SAM</t>
  </si>
  <si>
    <t>C251363</t>
  </si>
  <si>
    <t>GT-Infr and Cloud-Sofware Asset Management</t>
  </si>
  <si>
    <t>WS102-Broadtech Lewisville Facility</t>
  </si>
  <si>
    <t>C500358</t>
  </si>
  <si>
    <t>Broadtech Lewisville TX Facility</t>
  </si>
  <si>
    <t>WS704-York Willow Springs Facility</t>
  </si>
  <si>
    <t>C500359</t>
  </si>
  <si>
    <t>York PA Willows Springs Facility</t>
  </si>
  <si>
    <t>C251364</t>
  </si>
  <si>
    <t>GT-Infr and Cloud-Wayne Tier II</t>
  </si>
  <si>
    <t>8520745 - Security Advisory Cost Center</t>
  </si>
  <si>
    <t>C250110</t>
  </si>
  <si>
    <t>GT - Sec - Security Advisory</t>
  </si>
  <si>
    <t>C251366</t>
  </si>
  <si>
    <t>GT-Infr and Cloud-Ransomware</t>
  </si>
  <si>
    <t>32171-RAPID CITY SD FACILITY</t>
  </si>
  <si>
    <t>C500501</t>
  </si>
  <si>
    <t>Rapid City SD Facility</t>
  </si>
  <si>
    <t>32172-ALBANY OR FACILITY</t>
  </si>
  <si>
    <t>C500502</t>
  </si>
  <si>
    <t>Albany OR Facility</t>
  </si>
  <si>
    <t>6300-JACKSON CHICAGO FACILITY</t>
  </si>
  <si>
    <t>C500504</t>
  </si>
  <si>
    <t>Jackson Chicago Facility</t>
  </si>
  <si>
    <t>6301-Champaign Building</t>
  </si>
  <si>
    <t>C500505</t>
  </si>
  <si>
    <t>Champaign Building</t>
  </si>
  <si>
    <t>6302-RANDOLPH FACILITY</t>
  </si>
  <si>
    <t>C500506</t>
  </si>
  <si>
    <t>Randolph Facility</t>
  </si>
  <si>
    <t>AA063-OAK RIDGE N TX FACILITY</t>
  </si>
  <si>
    <t>C500507</t>
  </si>
  <si>
    <t>Oack Ridge N TX Facility</t>
  </si>
  <si>
    <t>AA064-MONTGOMERY TX FACILITY</t>
  </si>
  <si>
    <t>C500508</t>
  </si>
  <si>
    <t>Montgomery TX Facility</t>
  </si>
  <si>
    <t>AA066-AFAS Region 66 Marketing Mailroom</t>
  </si>
  <si>
    <t>C500509</t>
  </si>
  <si>
    <t>AFAS Region 66 Marketing Mailroom</t>
  </si>
  <si>
    <t>AA068-AFAS HOUSTON TX FACILITY</t>
  </si>
  <si>
    <t>C500510</t>
  </si>
  <si>
    <t>AFAS TX Facility</t>
  </si>
  <si>
    <t>EP002-MEMPHIS FACILITY - EPG</t>
  </si>
  <si>
    <t>C500512</t>
  </si>
  <si>
    <t>EPG Memphis Facility</t>
  </si>
  <si>
    <t>W61789-ADDISON FACILITY</t>
  </si>
  <si>
    <t>C500513</t>
  </si>
  <si>
    <t>Addison Facility</t>
  </si>
  <si>
    <t>C251367</t>
  </si>
  <si>
    <t>GT-Infr and Cloud-Japan IT</t>
  </si>
  <si>
    <t>WS812-ALBANY FACILITY</t>
  </si>
  <si>
    <t>C500515</t>
  </si>
  <si>
    <t>Albany Facility</t>
  </si>
  <si>
    <t>WS830-ALBANY SECURITY SERVICES</t>
  </si>
  <si>
    <t>C500516</t>
  </si>
  <si>
    <t>Albany Facility Security Services</t>
  </si>
  <si>
    <t>C251368</t>
  </si>
  <si>
    <t>GT-Infr and Cloud-AWS Networks</t>
  </si>
  <si>
    <t>C500518</t>
  </si>
  <si>
    <t>Woodbury MN Facility</t>
  </si>
  <si>
    <t>C251369</t>
  </si>
  <si>
    <t>GT-Infr and Cloud-Australia IT</t>
  </si>
  <si>
    <t>C500520</t>
  </si>
  <si>
    <t>Milwaukeee 501 Security</t>
  </si>
  <si>
    <t>C500521</t>
  </si>
  <si>
    <t>Milwaukee Facility Security</t>
  </si>
  <si>
    <t>C251416</t>
  </si>
  <si>
    <t>GT-Infr and Cloud-AS Network Infrastructure</t>
  </si>
  <si>
    <t>C251370</t>
  </si>
  <si>
    <t>GT-Infr and Cloud-Help Desk Outsourcing</t>
  </si>
  <si>
    <t>C251371</t>
  </si>
  <si>
    <t>GT-Infr and Cloud-ASP Network Infrastructure</t>
  </si>
  <si>
    <t>C251372</t>
  </si>
  <si>
    <t>GT-Infr and Cloud-TWG Contact Center</t>
  </si>
  <si>
    <t>C251374</t>
  </si>
  <si>
    <t>GT-Infr and Cloud-Network Infrastructure Shared</t>
  </si>
  <si>
    <t>C251375</t>
  </si>
  <si>
    <t>GT-Infr and Cloud-Network Infrastructure AS ASP</t>
  </si>
  <si>
    <t>17930UK</t>
  </si>
  <si>
    <t>17930UK-MITCHELDEAN OFFICE</t>
  </si>
  <si>
    <t>C500610</t>
  </si>
  <si>
    <t>Mitcheldean UK Office</t>
  </si>
  <si>
    <t>17931UK</t>
  </si>
  <si>
    <t>17931UK-STAINES OFFICE</t>
  </si>
  <si>
    <t>C500611</t>
  </si>
  <si>
    <t>Staines UK Office</t>
  </si>
  <si>
    <t>7029-ASIA REGIONAL OFFICE SCOTT</t>
  </si>
  <si>
    <t>C500612</t>
  </si>
  <si>
    <t>Scott Asia Regional Office</t>
  </si>
  <si>
    <t>17872UK</t>
  </si>
  <si>
    <t>17872UK-SECURITY TUNSTALL-DCC</t>
  </si>
  <si>
    <t>C500613</t>
  </si>
  <si>
    <t>Tunstall DCC Facility Security</t>
  </si>
  <si>
    <t>17873UK</t>
  </si>
  <si>
    <t>17873UK-SECURITY CREWE</t>
  </si>
  <si>
    <t>C500614</t>
  </si>
  <si>
    <t>Crewe Security</t>
  </si>
  <si>
    <t>C251376</t>
  </si>
  <si>
    <t>GT-Infr and Cloud-DCO Special Projects</t>
  </si>
  <si>
    <t>10206FR</t>
  </si>
  <si>
    <t>10206FR-SECURITY FR</t>
  </si>
  <si>
    <t>C500700</t>
  </si>
  <si>
    <t>Security</t>
  </si>
  <si>
    <t>WS700-Quality Training BPC Compliance GA</t>
  </si>
  <si>
    <t>C503000</t>
  </si>
  <si>
    <t>CL - Mobile - Quality Training BPC Compliance GA</t>
  </si>
  <si>
    <t>WS701-Quality</t>
  </si>
  <si>
    <t>C503001</t>
  </si>
  <si>
    <t>CL - Mobile - Quality</t>
  </si>
  <si>
    <t>8540700-Strategy Planning Delivery Mgmt</t>
  </si>
  <si>
    <t>C250401</t>
  </si>
  <si>
    <t>GT - Architecture - Strategy Planning Delivery Mgt</t>
  </si>
  <si>
    <t>WS707-Materials Bulk Fulfillment Indirect</t>
  </si>
  <si>
    <t>C503003</t>
  </si>
  <si>
    <t>CL - Mobile - Materials Bulk Fulfillment Indirect</t>
  </si>
  <si>
    <t>WS708-Prod Control Purchasing Indirect</t>
  </si>
  <si>
    <t>C503004</t>
  </si>
  <si>
    <t>CL - Mobile - Prod Control Purchasing Indirect</t>
  </si>
  <si>
    <t>WS710-Reverse Logistics Direct</t>
  </si>
  <si>
    <t>C503005</t>
  </si>
  <si>
    <t>CL - Mobile - Reverse Logistics Direct</t>
  </si>
  <si>
    <t>WS713-Trading Desk Direct</t>
  </si>
  <si>
    <t>C503006</t>
  </si>
  <si>
    <t>CL - Mobile - Trading Desk Direct</t>
  </si>
  <si>
    <t>8545650:MCSFT EA</t>
  </si>
  <si>
    <t>C251377</t>
  </si>
  <si>
    <t>GT-Infr and Cloud-Sharepoint</t>
  </si>
  <si>
    <t>WS720-Materials Management</t>
  </si>
  <si>
    <t>C503008</t>
  </si>
  <si>
    <t>CL - Mobile - Materials Management</t>
  </si>
  <si>
    <t>WS721-Operations Engineering Indirect</t>
  </si>
  <si>
    <t>C503009</t>
  </si>
  <si>
    <t>CL - Mobile - Operations Engineering Indirect</t>
  </si>
  <si>
    <t>WS722-Quality Indirect</t>
  </si>
  <si>
    <t>C503010</t>
  </si>
  <si>
    <t>CL - Mobile - Quality Indirect</t>
  </si>
  <si>
    <t>C251378</t>
  </si>
  <si>
    <t>GT-Infr and Cloud-MFH PC-Laptops</t>
  </si>
  <si>
    <t>WS730-Technical Services</t>
  </si>
  <si>
    <t>C503012</t>
  </si>
  <si>
    <t>CL - Mobile - Technical Services</t>
  </si>
  <si>
    <t>WS731-Supply Chain and Business Support</t>
  </si>
  <si>
    <t>C503013</t>
  </si>
  <si>
    <t>CL - Mobile - Supply Chain and Business Support</t>
  </si>
  <si>
    <t>WS736-Operations Engineering GA</t>
  </si>
  <si>
    <t>C503014</t>
  </si>
  <si>
    <t>CL - Mobile - Operations Engineering GA</t>
  </si>
  <si>
    <t>WS740-Forward Logistics Indirect</t>
  </si>
  <si>
    <t>C503015</t>
  </si>
  <si>
    <t>CL - Mobile - Forward Logistics Indirect</t>
  </si>
  <si>
    <t>WS741-Reverse Logistics Indirect</t>
  </si>
  <si>
    <t>C503016</t>
  </si>
  <si>
    <t>CL - Mobile -Reverse Logistics Indirect</t>
  </si>
  <si>
    <t>C251379</t>
  </si>
  <si>
    <t>GT-Infr and Cloud-AI Desktop Hw Direct</t>
  </si>
  <si>
    <t>C251380</t>
  </si>
  <si>
    <t>GT-Infr and Cloud-GS PC-Laptops</t>
  </si>
  <si>
    <t>WS766-Forward and Reverse Logistics GA</t>
  </si>
  <si>
    <t>C503019</t>
  </si>
  <si>
    <t>CL - Mobile - Forward and Reverse Logistics GA</t>
  </si>
  <si>
    <t>WS767-Trading Desk Support GA</t>
  </si>
  <si>
    <t>C503020</t>
  </si>
  <si>
    <t>CL - Mobile - Trading Desk Support GA</t>
  </si>
  <si>
    <t>WS790-Asset Recovery Support Staff</t>
  </si>
  <si>
    <t>C503021</t>
  </si>
  <si>
    <t>CL - Mobile - Asset Recovery Support Staff</t>
  </si>
  <si>
    <t>WS793-ECOM Support GA</t>
  </si>
  <si>
    <t>C503022</t>
  </si>
  <si>
    <t>CL - Mobile - ECOM Support GA</t>
  </si>
  <si>
    <t>WS816-International Repairs And Logistics</t>
  </si>
  <si>
    <t>C503023</t>
  </si>
  <si>
    <t>CL - Mobile - International Repairs And Logistics</t>
  </si>
  <si>
    <t>C251381</t>
  </si>
  <si>
    <t>GT-Infr and Cloud-DFS PC-Laptops</t>
  </si>
  <si>
    <t>WS723-CWORK CUSTOMER SERVICE</t>
  </si>
  <si>
    <t>C503025</t>
  </si>
  <si>
    <t>CL - Mobile - Cwork Customer Service</t>
  </si>
  <si>
    <t>WS746-TMO JUMP PHP</t>
  </si>
  <si>
    <t>C503026</t>
  </si>
  <si>
    <t>CL - Mobile -TMO Jump PHP</t>
  </si>
  <si>
    <t>C251382</t>
  </si>
  <si>
    <t>GT-Infr and Cloud-Signal PC Laptops</t>
  </si>
  <si>
    <t>11910-GLOBAL STRATEGY</t>
  </si>
  <si>
    <t>C503028</t>
  </si>
  <si>
    <t>CL - Mobile - Global Strategy</t>
  </si>
  <si>
    <t>C251383</t>
  </si>
  <si>
    <t>GT-Infr and Cloud-AS Desktop Hw Direct</t>
  </si>
  <si>
    <t>W20792-FINANCE SOLUTIONS</t>
  </si>
  <si>
    <t>C503030</t>
  </si>
  <si>
    <t>CL - Mobile - Finance Solutions</t>
  </si>
  <si>
    <t>WS100-MOBILE ADMINISTRATION</t>
  </si>
  <si>
    <t>C503031</t>
  </si>
  <si>
    <t>CL - Mobile - Mobile Administration</t>
  </si>
  <si>
    <t>WS300-GSTP SUPPORT SERVICES</t>
  </si>
  <si>
    <t>C503032</t>
  </si>
  <si>
    <t>CL - Mobile - GSTP Support Services</t>
  </si>
  <si>
    <t>C251384</t>
  </si>
  <si>
    <t>GT-Infr and Cloud-AMS PC-Laptops</t>
  </si>
  <si>
    <t>C251385</t>
  </si>
  <si>
    <t>GT-Infr and Cloud-HRO &amp; OEM PC-Laptops</t>
  </si>
  <si>
    <t>WS734-TMOBILE DIRECT SUPPORT</t>
  </si>
  <si>
    <t>C503035</t>
  </si>
  <si>
    <t>CL - Mobile - T-Mobile Direct Support</t>
  </si>
  <si>
    <t>C251386</t>
  </si>
  <si>
    <t>GT-Infr and Cloud-VPS-TWG PC-Laptops</t>
  </si>
  <si>
    <t>WS737-NON TMOBILE CLIENT EXPENSES</t>
  </si>
  <si>
    <t>C503037</t>
  </si>
  <si>
    <t>CL - Mobile - Non T-Mobile Client Expenses</t>
  </si>
  <si>
    <t>C251387</t>
  </si>
  <si>
    <t>GT-Infr and Cloud-Westcoast - PC Laptops</t>
  </si>
  <si>
    <t>C251388</t>
  </si>
  <si>
    <t>GT-Infr and Cloud-ASP Desktop Hw Direct</t>
  </si>
  <si>
    <t>WS768-PROTECT SELECT</t>
  </si>
  <si>
    <t>C503040</t>
  </si>
  <si>
    <t>CL - Mobile - Protect Select</t>
  </si>
  <si>
    <t>8551020 - Zero Touch</t>
  </si>
  <si>
    <t>C251405</t>
  </si>
  <si>
    <t>GT-Infr and Cloud-Zero Touch</t>
  </si>
  <si>
    <t>WS732-IMS COMPLIANCE</t>
  </si>
  <si>
    <t>C503042</t>
  </si>
  <si>
    <t>CL - Mobile - IMS Compliance</t>
  </si>
  <si>
    <t>WS764-CLAIMS OPS TRAINING</t>
  </si>
  <si>
    <t>C503043</t>
  </si>
  <si>
    <t>CL -  Mobile - Claim Ops Training</t>
  </si>
  <si>
    <t>WS739:CL CPO SOLUTIONS</t>
  </si>
  <si>
    <t>C503044</t>
  </si>
  <si>
    <t>CL - Mobile - CPO Solutions</t>
  </si>
  <si>
    <t>8551043-Shared Desktop FTE SW</t>
  </si>
  <si>
    <t>C251390</t>
  </si>
  <si>
    <t>GT-Infr and Cloud-Shared Desktop Fte Sw</t>
  </si>
  <si>
    <t>T0003PR</t>
  </si>
  <si>
    <t>T0003PR-S&amp;R CENTRAL COSTS</t>
  </si>
  <si>
    <t>C503051</t>
  </si>
  <si>
    <t>CL - Mobile - Service and Repair Central Costs</t>
  </si>
  <si>
    <t>TM001-S&amp;R DEPOT</t>
  </si>
  <si>
    <t>C503052</t>
  </si>
  <si>
    <t>CL - Mobile - Service and Repair Depot</t>
  </si>
  <si>
    <t>TM002PR</t>
  </si>
  <si>
    <t>TM002PR-S&amp;R STORES</t>
  </si>
  <si>
    <t>C503053</t>
  </si>
  <si>
    <t>CL - Mobile - Service and Repair Stores</t>
  </si>
  <si>
    <t>C250011</t>
  </si>
  <si>
    <t>GT - CTO - Data Analytics Cloud</t>
  </si>
  <si>
    <t>C250111</t>
  </si>
  <si>
    <t>GT - Sec - IT Security Cloud</t>
  </si>
  <si>
    <t>93809-LITIGATION EXPENSE AMS</t>
  </si>
  <si>
    <t>C503900</t>
  </si>
  <si>
    <t>CL - Mobile - AMS Litigation Expense</t>
  </si>
  <si>
    <t>WH444-TN Call Center Support</t>
  </si>
  <si>
    <t>C505000</t>
  </si>
  <si>
    <t>CL - Mobile - TN - Call Center Support</t>
  </si>
  <si>
    <t>WH483-TN Software Dev</t>
  </si>
  <si>
    <t>C505001</t>
  </si>
  <si>
    <t>CL - Mobile - TN - Software Dev</t>
  </si>
  <si>
    <t>C251391</t>
  </si>
  <si>
    <t>GT-Infr and Cloud-Data Center Optimization</t>
  </si>
  <si>
    <t>C251392</t>
  </si>
  <si>
    <t>GT-Infr and Cloud-UK IT</t>
  </si>
  <si>
    <t>C251393</t>
  </si>
  <si>
    <t>GT-Infr and Cloud-AS Tmobile Servers</t>
  </si>
  <si>
    <t>C251394</t>
  </si>
  <si>
    <t>GT-Infr and Cloud-SSP DCO</t>
  </si>
  <si>
    <t>C251395</t>
  </si>
  <si>
    <t>GT-Infr and Cloud-AS Storage SAN Hw Sw Direct</t>
  </si>
  <si>
    <t>WH600-TN Supply Chain Plan</t>
  </si>
  <si>
    <t>C505007</t>
  </si>
  <si>
    <t>CL - Mobile - TN - Supply Chain Plan</t>
  </si>
  <si>
    <t>WH621-TN Supply Chain</t>
  </si>
  <si>
    <t>C505008</t>
  </si>
  <si>
    <t>CL - Mobile - TN - Supply Chain</t>
  </si>
  <si>
    <t>WH622-TN Supply Chain General</t>
  </si>
  <si>
    <t>C505009</t>
  </si>
  <si>
    <t>CL - Mobile - TN - Supply Chain General</t>
  </si>
  <si>
    <t>WH623-TN Supply Chain Train</t>
  </si>
  <si>
    <t>C505010</t>
  </si>
  <si>
    <t>CL - Mobile - TN - Supply Chain Train</t>
  </si>
  <si>
    <t>WH624-TN Supply Chain BB Ops</t>
  </si>
  <si>
    <t>C505011</t>
  </si>
  <si>
    <t>CL - Mobile - TN - Supply Chain BB Ops</t>
  </si>
  <si>
    <t>WH626-TN Supply Chain BB Ship</t>
  </si>
  <si>
    <t>C505012</t>
  </si>
  <si>
    <t>CL - Mobile - TN - Supply Chain BB Ship</t>
  </si>
  <si>
    <t>WH627-TN Supply Chain BB Supp</t>
  </si>
  <si>
    <t>C505013</t>
  </si>
  <si>
    <t>CL - Mobile - TN - Supply Chain BB Supp</t>
  </si>
  <si>
    <t>WH630-TN Supply Chain ATT Ops</t>
  </si>
  <si>
    <t>C505014</t>
  </si>
  <si>
    <t>CL - Mobile - TN - Supply Chain ATT Ops</t>
  </si>
  <si>
    <t>WH631-TN Supply Chain ATT Hub</t>
  </si>
  <si>
    <t>C505015</t>
  </si>
  <si>
    <t>CL - Mobile - TN - Supply Chain ATT Hub</t>
  </si>
  <si>
    <t>WH632-TN Supply Chain ATT Supp</t>
  </si>
  <si>
    <t>C505016</t>
  </si>
  <si>
    <t>CL - Mobile - TN - Supply Chain ATT Supp</t>
  </si>
  <si>
    <t>WH633-TN Supply Chain ATT Repair</t>
  </si>
  <si>
    <t>C505017</t>
  </si>
  <si>
    <t>CL - Mobile - TN - Supply Chain ATT Repair</t>
  </si>
  <si>
    <t>C253006</t>
  </si>
  <si>
    <t>GT-LS INTL-GL Public Cloud</t>
  </si>
  <si>
    <t>WH636-TN Picking</t>
  </si>
  <si>
    <t>C505019</t>
  </si>
  <si>
    <t>CL - Mobile - TN - Picking</t>
  </si>
  <si>
    <t>WH637-TN Google</t>
  </si>
  <si>
    <t>C505020</t>
  </si>
  <si>
    <t>CL - Mobile - TN - Google</t>
  </si>
  <si>
    <t>WH638-TN Supply Chain Inventory Control</t>
  </si>
  <si>
    <t>C505021</t>
  </si>
  <si>
    <t>CL - Mobile - TN - Supply Chain Inventory Control</t>
  </si>
  <si>
    <t>WH643-TN Tech Product Development</t>
  </si>
  <si>
    <t>C505022</t>
  </si>
  <si>
    <t>CL - Mobile - TN - Tech Product Development</t>
  </si>
  <si>
    <t>C253010</t>
  </si>
  <si>
    <t>GT-LS INTL-LS Public Intl Cloud</t>
  </si>
  <si>
    <t>C251396</t>
  </si>
  <si>
    <t>GT-Infr and Cloud-ASP Server Hw Sw Direct</t>
  </si>
  <si>
    <t>C251397</t>
  </si>
  <si>
    <t>GT-Infr and Cloud-ASP Storage San Hw Sw Direct</t>
  </si>
  <si>
    <t>C252126</t>
  </si>
  <si>
    <t>GT-GH-GH  Public Cloud</t>
  </si>
  <si>
    <t>C251398</t>
  </si>
  <si>
    <t>GT-Infr and Cloud-Rubrik Intl</t>
  </si>
  <si>
    <t>C254002</t>
  </si>
  <si>
    <t>GT - TWG Apps - Auto Apps Cloud</t>
  </si>
  <si>
    <t>C254003</t>
  </si>
  <si>
    <t>GT - TWG Apps - Auto Apps Intl Cloud</t>
  </si>
  <si>
    <t>WH666-TN Supply Chain Apple Ops</t>
  </si>
  <si>
    <t>C505030</t>
  </si>
  <si>
    <t>CL - Mobile - TN - Supply Chain Apple Ops</t>
  </si>
  <si>
    <t>WH670-TN Target Ops</t>
  </si>
  <si>
    <t>C505031</t>
  </si>
  <si>
    <t>CL - Mobile - TN - Target Ops</t>
  </si>
  <si>
    <t>C251399</t>
  </si>
  <si>
    <t>GT-Infr and Cloud-Corp Apps Cloud</t>
  </si>
  <si>
    <t>WH677-TN Supply Chain BB Receiving</t>
  </si>
  <si>
    <t>C505033</t>
  </si>
  <si>
    <t>CL - Mobile - TN - Supply Chain BB Receiving</t>
  </si>
  <si>
    <t>WH679-TN Supply Chain USC Receiving</t>
  </si>
  <si>
    <t>C505034</t>
  </si>
  <si>
    <t>CL - Mobile - TN - Supply Chain USC Receiving</t>
  </si>
  <si>
    <t>WH681-TN Supply Chain Google Receiving</t>
  </si>
  <si>
    <t>C505035</t>
  </si>
  <si>
    <t>CL - Mobile - TN - Supply Chain Google Receiving</t>
  </si>
  <si>
    <t>WH692-TN Quality</t>
  </si>
  <si>
    <t>C505036</t>
  </si>
  <si>
    <t>CL - Mobile - TN - Quality</t>
  </si>
  <si>
    <t>WH693-TN Opstech Support</t>
  </si>
  <si>
    <t>C505037</t>
  </si>
  <si>
    <t>CL - Mobile - TN - Opstech Support</t>
  </si>
  <si>
    <t>WH001-TN MOBILE</t>
  </si>
  <si>
    <t>C505038</t>
  </si>
  <si>
    <t>CL - Mobile - TN - Mobile</t>
  </si>
  <si>
    <t>WH002-TN GENERAL</t>
  </si>
  <si>
    <t>C505039</t>
  </si>
  <si>
    <t>CL - Mobile - TN - General</t>
  </si>
  <si>
    <t>WH400-HYLA IT PLAN</t>
  </si>
  <si>
    <t>C505040</t>
  </si>
  <si>
    <t>CL - Mobile - TN - IT Plan</t>
  </si>
  <si>
    <t>WH401-TN CORPORATE</t>
  </si>
  <si>
    <t>C505041</t>
  </si>
  <si>
    <t>CL - Mobile - TN - Corporate</t>
  </si>
  <si>
    <t>WH420-TN BUSINESS DEV AND MARKETING</t>
  </si>
  <si>
    <t>C505042</t>
  </si>
  <si>
    <t>CL - Mobile - TN - Business Development and Mktg</t>
  </si>
  <si>
    <t>WH441-TN PROGRAM MGMT OFFICE</t>
  </si>
  <si>
    <t>C505043</t>
  </si>
  <si>
    <t>CL - Mobile - TN - Program Management Office</t>
  </si>
  <si>
    <t>WH487-TN ENTERPRISE SOFTWARE</t>
  </si>
  <si>
    <t>C505044</t>
  </si>
  <si>
    <t>CL - Mobile - TN - Enterprise Software</t>
  </si>
  <si>
    <t>8560860:CL DIGITAL CLOUD</t>
  </si>
  <si>
    <t>C251005</t>
  </si>
  <si>
    <t>GT-Digital-Digital Cloud</t>
  </si>
  <si>
    <t>WH667-TN SUPPLY CHAIN APPLE SUPPORT</t>
  </si>
  <si>
    <t>C505046</t>
  </si>
  <si>
    <t>CL - Mobile - TN - Supply Chain Apple Support</t>
  </si>
  <si>
    <t>WH668-TN WIRELESS ADVOCATES OPS</t>
  </si>
  <si>
    <t>C505047</t>
  </si>
  <si>
    <t>CL - Mobile - TN - Wireless Advocates Ops</t>
  </si>
  <si>
    <t>WH683-TN SUPPLY CHAIN SAMSUNG RECEIVING</t>
  </si>
  <si>
    <t>C505048</t>
  </si>
  <si>
    <t>CL - Mobile - TN - Supply Chain Samsung Receiving</t>
  </si>
  <si>
    <t>WH900-TN ACCOUNT EXECUTIVES</t>
  </si>
  <si>
    <t>C505049</t>
  </si>
  <si>
    <t>CL - Mobile - TN - Account Executives</t>
  </si>
  <si>
    <t>C250620</t>
  </si>
  <si>
    <t>GT-Strat Tran Gov-Strategy And Arch Cloud</t>
  </si>
  <si>
    <t>WH642-TN TECH BUSINESS ANALYTICS</t>
  </si>
  <si>
    <t>C505051</t>
  </si>
  <si>
    <t>CL - Mobile - TN - Business Analytics</t>
  </si>
  <si>
    <t>WH663:DOCK SHIPPING</t>
  </si>
  <si>
    <t>C505052</t>
  </si>
  <si>
    <t>CL – Mobile – TN – Dock Shipping</t>
  </si>
  <si>
    <t>WH646</t>
  </si>
  <si>
    <t>WH646:ATT BRE- NEXT RECEIVING</t>
  </si>
  <si>
    <t>C505053</t>
  </si>
  <si>
    <t>CL - Mobile - TN - ATT BRE-Next Receiving</t>
  </si>
  <si>
    <t>WH647</t>
  </si>
  <si>
    <t>WH647:LIBERTY RECEIVING</t>
  </si>
  <si>
    <t>C505054</t>
  </si>
  <si>
    <t>CL - Mobile - TN - Liberty Receiving</t>
  </si>
  <si>
    <t>WH648:DOCK RECEIVING</t>
  </si>
  <si>
    <t>C505055</t>
  </si>
  <si>
    <t>CL - Mobile - TN - Dock Receiving</t>
  </si>
  <si>
    <t>C251400</t>
  </si>
  <si>
    <t>GT-Infr and Cloud-Inc Shared Servers Hw Sw</t>
  </si>
  <si>
    <t>WH660</t>
  </si>
  <si>
    <t>WH660:ATT BRE- NEXT OPS</t>
  </si>
  <si>
    <t>C505057</t>
  </si>
  <si>
    <t>CL - Mobile - TN - ATT BRE-Next Ops</t>
  </si>
  <si>
    <t>WH696</t>
  </si>
  <si>
    <t>WH696:LIBERTY SUPPORT</t>
  </si>
  <si>
    <t>C505058</t>
  </si>
  <si>
    <t>CL - Mobile - TN - Liberty Support</t>
  </si>
  <si>
    <t>WH697</t>
  </si>
  <si>
    <t>WH697:LIBERTY OPS</t>
  </si>
  <si>
    <t>C505059</t>
  </si>
  <si>
    <t>CL - Mobile - TN - Liberty Ops</t>
  </si>
  <si>
    <t>WS101-Mobile Svcs Broadtech Operations</t>
  </si>
  <si>
    <t>C506000</t>
  </si>
  <si>
    <t>CL - Mobile - Broadtech - Operations</t>
  </si>
  <si>
    <t>C251401</t>
  </si>
  <si>
    <t>GT-Infr and Cloud-AIZ Corp Public Cloud</t>
  </si>
  <si>
    <t>C251402</t>
  </si>
  <si>
    <t>GT-Infr and Cloud-AIZ Shared Public Cloud</t>
  </si>
  <si>
    <t>WS828-Sales Optimization TMobile</t>
  </si>
  <si>
    <t>C506003</t>
  </si>
  <si>
    <t>CL - Mobile - Sales Optimization - Tmobile</t>
  </si>
  <si>
    <t>WS106 - Broadtech General and Administrative</t>
  </si>
  <si>
    <t>C506004</t>
  </si>
  <si>
    <t>CL - Mobile - Broadtech - General and Administrative</t>
  </si>
  <si>
    <t>WS829-Sales Optimization Metro</t>
  </si>
  <si>
    <t>C506005</t>
  </si>
  <si>
    <t>CL - Mobile - Sales Optimization - Metro</t>
  </si>
  <si>
    <t>WS831-Sales Optimization Comcast</t>
  </si>
  <si>
    <t>C506006</t>
  </si>
  <si>
    <t>CL - Mobile - Sales Optimization - Comcast</t>
  </si>
  <si>
    <t>WS120-Signal Risk Management</t>
  </si>
  <si>
    <t>C506007</t>
  </si>
  <si>
    <t>CL - Mobile - Signal - Risk Management</t>
  </si>
  <si>
    <t>WS832-Sales Optimization Charter</t>
  </si>
  <si>
    <t>C506008</t>
  </si>
  <si>
    <t>CL - Mobile - Sales Optimization - Charter</t>
  </si>
  <si>
    <t>C251403</t>
  </si>
  <si>
    <t>GT-Infr and Cloud-Inc Shared San Storage Hw Sw</t>
  </si>
  <si>
    <t>WS226-AT&amp;T Directv</t>
  </si>
  <si>
    <t>C506010</t>
  </si>
  <si>
    <t>CL - Mobile - AT&amp;T Directv</t>
  </si>
  <si>
    <t>WS833-Sales Optimization Lowes</t>
  </si>
  <si>
    <t>C506011</t>
  </si>
  <si>
    <t>CL - Mobile - Sales Optimization - Lowes</t>
  </si>
  <si>
    <t>WS834-Sales Opt American Freight</t>
  </si>
  <si>
    <t>C506012</t>
  </si>
  <si>
    <t>CL - Mobile - Sales Optimization - Freight</t>
  </si>
  <si>
    <t>WS227-Verizon Samsung</t>
  </si>
  <si>
    <t>C506013</t>
  </si>
  <si>
    <t>CL - Mobile - Verizon Samsung</t>
  </si>
  <si>
    <t>WS228-Regional Carriers &amp; OEMS</t>
  </si>
  <si>
    <t>C506014</t>
  </si>
  <si>
    <t>CL - Mobile - Regional Carriers &amp; OEMS</t>
  </si>
  <si>
    <t>C251404</t>
  </si>
  <si>
    <t>GT-Infr and Cloud-Inc Shared Data Protection</t>
  </si>
  <si>
    <t>WS229-Mobile Client Financial Partnership</t>
  </si>
  <si>
    <t>C506016</t>
  </si>
  <si>
    <t>CL - Mobile - Mobile Client Financial Partnership</t>
  </si>
  <si>
    <t>WS836-Sales Optimization GE Tech</t>
  </si>
  <si>
    <t>C506017</t>
  </si>
  <si>
    <t>CL - Mobile - Sales Optimization - GE Tech</t>
  </si>
  <si>
    <t>C251412</t>
  </si>
  <si>
    <t>GT-Infr and Cloud-RC Tier II Support</t>
  </si>
  <si>
    <t>10005RC</t>
  </si>
  <si>
    <t>10005RC-CHINA FOR SOUTH KOREA</t>
  </si>
  <si>
    <t>C050101</t>
  </si>
  <si>
    <t>Regional - China for South Korea</t>
  </si>
  <si>
    <t>10015AU</t>
  </si>
  <si>
    <t>10015AU-ALEGRE SALES &amp; BD</t>
  </si>
  <si>
    <t>C601014</t>
  </si>
  <si>
    <t>Alegre Sales &amp; BD</t>
  </si>
  <si>
    <t>10050RC</t>
  </si>
  <si>
    <t>10050RC-China Operations</t>
  </si>
  <si>
    <t>CI60003</t>
  </si>
  <si>
    <t>Operations 10050RC</t>
  </si>
  <si>
    <t>WS837-SALES OPTIMIZATION BLUE NILE</t>
  </si>
  <si>
    <t>C506024</t>
  </si>
  <si>
    <t>CL - Mobile - Sales Optimization - Blue Nile</t>
  </si>
  <si>
    <t>WS838-SALES OPTIMIZATION REEDS</t>
  </si>
  <si>
    <t>C506025</t>
  </si>
  <si>
    <t>CL - Mobile - Sales Optimization - Reeds</t>
  </si>
  <si>
    <t>WS840-SALES OPTIMIZATION AT&amp;T</t>
  </si>
  <si>
    <t>C506026</t>
  </si>
  <si>
    <t>CL - Mobile - Sales Optimization - ATT</t>
  </si>
  <si>
    <t>WS900-WIN NEW SALES</t>
  </si>
  <si>
    <t>C506027</t>
  </si>
  <si>
    <t>CL - Mobile - Sales Optimization - WIN New Sales</t>
  </si>
  <si>
    <t>WS826-SALES OPTIMIZATION USCC</t>
  </si>
  <si>
    <t>C506028</t>
  </si>
  <si>
    <t>CL - Mobile - Sales Optimization - USCC</t>
  </si>
  <si>
    <t>10150AG</t>
  </si>
  <si>
    <t>10150AG-Finance</t>
  </si>
  <si>
    <t>CI10010</t>
  </si>
  <si>
    <t>Finance - Country Finance Management 10150AG</t>
  </si>
  <si>
    <t>WS791-MOBILE INTEGRATION COSTS</t>
  </si>
  <si>
    <t>C506030</t>
  </si>
  <si>
    <t>CL - Mobile - Broadtech - Mobile Integration Costs</t>
  </si>
  <si>
    <t>WS792-TMOBILE BUYERS REMORSE</t>
  </si>
  <si>
    <t>C506031</t>
  </si>
  <si>
    <t>CL - Mobile - Broadtech - Tmobile Buyers Remorese</t>
  </si>
  <si>
    <t>WS839-SALES OPTIMIZATION SUMMIT RACING</t>
  </si>
  <si>
    <t>C506032</t>
  </si>
  <si>
    <t>CL - Mobile - Sales Optimization - Summit Racing</t>
  </si>
  <si>
    <t>10150AGPRND</t>
  </si>
  <si>
    <t>10150AG-Finance (Preneed)</t>
  </si>
  <si>
    <t>C010903</t>
  </si>
  <si>
    <t>Finance - Preneed</t>
  </si>
  <si>
    <t>10150BZ</t>
  </si>
  <si>
    <t>10150BZ-Finance</t>
  </si>
  <si>
    <t>CI10042</t>
  </si>
  <si>
    <t>Finance - Country Finance Management 10150BZ</t>
  </si>
  <si>
    <t>10150BZTAX</t>
  </si>
  <si>
    <t>10150BZ-Finance (Tax)</t>
  </si>
  <si>
    <t>CI10502</t>
  </si>
  <si>
    <t>Tax - Corporate 10150BZTAX</t>
  </si>
  <si>
    <t>10150CL</t>
  </si>
  <si>
    <t>10150CL-Finance Chile</t>
  </si>
  <si>
    <t>CI10016</t>
  </si>
  <si>
    <t>Finance - Country Finance Management 10150CL</t>
  </si>
  <si>
    <t>10150DE</t>
  </si>
  <si>
    <t>10150DE-FINANCE DE</t>
  </si>
  <si>
    <t>CI10022</t>
  </si>
  <si>
    <t>Finance - Country Finance Management 10150DE</t>
  </si>
  <si>
    <t>7481-PINZ</t>
  </si>
  <si>
    <t>C509600</t>
  </si>
  <si>
    <t>Protecta New Zealand</t>
  </si>
  <si>
    <t>7479-PROTECTA IMO</t>
  </si>
  <si>
    <t>C509601</t>
  </si>
  <si>
    <t>Protecta IMO</t>
  </si>
  <si>
    <t>7491-PROTECTA US CORPORATE</t>
  </si>
  <si>
    <t>C509602</t>
  </si>
  <si>
    <t>Protecta US Corporate</t>
  </si>
  <si>
    <t>7493-PROTECTA SUPPORT IGCC</t>
  </si>
  <si>
    <t>C509603</t>
  </si>
  <si>
    <t>Protect Support IGCC</t>
  </si>
  <si>
    <t>10150ES</t>
  </si>
  <si>
    <t>10150ES-FINANCE ES</t>
  </si>
  <si>
    <t>CI10033</t>
  </si>
  <si>
    <t>Finance - Country Finance Management 10150ES</t>
  </si>
  <si>
    <t>7800:TELSTRA OVERALL</t>
  </si>
  <si>
    <t>C509701</t>
  </si>
  <si>
    <t>Telestra - Overall</t>
  </si>
  <si>
    <t>7801:TELSTRA FINANCE</t>
  </si>
  <si>
    <t>C509702</t>
  </si>
  <si>
    <t>Telestra - Finance</t>
  </si>
  <si>
    <t>7802:TELSTRA IT</t>
  </si>
  <si>
    <t>C509703</t>
  </si>
  <si>
    <t>Telestra - IT</t>
  </si>
  <si>
    <t>7803:TELSTRA OPERATIONS</t>
  </si>
  <si>
    <t>C509704</t>
  </si>
  <si>
    <t>Telestra - Operations</t>
  </si>
  <si>
    <t>7804:TELSTRA SALES</t>
  </si>
  <si>
    <t>C509705</t>
  </si>
  <si>
    <t>Telestra - Sales</t>
  </si>
  <si>
    <t>10150FR</t>
  </si>
  <si>
    <t>10150FR-FINANCE MANAGEMENT FR</t>
  </si>
  <si>
    <t>CI10020</t>
  </si>
  <si>
    <t>Finance - Country Finance Management 10150FR</t>
  </si>
  <si>
    <t>10150IT</t>
  </si>
  <si>
    <t>10150IT-FINANCE ITALY</t>
  </si>
  <si>
    <t>CI10024</t>
  </si>
  <si>
    <t>Finance - Country Finance Management 10150IT</t>
  </si>
  <si>
    <t>10150JP</t>
  </si>
  <si>
    <t>10150JP-Finance Japan</t>
  </si>
  <si>
    <t>CI10025</t>
  </si>
  <si>
    <t>Finance - Country Finance Management 10150JP</t>
  </si>
  <si>
    <t>20100-Processing Opts Atlanta</t>
  </si>
  <si>
    <t>C515001</t>
  </si>
  <si>
    <t>CL - HRO - Processing Ops Atlanta</t>
  </si>
  <si>
    <t>20101-PPO Setup And Compliance</t>
  </si>
  <si>
    <t>C515002</t>
  </si>
  <si>
    <t>CL - HRO - PPO Setup And Compliance</t>
  </si>
  <si>
    <t>10150LO-Latam Finance</t>
  </si>
  <si>
    <t>C010011</t>
  </si>
  <si>
    <t>Finance - Latin America</t>
  </si>
  <si>
    <t>10150MX</t>
  </si>
  <si>
    <t>10150MX-Accounting Mexico</t>
  </si>
  <si>
    <t>CI10155</t>
  </si>
  <si>
    <t>Global Accounting - General Accounting 10150MX</t>
  </si>
  <si>
    <t>20642-Mail Data Entry And Fulfillment</t>
  </si>
  <si>
    <t>C515005</t>
  </si>
  <si>
    <t>CL - HRO - Mail Data Entry And Fulfillment</t>
  </si>
  <si>
    <t>10150RC</t>
  </si>
  <si>
    <t>10150RC-Finance</t>
  </si>
  <si>
    <t>CI10017</t>
  </si>
  <si>
    <t>Finance - Country Finance Management 10150RC</t>
  </si>
  <si>
    <t>10150UK</t>
  </si>
  <si>
    <t>10150UK-FINANCE UK</t>
  </si>
  <si>
    <t>CI10034</t>
  </si>
  <si>
    <t>Finance - Country Finance Management 10150UK</t>
  </si>
  <si>
    <t>10151AG</t>
  </si>
  <si>
    <t>10151AG-FINANCE ANDEAN ARG</t>
  </si>
  <si>
    <t>C050013</t>
  </si>
  <si>
    <t>Regional - Finance</t>
  </si>
  <si>
    <t>93310-MLS Voluntary</t>
  </si>
  <si>
    <t>C515010</t>
  </si>
  <si>
    <t>CL - HRO - MLS Voluntary</t>
  </si>
  <si>
    <t>W20301-Businesingle Source Processing Team</t>
  </si>
  <si>
    <t>C515011</t>
  </si>
  <si>
    <t>CL - HRO - Businesingle Source Processing Team</t>
  </si>
  <si>
    <t>W20704-Solutions Engineering</t>
  </si>
  <si>
    <t>C515012</t>
  </si>
  <si>
    <t>CL - HRO - Solutions Engineering</t>
  </si>
  <si>
    <t>10151CL</t>
  </si>
  <si>
    <t>10151CL:FINANCE CHILE ALLOCATIONS</t>
  </si>
  <si>
    <t>C292001</t>
  </si>
  <si>
    <t>Allocations - Finance - Chile</t>
  </si>
  <si>
    <t>10151FR</t>
  </si>
  <si>
    <t>10151FR-Finance Budget Control FR</t>
  </si>
  <si>
    <t>CI10425</t>
  </si>
  <si>
    <t>FPA - International 10151FR</t>
  </si>
  <si>
    <t>W20791-New Sales Connected Home</t>
  </si>
  <si>
    <t>C515015</t>
  </si>
  <si>
    <t>CL - HRO - Connected Home - New Sales Connected Home</t>
  </si>
  <si>
    <t>W20794-Home Solutions Implementation</t>
  </si>
  <si>
    <t>C515016</t>
  </si>
  <si>
    <t>CL - HRO - Home Solutions Implementation</t>
  </si>
  <si>
    <t>10151LO</t>
  </si>
  <si>
    <t>10151LO-LATAM OTHER PLACEHOLDER</t>
  </si>
  <si>
    <t>CI50021</t>
  </si>
  <si>
    <t>W61791-In Home Service Delivery</t>
  </si>
  <si>
    <t>C515018</t>
  </si>
  <si>
    <t>CL - HRO - In Home Service Delivery</t>
  </si>
  <si>
    <t>W61796-Open Call Management</t>
  </si>
  <si>
    <t>C515019</t>
  </si>
  <si>
    <t>CL - HRO - Open Call Management</t>
  </si>
  <si>
    <t>U9980-NEW CONSUMER INITIATIVES</t>
  </si>
  <si>
    <t>C515020</t>
  </si>
  <si>
    <t>CL - HRO - New Consumer Initiatives</t>
  </si>
  <si>
    <t>10152AG</t>
  </si>
  <si>
    <t>10152AG-Data Analytics Leadership</t>
  </si>
  <si>
    <t>CI40001</t>
  </si>
  <si>
    <t>Data Analytics - Leadership 10152AG</t>
  </si>
  <si>
    <t>W20709-DEALER GROUP MARKETING</t>
  </si>
  <si>
    <t>C515022</t>
  </si>
  <si>
    <t>CL - HRO - Dealer Group Marketing</t>
  </si>
  <si>
    <t>10152DE</t>
  </si>
  <si>
    <t>10152DE-STREETLINKS IT DE</t>
  </si>
  <si>
    <t>C255009</t>
  </si>
  <si>
    <t>IT INTL - STREETLINKS</t>
  </si>
  <si>
    <t>10152ES</t>
  </si>
  <si>
    <t>10152ES-FINANCE PROCUREMENT ES</t>
  </si>
  <si>
    <t>C610164</t>
  </si>
  <si>
    <t>Finance Procurement Uk</t>
  </si>
  <si>
    <t>10152FR</t>
  </si>
  <si>
    <t>10152FR-Finance Management FR</t>
  </si>
  <si>
    <t>CI10021</t>
  </si>
  <si>
    <t>Finance - Country Finance Management 10152FR</t>
  </si>
  <si>
    <t>10152LO</t>
  </si>
  <si>
    <t>10152LO-REGIONAL EXPENSES</t>
  </si>
  <si>
    <t>C050022</t>
  </si>
  <si>
    <t>Regional - Miscellaneous Expenses</t>
  </si>
  <si>
    <t>W61642-LOWES CD</t>
  </si>
  <si>
    <t>C515027</t>
  </si>
  <si>
    <t>CL - HRO - Lowes CD</t>
  </si>
  <si>
    <t>10211-PROTECT YOUR BUBBLE DOMESTIC</t>
  </si>
  <si>
    <t>C515028</t>
  </si>
  <si>
    <t>CL - HRO - Protect Your Bubble Domestic</t>
  </si>
  <si>
    <t>93103-EPS GO GET</t>
  </si>
  <si>
    <t>C515029</t>
  </si>
  <si>
    <t>CL - HRO - EPS GO Get</t>
  </si>
  <si>
    <t>10152MX</t>
  </si>
  <si>
    <t>10152MX-Purchasing Mexico</t>
  </si>
  <si>
    <t>C610297</t>
  </si>
  <si>
    <t>Purchasing</t>
  </si>
  <si>
    <t>10152UK</t>
  </si>
  <si>
    <t>10152UK-FINANCE PROCUREMENT UK</t>
  </si>
  <si>
    <t>CI61164</t>
  </si>
  <si>
    <t>Finance Procurement Uk 10152UK</t>
  </si>
  <si>
    <t>U9924-AMAZON</t>
  </si>
  <si>
    <t>C515032</t>
  </si>
  <si>
    <t>CL - HRO - Amazon</t>
  </si>
  <si>
    <t>10153AG</t>
  </si>
  <si>
    <t>10153AG-FP&amp;A</t>
  </si>
  <si>
    <t>CI10410</t>
  </si>
  <si>
    <t>FPA - Corporate 10153AG</t>
  </si>
  <si>
    <t>10153FR</t>
  </si>
  <si>
    <t>10153FR-Finance Sales Administration FR</t>
  </si>
  <si>
    <t>CI00909</t>
  </si>
  <si>
    <t>Marketing 10153FR</t>
  </si>
  <si>
    <t>W20701-ESC BAD DEBT</t>
  </si>
  <si>
    <t>C515035</t>
  </si>
  <si>
    <t>CL - HRO - ESC Bad Debt</t>
  </si>
  <si>
    <t>10153MX</t>
  </si>
  <si>
    <t>10153MX-FP&amp;A Mexico</t>
  </si>
  <si>
    <t>CI10412</t>
  </si>
  <si>
    <t>FPA - Corporate 10153MX</t>
  </si>
  <si>
    <t>W20761-SAMSUNG</t>
  </si>
  <si>
    <t>C515037</t>
  </si>
  <si>
    <t>CL - HRO - Samsung</t>
  </si>
  <si>
    <t>W20790-HARBOR FREIGHT</t>
  </si>
  <si>
    <t>C515038</t>
  </si>
  <si>
    <t>CL - HRO - Harbor Freight</t>
  </si>
  <si>
    <t>W20800-EPS DATA MANAGEMENT</t>
  </si>
  <si>
    <t>C515039</t>
  </si>
  <si>
    <t>CL - HRO - EPS Data Management</t>
  </si>
  <si>
    <t>10154AG</t>
  </si>
  <si>
    <t>10154AG-Treasury</t>
  </si>
  <si>
    <t>CI00601</t>
  </si>
  <si>
    <t>Treasury - Management 10154AG</t>
  </si>
  <si>
    <t>10154FR</t>
  </si>
  <si>
    <t>10154FR-Finance General Accountancy FR</t>
  </si>
  <si>
    <t>CI10153</t>
  </si>
  <si>
    <t>Global Accounting - General Accounting 10154FR</t>
  </si>
  <si>
    <t>10154MX</t>
  </si>
  <si>
    <t>10154MX-Treasury Mexico</t>
  </si>
  <si>
    <t>CI00602</t>
  </si>
  <si>
    <t>Treasury - Management 10154MX</t>
  </si>
  <si>
    <t>W20793-PGH CPR CH</t>
  </si>
  <si>
    <t>C515043</t>
  </si>
  <si>
    <t>CL - HRO - Connected Home - PGH CPR CH</t>
  </si>
  <si>
    <t>10155AG</t>
  </si>
  <si>
    <t>10155AG-Finance Accounting</t>
  </si>
  <si>
    <t>CI10150</t>
  </si>
  <si>
    <t>Global Accounting - General Accounting 10155AG</t>
  </si>
  <si>
    <t>W20900-SERVICE POWER</t>
  </si>
  <si>
    <t>C515045</t>
  </si>
  <si>
    <t>CL - HRO - Service Power</t>
  </si>
  <si>
    <t>10155FR</t>
  </si>
  <si>
    <t>10155FR-Actuary FR</t>
  </si>
  <si>
    <t>CI10207</t>
  </si>
  <si>
    <t>Actuarial Management 10155FR</t>
  </si>
  <si>
    <t>10156AG</t>
  </si>
  <si>
    <t>10156AG-Finance Tax</t>
  </si>
  <si>
    <t>CI10501</t>
  </si>
  <si>
    <t>Tax - Corporate 10156AG</t>
  </si>
  <si>
    <t>93208-SHIPSURANCE INSURANCE SERV</t>
  </si>
  <si>
    <t>C515102</t>
  </si>
  <si>
    <t>CL - HRO - Shipsurance Insurance Services</t>
  </si>
  <si>
    <t>10224-REEDS JEWELERS</t>
  </si>
  <si>
    <t>C515200</t>
  </si>
  <si>
    <t>CL - HRO - New Sales - Reeds Jewelers</t>
  </si>
  <si>
    <t>10156MX</t>
  </si>
  <si>
    <t>10156MX-Tax Mexico</t>
  </si>
  <si>
    <t>CI10505</t>
  </si>
  <si>
    <t>Tax - Corporate 10156MX</t>
  </si>
  <si>
    <t>10159AG</t>
  </si>
  <si>
    <t>10159AG-Data Analytic Integration</t>
  </si>
  <si>
    <t>CI40015</t>
  </si>
  <si>
    <t>Data Analytics - Integration 10159AG</t>
  </si>
  <si>
    <t>10159BZ</t>
  </si>
  <si>
    <t>10159BZ-Data Analytics Intergration</t>
  </si>
  <si>
    <t>CI40004</t>
  </si>
  <si>
    <t>Data Analytics - Leadership 10159BZ</t>
  </si>
  <si>
    <t>10159CN</t>
  </si>
  <si>
    <t>10159CN-Data Analytic Integration</t>
  </si>
  <si>
    <t>CI40005</t>
  </si>
  <si>
    <t>Data Analytics - Leadership 10159CN</t>
  </si>
  <si>
    <t>10811CN</t>
  </si>
  <si>
    <t>10811CN-CANADA NEW SALES CREDITOR</t>
  </si>
  <si>
    <t>C515206</t>
  </si>
  <si>
    <t>CL - HRO - New Sales - Creditor</t>
  </si>
  <si>
    <t>10812CN</t>
  </si>
  <si>
    <t>10812CN-CANADA NEW SALES WARRANTY</t>
  </si>
  <si>
    <t>C515207</t>
  </si>
  <si>
    <t>CL - HRO - New Sales - Warranty</t>
  </si>
  <si>
    <t>10813CN</t>
  </si>
  <si>
    <t>10813CN-CANADA NEW SALES MOBILE</t>
  </si>
  <si>
    <t>C515208</t>
  </si>
  <si>
    <t>CL - HRO - New Sales - Mobile</t>
  </si>
  <si>
    <t>W2011CN</t>
  </si>
  <si>
    <t>W2011CN-KINGSTON ESC CAPITAL EXPENSES NON IT</t>
  </si>
  <si>
    <t>C515209</t>
  </si>
  <si>
    <t>CL - HRO - Capital Expenses Non IT</t>
  </si>
  <si>
    <t>10159DE</t>
  </si>
  <si>
    <t>10159DE-Information Management Germany</t>
  </si>
  <si>
    <t>CI25505</t>
  </si>
  <si>
    <t>IT INTL - IT 10159DE</t>
  </si>
  <si>
    <t>17901-TWG ESC</t>
  </si>
  <si>
    <t>C515300</t>
  </si>
  <si>
    <t>CL - HRO - TWG - ESC</t>
  </si>
  <si>
    <t>17904-TWG MOBILE</t>
  </si>
  <si>
    <t>C515301</t>
  </si>
  <si>
    <t>CL - HRO - TWG - MOBILE</t>
  </si>
  <si>
    <t>17907-PGAAP NORTH AMERICA ESC</t>
  </si>
  <si>
    <t>C515302</t>
  </si>
  <si>
    <t>CL - HRO - PGAAP - ESC</t>
  </si>
  <si>
    <t>3006-Customer Care - Chicago</t>
  </si>
  <si>
    <t>C515303</t>
  </si>
  <si>
    <t>CL - HRO - Customer - Chicago</t>
  </si>
  <si>
    <t>3008-Specialty-Chicago</t>
  </si>
  <si>
    <t>C515304</t>
  </si>
  <si>
    <t>CL - HRO - Specialty - Chicago</t>
  </si>
  <si>
    <t>10159FR</t>
  </si>
  <si>
    <t>10159FR-Data Analytics FR</t>
  </si>
  <si>
    <t>CI40006</t>
  </si>
  <si>
    <t>Data Analytics - Leadership 10159FR</t>
  </si>
  <si>
    <t>3022-Sales Processing - Chicago</t>
  </si>
  <si>
    <t>C515306</t>
  </si>
  <si>
    <t>CL - HRO - Sales - Chicago</t>
  </si>
  <si>
    <t>10159JP</t>
  </si>
  <si>
    <t>10159JP-Data Analytics Japan</t>
  </si>
  <si>
    <t>CI40008</t>
  </si>
  <si>
    <t>Data Analytics - Leadership 10159JP</t>
  </si>
  <si>
    <t>10213-XFINITY PGHOME</t>
  </si>
  <si>
    <t>C515308</t>
  </si>
  <si>
    <t>CL - HRO - Xfinity PGHome</t>
  </si>
  <si>
    <t>10159MX</t>
  </si>
  <si>
    <t>10159MX-DATA ANALYTICS INTERGRATION</t>
  </si>
  <si>
    <t>CI40016</t>
  </si>
  <si>
    <t>Data Analytics - Integration 10159MX</t>
  </si>
  <si>
    <t>10159UK</t>
  </si>
  <si>
    <t>10159UK-Data Analytics Intergration</t>
  </si>
  <si>
    <t>CI40009</t>
  </si>
  <si>
    <t>Data Analytics - Leadership 10159UK</t>
  </si>
  <si>
    <t>G40104-ADMINISTRATION LAWTON</t>
  </si>
  <si>
    <t>C515600</t>
  </si>
  <si>
    <t>Div Fin Svcs - Administration Lawton</t>
  </si>
  <si>
    <t>G40032-CALL CENTER OPS COB</t>
  </si>
  <si>
    <t>C515601</t>
  </si>
  <si>
    <t>Div Fin Svcs - Call Center OPS COB</t>
  </si>
  <si>
    <t>22237-CL CLIENT MGMT 2</t>
  </si>
  <si>
    <t>C515603</t>
  </si>
  <si>
    <t>Div Fin Svcs - CL Client Management 2</t>
  </si>
  <si>
    <t>22238-CONNECTED LIVING CLIENT MANAGEMENT</t>
  </si>
  <si>
    <t>C515605</t>
  </si>
  <si>
    <t>Div Fin Svcs - Connected Living Client Management</t>
  </si>
  <si>
    <t>G40110-CONTACT CENTER OPERATIONS LAWTON</t>
  </si>
  <si>
    <t>C515606</t>
  </si>
  <si>
    <t>Div Fin Svcs - Contact Center Operations Lawton</t>
  </si>
  <si>
    <t>93100-DIVERSIFIED FINANCIAL SERVICES</t>
  </si>
  <si>
    <t>C515607</t>
  </si>
  <si>
    <t>Div Fin Svcs - Diversified Financial Services</t>
  </si>
  <si>
    <t>11121-DOCUMENT CONTROL</t>
  </si>
  <si>
    <t>C515608</t>
  </si>
  <si>
    <t>Div Fin Svcs - Document Control</t>
  </si>
  <si>
    <t>10185UK</t>
  </si>
  <si>
    <t>10185UK - Forecasting &amp; Purchasing</t>
  </si>
  <si>
    <t>C610314</t>
  </si>
  <si>
    <t>Forecasting and Purchasing</t>
  </si>
  <si>
    <t>6009-Global Controller</t>
  </si>
  <si>
    <t>C515610</t>
  </si>
  <si>
    <t>Div Fin Svcs - Global Controller</t>
  </si>
  <si>
    <t>19060-IL DIRECT RESPONSE OPERATIONS</t>
  </si>
  <si>
    <t>C515611</t>
  </si>
  <si>
    <t>Div Fin Svcs - IL Direct Response Operations</t>
  </si>
  <si>
    <t>19010-IL PREMIUM PROCESSING</t>
  </si>
  <si>
    <t>C515612</t>
  </si>
  <si>
    <t>Div Fin Svcs - IL Premium Processing</t>
  </si>
  <si>
    <t>10811-IL PRODUCT STRATEGIES</t>
  </si>
  <si>
    <t>C515613</t>
  </si>
  <si>
    <t>Div Fin Svcs - IL Product Strategies</t>
  </si>
  <si>
    <t>11113-INSTALLMENT LENDING</t>
  </si>
  <si>
    <t>C515614</t>
  </si>
  <si>
    <t>Div Fin Svcs - Installment Lending</t>
  </si>
  <si>
    <t>17906-PGAAP NORTH AMERICA CREDIT</t>
  </si>
  <si>
    <t>C515615</t>
  </si>
  <si>
    <t>Div Fin Svcs - PGAAP North America Credit</t>
  </si>
  <si>
    <t>17902-TWG CREDIT</t>
  </si>
  <si>
    <t>C515616</t>
  </si>
  <si>
    <t>Div Fin Svcs - TWG Credit</t>
  </si>
  <si>
    <t>10195KR</t>
  </si>
  <si>
    <t>10195KR-Olivar Executive (BCM, SBP)</t>
  </si>
  <si>
    <t>C610308</t>
  </si>
  <si>
    <t>Olivar - Executive (BCM, SBP)</t>
  </si>
  <si>
    <t>93109-LITIGATION EXPENSE DFS</t>
  </si>
  <si>
    <t>C515905</t>
  </si>
  <si>
    <t>Div Fin Svcs - Litigation Expense DFS</t>
  </si>
  <si>
    <t>10205AG</t>
  </si>
  <si>
    <t>10205AG:ACTURIAL REGIONAL</t>
  </si>
  <si>
    <t>CI50020</t>
  </si>
  <si>
    <t>Regional - Actuarial AG</t>
  </si>
  <si>
    <t>10205FR</t>
  </si>
  <si>
    <t>10205FR-RECRUITMENT-FRANCE</t>
  </si>
  <si>
    <t>CI20567</t>
  </si>
  <si>
    <t>Human Resource - Recruiting 10205FR</t>
  </si>
  <si>
    <t>W20300-EPS Complaints Team</t>
  </si>
  <si>
    <t>C550002</t>
  </si>
  <si>
    <t>HRO Ops - EPS Complaints Team</t>
  </si>
  <si>
    <t>W20400-EPS DFS Claims Processing</t>
  </si>
  <si>
    <t>C550003</t>
  </si>
  <si>
    <t>HRO Ops - EPS DFS Claims Processing</t>
  </si>
  <si>
    <t>W20740-EPS Claims Support Addison</t>
  </si>
  <si>
    <t>C550004</t>
  </si>
  <si>
    <t>HRO Ops - EPS Claims Support Addison</t>
  </si>
  <si>
    <t>10250AG</t>
  </si>
  <si>
    <t>10250AG-Sales And Marketing</t>
  </si>
  <si>
    <t>CI00901</t>
  </si>
  <si>
    <t>Marketing 10250AG</t>
  </si>
  <si>
    <t>W61779-Addison Customer Relations</t>
  </si>
  <si>
    <t>C550006</t>
  </si>
  <si>
    <t>HRO Ops - Addison Customer Relations</t>
  </si>
  <si>
    <t>W61781-EPS DFS QA</t>
  </si>
  <si>
    <t>C550007</t>
  </si>
  <si>
    <t>HRO Ops - EPS DFS QA</t>
  </si>
  <si>
    <t>10250BZ</t>
  </si>
  <si>
    <t>10250BZ-Sales And Marketing</t>
  </si>
  <si>
    <t>CI00903</t>
  </si>
  <si>
    <t>Marketing 10250BZ</t>
  </si>
  <si>
    <t>10250CL</t>
  </si>
  <si>
    <t>10250CL-Sales And Marketing Chile</t>
  </si>
  <si>
    <t>CI00905</t>
  </si>
  <si>
    <t>Marketing 10250CL</t>
  </si>
  <si>
    <t>G40018-ALBANY FRONTLINE WFH</t>
  </si>
  <si>
    <t>C550010</t>
  </si>
  <si>
    <t>HRO Ops - Albany Frontline WFH</t>
  </si>
  <si>
    <t>G40019-ALBANY CUSTOMER RELATIONS WFH</t>
  </si>
  <si>
    <t>C550011</t>
  </si>
  <si>
    <t>HRO Ops - Albany Customer Relations WFH</t>
  </si>
  <si>
    <t>10250CLCNLIV</t>
  </si>
  <si>
    <t>10250CL-Sales and Marketing Chile (Connected Living)</t>
  </si>
  <si>
    <t>C100963</t>
  </si>
  <si>
    <t>Marketing - Sales &amp; MKtg - Con Liv</t>
  </si>
  <si>
    <t>W20200-ALORICA OUTSOURCE</t>
  </si>
  <si>
    <t>C550013</t>
  </si>
  <si>
    <t>HRO Ops - Alorica Outsource</t>
  </si>
  <si>
    <t>10250DE</t>
  </si>
  <si>
    <t>10250DE-Sales DE</t>
  </si>
  <si>
    <t>CI00914</t>
  </si>
  <si>
    <t>Marketing 10250DE</t>
  </si>
  <si>
    <t>W20600-HOME SOLUTIONS CUSTOMER SERVICE SUPPORT</t>
  </si>
  <si>
    <t>C550015</t>
  </si>
  <si>
    <t>HRO Ops - Home Solutions Customer Service Support</t>
  </si>
  <si>
    <t>W20702-CHAT AGENTS</t>
  </si>
  <si>
    <t>C550016</t>
  </si>
  <si>
    <t>HRO Ops - Chat Agents</t>
  </si>
  <si>
    <t>W61793-ADDISON CLAIMS</t>
  </si>
  <si>
    <t>C550017</t>
  </si>
  <si>
    <t>HRO Ops - Addison Claims</t>
  </si>
  <si>
    <t>10250ES</t>
  </si>
  <si>
    <t>10250ES-Sales ES</t>
  </si>
  <si>
    <t>CI1094F</t>
  </si>
  <si>
    <t>Marketing - New Sales 10250ES</t>
  </si>
  <si>
    <t>10250FR</t>
  </si>
  <si>
    <t>10250FR-Sales Management Retail FR</t>
  </si>
  <si>
    <t>CI00910</t>
  </si>
  <si>
    <t>Marketing 10250FR</t>
  </si>
  <si>
    <t>10250IT</t>
  </si>
  <si>
    <t>10250IT-Sales Italy</t>
  </si>
  <si>
    <t>CI00917</t>
  </si>
  <si>
    <t>Marketing 10250IT</t>
  </si>
  <si>
    <t>10321FR</t>
  </si>
  <si>
    <t>10321FR - Elita Team FR</t>
  </si>
  <si>
    <t>C550021</t>
  </si>
  <si>
    <t>HRO Ops - ELITA team</t>
  </si>
  <si>
    <t>10250MX</t>
  </si>
  <si>
    <t>10250MX-Sales And Marketing Mex</t>
  </si>
  <si>
    <t>CI00919</t>
  </si>
  <si>
    <t>Marketing 10250MX</t>
  </si>
  <si>
    <t>10250NL</t>
  </si>
  <si>
    <t>10250NL-CONNECTED LIVING</t>
  </si>
  <si>
    <t>CI61272</t>
  </si>
  <si>
    <t>Connected Living 10250NL</t>
  </si>
  <si>
    <t>10250RC</t>
  </si>
  <si>
    <t>10250RC-China Sales</t>
  </si>
  <si>
    <t>CI00906</t>
  </si>
  <si>
    <t>Marketing 10250RC</t>
  </si>
  <si>
    <t>10250UK</t>
  </si>
  <si>
    <t>10250UK-SALES UK</t>
  </si>
  <si>
    <t>C610171</t>
  </si>
  <si>
    <t>Sales Uk</t>
  </si>
  <si>
    <t>7219-Operations Claims</t>
  </si>
  <si>
    <t>C560000</t>
  </si>
  <si>
    <t>Claims - International Lifestyle</t>
  </si>
  <si>
    <t>10251AG</t>
  </si>
  <si>
    <t>10251AG-Regional Positions Sales</t>
  </si>
  <si>
    <t>C050002</t>
  </si>
  <si>
    <t>Regional - Sales</t>
  </si>
  <si>
    <t>13H3</t>
  </si>
  <si>
    <t>13H3-GAP Claims</t>
  </si>
  <si>
    <t>C560002</t>
  </si>
  <si>
    <t>Claims - International Lifestyle - GAP</t>
  </si>
  <si>
    <t>13B3</t>
  </si>
  <si>
    <t>13B3-A&amp;T Claims</t>
  </si>
  <si>
    <t>C560003</t>
  </si>
  <si>
    <t>Claims - International Lifestyle - A&amp;T</t>
  </si>
  <si>
    <t>10251MX</t>
  </si>
  <si>
    <t>10251MX-Global Positions Sales Mexico</t>
  </si>
  <si>
    <t>C052016</t>
  </si>
  <si>
    <t>Global Roles - Sales</t>
  </si>
  <si>
    <t>10252AG</t>
  </si>
  <si>
    <t>10252AG-Commercial Andean ARG</t>
  </si>
  <si>
    <t>C050008</t>
  </si>
  <si>
    <t>Regional - Commercial</t>
  </si>
  <si>
    <t>11132-CL Regulatory Risk</t>
  </si>
  <si>
    <t>C570001</t>
  </si>
  <si>
    <t>Mobile Ops - CL Regulatory Risk</t>
  </si>
  <si>
    <t>WS200-Mobile Services Claims Ops Mgmt</t>
  </si>
  <si>
    <t>C570002</t>
  </si>
  <si>
    <t>Mobile Ops - Mobile Services Claims Ops Mgmt</t>
  </si>
  <si>
    <t>WS201-Mobile Services Claims Processing</t>
  </si>
  <si>
    <t>C570003</t>
  </si>
  <si>
    <t>Mobile Ops - Mobile Services Claims Processing</t>
  </si>
  <si>
    <t>WS202-Mobile Services Account Mgmt Support</t>
  </si>
  <si>
    <t>C570004</t>
  </si>
  <si>
    <t>Mobile Ops - Mobile Services Account Mgmt Support</t>
  </si>
  <si>
    <t>WS203-Mobile Services Miami Call Center</t>
  </si>
  <si>
    <t>C570005</t>
  </si>
  <si>
    <t>Mobile Ops - Mobile Services Miami Call Center</t>
  </si>
  <si>
    <t>WS204-Carrier Chat</t>
  </si>
  <si>
    <t>C570006</t>
  </si>
  <si>
    <t>Mobile Ops - Carrier Chat</t>
  </si>
  <si>
    <t>WS206 - Duluth Claims</t>
  </si>
  <si>
    <t>C570008</t>
  </si>
  <si>
    <t>Mobile Ops - Duluth Claims</t>
  </si>
  <si>
    <t>WS211-Mobile Tech Support Duluth</t>
  </si>
  <si>
    <t>C570009</t>
  </si>
  <si>
    <t>Mobile Ops - Mobile Tech Support Duluth</t>
  </si>
  <si>
    <t>10252IT</t>
  </si>
  <si>
    <t>10252IT-TIM</t>
  </si>
  <si>
    <t>C601048</t>
  </si>
  <si>
    <t>TIM</t>
  </si>
  <si>
    <t>WS216-QA Mobile Services</t>
  </si>
  <si>
    <t>C570011</t>
  </si>
  <si>
    <t>Mobile Ops - QA Mobile Services</t>
  </si>
  <si>
    <t>WS220-Mobile Services Site Mgmt</t>
  </si>
  <si>
    <t>C570012</t>
  </si>
  <si>
    <t>Mobile Ops - Mobile Services Site Mgmt</t>
  </si>
  <si>
    <t>WS230-Fraud Triage Team</t>
  </si>
  <si>
    <t>C570013</t>
  </si>
  <si>
    <t>Mobile Ops - Fraud Triage Team</t>
  </si>
  <si>
    <t>WS294-Mobile Services Addison Call Center</t>
  </si>
  <si>
    <t>C570014</t>
  </si>
  <si>
    <t>Mobile Ops - Mobile Services Addison Call Center</t>
  </si>
  <si>
    <t>10253DE</t>
  </si>
  <si>
    <t>10253DE-MARKETING DE</t>
  </si>
  <si>
    <t>CI00915</t>
  </si>
  <si>
    <t>Marketing 10253DE</t>
  </si>
  <si>
    <t>WS296-Fraud</t>
  </si>
  <si>
    <t>C570016</t>
  </si>
  <si>
    <t>Mobile Ops - Fraud</t>
  </si>
  <si>
    <t>WS284-MOBILE SERVICES ALORICA OUTSOURCING</t>
  </si>
  <si>
    <t>C570017</t>
  </si>
  <si>
    <t>Mobile Ops - Mobile Services Alorica Outsourcing</t>
  </si>
  <si>
    <t>10253ES</t>
  </si>
  <si>
    <t>10253ES-MARKETING ES</t>
  </si>
  <si>
    <t>CI00924</t>
  </si>
  <si>
    <t>Marketing 10253ES</t>
  </si>
  <si>
    <t>WS286-MOBILE SERVICES ERC OUTSOURCING</t>
  </si>
  <si>
    <t>C570019</t>
  </si>
  <si>
    <t>Mobile Ops - Mobile Services ERC Outsourcing</t>
  </si>
  <si>
    <t>WS287-MOBILE SERVICES DIAL USA OUTSOURCING</t>
  </si>
  <si>
    <t>C570020</t>
  </si>
  <si>
    <t>Mobile Ops - Mobile Services Dial USA Outsourcing</t>
  </si>
  <si>
    <t>WS290-MOBILE TECH SUPPORT ALBANY</t>
  </si>
  <si>
    <t>C570021</t>
  </si>
  <si>
    <t>Mobile Ops - Tech Support Albany</t>
  </si>
  <si>
    <t>W3880</t>
  </si>
  <si>
    <t>W3880-MOBILE SERVICES CO</t>
  </si>
  <si>
    <t>C570022</t>
  </si>
  <si>
    <t>Mobile Ops - Mobile Services International</t>
  </si>
  <si>
    <t>W0000MX</t>
  </si>
  <si>
    <t>W0000MX-MOBILE SERVICES EXECUTIVE MEXICO</t>
  </si>
  <si>
    <t>C570023</t>
  </si>
  <si>
    <t>Mobile Ops - Mobile Services Executive</t>
  </si>
  <si>
    <t>10253FR</t>
  </si>
  <si>
    <t>10253FR-Marketing Management FR</t>
  </si>
  <si>
    <t>CI00911</t>
  </si>
  <si>
    <t>Marketing 10253FR</t>
  </si>
  <si>
    <t>W0300MX</t>
  </si>
  <si>
    <t>W0300MX-MOBILE SERVICES IT</t>
  </si>
  <si>
    <t>C570025</t>
  </si>
  <si>
    <t>Mobile Ops - Mobile Services IT</t>
  </si>
  <si>
    <t>10253IT</t>
  </si>
  <si>
    <t>10253IT-Marketing Italy</t>
  </si>
  <si>
    <t>CI00918</t>
  </si>
  <si>
    <t>Marketing 10253IT</t>
  </si>
  <si>
    <t>10253UK</t>
  </si>
  <si>
    <t>10253UK-Marketing UK</t>
  </si>
  <si>
    <t>CI00925</t>
  </si>
  <si>
    <t>Marketing 10253UK</t>
  </si>
  <si>
    <t>19064-Card Benefit Claims</t>
  </si>
  <si>
    <t>C590000</t>
  </si>
  <si>
    <t>AFS Ops - Card Benefit Claims</t>
  </si>
  <si>
    <t>10254FR</t>
  </si>
  <si>
    <t>10254FR-Sales Representative Corporate FR</t>
  </si>
  <si>
    <t>CI00912</t>
  </si>
  <si>
    <t>Marketing 10254FR</t>
  </si>
  <si>
    <t>FS1000 - Claims &amp; Back Office</t>
  </si>
  <si>
    <t>C590002</t>
  </si>
  <si>
    <t>AFS Ops - Claims &amp; Back Office</t>
  </si>
  <si>
    <t>FS1001 - Call Center</t>
  </si>
  <si>
    <t>C590003</t>
  </si>
  <si>
    <t>AFS Ops - Call Center</t>
  </si>
  <si>
    <t>FS1002 - OPM</t>
  </si>
  <si>
    <t>C590004</t>
  </si>
  <si>
    <t>AFS Ops - OPM</t>
  </si>
  <si>
    <t>FS1003 - Quality</t>
  </si>
  <si>
    <t>C590005</t>
  </si>
  <si>
    <t>AFS Ops - Quality</t>
  </si>
  <si>
    <t>FS2000 - Claims &amp; Back Office</t>
  </si>
  <si>
    <t>C590006</t>
  </si>
  <si>
    <t>FS2001 - Call Center Enrollments</t>
  </si>
  <si>
    <t>C590007</t>
  </si>
  <si>
    <t>AFS Ops - Call Center Enrollments</t>
  </si>
  <si>
    <t>FS2002 - OPM</t>
  </si>
  <si>
    <t>C590008</t>
  </si>
  <si>
    <t>FS2003 - Quality</t>
  </si>
  <si>
    <t>C590009</t>
  </si>
  <si>
    <t>FS2004 - Escalations</t>
  </si>
  <si>
    <t>C590010</t>
  </si>
  <si>
    <t>AFS Ops - Escalations</t>
  </si>
  <si>
    <t>10254IT</t>
  </si>
  <si>
    <t>10254IT-H3G ITALIA</t>
  </si>
  <si>
    <t>C601049</t>
  </si>
  <si>
    <t>H3G</t>
  </si>
  <si>
    <t>FS3000 - Claims &amp; Back Office</t>
  </si>
  <si>
    <t>C590012</t>
  </si>
  <si>
    <t>FS3001 - Call Center</t>
  </si>
  <si>
    <t>C590013</t>
  </si>
  <si>
    <t>FS3002 - OPM</t>
  </si>
  <si>
    <t>C590014</t>
  </si>
  <si>
    <t>FS3003 - Quality</t>
  </si>
  <si>
    <t>C590015</t>
  </si>
  <si>
    <t>FS3004 - Escalations</t>
  </si>
  <si>
    <t>C590016</t>
  </si>
  <si>
    <t>11107-DEBT</t>
  </si>
  <si>
    <t>C590017</t>
  </si>
  <si>
    <t>AFS Ops - Debt</t>
  </si>
  <si>
    <t>11108-CREDIT CARD INSURANCE</t>
  </si>
  <si>
    <t>C590018</t>
  </si>
  <si>
    <t>AFS Ops -Credit Card Insurance</t>
  </si>
  <si>
    <t>11110-DEBT EXAMINERS</t>
  </si>
  <si>
    <t>C590019</t>
  </si>
  <si>
    <t>AFS Ops - Debt Examiners</t>
  </si>
  <si>
    <t>11111-INSTALLMENT LENDING EXAMINERS</t>
  </si>
  <si>
    <t>C590020</t>
  </si>
  <si>
    <t>AFS Ops - Installment Lending Examiners</t>
  </si>
  <si>
    <t>11114-DATA ENTRY</t>
  </si>
  <si>
    <t>C590021</t>
  </si>
  <si>
    <t>AFS Ops - Data Entry</t>
  </si>
  <si>
    <t>19061-AFS DIRECT SALES AND SERVICE OPS</t>
  </si>
  <si>
    <t>C590023</t>
  </si>
  <si>
    <t>AFS Ops -AFS Direct Sales and Service Ops</t>
  </si>
  <si>
    <t>20610-PPO PREMIUM AND FEE PROCESSING</t>
  </si>
  <si>
    <t>C590024</t>
  </si>
  <si>
    <t>AFS Ops - PPO Premium and Fee Processing</t>
  </si>
  <si>
    <t>3002-Citi Admin</t>
  </si>
  <si>
    <t>C590025</t>
  </si>
  <si>
    <t>AFS Ops -Citi Admin</t>
  </si>
  <si>
    <t>10254UK</t>
  </si>
  <si>
    <t>10254UK-Sales And Marketing PYB UK</t>
  </si>
  <si>
    <t>CI00926</t>
  </si>
  <si>
    <t>Marketing 10254UK</t>
  </si>
  <si>
    <t>10255FR</t>
  </si>
  <si>
    <t>10255FR-MARKETING</t>
  </si>
  <si>
    <t>CI00913</t>
  </si>
  <si>
    <t>Marketing 10255FR</t>
  </si>
  <si>
    <t>10255MX</t>
  </si>
  <si>
    <t>10255MX-SALES CREDITO FAMILIAR</t>
  </si>
  <si>
    <t>C610274</t>
  </si>
  <si>
    <t>Sales Credito Familiar</t>
  </si>
  <si>
    <t>93320-AFS SALES AND SERVICE CENTER</t>
  </si>
  <si>
    <t>C590029</t>
  </si>
  <si>
    <t>AFS Ops -AFS Sales and Service Center</t>
  </si>
  <si>
    <t>FS1004-ESCALATIONS</t>
  </si>
  <si>
    <t>C590030</t>
  </si>
  <si>
    <t>AFS Ops - Escalations (FS1004)</t>
  </si>
  <si>
    <t>7212-Operations-Back Office</t>
  </si>
  <si>
    <t>C600000</t>
  </si>
  <si>
    <t>Operations</t>
  </si>
  <si>
    <t>7220-Operation Service Network</t>
  </si>
  <si>
    <t>C600001</t>
  </si>
  <si>
    <t>Operations Service Network</t>
  </si>
  <si>
    <t>7401-POLICY ADMIN</t>
  </si>
  <si>
    <t>C600002</t>
  </si>
  <si>
    <t>Policy Administration</t>
  </si>
  <si>
    <t>7066BRL</t>
  </si>
  <si>
    <t>7066BRL-Call Center</t>
  </si>
  <si>
    <t>C600003</t>
  </si>
  <si>
    <t>Call Center</t>
  </si>
  <si>
    <t>10258UK-SALES UK</t>
  </si>
  <si>
    <t>CI61171</t>
  </si>
  <si>
    <t>Sales Uk 10258UK</t>
  </si>
  <si>
    <t>10259UK-MARKETING YORK</t>
  </si>
  <si>
    <t>CI00927</t>
  </si>
  <si>
    <t>Marketing 10259UK</t>
  </si>
  <si>
    <t>10275MX</t>
  </si>
  <si>
    <t>10275MX-INTERNATIONAL VPS</t>
  </si>
  <si>
    <t>C400402</t>
  </si>
  <si>
    <t>VPS - International</t>
  </si>
  <si>
    <t>10204FR</t>
  </si>
  <si>
    <t>10204FR-Ops Training FR</t>
  </si>
  <si>
    <t>C600008</t>
  </si>
  <si>
    <t>Operations Training</t>
  </si>
  <si>
    <t>17743NL</t>
  </si>
  <si>
    <t>17743NL-Operations Management</t>
  </si>
  <si>
    <t>C600009</t>
  </si>
  <si>
    <t>Operations 17743NL</t>
  </si>
  <si>
    <t>7244-Operations</t>
  </si>
  <si>
    <t>C600010</t>
  </si>
  <si>
    <t>Operations 7244</t>
  </si>
  <si>
    <t>17743UK</t>
  </si>
  <si>
    <t>17743UK-Operations Management</t>
  </si>
  <si>
    <t>C600011</t>
  </si>
  <si>
    <t>Operations 17743UK</t>
  </si>
  <si>
    <t>10603UK</t>
  </si>
  <si>
    <t>10603UK-Policy Admin UK</t>
  </si>
  <si>
    <t>C60002A</t>
  </si>
  <si>
    <t>Policy Administration 10603UK</t>
  </si>
  <si>
    <t>10350AG</t>
  </si>
  <si>
    <t>10350AG-Legal And Compliance</t>
  </si>
  <si>
    <t>CI20202</t>
  </si>
  <si>
    <t>Legal 10350AG</t>
  </si>
  <si>
    <t>7403-LUMLEYS</t>
  </si>
  <si>
    <t>C601003</t>
  </si>
  <si>
    <t>Lumleys</t>
  </si>
  <si>
    <t>10350AU</t>
  </si>
  <si>
    <t>10350AU-Australia Mobile</t>
  </si>
  <si>
    <t>C503050</t>
  </si>
  <si>
    <t>CL - Mobile - International</t>
  </si>
  <si>
    <t>10330FR</t>
  </si>
  <si>
    <t>10330FR-ILS FR</t>
  </si>
  <si>
    <t>C601005</t>
  </si>
  <si>
    <t>ILS</t>
  </si>
  <si>
    <t>10350BZ</t>
  </si>
  <si>
    <t>10350BZ-Legal And Compliance</t>
  </si>
  <si>
    <t>CI20205</t>
  </si>
  <si>
    <t>Legal 10350BZ</t>
  </si>
  <si>
    <t>10177DE</t>
  </si>
  <si>
    <t>10177DE-GLOBAL DEVELOPMENT GERMANY</t>
  </si>
  <si>
    <t>C601007</t>
  </si>
  <si>
    <t>Global Development</t>
  </si>
  <si>
    <t>14100AG</t>
  </si>
  <si>
    <t>14100AG-BUSINESS INTELLIGENCE</t>
  </si>
  <si>
    <t>C601008</t>
  </si>
  <si>
    <t>Business Intelligency</t>
  </si>
  <si>
    <t>93700AG</t>
  </si>
  <si>
    <t>93700AG-ARGENTINA</t>
  </si>
  <si>
    <t>C601009</t>
  </si>
  <si>
    <t>Argentina</t>
  </si>
  <si>
    <t>937BZAG</t>
  </si>
  <si>
    <t>937BZAG-BRAZIL GENERIC</t>
  </si>
  <si>
    <t>C601010</t>
  </si>
  <si>
    <t>Brazil Generic</t>
  </si>
  <si>
    <t>937MXAG</t>
  </si>
  <si>
    <t>937MXAG-ARGENTINA ALOC MEXICO</t>
  </si>
  <si>
    <t>C601011</t>
  </si>
  <si>
    <t>Argentina Alloc to Mexico</t>
  </si>
  <si>
    <t>937PRAG</t>
  </si>
  <si>
    <t>937PRAG-PUERTO RICO GENERIC</t>
  </si>
  <si>
    <t>C601012</t>
  </si>
  <si>
    <t>Puerto Rico Generic</t>
  </si>
  <si>
    <t>10010AU</t>
  </si>
  <si>
    <t>10010AU-OPTUS IMPLEMENTATION AUSTRALIA</t>
  </si>
  <si>
    <t>C601013</t>
  </si>
  <si>
    <t>Optus Implementation Australia</t>
  </si>
  <si>
    <t>10016AU</t>
  </si>
  <si>
    <t>10016AU-ALEGRE OPERATIONS</t>
  </si>
  <si>
    <t>C601015</t>
  </si>
  <si>
    <t>Alegre Operations</t>
  </si>
  <si>
    <t>7042-CD Sevice Network Partnership</t>
  </si>
  <si>
    <t>C601016</t>
  </si>
  <si>
    <t>CD Service Network Partnership</t>
  </si>
  <si>
    <t>10100BZ</t>
  </si>
  <si>
    <t>10100BZ-CLIENT SELLING COSTS</t>
  </si>
  <si>
    <t>C601017</t>
  </si>
  <si>
    <t>Client Selling Costs</t>
  </si>
  <si>
    <t>10101BZ</t>
  </si>
  <si>
    <t>10101BZ-SERVICE AND ADMIN FEES</t>
  </si>
  <si>
    <t>C601018</t>
  </si>
  <si>
    <t>Service and Admin Fees</t>
  </si>
  <si>
    <t>7226-ODC</t>
  </si>
  <si>
    <t>C601019</t>
  </si>
  <si>
    <t>ODC</t>
  </si>
  <si>
    <t>10350DE</t>
  </si>
  <si>
    <t>10350DE-LEGAL DE</t>
  </si>
  <si>
    <t>CI20212</t>
  </si>
  <si>
    <t>Legal 10350DE</t>
  </si>
  <si>
    <t>10350ES</t>
  </si>
  <si>
    <t>10350ES-LEGAL ES</t>
  </si>
  <si>
    <t>CI20220</t>
  </si>
  <si>
    <t>Legal 10350ES</t>
  </si>
  <si>
    <t>10350FR</t>
  </si>
  <si>
    <t>10350FR-Legal Management FR</t>
  </si>
  <si>
    <t>CI20210</t>
  </si>
  <si>
    <t>Legal 10350FR</t>
  </si>
  <si>
    <t>10350IT</t>
  </si>
  <si>
    <t>10350IT-LEGAL ITALY</t>
  </si>
  <si>
    <t>CI20214</t>
  </si>
  <si>
    <t>Legal 10350IT</t>
  </si>
  <si>
    <t>10350JP</t>
  </si>
  <si>
    <t>10350JP-Legal</t>
  </si>
  <si>
    <t>CI20215</t>
  </si>
  <si>
    <t>Legal 10350JP</t>
  </si>
  <si>
    <t>10350MX</t>
  </si>
  <si>
    <t>10350MX-Legal Mexico</t>
  </si>
  <si>
    <t>CI20217</t>
  </si>
  <si>
    <t>Legal 10350MX</t>
  </si>
  <si>
    <t>10350NL</t>
  </si>
  <si>
    <t>10350NL-Legal</t>
  </si>
  <si>
    <t>CI20204</t>
  </si>
  <si>
    <t>Legal 10350NL</t>
  </si>
  <si>
    <t>10350RC</t>
  </si>
  <si>
    <t>10350RC-CHINA LEGAL</t>
  </si>
  <si>
    <t>CI20208</t>
  </si>
  <si>
    <t>Legal 10350RC</t>
  </si>
  <si>
    <t>10350TW</t>
  </si>
  <si>
    <t>10350TW-TAIWAN MOBILE</t>
  </si>
  <si>
    <t>CI53055</t>
  </si>
  <si>
    <t>CL - Mobile - International 10350TW</t>
  </si>
  <si>
    <t>10686BZ</t>
  </si>
  <si>
    <t>10686BZ-SMARTBUNDLE BZ</t>
  </si>
  <si>
    <t>C601029</t>
  </si>
  <si>
    <t>Smartbundle International</t>
  </si>
  <si>
    <t>10350UK</t>
  </si>
  <si>
    <t>10350UK-Legal UK</t>
  </si>
  <si>
    <t>CI20221</t>
  </si>
  <si>
    <t>Legal 10350UK</t>
  </si>
  <si>
    <t>10351AG</t>
  </si>
  <si>
    <t>10351AG-Global Positions Legal ARG</t>
  </si>
  <si>
    <t>C052011</t>
  </si>
  <si>
    <t>Global Roles - Legal</t>
  </si>
  <si>
    <t>10351AU</t>
  </si>
  <si>
    <t>10351AU-ASA Operations</t>
  </si>
  <si>
    <t>CI60001</t>
  </si>
  <si>
    <t>Operations 10351AU</t>
  </si>
  <si>
    <t>7171-Claims Dept</t>
  </si>
  <si>
    <t>C601034</t>
  </si>
  <si>
    <t>Claims - International</t>
  </si>
  <si>
    <t>10352AG</t>
  </si>
  <si>
    <t>10352AG-COMPLIANCE AG</t>
  </si>
  <si>
    <t>CI20228</t>
  </si>
  <si>
    <t>Legal - Compliance 10352AG</t>
  </si>
  <si>
    <t>10170RC</t>
  </si>
  <si>
    <t>10170RC-INTERNATIONAL DEVELOPMENT CHINA</t>
  </si>
  <si>
    <t>C601036</t>
  </si>
  <si>
    <t>10800RC</t>
  </si>
  <si>
    <t>10800RC-CHINA MERCHANDIZER TEAM</t>
  </si>
  <si>
    <t>C601037</t>
  </si>
  <si>
    <t>Mechandizer Team - International</t>
  </si>
  <si>
    <t>10352JP</t>
  </si>
  <si>
    <t>10352JP-JAPAN HOME WARRANTY</t>
  </si>
  <si>
    <t>C601060</t>
  </si>
  <si>
    <t>Home Warranty</t>
  </si>
  <si>
    <t>10602FR</t>
  </si>
  <si>
    <t>10602FR-CS AGENTS FR</t>
  </si>
  <si>
    <t>C601039</t>
  </si>
  <si>
    <t>CS - Agents</t>
  </si>
  <si>
    <t>10930FR</t>
  </si>
  <si>
    <t>10930FR-CS DARTY FR</t>
  </si>
  <si>
    <t>C601040</t>
  </si>
  <si>
    <t>CS - Darty</t>
  </si>
  <si>
    <t>10970FR</t>
  </si>
  <si>
    <t>10970FR-CS BOUYGUES FR</t>
  </si>
  <si>
    <t>C601041</t>
  </si>
  <si>
    <t>CS - Bouygues</t>
  </si>
  <si>
    <t>17804FR</t>
  </si>
  <si>
    <t>17804FR-EU CENTRAL SERVICES</t>
  </si>
  <si>
    <t>C601042</t>
  </si>
  <si>
    <t>EU Central Services</t>
  </si>
  <si>
    <t>10352UK</t>
  </si>
  <si>
    <t>10352UK-COMPLIANCE UK</t>
  </si>
  <si>
    <t>CI20238</t>
  </si>
  <si>
    <t>Legal - Compliance 10352UK</t>
  </si>
  <si>
    <t>10353AG</t>
  </si>
  <si>
    <t>10353AG-Legal Andean ARG</t>
  </si>
  <si>
    <t>C050010</t>
  </si>
  <si>
    <t>Regional - Legal</t>
  </si>
  <si>
    <t>10354AG</t>
  </si>
  <si>
    <t>10354AG - Compliance Andean ARG</t>
  </si>
  <si>
    <t>C050003</t>
  </si>
  <si>
    <t>Regional - Compliance</t>
  </si>
  <si>
    <t>10365AG-Ceibo ARG</t>
  </si>
  <si>
    <t>C601001</t>
  </si>
  <si>
    <t>Ceibo</t>
  </si>
  <si>
    <t>10794DE</t>
  </si>
  <si>
    <t>10794DE-BREXIT DE</t>
  </si>
  <si>
    <t>C601047</t>
  </si>
  <si>
    <t>Brexit</t>
  </si>
  <si>
    <t>10500AG</t>
  </si>
  <si>
    <t>10500AG-Premium Processing</t>
  </si>
  <si>
    <t>CI11001</t>
  </si>
  <si>
    <t>Premium Processing 10500AG</t>
  </si>
  <si>
    <t>10500BZ</t>
  </si>
  <si>
    <t>10500BZ-Premium Processing</t>
  </si>
  <si>
    <t>CI11003</t>
  </si>
  <si>
    <t>Premium Processing 10500BZ</t>
  </si>
  <si>
    <t>10606IT</t>
  </si>
  <si>
    <t>10606IT-TP ROME</t>
  </si>
  <si>
    <t>C601050</t>
  </si>
  <si>
    <t>TP Rome</t>
  </si>
  <si>
    <t>10160IT</t>
  </si>
  <si>
    <t>10160IT-EUROPEAN OPERATIONS</t>
  </si>
  <si>
    <t>C601051</t>
  </si>
  <si>
    <t>European Operations</t>
  </si>
  <si>
    <t>10791IT</t>
  </si>
  <si>
    <t>10791IT-HR CHANGE IT</t>
  </si>
  <si>
    <t>C601052</t>
  </si>
  <si>
    <t>HR Change IT</t>
  </si>
  <si>
    <t>10792IT</t>
  </si>
  <si>
    <t>10792IT-OPERATIONS CHANGE IT</t>
  </si>
  <si>
    <t>C601053</t>
  </si>
  <si>
    <t>Operations Change IT</t>
  </si>
  <si>
    <t>10500CL</t>
  </si>
  <si>
    <t>10500CL-Premium Processing Chile</t>
  </si>
  <si>
    <t>CI11004</t>
  </si>
  <si>
    <t>Premium Processing 10500CL</t>
  </si>
  <si>
    <t>10189KR</t>
  </si>
  <si>
    <t>10189KR-OLIVAR BD1</t>
  </si>
  <si>
    <t>C601055</t>
  </si>
  <si>
    <t>Oliver - BD1</t>
  </si>
  <si>
    <t>10190KR</t>
  </si>
  <si>
    <t>10190KR-OLIVAR BD2</t>
  </si>
  <si>
    <t>C601056</t>
  </si>
  <si>
    <t>Oliver - BD2</t>
  </si>
  <si>
    <t>10194KR</t>
  </si>
  <si>
    <t>10194KR-OLIVAR HR</t>
  </si>
  <si>
    <t>C601057</t>
  </si>
  <si>
    <t>Oliver - BD3</t>
  </si>
  <si>
    <t>10198KR</t>
  </si>
  <si>
    <t>10198KR-OLIVAR BUSINESS SUPPORT</t>
  </si>
  <si>
    <t>C601058</t>
  </si>
  <si>
    <t>Oliver - Business Support</t>
  </si>
  <si>
    <t>10311JP</t>
  </si>
  <si>
    <t>10311JP-TRYGLE</t>
  </si>
  <si>
    <t>C601059</t>
  </si>
  <si>
    <t>Trygle</t>
  </si>
  <si>
    <t>10500CLCNLIV</t>
  </si>
  <si>
    <t>10500CL-Premium Processing Chile (Connected Living)</t>
  </si>
  <si>
    <t>CI11005</t>
  </si>
  <si>
    <t>Premium Processing 10500CLCNLIV</t>
  </si>
  <si>
    <t>10370JP</t>
  </si>
  <si>
    <t>10370JP-JAPAN IOSYS</t>
  </si>
  <si>
    <t>C601061</t>
  </si>
  <si>
    <t>IOSYS</t>
  </si>
  <si>
    <t>10788IT</t>
  </si>
  <si>
    <t>10788IT-LEGAL CHANGE IT</t>
  </si>
  <si>
    <t>C601062</t>
  </si>
  <si>
    <t>Legal Change IT</t>
  </si>
  <si>
    <t>10310FR</t>
  </si>
  <si>
    <t>10310FR-Solutions FR</t>
  </si>
  <si>
    <t>C601063</t>
  </si>
  <si>
    <t>Solutions</t>
  </si>
  <si>
    <t>10320FR</t>
  </si>
  <si>
    <t>10320FR-Delivery FR</t>
  </si>
  <si>
    <t>C601064</t>
  </si>
  <si>
    <t>Delivery</t>
  </si>
  <si>
    <t>10400FR</t>
  </si>
  <si>
    <t>10400FR-Automotive Activity</t>
  </si>
  <si>
    <t>C601065</t>
  </si>
  <si>
    <t>Automotive Activity</t>
  </si>
  <si>
    <t>10500MX</t>
  </si>
  <si>
    <t>10500MX-Premium Processing Mex</t>
  </si>
  <si>
    <t>CI11006</t>
  </si>
  <si>
    <t>Premium Processing 10500MX</t>
  </si>
  <si>
    <t>10501AG</t>
  </si>
  <si>
    <t>10501AG-Reginal Positions Operations</t>
  </si>
  <si>
    <t>C050011</t>
  </si>
  <si>
    <t>Regional - Operations</t>
  </si>
  <si>
    <t>10501CL</t>
  </si>
  <si>
    <t>10501CL:IMPLEMENTACIONES CHILE ALOCATIONS</t>
  </si>
  <si>
    <t>C292002</t>
  </si>
  <si>
    <t>Allocations - Implementaciones - Chile</t>
  </si>
  <si>
    <t>10900FR</t>
  </si>
  <si>
    <t>10900FR-CS MS FR</t>
  </si>
  <si>
    <t>C601070</t>
  </si>
  <si>
    <t>CS MS</t>
  </si>
  <si>
    <t>10910FR</t>
  </si>
  <si>
    <t>10910FR-CS Visa FR</t>
  </si>
  <si>
    <t>C601071</t>
  </si>
  <si>
    <t>CS Visa</t>
  </si>
  <si>
    <t>10920FR</t>
  </si>
  <si>
    <t>10920FR-CS SFR FR</t>
  </si>
  <si>
    <t>C601072</t>
  </si>
  <si>
    <t>CS SFR</t>
  </si>
  <si>
    <t>10940FR</t>
  </si>
  <si>
    <t>10940FR-CS Corporate FR</t>
  </si>
  <si>
    <t>C601073</t>
  </si>
  <si>
    <t>CS Corporate</t>
  </si>
  <si>
    <t>10502AG</t>
  </si>
  <si>
    <t>10502AG-Operations Andean ARG</t>
  </si>
  <si>
    <t>CI50012</t>
  </si>
  <si>
    <t>Regional - Operations 10502AG</t>
  </si>
  <si>
    <t>10960FR</t>
  </si>
  <si>
    <t>10960FR-CS Level 2</t>
  </si>
  <si>
    <t>C601075</t>
  </si>
  <si>
    <t>CS Level 2</t>
  </si>
  <si>
    <t>20000PR</t>
  </si>
  <si>
    <t>20000PR-HURRICANE FIONA</t>
  </si>
  <si>
    <t>C601077</t>
  </si>
  <si>
    <t>Hurricane Fiona</t>
  </si>
  <si>
    <t>40000PR</t>
  </si>
  <si>
    <t>40000PR-BI Liability ISA PR</t>
  </si>
  <si>
    <t>C601078</t>
  </si>
  <si>
    <t>BI Liability ISA</t>
  </si>
  <si>
    <t>10502CL</t>
  </si>
  <si>
    <t>10502CL:PRODUCT DEVELOPMENT CHILE ALLOCATIONS</t>
  </si>
  <si>
    <t>C292003</t>
  </si>
  <si>
    <t>Allocations - Product Development - Chile</t>
  </si>
  <si>
    <t>10502UK-POLICY ADMIN UK</t>
  </si>
  <si>
    <t>C610200</t>
  </si>
  <si>
    <t>Policy Admin</t>
  </si>
  <si>
    <t>10618NL</t>
  </si>
  <si>
    <t>10618NL-Vodefone</t>
  </si>
  <si>
    <t>C60107B</t>
  </si>
  <si>
    <t>Vodafone 10618NL</t>
  </si>
  <si>
    <t>10503CL</t>
  </si>
  <si>
    <t>10503CL:SUPPLY CHAIN CHILE ALLOCATIONS</t>
  </si>
  <si>
    <t>C292004</t>
  </si>
  <si>
    <t>Allocations - Supply Chain - Chile</t>
  </si>
  <si>
    <t>10503DE</t>
  </si>
  <si>
    <t>10503DE-PROGRAMME ADMINISTRATION DE</t>
  </si>
  <si>
    <t>C601046</t>
  </si>
  <si>
    <t>Program Administration</t>
  </si>
  <si>
    <t>17771UK</t>
  </si>
  <si>
    <t>17771UK-VODAFONE CUSTOMER RELATIONS</t>
  </si>
  <si>
    <t>C60107E</t>
  </si>
  <si>
    <t>Vodafone 17771UK</t>
  </si>
  <si>
    <t>17769UK</t>
  </si>
  <si>
    <t>17769UK-Vodafone</t>
  </si>
  <si>
    <t>C60107F</t>
  </si>
  <si>
    <t>Vodafone 17769UK</t>
  </si>
  <si>
    <t>10620NL</t>
  </si>
  <si>
    <t>10620NL:VODAFONE GREECE</t>
  </si>
  <si>
    <t>C60107G</t>
  </si>
  <si>
    <t>Vodafone - Greece</t>
  </si>
  <si>
    <t>10621NL</t>
  </si>
  <si>
    <t>10621NL:VODAFONE SPAIN</t>
  </si>
  <si>
    <t>C60107H</t>
  </si>
  <si>
    <t>Vodafone - Spain</t>
  </si>
  <si>
    <t>10622NL</t>
  </si>
  <si>
    <t>10622NL:VODAFONE PORTUGAL</t>
  </si>
  <si>
    <t>C60107I</t>
  </si>
  <si>
    <t>Vodafone - Portugal</t>
  </si>
  <si>
    <t>10623NL</t>
  </si>
  <si>
    <t>10623NL:VODAFONE CZECH REPUBLIC</t>
  </si>
  <si>
    <t>C60107J</t>
  </si>
  <si>
    <t>Vodafone - Czech Republic</t>
  </si>
  <si>
    <t>10624NL</t>
  </si>
  <si>
    <t>10624NL:VODAFONE NETHERLANDS</t>
  </si>
  <si>
    <t>C60107K</t>
  </si>
  <si>
    <t>Vodafone - Netherlands</t>
  </si>
  <si>
    <t>10503ES</t>
  </si>
  <si>
    <t>10503ES-PROGRAMME ADMINISTRATION ES</t>
  </si>
  <si>
    <t>CI60147</t>
  </si>
  <si>
    <t>Program Administration 10503ES</t>
  </si>
  <si>
    <t>10626NL</t>
  </si>
  <si>
    <t>10626NL:VODAFONE HUNGARY</t>
  </si>
  <si>
    <t>C60107M</t>
  </si>
  <si>
    <t>Vodafone - Hungary</t>
  </si>
  <si>
    <t>10627NL</t>
  </si>
  <si>
    <t>10627NL:VODAFONE ROMANIA</t>
  </si>
  <si>
    <t>C60107N</t>
  </si>
  <si>
    <t>Vodafone - Romania</t>
  </si>
  <si>
    <t>17314PR</t>
  </si>
  <si>
    <t>17314PR-ECT</t>
  </si>
  <si>
    <t>C601080</t>
  </si>
  <si>
    <t>ECT</t>
  </si>
  <si>
    <t>10503IT</t>
  </si>
  <si>
    <t>10503IT-PROGRAMME ADMINISTRATION ITALY</t>
  </si>
  <si>
    <t>CI60146</t>
  </si>
  <si>
    <t>Program Administration 10503IT</t>
  </si>
  <si>
    <t>7007-SERVICE SAVER PUERTO RICO</t>
  </si>
  <si>
    <t>C601083</t>
  </si>
  <si>
    <t>Service Saver</t>
  </si>
  <si>
    <t>10505MX</t>
  </si>
  <si>
    <t>10505MX-Puerto Rico Controller</t>
  </si>
  <si>
    <t>CI10028</t>
  </si>
  <si>
    <t>Finance - Country Finance Management 10505MX</t>
  </si>
  <si>
    <t>17701UK</t>
  </si>
  <si>
    <t>17701UK-4U JUMP AND WIFI</t>
  </si>
  <si>
    <t>C601086</t>
  </si>
  <si>
    <t>4U Jump And Wifi</t>
  </si>
  <si>
    <t>17703UK</t>
  </si>
  <si>
    <t>17703UK-ASSURANT NON PYB</t>
  </si>
  <si>
    <t>C601087</t>
  </si>
  <si>
    <t>Assurant Non Pyb</t>
  </si>
  <si>
    <t>17704UK</t>
  </si>
  <si>
    <t>17704UK-ASSURANT NON PYB POLICY ADMIN</t>
  </si>
  <si>
    <t>C601088</t>
  </si>
  <si>
    <t>Assurant Non Pyb Policy Admin</t>
  </si>
  <si>
    <t>10506BZ</t>
  </si>
  <si>
    <t>10506BZ-Accounting</t>
  </si>
  <si>
    <t>CI10151</t>
  </si>
  <si>
    <t>Global Accounting - General Accounting 10506BZ</t>
  </si>
  <si>
    <t>17707UK</t>
  </si>
  <si>
    <t>17707UK-BD SALES</t>
  </si>
  <si>
    <t>C601090</t>
  </si>
  <si>
    <t>Bd Sales</t>
  </si>
  <si>
    <t>17708UK</t>
  </si>
  <si>
    <t>17708UK-BUSINESS CHANGE</t>
  </si>
  <si>
    <t>C601091</t>
  </si>
  <si>
    <t>Business Change</t>
  </si>
  <si>
    <t>17709UK</t>
  </si>
  <si>
    <t>17709UK-CENTRAL</t>
  </si>
  <si>
    <t>C601092</t>
  </si>
  <si>
    <t>Central</t>
  </si>
  <si>
    <t>17711UK</t>
  </si>
  <si>
    <t>17711UK-CLIENT</t>
  </si>
  <si>
    <t>C601093</t>
  </si>
  <si>
    <t>Client</t>
  </si>
  <si>
    <t>17714UK</t>
  </si>
  <si>
    <t>17714UK-DIRECT CHANGE</t>
  </si>
  <si>
    <t>C601094</t>
  </si>
  <si>
    <t>Direct Change</t>
  </si>
  <si>
    <t>17718UK</t>
  </si>
  <si>
    <t>17718UK-EMPLOYEE ENGAGEMENT</t>
  </si>
  <si>
    <t>C601095</t>
  </si>
  <si>
    <t>Employee Engagement</t>
  </si>
  <si>
    <t>17719UK</t>
  </si>
  <si>
    <t>17719UK-FUTURES</t>
  </si>
  <si>
    <t>C601096</t>
  </si>
  <si>
    <t>Futures</t>
  </si>
  <si>
    <t>17721UK</t>
  </si>
  <si>
    <t>17721UK-HBOS HUBB</t>
  </si>
  <si>
    <t>C601097</t>
  </si>
  <si>
    <t>Hbos Hubb</t>
  </si>
  <si>
    <t>17724UK</t>
  </si>
  <si>
    <t>17724UK-INTEGRATION ONGOING</t>
  </si>
  <si>
    <t>C601098</t>
  </si>
  <si>
    <t>Integration Ongoing</t>
  </si>
  <si>
    <t>17726UK</t>
  </si>
  <si>
    <t>17726UK-INTERNATIONAL</t>
  </si>
  <si>
    <t>C601100</t>
  </si>
  <si>
    <t>International</t>
  </si>
  <si>
    <t>17727UK</t>
  </si>
  <si>
    <t>17727UK-INTEGRATION ONE OFF</t>
  </si>
  <si>
    <t>C601101</t>
  </si>
  <si>
    <t>Integration One Off</t>
  </si>
  <si>
    <t>17728UK</t>
  </si>
  <si>
    <t>17728UK-INTEGRATION RECHARGE</t>
  </si>
  <si>
    <t>C601102</t>
  </si>
  <si>
    <t>Integration Recharge</t>
  </si>
  <si>
    <t>17729UK</t>
  </si>
  <si>
    <t>17729UK-INTEGRATION ONE OFF</t>
  </si>
  <si>
    <t>C601103</t>
  </si>
  <si>
    <t>17730UK</t>
  </si>
  <si>
    <t>17730UK-IOM</t>
  </si>
  <si>
    <t>C601104</t>
  </si>
  <si>
    <t>Iom</t>
  </si>
  <si>
    <t>17732UK</t>
  </si>
  <si>
    <t>17732UK-LSG CLAIMS</t>
  </si>
  <si>
    <t>C601105</t>
  </si>
  <si>
    <t>Lsg Claims</t>
  </si>
  <si>
    <t>17733UK</t>
  </si>
  <si>
    <t>17733UK-LSG CONTACT CENTRE</t>
  </si>
  <si>
    <t>C601106</t>
  </si>
  <si>
    <t>Lsg Contact Centre</t>
  </si>
  <si>
    <t>17734UK</t>
  </si>
  <si>
    <t>17734UK-CR INSIGHT QA APPEALS</t>
  </si>
  <si>
    <t>C601107</t>
  </si>
  <si>
    <t>Cr Insight Qa Appeals</t>
  </si>
  <si>
    <t>17736UK</t>
  </si>
  <si>
    <t>17736UK-OPERATIONS MI</t>
  </si>
  <si>
    <t>C601109</t>
  </si>
  <si>
    <t>Operations Mi</t>
  </si>
  <si>
    <t>17739UK</t>
  </si>
  <si>
    <t>17739UK-MARKETING</t>
  </si>
  <si>
    <t>C601110</t>
  </si>
  <si>
    <t>17740UK</t>
  </si>
  <si>
    <t>17740UK-NAB</t>
  </si>
  <si>
    <t>C601111</t>
  </si>
  <si>
    <t>Nab</t>
  </si>
  <si>
    <t>17746UK</t>
  </si>
  <si>
    <t>17746UK-OPS INDIRECT TELESALES</t>
  </si>
  <si>
    <t>C601113</t>
  </si>
  <si>
    <t>Ops Indirect Telesales</t>
  </si>
  <si>
    <t>17747UK</t>
  </si>
  <si>
    <t>17747UK-ORANGE CONSULTANCY</t>
  </si>
  <si>
    <t>C601114</t>
  </si>
  <si>
    <t>Orange Consultancy</t>
  </si>
  <si>
    <t>17748UK</t>
  </si>
  <si>
    <t>17748UK-EE SERVICES</t>
  </si>
  <si>
    <t>C601115</t>
  </si>
  <si>
    <t>Ee Services</t>
  </si>
  <si>
    <t>17749UK</t>
  </si>
  <si>
    <t>17749UK-ORANGE TELESALES</t>
  </si>
  <si>
    <t>C601116</t>
  </si>
  <si>
    <t>Orange Telesales</t>
  </si>
  <si>
    <t>17760UK</t>
  </si>
  <si>
    <t>17760UK-RISK AND ADVISORY SERVICES</t>
  </si>
  <si>
    <t>C601123</t>
  </si>
  <si>
    <t>Risk And Advisory Services</t>
  </si>
  <si>
    <t>17763UK</t>
  </si>
  <si>
    <t>17763UK-STAMS HOLDING</t>
  </si>
  <si>
    <t>C601124</t>
  </si>
  <si>
    <t>Stams Holding</t>
  </si>
  <si>
    <t>17764UK</t>
  </si>
  <si>
    <t>17764UK-STOCK</t>
  </si>
  <si>
    <t>C601125</t>
  </si>
  <si>
    <t>Stock</t>
  </si>
  <si>
    <t>10507BZ</t>
  </si>
  <si>
    <t>10507BZ-Finance Other</t>
  </si>
  <si>
    <t>CI10014</t>
  </si>
  <si>
    <t>Finance - Country Finance Management 10507BZ</t>
  </si>
  <si>
    <t>17766UK</t>
  </si>
  <si>
    <t>17766UK-TELESALES</t>
  </si>
  <si>
    <t>C601127</t>
  </si>
  <si>
    <t>Telesales</t>
  </si>
  <si>
    <t>17767UK</t>
  </si>
  <si>
    <t>17767UK-TSB</t>
  </si>
  <si>
    <t>C601128</t>
  </si>
  <si>
    <t>Tsb</t>
  </si>
  <si>
    <t>17768UK</t>
  </si>
  <si>
    <t>17768UK-UPGRADES</t>
  </si>
  <si>
    <t>C610129</t>
  </si>
  <si>
    <t>Upgrades</t>
  </si>
  <si>
    <t>17803UK</t>
  </si>
  <si>
    <t>17803UK-GLOBAL WARRANTY</t>
  </si>
  <si>
    <t>C610130</t>
  </si>
  <si>
    <t>Global Warranty</t>
  </si>
  <si>
    <t>17804UK</t>
  </si>
  <si>
    <t>17804UK-TRAVELLER</t>
  </si>
  <si>
    <t>C610131</t>
  </si>
  <si>
    <t>Traveller</t>
  </si>
  <si>
    <t>10507CL</t>
  </si>
  <si>
    <t>10507CL-FINANCE OTHER</t>
  </si>
  <si>
    <t>C010901</t>
  </si>
  <si>
    <t>Finance - Other</t>
  </si>
  <si>
    <t>17806UK</t>
  </si>
  <si>
    <t>17806UK-WAREHOUSE</t>
  </si>
  <si>
    <t>C610133</t>
  </si>
  <si>
    <t>Warehouse</t>
  </si>
  <si>
    <t>17808UK</t>
  </si>
  <si>
    <t>17808UK-LEGAL CHANGE UK</t>
  </si>
  <si>
    <t>C610134</t>
  </si>
  <si>
    <t>Legal Change</t>
  </si>
  <si>
    <t>17810UK</t>
  </si>
  <si>
    <t>17810UK-DEUTSCHE TELEKOM SET UP</t>
  </si>
  <si>
    <t>C610135</t>
  </si>
  <si>
    <t>Deutsche Telekom Set Up</t>
  </si>
  <si>
    <t>17817UK</t>
  </si>
  <si>
    <t>17817UK-MARKETING CHANGE</t>
  </si>
  <si>
    <t>C610137</t>
  </si>
  <si>
    <t>Marketing Change</t>
  </si>
  <si>
    <t>17819UK</t>
  </si>
  <si>
    <t>17819UK-OPERATIONAL REPORTING</t>
  </si>
  <si>
    <t>C610138</t>
  </si>
  <si>
    <t>Operational Reporting</t>
  </si>
  <si>
    <t>17863UK</t>
  </si>
  <si>
    <t>17863UK-SAMSUNG CLIENT</t>
  </si>
  <si>
    <t>C610139</t>
  </si>
  <si>
    <t>Samsung Client</t>
  </si>
  <si>
    <t>17870UK</t>
  </si>
  <si>
    <t>17870UK-VAS-SUPPLY CHAIN</t>
  </si>
  <si>
    <t>C610140</t>
  </si>
  <si>
    <t>VAS Supply Chain</t>
  </si>
  <si>
    <t>17917UK</t>
  </si>
  <si>
    <t>17917UK-PROPOSITION AND BID</t>
  </si>
  <si>
    <t>C610142</t>
  </si>
  <si>
    <t>Propositiong and Bid</t>
  </si>
  <si>
    <t>17920UK</t>
  </si>
  <si>
    <t>17920UK-OPERATIONAL REPORTING</t>
  </si>
  <si>
    <t>C610143</t>
  </si>
  <si>
    <t>17923UK</t>
  </si>
  <si>
    <t>17923UK-AMAZON</t>
  </si>
  <si>
    <t>C610144</t>
  </si>
  <si>
    <t>Amazon</t>
  </si>
  <si>
    <t>17924UK</t>
  </si>
  <si>
    <t>17924UK-MAINLAND EUROPE MANAGEMENT</t>
  </si>
  <si>
    <t>C610145</t>
  </si>
  <si>
    <t>Mainland European Manaement</t>
  </si>
  <si>
    <t>10616UK</t>
  </si>
  <si>
    <t>10616UK-Solvency II</t>
  </si>
  <si>
    <t>C610146</t>
  </si>
  <si>
    <t>Solvency II</t>
  </si>
  <si>
    <t>17941UK</t>
  </si>
  <si>
    <t>17941UK-CLIENT REPORTING  CREDIT CNTRL</t>
  </si>
  <si>
    <t>C610147</t>
  </si>
  <si>
    <t>Client Reporting Credit Control</t>
  </si>
  <si>
    <t>17942UK</t>
  </si>
  <si>
    <t>17942UK-SPARE TWG1</t>
  </si>
  <si>
    <t>C610148</t>
  </si>
  <si>
    <t>Spare TWG 1</t>
  </si>
  <si>
    <t>17943UK</t>
  </si>
  <si>
    <t>17943UK-SPARE TWG2</t>
  </si>
  <si>
    <t>C610149</t>
  </si>
  <si>
    <t>Spare TWG 2</t>
  </si>
  <si>
    <t>17961UK</t>
  </si>
  <si>
    <t>17961UK-CPI EIRE  CLMS ADMIN CUSTSERV</t>
  </si>
  <si>
    <t>C610151</t>
  </si>
  <si>
    <t>CPI EIRE Claims Admin Customer Service</t>
  </si>
  <si>
    <t>17962UK</t>
  </si>
  <si>
    <t>17962UK-CUSTOMER CALL CENTRE  AT</t>
  </si>
  <si>
    <t>C610152</t>
  </si>
  <si>
    <t>Customer Call Center</t>
  </si>
  <si>
    <t>17966UK</t>
  </si>
  <si>
    <t>17966UK-TOYOTA LEXUS ROADSIDE ASSIST</t>
  </si>
  <si>
    <t>C610153</t>
  </si>
  <si>
    <t>Toyota Lexus Roadside Assistance</t>
  </si>
  <si>
    <t>17970UK</t>
  </si>
  <si>
    <t>17970UK-RISK MANAGEMENT</t>
  </si>
  <si>
    <t>C610154</t>
  </si>
  <si>
    <t>Risk Management</t>
  </si>
  <si>
    <t>17971UK</t>
  </si>
  <si>
    <t>17971UK-DIRECTORS</t>
  </si>
  <si>
    <t>C610155</t>
  </si>
  <si>
    <t>Directors</t>
  </si>
  <si>
    <t>17981UK</t>
  </si>
  <si>
    <t>17981UK-SECURITY MITCHELDEAN</t>
  </si>
  <si>
    <t>C610156</t>
  </si>
  <si>
    <t>Mitcheldean UK Office Security</t>
  </si>
  <si>
    <t>93700UK</t>
  </si>
  <si>
    <t>93700UK-AGL LTD</t>
  </si>
  <si>
    <t>C610157</t>
  </si>
  <si>
    <t>AGL LTD</t>
  </si>
  <si>
    <t>93703UK</t>
  </si>
  <si>
    <t>93703UK-DENMARK FX RECLASS</t>
  </si>
  <si>
    <t>C610158</t>
  </si>
  <si>
    <t>Denmark FX Reclass</t>
  </si>
  <si>
    <t>W3730</t>
  </si>
  <si>
    <t>W3730-WEPP UNITED KINGDOM</t>
  </si>
  <si>
    <t>C610159</t>
  </si>
  <si>
    <t>WEPP United Kingdom</t>
  </si>
  <si>
    <t>17922PT</t>
  </si>
  <si>
    <t>17922PT-EUROPEAN SALES AT</t>
  </si>
  <si>
    <t>C610160</t>
  </si>
  <si>
    <t>European Sales</t>
  </si>
  <si>
    <t>10003ES</t>
  </si>
  <si>
    <t>10003ES-EXECUTIVE PMO ES</t>
  </si>
  <si>
    <t>C610161</t>
  </si>
  <si>
    <t>Executive Pmo Uk</t>
  </si>
  <si>
    <t>10008UK-EXECUTIVE YORK UK</t>
  </si>
  <si>
    <t>C610162</t>
  </si>
  <si>
    <t>Executive York Uk</t>
  </si>
  <si>
    <t>10010UK</t>
  </si>
  <si>
    <t>10010UK-HEALTH AND SAFETY</t>
  </si>
  <si>
    <t>C610163</t>
  </si>
  <si>
    <t>Health And Safety</t>
  </si>
  <si>
    <t>10170UK-CORP ROLE UK</t>
  </si>
  <si>
    <t>C610165</t>
  </si>
  <si>
    <t>Corp Role Uk</t>
  </si>
  <si>
    <t>10173UK</t>
  </si>
  <si>
    <t>10173UK-RISK MANAGEMENT UK</t>
  </si>
  <si>
    <t>C610166</t>
  </si>
  <si>
    <t>Risk Management Uk</t>
  </si>
  <si>
    <t>10174UK</t>
  </si>
  <si>
    <t>10174UK-RISK SOLVENCY 2 UK</t>
  </si>
  <si>
    <t>C610167</t>
  </si>
  <si>
    <t>Risk Solvency 2 Uk</t>
  </si>
  <si>
    <t>10191UK</t>
  </si>
  <si>
    <t>10191UK-VENDOR MANAGEMENT</t>
  </si>
  <si>
    <t>C610168</t>
  </si>
  <si>
    <t>Vendor Management</t>
  </si>
  <si>
    <t>10192UK</t>
  </si>
  <si>
    <t>10192UK-DEVICE CARE CENTRE - TUNSTALL</t>
  </si>
  <si>
    <t>C610169</t>
  </si>
  <si>
    <t>Device Care Centre - Tunstall</t>
  </si>
  <si>
    <t>10222UK</t>
  </si>
  <si>
    <t>10222UK-ETOILE ONGOING</t>
  </si>
  <si>
    <t>C610170</t>
  </si>
  <si>
    <t>Etoile Ongoing</t>
  </si>
  <si>
    <t>11302MX</t>
  </si>
  <si>
    <t>11302MX-TWG INTEGRATION MEXICO</t>
  </si>
  <si>
    <t>C610174</t>
  </si>
  <si>
    <t>TWG Integration</t>
  </si>
  <si>
    <t>10914UK</t>
  </si>
  <si>
    <t>10914UK-EPASS CAPITALIASION</t>
  </si>
  <si>
    <t>C610176</t>
  </si>
  <si>
    <t>Epass Capitaliasion</t>
  </si>
  <si>
    <t>10912UK</t>
  </si>
  <si>
    <t>10912UK-SALES OPTIMISATION</t>
  </si>
  <si>
    <t>C610177</t>
  </si>
  <si>
    <t>Sales Optimisation</t>
  </si>
  <si>
    <t>10902UK</t>
  </si>
  <si>
    <t>10902UK-CHANGE</t>
  </si>
  <si>
    <t>C610178</t>
  </si>
  <si>
    <t>Change</t>
  </si>
  <si>
    <t>10508AG</t>
  </si>
  <si>
    <t>10508AG-Regional Positions Internal Audit</t>
  </si>
  <si>
    <t>C050004</t>
  </si>
  <si>
    <t>Regional - Internal Audit</t>
  </si>
  <si>
    <t>10791UK</t>
  </si>
  <si>
    <t>10791UK-INTEGRATION DATA RESIDENCY</t>
  </si>
  <si>
    <t>C610180</t>
  </si>
  <si>
    <t>Integration Data Residency</t>
  </si>
  <si>
    <t>10508CN</t>
  </si>
  <si>
    <t>10508CN-MOBILE CN</t>
  </si>
  <si>
    <t>CI53051</t>
  </si>
  <si>
    <t>CL - Mobile - International 10508CN</t>
  </si>
  <si>
    <t>10707UK</t>
  </si>
  <si>
    <t>10707UK-RBS DRAGONPASS</t>
  </si>
  <si>
    <t>C610182</t>
  </si>
  <si>
    <t>RBS Dragonpass</t>
  </si>
  <si>
    <t>10688UK</t>
  </si>
  <si>
    <t>10688UK-FINANCIAL INSTITUTIONS</t>
  </si>
  <si>
    <t>C610183</t>
  </si>
  <si>
    <t>Financial Institutions</t>
  </si>
  <si>
    <t>10510AG</t>
  </si>
  <si>
    <t>10510AG-Internal Audit</t>
  </si>
  <si>
    <t>CI10305</t>
  </si>
  <si>
    <t>Internal Audit 10510AG</t>
  </si>
  <si>
    <t>10626UK</t>
  </si>
  <si>
    <t>10626UK-MARKETING PROJECT</t>
  </si>
  <si>
    <t>C610185</t>
  </si>
  <si>
    <t>Marketing Project</t>
  </si>
  <si>
    <t>10510MX</t>
  </si>
  <si>
    <t>10510MX-ESC PREMIUM PROCESSING MEXICO</t>
  </si>
  <si>
    <t>C610275</t>
  </si>
  <si>
    <t>ESC Premium Processing</t>
  </si>
  <si>
    <t>10601UK</t>
  </si>
  <si>
    <t>10601UK-ESC TEAM</t>
  </si>
  <si>
    <t>C610187</t>
  </si>
  <si>
    <t>ESC Team</t>
  </si>
  <si>
    <t>10511UK</t>
  </si>
  <si>
    <t>10511UK-PROJECT SOLO</t>
  </si>
  <si>
    <t>C090041</t>
  </si>
  <si>
    <t>Project Solo</t>
  </si>
  <si>
    <t>10607UK</t>
  </si>
  <si>
    <t>10607UK-QA BPO</t>
  </si>
  <si>
    <t>C610189</t>
  </si>
  <si>
    <t>QA Bpo</t>
  </si>
  <si>
    <t>10609UK</t>
  </si>
  <si>
    <t>10609UK-TELEPHONE LANDLINES</t>
  </si>
  <si>
    <t>C610190</t>
  </si>
  <si>
    <t>Telephone Landlines</t>
  </si>
  <si>
    <t>10610UK</t>
  </si>
  <si>
    <t>10610UK-POSTAGE</t>
  </si>
  <si>
    <t>C610191</t>
  </si>
  <si>
    <t>Postage</t>
  </si>
  <si>
    <t>10611UK</t>
  </si>
  <si>
    <t>10611UK-BANK CHARGES</t>
  </si>
  <si>
    <t>C610192</t>
  </si>
  <si>
    <t>Bank Charges</t>
  </si>
  <si>
    <t>10612UK</t>
  </si>
  <si>
    <t>10612UK-STATIONERY</t>
  </si>
  <si>
    <t>C610193</t>
  </si>
  <si>
    <t>Stationery</t>
  </si>
  <si>
    <t>10619UK</t>
  </si>
  <si>
    <t>10619UK-TRAINING</t>
  </si>
  <si>
    <t>C610194</t>
  </si>
  <si>
    <t>Training</t>
  </si>
  <si>
    <t>10620UK</t>
  </si>
  <si>
    <t>10620UK-AUDIT FEE</t>
  </si>
  <si>
    <t>C610195</t>
  </si>
  <si>
    <t>Audit Fee</t>
  </si>
  <si>
    <t>10621UK</t>
  </si>
  <si>
    <t>10621UK-INSURANCE</t>
  </si>
  <si>
    <t>C610196</t>
  </si>
  <si>
    <t>Insurance</t>
  </si>
  <si>
    <t>10792UK</t>
  </si>
  <si>
    <t>10792UK-SUPPLY CHAIN REPAIRS SERVICES EU</t>
  </si>
  <si>
    <t>C610197</t>
  </si>
  <si>
    <t>Supply Chain Repairs Services</t>
  </si>
  <si>
    <t>12R1</t>
  </si>
  <si>
    <t>12R1-Directors</t>
  </si>
  <si>
    <t>C610198</t>
  </si>
  <si>
    <t>10901UK</t>
  </si>
  <si>
    <t>10901UK-MANAGEMENT</t>
  </si>
  <si>
    <t>C610199</t>
  </si>
  <si>
    <t>Management</t>
  </si>
  <si>
    <t>10602NL</t>
  </si>
  <si>
    <t>10602NL-CREDITOR ADMIN</t>
  </si>
  <si>
    <t>C610201</t>
  </si>
  <si>
    <t>Creditors Admin</t>
  </si>
  <si>
    <t>10604NL</t>
  </si>
  <si>
    <t>10604NL-HONDA CLAIMS ADMIN</t>
  </si>
  <si>
    <t>C610202</t>
  </si>
  <si>
    <t>Honda Claims Admin</t>
  </si>
  <si>
    <t>10609NL</t>
  </si>
  <si>
    <t>10609NL-IT TELEPHONY</t>
  </si>
  <si>
    <t>C610203</t>
  </si>
  <si>
    <t>IT Telephony</t>
  </si>
  <si>
    <t>10610NL</t>
  </si>
  <si>
    <t>10610NL-POSTAGE</t>
  </si>
  <si>
    <t>C610204</t>
  </si>
  <si>
    <t>12010-AGENCY</t>
  </si>
  <si>
    <t>C610205</t>
  </si>
  <si>
    <t>Agency</t>
  </si>
  <si>
    <t>17710NL</t>
  </si>
  <si>
    <t>17710NL-CONNECTED LIVING CLIENT BD</t>
  </si>
  <si>
    <t>C610206</t>
  </si>
  <si>
    <t>Connected Living Client BD</t>
  </si>
  <si>
    <t>17711NL</t>
  </si>
  <si>
    <t>17711NL-SITEL</t>
  </si>
  <si>
    <t>C610207</t>
  </si>
  <si>
    <t>SITEL</t>
  </si>
  <si>
    <t>17714NL</t>
  </si>
  <si>
    <t>17714NL-GLOW</t>
  </si>
  <si>
    <t>C610208</t>
  </si>
  <si>
    <t>GLOW</t>
  </si>
  <si>
    <t>17718NL</t>
  </si>
  <si>
    <t>17718NL-EMPLOYEE ENGAGEMENT</t>
  </si>
  <si>
    <t>C610209</t>
  </si>
  <si>
    <t>17742NL</t>
  </si>
  <si>
    <t>17742NL-RENT</t>
  </si>
  <si>
    <t>C610210</t>
  </si>
  <si>
    <t>Rent</t>
  </si>
  <si>
    <t>17746NL</t>
  </si>
  <si>
    <t>17746NL-SPARE</t>
  </si>
  <si>
    <t>C610211</t>
  </si>
  <si>
    <t xml:space="preserve">Spare </t>
  </si>
  <si>
    <t>17762NL</t>
  </si>
  <si>
    <t>17762NL-SENIOR MANAGEMENT</t>
  </si>
  <si>
    <t>C610212</t>
  </si>
  <si>
    <t>Senior Management</t>
  </si>
  <si>
    <t>10612NL</t>
  </si>
  <si>
    <t>10612NL-PRINTING &amp; STATIONARY</t>
  </si>
  <si>
    <t>C610213</t>
  </si>
  <si>
    <t>Printing and Stationary</t>
  </si>
  <si>
    <t>7011-COMBINED SEGUROS DE ARGENTINA</t>
  </si>
  <si>
    <t>C610219</t>
  </si>
  <si>
    <t>Combined Seguros de Argentina</t>
  </si>
  <si>
    <t>1ZZZ</t>
  </si>
  <si>
    <t>1ZZZ-Non-Departmental Expenses</t>
  </si>
  <si>
    <t>C610220</t>
  </si>
  <si>
    <t>Non-Departmental Expense</t>
  </si>
  <si>
    <t>7024-VISA LATIN</t>
  </si>
  <si>
    <t>C610221</t>
  </si>
  <si>
    <t>VISA LATIN</t>
  </si>
  <si>
    <t>7033-Asia Pacific  Singapore</t>
  </si>
  <si>
    <t>C610223</t>
  </si>
  <si>
    <t>Asia Pacific - Singapore</t>
  </si>
  <si>
    <t>7034-LATAM - Barbados</t>
  </si>
  <si>
    <t>C610224</t>
  </si>
  <si>
    <t>LATAM Barbados</t>
  </si>
  <si>
    <t>10550BZ</t>
  </si>
  <si>
    <t>10550BZ-Claims</t>
  </si>
  <si>
    <t>CI56000</t>
  </si>
  <si>
    <t>Claims - International Lifestyle 10550BZ</t>
  </si>
  <si>
    <t>7036-Singapore Trading CO</t>
  </si>
  <si>
    <t>C610226</t>
  </si>
  <si>
    <t>Singapore Trading Company</t>
  </si>
  <si>
    <t>7463-CD - Client Experience</t>
  </si>
  <si>
    <t>C610228</t>
  </si>
  <si>
    <t>CD Client Experience</t>
  </si>
  <si>
    <t>10550DE</t>
  </si>
  <si>
    <t>10550DE-CUSTOMER SERVICE DE</t>
  </si>
  <si>
    <t>C601045</t>
  </si>
  <si>
    <t>Customer Service</t>
  </si>
  <si>
    <t>7084-CD SVC Network Partner and Loyalty</t>
  </si>
  <si>
    <t>C610230</t>
  </si>
  <si>
    <t>CD Service Network Partner and Loyalty</t>
  </si>
  <si>
    <t>7443 - CD-Business Implementation-(India-Motor)</t>
  </si>
  <si>
    <t>C610231</t>
  </si>
  <si>
    <t>CD Business Implementation</t>
  </si>
  <si>
    <t>7088-Underwriting Support Korea</t>
  </si>
  <si>
    <t>C610232</t>
  </si>
  <si>
    <t>Underwriting Support</t>
  </si>
  <si>
    <t>7092-General</t>
  </si>
  <si>
    <t>C610233</t>
  </si>
  <si>
    <t>General</t>
  </si>
  <si>
    <t>7093-Brokerage</t>
  </si>
  <si>
    <t>C610234</t>
  </si>
  <si>
    <t>Brokerage</t>
  </si>
  <si>
    <t>7100-Business Unit Director - BW</t>
  </si>
  <si>
    <t>C610235</t>
  </si>
  <si>
    <t>Business Unit Director - BW</t>
  </si>
  <si>
    <t>7111-REG SALES MANAGER BW1</t>
  </si>
  <si>
    <t>C610236</t>
  </si>
  <si>
    <t>Regional Sales Manager BW1</t>
  </si>
  <si>
    <t>7112-REG SALES MANAGER BW2</t>
  </si>
  <si>
    <t>C610237</t>
  </si>
  <si>
    <t>Regional Sales Manager BW2</t>
  </si>
  <si>
    <t>7113-REG SALES MANAGER BW3</t>
  </si>
  <si>
    <t>C610238</t>
  </si>
  <si>
    <t>Regional Sales Manager BW3</t>
  </si>
  <si>
    <t>7122-Super of Sales  Autos</t>
  </si>
  <si>
    <t>C610239</t>
  </si>
  <si>
    <t>Global Auto - Super of Sales</t>
  </si>
  <si>
    <t>7130-Telemarketing</t>
  </si>
  <si>
    <t>C610240</t>
  </si>
  <si>
    <t>Telemarketing</t>
  </si>
  <si>
    <t>7142-Administrative Services</t>
  </si>
  <si>
    <t>C610241</t>
  </si>
  <si>
    <t>Administrative Services</t>
  </si>
  <si>
    <t>7164-Products</t>
  </si>
  <si>
    <t>C610242</t>
  </si>
  <si>
    <t>Products</t>
  </si>
  <si>
    <t>7023-TWG REPAIR SERVICES SHANGHAI</t>
  </si>
  <si>
    <t>C610243</t>
  </si>
  <si>
    <t xml:space="preserve">TWG Repair Services </t>
  </si>
  <si>
    <t>7026-TWG Auto Services Shanghai</t>
  </si>
  <si>
    <t>C610244</t>
  </si>
  <si>
    <t>TWG Auto Services</t>
  </si>
  <si>
    <t>10550FR</t>
  </si>
  <si>
    <t>10550FR-CS Management FR</t>
  </si>
  <si>
    <t>C601066</t>
  </si>
  <si>
    <t>CS Management</t>
  </si>
  <si>
    <t>7403NZD</t>
  </si>
  <si>
    <t>7403NZD-LUMLEYS NZD</t>
  </si>
  <si>
    <t>C610246</t>
  </si>
  <si>
    <t>Lumleys NZD</t>
  </si>
  <si>
    <t>7484-CD  Sevice Network Partnership APAC Other</t>
  </si>
  <si>
    <t>C610247</t>
  </si>
  <si>
    <t>CD Service Network Partnership APAC Other</t>
  </si>
  <si>
    <t>10550MX</t>
  </si>
  <si>
    <t>10550MX-Claims Mex</t>
  </si>
  <si>
    <t>CI56002</t>
  </si>
  <si>
    <t>Claims - International Lifestyle 10550MX</t>
  </si>
  <si>
    <t>7489-APAC PROPERTY</t>
  </si>
  <si>
    <t>C610249</t>
  </si>
  <si>
    <t>APAC Property</t>
  </si>
  <si>
    <t>7490-IMO Expenses 7490</t>
  </si>
  <si>
    <t>C610250</t>
  </si>
  <si>
    <t xml:space="preserve">IMO Expenses </t>
  </si>
  <si>
    <t>93700-INTERNATIONAL</t>
  </si>
  <si>
    <t>C610251</t>
  </si>
  <si>
    <t>International Recharge</t>
  </si>
  <si>
    <t>93AGO</t>
  </si>
  <si>
    <t>93AGO-AG NEW CREDIT</t>
  </si>
  <si>
    <t>C610252</t>
  </si>
  <si>
    <t>New Credits</t>
  </si>
  <si>
    <t>W3720</t>
  </si>
  <si>
    <t>W3720-WEPP ARGENTINA</t>
  </si>
  <si>
    <t>C610253</t>
  </si>
  <si>
    <t>WEPP Argentina</t>
  </si>
  <si>
    <t>W3820</t>
  </si>
  <si>
    <t>W3820-WEPP GERMANY</t>
  </si>
  <si>
    <t>C610254</t>
  </si>
  <si>
    <t>WEPP Germany</t>
  </si>
  <si>
    <t>W3830</t>
  </si>
  <si>
    <t>W3830-WEPP ITALY</t>
  </si>
  <si>
    <t>C610255</t>
  </si>
  <si>
    <t>WEPP Italy</t>
  </si>
  <si>
    <t>W3840</t>
  </si>
  <si>
    <t>W3840-WEPP SPAIN</t>
  </si>
  <si>
    <t>C610256</t>
  </si>
  <si>
    <t>WEPP Spain</t>
  </si>
  <si>
    <t>W3860</t>
  </si>
  <si>
    <t>W3860-CHILE TELEFONICA</t>
  </si>
  <si>
    <t>C610257</t>
  </si>
  <si>
    <t>Telefonica Chile</t>
  </si>
  <si>
    <t>W3900</t>
  </si>
  <si>
    <t>W3900-MOBILE SERVICES EC</t>
  </si>
  <si>
    <t>C610258</t>
  </si>
  <si>
    <t>Mobile Services</t>
  </si>
  <si>
    <t>WO381</t>
  </si>
  <si>
    <t>WO381-MOVISTAR MEXICO OVERHEAD</t>
  </si>
  <si>
    <t>C610259</t>
  </si>
  <si>
    <t>Movistar Overhead Mexico</t>
  </si>
  <si>
    <t>WO386</t>
  </si>
  <si>
    <t>WO386-MOVISTAR CHILE OVERHEAD</t>
  </si>
  <si>
    <t>C610260</t>
  </si>
  <si>
    <t>Movistar Overhead Chile</t>
  </si>
  <si>
    <t>WO388</t>
  </si>
  <si>
    <t>WO388-MOVISTAR COLOMBIA OVERHEAD</t>
  </si>
  <si>
    <t>C610270</t>
  </si>
  <si>
    <t>Movistar Overhead Colombia</t>
  </si>
  <si>
    <t>WO389</t>
  </si>
  <si>
    <t>WO389-MOVISTAR PERU OVERHEAD</t>
  </si>
  <si>
    <t>C610271</t>
  </si>
  <si>
    <t>Movistar Overhead Peru</t>
  </si>
  <si>
    <t>10260MX</t>
  </si>
  <si>
    <t>10260MX-Connected Living</t>
  </si>
  <si>
    <t>C610272</t>
  </si>
  <si>
    <t>Connected Living</t>
  </si>
  <si>
    <t>W0670MX</t>
  </si>
  <si>
    <t>W0670MX-Wireless Call Centers Mexico</t>
  </si>
  <si>
    <t>C610273</t>
  </si>
  <si>
    <t>Wireless Call Centers</t>
  </si>
  <si>
    <t>10550RC</t>
  </si>
  <si>
    <t>10550RC-CHINA CLAIMS</t>
  </si>
  <si>
    <t>CI61034</t>
  </si>
  <si>
    <t>Claims - International 10550RC</t>
  </si>
  <si>
    <t>7063MX</t>
  </si>
  <si>
    <t>7063MX-SERVICES AUTOMOTIVE</t>
  </si>
  <si>
    <t>C610276</t>
  </si>
  <si>
    <t>Services Automotive</t>
  </si>
  <si>
    <t>7064MX</t>
  </si>
  <si>
    <t>7064MX-COMMERCIAL AUTOMOTIVE</t>
  </si>
  <si>
    <t>C610277</t>
  </si>
  <si>
    <t>Commercial Automotive</t>
  </si>
  <si>
    <t>10551DE</t>
  </si>
  <si>
    <t>10551DE-OPERATIONS SERVICES NETWORK</t>
  </si>
  <si>
    <t>C601044</t>
  </si>
  <si>
    <t>Operations Services Network</t>
  </si>
  <si>
    <t>7067MX</t>
  </si>
  <si>
    <t>7067MX-SERVICES BW</t>
  </si>
  <si>
    <t>C610279</t>
  </si>
  <si>
    <t>Services BW</t>
  </si>
  <si>
    <t>10786NL</t>
  </si>
  <si>
    <t>10786NL-Executive</t>
  </si>
  <si>
    <t>C610280</t>
  </si>
  <si>
    <t>Executive</t>
  </si>
  <si>
    <t>17713NL</t>
  </si>
  <si>
    <t>17713NL-Customer Service Mgmt</t>
  </si>
  <si>
    <t>C610281</t>
  </si>
  <si>
    <t>Customer Service Management</t>
  </si>
  <si>
    <t>17771NL</t>
  </si>
  <si>
    <t>17771NL-Creditor</t>
  </si>
  <si>
    <t>C610282</t>
  </si>
  <si>
    <t>Creditor</t>
  </si>
  <si>
    <t>10910NL</t>
  </si>
  <si>
    <t>10910NL-OPERATIONS ECI</t>
  </si>
  <si>
    <t>C610284</t>
  </si>
  <si>
    <t>Operations ECI</t>
  </si>
  <si>
    <t>10913NL</t>
  </si>
  <si>
    <t>10913NL-COMMERCIAL</t>
  </si>
  <si>
    <t>C610285</t>
  </si>
  <si>
    <t>Commercial</t>
  </si>
  <si>
    <t>7190-OMBUDSMAN</t>
  </si>
  <si>
    <t>C610286</t>
  </si>
  <si>
    <t>Ombudsman</t>
  </si>
  <si>
    <t>7191-Call Center</t>
  </si>
  <si>
    <t>C610287</t>
  </si>
  <si>
    <t>7213-Operations Call Center</t>
  </si>
  <si>
    <t>C610288</t>
  </si>
  <si>
    <t>Operations Call Center</t>
  </si>
  <si>
    <t>93AGC</t>
  </si>
  <si>
    <t>93AGC-AG NEW GENERIC</t>
  </si>
  <si>
    <t>C610289</t>
  </si>
  <si>
    <t>New Generic</t>
  </si>
  <si>
    <t>93840SN</t>
  </si>
  <si>
    <t>93840SN-INTERNATIONAL SPAIN</t>
  </si>
  <si>
    <t>C610290</t>
  </si>
  <si>
    <t>International Spain</t>
  </si>
  <si>
    <t>10236-GDPR</t>
  </si>
  <si>
    <t>C610291</t>
  </si>
  <si>
    <t>GDPR</t>
  </si>
  <si>
    <t>10801-MAXIMUM TRAK VSC</t>
  </si>
  <si>
    <t>C610292</t>
  </si>
  <si>
    <t>Maximum Trak VSC</t>
  </si>
  <si>
    <t>7180-Operations Superintendent</t>
  </si>
  <si>
    <t>C610293</t>
  </si>
  <si>
    <t>Operations Superintendent</t>
  </si>
  <si>
    <t>10788ES</t>
  </si>
  <si>
    <t>10788ES-TELEFONICA</t>
  </si>
  <si>
    <t>C610294</t>
  </si>
  <si>
    <t>Telefonica</t>
  </si>
  <si>
    <t>10600UK</t>
  </si>
  <si>
    <t>10600UK-Underwriting</t>
  </si>
  <si>
    <t>C610295</t>
  </si>
  <si>
    <t>Underwriting</t>
  </si>
  <si>
    <t>7174-SERVICES</t>
  </si>
  <si>
    <t>C610296</t>
  </si>
  <si>
    <t>Services</t>
  </si>
  <si>
    <t>10551FR</t>
  </si>
  <si>
    <t>10551FR-CS EQF FR</t>
  </si>
  <si>
    <t>C601067</t>
  </si>
  <si>
    <t>CS EQF</t>
  </si>
  <si>
    <t>10909UK</t>
  </si>
  <si>
    <t>10909UK - PMO</t>
  </si>
  <si>
    <t>C610298</t>
  </si>
  <si>
    <t>Project Manager PMO</t>
  </si>
  <si>
    <t>17738NL</t>
  </si>
  <si>
    <t>17738NL-UNDERWRITING</t>
  </si>
  <si>
    <t>C610299</t>
  </si>
  <si>
    <t>W3810MX</t>
  </si>
  <si>
    <t>W3810MX-WIRELESS</t>
  </si>
  <si>
    <t>C610300</t>
  </si>
  <si>
    <t>10787NL</t>
  </si>
  <si>
    <t>10787NL-SUPPLY CHAIN</t>
  </si>
  <si>
    <t>C610302</t>
  </si>
  <si>
    <t>Supply Chain</t>
  </si>
  <si>
    <t>1090EUR</t>
  </si>
  <si>
    <t>1090EUR-Development</t>
  </si>
  <si>
    <t>C610303</t>
  </si>
  <si>
    <t>Development</t>
  </si>
  <si>
    <t>17710UK</t>
  </si>
  <si>
    <t>17710UK-Client Bd</t>
  </si>
  <si>
    <t>C610304</t>
  </si>
  <si>
    <t>Client BD</t>
  </si>
  <si>
    <t>10180KR</t>
  </si>
  <si>
    <t>10180KR-Olivar Return Center</t>
  </si>
  <si>
    <t>C610305</t>
  </si>
  <si>
    <t>Olivar - Return Center</t>
  </si>
  <si>
    <t>10191KR</t>
  </si>
  <si>
    <t>10191KR-Olivar IT</t>
  </si>
  <si>
    <t>C610306</t>
  </si>
  <si>
    <t>Olivar - IT</t>
  </si>
  <si>
    <t>10193KR</t>
  </si>
  <si>
    <t>10193KR-Olivar Finance</t>
  </si>
  <si>
    <t>C610307</t>
  </si>
  <si>
    <t>Olivar - Finance</t>
  </si>
  <si>
    <t>10553DE</t>
  </si>
  <si>
    <t>10553DE-Connected Living</t>
  </si>
  <si>
    <t>C500050</t>
  </si>
  <si>
    <t>CL - Connected Living International</t>
  </si>
  <si>
    <t>10553ES</t>
  </si>
  <si>
    <t>10553ES-EU CENTRAL SERVICES</t>
  </si>
  <si>
    <t>CI61044</t>
  </si>
  <si>
    <t>EU Central Services 10553ES</t>
  </si>
  <si>
    <t>7483-CD: Client Experience</t>
  </si>
  <si>
    <t>C610311</t>
  </si>
  <si>
    <t>10006UK-Intermediary Crewe</t>
  </si>
  <si>
    <t>C610312</t>
  </si>
  <si>
    <t>Intermediary Crew</t>
  </si>
  <si>
    <t>10183UK</t>
  </si>
  <si>
    <t>10183UK - Engineering</t>
  </si>
  <si>
    <t>C610313</t>
  </si>
  <si>
    <t>Engineering</t>
  </si>
  <si>
    <t>10553FR</t>
  </si>
  <si>
    <t>10553FR-CS QF Management FR</t>
  </si>
  <si>
    <t>C601068</t>
  </si>
  <si>
    <t>CS QF Management</t>
  </si>
  <si>
    <t>10186UK</t>
  </si>
  <si>
    <t>10186UK - Inventory Management</t>
  </si>
  <si>
    <t>C610315</t>
  </si>
  <si>
    <t>Inventory Management</t>
  </si>
  <si>
    <t>10187UK</t>
  </si>
  <si>
    <t>10187UK - Senior Management</t>
  </si>
  <si>
    <t>C610316</t>
  </si>
  <si>
    <t>10188UK</t>
  </si>
  <si>
    <t>10188UK - Production</t>
  </si>
  <si>
    <t>C610317</t>
  </si>
  <si>
    <t>Production</t>
  </si>
  <si>
    <t>10189UK</t>
  </si>
  <si>
    <t>10189UK - Repair &amp; Reclamation</t>
  </si>
  <si>
    <t>C610318</t>
  </si>
  <si>
    <t>Repair and Reclamation</t>
  </si>
  <si>
    <t>10190UK</t>
  </si>
  <si>
    <t>10190UK - Transport</t>
  </si>
  <si>
    <t>C610319</t>
  </si>
  <si>
    <t>tranport</t>
  </si>
  <si>
    <t>10237UK</t>
  </si>
  <si>
    <t>10237UK-Business And Corp Comm UK</t>
  </si>
  <si>
    <t>C610320</t>
  </si>
  <si>
    <t>Business and Corporate Communications</t>
  </si>
  <si>
    <t>10630UK</t>
  </si>
  <si>
    <t>10630UK-EU Finance Transformation</t>
  </si>
  <si>
    <t>C610321</t>
  </si>
  <si>
    <t>EU Finance Transformation</t>
  </si>
  <si>
    <t>10706UK</t>
  </si>
  <si>
    <t>10706UK-Dragonpass Traveller</t>
  </si>
  <si>
    <t>C610322</t>
  </si>
  <si>
    <t>Dragonpass Traveller</t>
  </si>
  <si>
    <t>10911UK</t>
  </si>
  <si>
    <t>10911UK-Product Proposition and Bid</t>
  </si>
  <si>
    <t>C610323</t>
  </si>
  <si>
    <t>Product Proposition and Bi</t>
  </si>
  <si>
    <t>10913UK</t>
  </si>
  <si>
    <t>10913UK-International Commercial Team</t>
  </si>
  <si>
    <t>C610324</t>
  </si>
  <si>
    <t>International Commercial Team</t>
  </si>
  <si>
    <t>12M6</t>
  </si>
  <si>
    <t>12M6- Project Management Auto</t>
  </si>
  <si>
    <t>C610325</t>
  </si>
  <si>
    <t>Project Management Auto</t>
  </si>
  <si>
    <t>12W1</t>
  </si>
  <si>
    <t>12W1- Motor Account Management</t>
  </si>
  <si>
    <t>C610326</t>
  </si>
  <si>
    <t>Motor Account Management</t>
  </si>
  <si>
    <t>13G4</t>
  </si>
  <si>
    <t>13G4-Motor Administration</t>
  </si>
  <si>
    <t>C610327</t>
  </si>
  <si>
    <t>Motor Administration</t>
  </si>
  <si>
    <t>17712UK</t>
  </si>
  <si>
    <t>17712UK-CO OP</t>
  </si>
  <si>
    <t>C610330</t>
  </si>
  <si>
    <t>CO OP</t>
  </si>
  <si>
    <t>10779UK</t>
  </si>
  <si>
    <t>10779UK-Customer Relations</t>
  </si>
  <si>
    <t>C610331</t>
  </si>
  <si>
    <t>Customer Relations</t>
  </si>
  <si>
    <t>10794UK</t>
  </si>
  <si>
    <t>10794UK-OPM &amp; Operational Resilience</t>
  </si>
  <si>
    <t>C610333</t>
  </si>
  <si>
    <t>OPM &amp; Operational Resilience</t>
  </si>
  <si>
    <t>10554ES</t>
  </si>
  <si>
    <t>10554ES-HR CHANGE ES</t>
  </si>
  <si>
    <t>CI61052</t>
  </si>
  <si>
    <t>HR Change IT 10554ES</t>
  </si>
  <si>
    <t>10903UK</t>
  </si>
  <si>
    <t>10903UK - Development</t>
  </si>
  <si>
    <t>C610335</t>
  </si>
  <si>
    <t>10904UK</t>
  </si>
  <si>
    <t>10904UK - Test</t>
  </si>
  <si>
    <t>C610336</t>
  </si>
  <si>
    <t>Test</t>
  </si>
  <si>
    <t>10906UK</t>
  </si>
  <si>
    <t>10906UK - Digital</t>
  </si>
  <si>
    <t>C610338</t>
  </si>
  <si>
    <t>Digital</t>
  </si>
  <si>
    <t>10907UK</t>
  </si>
  <si>
    <t>10907UK - US</t>
  </si>
  <si>
    <t>C610339</t>
  </si>
  <si>
    <t>US</t>
  </si>
  <si>
    <t>10908UK</t>
  </si>
  <si>
    <t>10908UK - Solutions</t>
  </si>
  <si>
    <t>C610340</t>
  </si>
  <si>
    <t>17716UK</t>
  </si>
  <si>
    <t>17716UK-DSUK</t>
  </si>
  <si>
    <t>C610343</t>
  </si>
  <si>
    <t>DUSK</t>
  </si>
  <si>
    <t>17717UK</t>
  </si>
  <si>
    <t>17717UK-Digital OPM</t>
  </si>
  <si>
    <t>C610344</t>
  </si>
  <si>
    <t>Digital OPM</t>
  </si>
  <si>
    <t>17731UK</t>
  </si>
  <si>
    <t>17731UK-Lloyds</t>
  </si>
  <si>
    <t>C610346</t>
  </si>
  <si>
    <t>Lloyds</t>
  </si>
  <si>
    <t>17737UK</t>
  </si>
  <si>
    <t>17737UK-Resource Planning</t>
  </si>
  <si>
    <t>C610347</t>
  </si>
  <si>
    <t>Resoyrce Planning</t>
  </si>
  <si>
    <t>17741UK</t>
  </si>
  <si>
    <t>17741UK-Nationwide</t>
  </si>
  <si>
    <t>C610348</t>
  </si>
  <si>
    <t>Nationwide</t>
  </si>
  <si>
    <t>17744UK</t>
  </si>
  <si>
    <t>17744UK-Ops Indirect</t>
  </si>
  <si>
    <t>C610349</t>
  </si>
  <si>
    <t>Ops Indirect</t>
  </si>
  <si>
    <t>10555DE</t>
  </si>
  <si>
    <t>10555DE-OPERATION CHANGE DE</t>
  </si>
  <si>
    <t>C601043</t>
  </si>
  <si>
    <t>Operation Change</t>
  </si>
  <si>
    <t>10555ES</t>
  </si>
  <si>
    <t>10555ES-OPERATION CHANGE ES</t>
  </si>
  <si>
    <t>CI61053</t>
  </si>
  <si>
    <t>Operations Change IT 10555ES</t>
  </si>
  <si>
    <t>17761UK</t>
  </si>
  <si>
    <t>17761UK-Fraud</t>
  </si>
  <si>
    <t>C610352</t>
  </si>
  <si>
    <t>Fraud</t>
  </si>
  <si>
    <t>17762UK</t>
  </si>
  <si>
    <t>17762UK-Executive</t>
  </si>
  <si>
    <t>C610353</t>
  </si>
  <si>
    <t>17770UK</t>
  </si>
  <si>
    <t>17770UK-Voda Retention</t>
  </si>
  <si>
    <t>C610355</t>
  </si>
  <si>
    <t>Voda Retention</t>
  </si>
  <si>
    <t>10555FR</t>
  </si>
  <si>
    <t>10555FR-CS RF Agents FR</t>
  </si>
  <si>
    <t>C601069</t>
  </si>
  <si>
    <t>CS RF Agents</t>
  </si>
  <si>
    <t>10556DE</t>
  </si>
  <si>
    <t>10556DE-Legal Change DE</t>
  </si>
  <si>
    <t>CI20211</t>
  </si>
  <si>
    <t>Legal 10556DE</t>
  </si>
  <si>
    <t>17871UK</t>
  </si>
  <si>
    <t>17871UK-On-boarding Trainers AIZ</t>
  </si>
  <si>
    <t>C610360</t>
  </si>
  <si>
    <t>Oboarding Trainers AIZ</t>
  </si>
  <si>
    <t>17902UK</t>
  </si>
  <si>
    <t>17902UK-Ent Data Srvc Bus Tnsf</t>
  </si>
  <si>
    <t>C610363</t>
  </si>
  <si>
    <t>Enterprise Data Services Business Transfer</t>
  </si>
  <si>
    <t>17904UK</t>
  </si>
  <si>
    <t>17904UK-Project Glow</t>
  </si>
  <si>
    <t>C610364</t>
  </si>
  <si>
    <t>Project GLOW</t>
  </si>
  <si>
    <t>17908UK</t>
  </si>
  <si>
    <t>17908UK-Motor Executive</t>
  </si>
  <si>
    <t>C610365</t>
  </si>
  <si>
    <t>Motor Executive</t>
  </si>
  <si>
    <t>17912UK</t>
  </si>
  <si>
    <t>17912UK-Project Management Auto</t>
  </si>
  <si>
    <t>C610366</t>
  </si>
  <si>
    <t>17913UK</t>
  </si>
  <si>
    <t>17913UK-Motor Account Management</t>
  </si>
  <si>
    <t>C610367</t>
  </si>
  <si>
    <t>17916UK</t>
  </si>
  <si>
    <t>17916UK-Client Operations UK</t>
  </si>
  <si>
    <t>C610368</t>
  </si>
  <si>
    <t>Client Operations</t>
  </si>
  <si>
    <t>17919UK</t>
  </si>
  <si>
    <t>17919UK-Product Governance</t>
  </si>
  <si>
    <t>C610369</t>
  </si>
  <si>
    <t>Product Governance</t>
  </si>
  <si>
    <t>7701:APAC ADJUSTMENTS</t>
  </si>
  <si>
    <t>C610370</t>
  </si>
  <si>
    <t>APAC Adjustments</t>
  </si>
  <si>
    <t>7702:APAC PROJECT PD</t>
  </si>
  <si>
    <t>C610371</t>
  </si>
  <si>
    <t>APAC Project PD</t>
  </si>
  <si>
    <t>17939UK</t>
  </si>
  <si>
    <t>17939UK-Fod Fin Mgr/Treasury/AP</t>
  </si>
  <si>
    <t>C610373</t>
  </si>
  <si>
    <t>Fod Fin Mgr/Treasury/AP</t>
  </si>
  <si>
    <t>10557FR</t>
  </si>
  <si>
    <t>10557FR-CS Supply Chain FR</t>
  </si>
  <si>
    <t>CI53014</t>
  </si>
  <si>
    <t>CL - Mobile - Supply Chain and Business Support 10557FR</t>
  </si>
  <si>
    <t>17964UK</t>
  </si>
  <si>
    <t>17964UK-JLP Operation</t>
  </si>
  <si>
    <t>C610379</t>
  </si>
  <si>
    <t>JLP Operation</t>
  </si>
  <si>
    <t>10558DE</t>
  </si>
  <si>
    <t>10558DE-EU CENTRAL SERVICES</t>
  </si>
  <si>
    <t>CI61042</t>
  </si>
  <si>
    <t>EU Central Services 10558DE</t>
  </si>
  <si>
    <t>17967UK</t>
  </si>
  <si>
    <t>17967UK-Mailshot Production</t>
  </si>
  <si>
    <t>C610381</t>
  </si>
  <si>
    <t>Mailshot Production</t>
  </si>
  <si>
    <t>17880UK</t>
  </si>
  <si>
    <t>17880UK:SUPPLY CHAIN LEGAL</t>
  </si>
  <si>
    <t>C610382</t>
  </si>
  <si>
    <t>Supply Chain Legal 17880UK</t>
  </si>
  <si>
    <t>17969UK</t>
  </si>
  <si>
    <t>17969UK-Honda Operation</t>
  </si>
  <si>
    <t>C610383</t>
  </si>
  <si>
    <t>Honda Operation</t>
  </si>
  <si>
    <t>7444-CD-Client Experience-(India-Motor)</t>
  </si>
  <si>
    <t>C610386</t>
  </si>
  <si>
    <t>CD Client Experience Motor</t>
  </si>
  <si>
    <t>7464-CD: Srvce Ntwrk Prtnrship</t>
  </si>
  <si>
    <t>C610387</t>
  </si>
  <si>
    <t>Service Network Partnership</t>
  </si>
  <si>
    <t>7700-APAC DEVELOPMENT AND LEADERSHIP</t>
  </si>
  <si>
    <t>C610388</t>
  </si>
  <si>
    <t>APAC Development and Leadership</t>
  </si>
  <si>
    <t>7170-Technical Director</t>
  </si>
  <si>
    <t>C610389</t>
  </si>
  <si>
    <t>Technical Director</t>
  </si>
  <si>
    <t>10801CL</t>
  </si>
  <si>
    <t>10801CL:CLIENT EXPENSES CHILE</t>
  </si>
  <si>
    <t>C610390</t>
  </si>
  <si>
    <t>Client Expenses - Chile</t>
  </si>
  <si>
    <t>17884UK</t>
  </si>
  <si>
    <t>17884UK:LENOVO</t>
  </si>
  <si>
    <t>C610391</t>
  </si>
  <si>
    <t>Lenovo (17884UK)</t>
  </si>
  <si>
    <t>17886UK</t>
  </si>
  <si>
    <t>17886UK:MARKETING-PGUK</t>
  </si>
  <si>
    <t>C610393</t>
  </si>
  <si>
    <t>Marketing - PGUK (17886UK)</t>
  </si>
  <si>
    <t>10559DE</t>
  </si>
  <si>
    <t>10559DE-MARKETING GERMANY</t>
  </si>
  <si>
    <t>CI00916</t>
  </si>
  <si>
    <t>Marketing 10559DE</t>
  </si>
  <si>
    <t>7001-VSC NEW ZEALAND</t>
  </si>
  <si>
    <t>C610900</t>
  </si>
  <si>
    <t>VSC - New Zealand</t>
  </si>
  <si>
    <t>7003-VSC MALAYSIA</t>
  </si>
  <si>
    <t>C610901</t>
  </si>
  <si>
    <t>VSC - Malaysia</t>
  </si>
  <si>
    <t>7004-VSC ARGENTINA</t>
  </si>
  <si>
    <t>C610902</t>
  </si>
  <si>
    <t>VSC - Argentina</t>
  </si>
  <si>
    <t>7006-VSC ARGENTINA USA</t>
  </si>
  <si>
    <t>C610903</t>
  </si>
  <si>
    <t>VSC - Argentina USA</t>
  </si>
  <si>
    <t>7022-VSC KOREA</t>
  </si>
  <si>
    <t>C610904</t>
  </si>
  <si>
    <t>VSC - Korea</t>
  </si>
  <si>
    <t>7032-VSC- Argentina Branch</t>
  </si>
  <si>
    <t>C610905</t>
  </si>
  <si>
    <t>VSC - Argentina Branch</t>
  </si>
  <si>
    <t>7069MX</t>
  </si>
  <si>
    <t>7069MX-VIRGINIA SURETY SEGUROS MEX</t>
  </si>
  <si>
    <t>C610906</t>
  </si>
  <si>
    <t>VSC - Mexico</t>
  </si>
  <si>
    <t>17911-TWG INTL ESC</t>
  </si>
  <si>
    <t>C610950</t>
  </si>
  <si>
    <t>TWG - Intl ESC</t>
  </si>
  <si>
    <t>17912-TWG INTL CREDIT</t>
  </si>
  <si>
    <t>C610951</t>
  </si>
  <si>
    <t>TWG - Intl Credit</t>
  </si>
  <si>
    <t>17913-TWG INTL VSC</t>
  </si>
  <si>
    <t>C610952</t>
  </si>
  <si>
    <t>TWG - Intl VSC</t>
  </si>
  <si>
    <t>17914-TWG INTL MOBILE</t>
  </si>
  <si>
    <t>C610953</t>
  </si>
  <si>
    <t>TWG - Intl Mobile</t>
  </si>
  <si>
    <t>7227-GENERIC 7227</t>
  </si>
  <si>
    <t>C610956</t>
  </si>
  <si>
    <t>Generic</t>
  </si>
  <si>
    <t>10143-FINANCE CHGBK TWG</t>
  </si>
  <si>
    <t>C700000</t>
  </si>
  <si>
    <t>Mgt Fee - Finance Chgbk Twg</t>
  </si>
  <si>
    <t>11602-EBS CHGBK LFS</t>
  </si>
  <si>
    <t>C700001</t>
  </si>
  <si>
    <t>Mgt Fee - Ebs Chgbk LFS</t>
  </si>
  <si>
    <t>11904-HR CHGBK LFS</t>
  </si>
  <si>
    <t>C700002</t>
  </si>
  <si>
    <t>Mgt Fee - Hr Chgbk LFS</t>
  </si>
  <si>
    <t>11904OT-HR CHGBK LFS INTL</t>
  </si>
  <si>
    <t>C700003</t>
  </si>
  <si>
    <t>Mgt Fee - Hr Chgbk LFS Intl</t>
  </si>
  <si>
    <t>11912-ADMIN SVCS CHGBK LFS</t>
  </si>
  <si>
    <t>C700004</t>
  </si>
  <si>
    <t>Mgt Fee - Admin Svcs Chgbk LFS</t>
  </si>
  <si>
    <t>11912OT-ADMIN SVCS CHGBK LFS INTL</t>
  </si>
  <si>
    <t>C700005</t>
  </si>
  <si>
    <t>Mgt Fee - Admin Svcs Chgbk LFS Intl</t>
  </si>
  <si>
    <t>11913-ACTUARIAL CHGBK LFS INTL</t>
  </si>
  <si>
    <t>C700006</t>
  </si>
  <si>
    <t>Mgt Fee - Actuarial Chgbk LFS Intl</t>
  </si>
  <si>
    <t>11914-LEGAL AND COMPLIANCE CHGBK LFS</t>
  </si>
  <si>
    <t>C700007</t>
  </si>
  <si>
    <t>Mgt Fee - Legal And Compliance Chgbk LFS</t>
  </si>
  <si>
    <t>11914OT-LEGAL AND COMPLIANCE CHGBK LFS INTL</t>
  </si>
  <si>
    <t>C700008</t>
  </si>
  <si>
    <t>Mgt Fee - Legal And Compliance Chgbk LFS Intl</t>
  </si>
  <si>
    <t>10560MX</t>
  </si>
  <si>
    <t>10560MX-ESC Claims Mexico</t>
  </si>
  <si>
    <t>C560001</t>
  </si>
  <si>
    <t>Claims - International Lifestyle - ESC</t>
  </si>
  <si>
    <t>10570MX</t>
  </si>
  <si>
    <t>10570MX-VPS Claims</t>
  </si>
  <si>
    <t>CI38502</t>
  </si>
  <si>
    <t>VPS Ops - Auto Claims 10570MX</t>
  </si>
  <si>
    <t>11916-ACTUARIAL CHGBK LFS</t>
  </si>
  <si>
    <t>C700011</t>
  </si>
  <si>
    <t>Mgt Fee - Actuarial Chgbk LFS</t>
  </si>
  <si>
    <t>11917-RISK CHGBK LFS</t>
  </si>
  <si>
    <t>C700012</t>
  </si>
  <si>
    <t>Mgt Fee - Risk Chgbk LFS</t>
  </si>
  <si>
    <t>11917OT-RISK CHGBK LFS INTL</t>
  </si>
  <si>
    <t>C700013</t>
  </si>
  <si>
    <t>Mgt Fee - Risk Chgbk LFS Intl</t>
  </si>
  <si>
    <t>11918-COO CHGBK LFS</t>
  </si>
  <si>
    <t>C700014</t>
  </si>
  <si>
    <t>Mgt Fee - Coo Chgbk LFS</t>
  </si>
  <si>
    <t>11918OT-COO CHGBK LFS INTL</t>
  </si>
  <si>
    <t>C700015</t>
  </si>
  <si>
    <t>Mgt Fee - Coo Chgbk LFS Intl</t>
  </si>
  <si>
    <t>11919-FINANCE OTHER CHGBK LFS</t>
  </si>
  <si>
    <t>C700016</t>
  </si>
  <si>
    <t>Mgt Fee - Finance Other Chgbk LFS</t>
  </si>
  <si>
    <t>11919OT-FINANCE OTHER CHGBK LFS INTL</t>
  </si>
  <si>
    <t>C700017</t>
  </si>
  <si>
    <t>Mgt Fee - Finance Other Chgbk LFS Intl</t>
  </si>
  <si>
    <t>11921-CX CHGBK LFS</t>
  </si>
  <si>
    <t>C700018</t>
  </si>
  <si>
    <t>Mgt Fee - Cx Chgbk LFS</t>
  </si>
  <si>
    <t>11922-STRAT &amp; INNOV MGMT FEE CHGBK LFS</t>
  </si>
  <si>
    <t>C700019</t>
  </si>
  <si>
    <t>Mgt Fee - Strat &amp; Innov Mgmt Fee Chgbk LFS</t>
  </si>
  <si>
    <t>11922OT-STRAT &amp; INNOV MGMT FEE CHGBK LFS INTL</t>
  </si>
  <si>
    <t>C700020</t>
  </si>
  <si>
    <t>Mgt Fee - Strat &amp; Innov Mgmt Fee Chgbk LFS Intl</t>
  </si>
  <si>
    <t>93003-NY CHGBK LFS</t>
  </si>
  <si>
    <t>C700021</t>
  </si>
  <si>
    <t>Mgt Fee - Ny Chgbk LFS</t>
  </si>
  <si>
    <t>93004-NY CHGBK HSG</t>
  </si>
  <si>
    <t>C700022</t>
  </si>
  <si>
    <t>Ny Chgbk Hsg</t>
  </si>
  <si>
    <t>93007-ACT CHGBK LFS</t>
  </si>
  <si>
    <t>C700023</t>
  </si>
  <si>
    <t>Act Chgbk Lfs</t>
  </si>
  <si>
    <t>93009-EBS CHGBK HSG</t>
  </si>
  <si>
    <t>C700024</t>
  </si>
  <si>
    <t>Ebs Chgbk Hsg</t>
  </si>
  <si>
    <t>10605UK</t>
  </si>
  <si>
    <t>10605UK-TP BUCHAREST</t>
  </si>
  <si>
    <t>C610188</t>
  </si>
  <si>
    <t>TP Bucharest</t>
  </si>
  <si>
    <t>93024-MKT COMM BUSN SVC CHGBK LFS</t>
  </si>
  <si>
    <t>C700026</t>
  </si>
  <si>
    <t>Mgt Fee - Mkt Comm Busn Svc Chgbk LFS</t>
  </si>
  <si>
    <t>93024OT-MKT COMM BUSN SVC CHGBK LFS INTL</t>
  </si>
  <si>
    <t>C700027</t>
  </si>
  <si>
    <t>Mgt Fee - Mkt Comm Busn Svc Chgbk LFS Intl</t>
  </si>
  <si>
    <t>10615NL</t>
  </si>
  <si>
    <t>10615NL-Actuarial</t>
  </si>
  <si>
    <t>CI10210</t>
  </si>
  <si>
    <t>Actuarial Management 10615NL</t>
  </si>
  <si>
    <t>93034-LEGAL AND COMPLIANCE CHGBK HSG</t>
  </si>
  <si>
    <t>C700029</t>
  </si>
  <si>
    <t>Legal And Compliance Chgbk Hsg</t>
  </si>
  <si>
    <t>10615UK</t>
  </si>
  <si>
    <t>10615UK-Actuarial</t>
  </si>
  <si>
    <t>CI10213</t>
  </si>
  <si>
    <t>Actuarial Management 10615UK</t>
  </si>
  <si>
    <t>93036-ACTUARIAL CHGBK HSG</t>
  </si>
  <si>
    <t>C700031</t>
  </si>
  <si>
    <t>Actuarial Chgbk Hsg</t>
  </si>
  <si>
    <t>93037-RISK CHGBK HSG</t>
  </si>
  <si>
    <t>C700032</t>
  </si>
  <si>
    <t>Risk Chgbk Hsg</t>
  </si>
  <si>
    <t>93038-COO CHGBK HSG</t>
  </si>
  <si>
    <t>C700033</t>
  </si>
  <si>
    <t>Coo Chgbk Hsg</t>
  </si>
  <si>
    <t>93039-FINANCE OTHER CHGBK HSG</t>
  </si>
  <si>
    <t>C700034</t>
  </si>
  <si>
    <t>Finance Other Chgbk Hsg</t>
  </si>
  <si>
    <t>93041-CX CHGBK HSG</t>
  </si>
  <si>
    <t>C700035</t>
  </si>
  <si>
    <t>Cx Chgbk Hsg</t>
  </si>
  <si>
    <t>93042-ADMIN SVCS CHGBK HSG</t>
  </si>
  <si>
    <t>C700036</t>
  </si>
  <si>
    <t>Admin Svcs Chgbk Hsg</t>
  </si>
  <si>
    <t>93043-STRAT &amp; INNOV MGMT FEE CHGBK HSG</t>
  </si>
  <si>
    <t>C700037</t>
  </si>
  <si>
    <t>Strat &amp; Innov Mgmt Fee Chgbk Hsg</t>
  </si>
  <si>
    <t>10625NL</t>
  </si>
  <si>
    <t>10625NL:VODAFONE ITALY</t>
  </si>
  <si>
    <t>C60107L</t>
  </si>
  <si>
    <t>Vodafone - Italy</t>
  </si>
  <si>
    <t>10625UK</t>
  </si>
  <si>
    <t>10625UK-MARKETING CORPORATE</t>
  </si>
  <si>
    <t>C610186</t>
  </si>
  <si>
    <t>Marketing Corporate</t>
  </si>
  <si>
    <t>2030-DIRECT CHARGEBACKS</t>
  </si>
  <si>
    <t>C700040</t>
  </si>
  <si>
    <t>Mgt Fee - Direct Chargebacks</t>
  </si>
  <si>
    <t>3020-AIZ IT OVERHEAD CHARGEBACK</t>
  </si>
  <si>
    <t>C700041</t>
  </si>
  <si>
    <t>Mgt Fee - AIZ IT Overhead Chargeback</t>
  </si>
  <si>
    <t>10635UK</t>
  </si>
  <si>
    <t>10635UK-Global Roles IT Applications</t>
  </si>
  <si>
    <t>C052002</t>
  </si>
  <si>
    <t>Global Roles - IT Applications</t>
  </si>
  <si>
    <t>93022-CEO FUNDING LFS</t>
  </si>
  <si>
    <t>C700043</t>
  </si>
  <si>
    <t>Mgt Fee - CEO Funding</t>
  </si>
  <si>
    <t>10263-LFS AUDIT FEES</t>
  </si>
  <si>
    <t>C700044</t>
  </si>
  <si>
    <t>Mgt Fee - LFS Audit Fees</t>
  </si>
  <si>
    <t>113700-TWG CONSOLIDATED LIFESTYLE</t>
  </si>
  <si>
    <t>C700045</t>
  </si>
  <si>
    <t>Mgt Fee - TWG Consolidated Lifestyle</t>
  </si>
  <si>
    <t>2018-MANAGEMENT CHARGE</t>
  </si>
  <si>
    <t>C700046</t>
  </si>
  <si>
    <t>Mgt Fee - Management Charge</t>
  </si>
  <si>
    <t>110010-GLOBAL SOURCING AND FACILITIES MANAGEMENT FEE</t>
  </si>
  <si>
    <t>C701001</t>
  </si>
  <si>
    <t>Management Fee - Global Source and Facilities</t>
  </si>
  <si>
    <t>110011-PEOPLE ORGANIZATION MANAGEMENT FEE</t>
  </si>
  <si>
    <t>C701002</t>
  </si>
  <si>
    <t>Management Fee - People Organization</t>
  </si>
  <si>
    <t>110012-MARKETING AND COMMUNICATIONS  MANAGEMENT FEE</t>
  </si>
  <si>
    <t>C701003</t>
  </si>
  <si>
    <t>Management Fee - Marketing and Communications</t>
  </si>
  <si>
    <t>110013-FINANCE  MANAGEMENT FEE</t>
  </si>
  <si>
    <t>C701004</t>
  </si>
  <si>
    <t>Management Fee - Finance</t>
  </si>
  <si>
    <t>110014-LEGAL AND COMPLIANCE MANAGEMENT FEE</t>
  </si>
  <si>
    <t>C701005</t>
  </si>
  <si>
    <t>Management Fee - Legal and Compliance</t>
  </si>
  <si>
    <t>110016-RISK MANAGEMENT MANAGEMENT FEE</t>
  </si>
  <si>
    <t>C701007</t>
  </si>
  <si>
    <t>Management Fee - Risk Management</t>
  </si>
  <si>
    <t>110017-STRAT &amp; INNOV MANAGEMENT FEE</t>
  </si>
  <si>
    <t>C701008</t>
  </si>
  <si>
    <t>Management Fee - Strategy and Innovation</t>
  </si>
  <si>
    <t>110018-CEO AND OTHER MANAGEMENT FEE</t>
  </si>
  <si>
    <t>C701009</t>
  </si>
  <si>
    <t>Management Fee - CEO and Other</t>
  </si>
  <si>
    <t>10650MX</t>
  </si>
  <si>
    <t>10650MX-CALL CENTERS MEX</t>
  </si>
  <si>
    <t>C601035</t>
  </si>
  <si>
    <t>Call Centers - International</t>
  </si>
  <si>
    <t>10650RC</t>
  </si>
  <si>
    <t>10650RC-CHINA CALL CENTERS</t>
  </si>
  <si>
    <t>CI60135</t>
  </si>
  <si>
    <t>Call Centers - International 10650RC</t>
  </si>
  <si>
    <t>10650UK</t>
  </si>
  <si>
    <t>10650UK-MARKETING PR</t>
  </si>
  <si>
    <t>CI00929</t>
  </si>
  <si>
    <t>Marketing 10650UK</t>
  </si>
  <si>
    <t>10651UK</t>
  </si>
  <si>
    <t>10651UK-MARKETING ENTERPRISE</t>
  </si>
  <si>
    <t>C100911</t>
  </si>
  <si>
    <t>Marketing Enterprise</t>
  </si>
  <si>
    <t>10652UK</t>
  </si>
  <si>
    <t>10652UK-MARKETING EUROPE</t>
  </si>
  <si>
    <t>CI50018</t>
  </si>
  <si>
    <t>Regional Marketing 10652UK</t>
  </si>
  <si>
    <t>10653ES</t>
  </si>
  <si>
    <t>10653ES-Vodafone Spain</t>
  </si>
  <si>
    <t>C60107C</t>
  </si>
  <si>
    <t>Vodafone 10653ES</t>
  </si>
  <si>
    <t>10653UK</t>
  </si>
  <si>
    <t>10653UK-Business Development</t>
  </si>
  <si>
    <t>CI1095J</t>
  </si>
  <si>
    <t>Business Development 10653UK</t>
  </si>
  <si>
    <t>C703004</t>
  </si>
  <si>
    <t>Assessment and Fees - State Exam Fees</t>
  </si>
  <si>
    <t>10654ES</t>
  </si>
  <si>
    <t>10654ES-VODAFONE SPAIN</t>
  </si>
  <si>
    <t>C60107D</t>
  </si>
  <si>
    <t>Vodafone 10654ES</t>
  </si>
  <si>
    <t>10654UK</t>
  </si>
  <si>
    <t>10654UK-COMMERCIAL MANUAL RECHARGE</t>
  </si>
  <si>
    <t>C704003</t>
  </si>
  <si>
    <t>Commercial Manual Recharge</t>
  </si>
  <si>
    <t>17903UK</t>
  </si>
  <si>
    <t>17903UK-US IT RECHARGES</t>
  </si>
  <si>
    <t>C704001</t>
  </si>
  <si>
    <t>US IT Recharges</t>
  </si>
  <si>
    <t>10655UK</t>
  </si>
  <si>
    <t>10655UK-PRODUCT RESEARCH</t>
  </si>
  <si>
    <t>C180185</t>
  </si>
  <si>
    <t>Product Research</t>
  </si>
  <si>
    <t>10657UK</t>
  </si>
  <si>
    <t>10657UK-CORPORATE EVENTS</t>
  </si>
  <si>
    <t>C610184</t>
  </si>
  <si>
    <t>Corporate Events</t>
  </si>
  <si>
    <t>10617NL</t>
  </si>
  <si>
    <t>10617NL-INTERNATIONAL RECHARGE</t>
  </si>
  <si>
    <t>C704004</t>
  </si>
  <si>
    <t>19A3</t>
  </si>
  <si>
    <t>19A3-ESC ALLOCATION</t>
  </si>
  <si>
    <t>C704005</t>
  </si>
  <si>
    <t>ESC Allocation</t>
  </si>
  <si>
    <t>19A4</t>
  </si>
  <si>
    <t>19A4-MOTOR ALLOCATION</t>
  </si>
  <si>
    <t>C704006</t>
  </si>
  <si>
    <t>Motor Allocation</t>
  </si>
  <si>
    <t>113297-AEB Overhang Charges</t>
  </si>
  <si>
    <t>C790000</t>
  </si>
  <si>
    <t>AEB - Overhang Charges</t>
  </si>
  <si>
    <t>113298-AEB/Sun Life Transition</t>
  </si>
  <si>
    <t>C790001</t>
  </si>
  <si>
    <t>AEB - Sun Life Transition</t>
  </si>
  <si>
    <t>113302-AEB Post Sale Expenses</t>
  </si>
  <si>
    <t>C790002</t>
  </si>
  <si>
    <t>AEB - Post Sale Expenses</t>
  </si>
  <si>
    <t>10750RC</t>
  </si>
  <si>
    <t>10750RC-CHINA MARKETING</t>
  </si>
  <si>
    <t>CI00907</t>
  </si>
  <si>
    <t>Marketing 10750RC</t>
  </si>
  <si>
    <t>TWGBLNK-TWGBLNK</t>
  </si>
  <si>
    <t>C810074</t>
  </si>
  <si>
    <t>ESC TWG</t>
  </si>
  <si>
    <t>10751UK</t>
  </si>
  <si>
    <t>10751UK-EUROPE OPERATIONS</t>
  </si>
  <si>
    <t>C610181</t>
  </si>
  <si>
    <t>Europe Operations</t>
  </si>
  <si>
    <t>10785NL</t>
  </si>
  <si>
    <t>10785NL-Compliance</t>
  </si>
  <si>
    <t>CI20234</t>
  </si>
  <si>
    <t>Legal - Compliance 10785NL</t>
  </si>
  <si>
    <t>10785UK</t>
  </si>
  <si>
    <t>10785UK-Compliance</t>
  </si>
  <si>
    <t>CI20237</t>
  </si>
  <si>
    <t>Legal - Compliance 10785UK</t>
  </si>
  <si>
    <t>10795UK</t>
  </si>
  <si>
    <t>10795UK-UK Digital Team</t>
  </si>
  <si>
    <t>C610334</t>
  </si>
  <si>
    <t xml:space="preserve">UK Digital Team </t>
  </si>
  <si>
    <t>10805UK</t>
  </si>
  <si>
    <t>10805UK-INTERNATIONAL EXPANSION UK</t>
  </si>
  <si>
    <t>C610179</t>
  </si>
  <si>
    <t>International Expansion Uk</t>
  </si>
  <si>
    <t>10850RC</t>
  </si>
  <si>
    <t>10850RC-CHINA SERVICE NETWORK TEAM</t>
  </si>
  <si>
    <t>C601038</t>
  </si>
  <si>
    <t>Service Network Team - International</t>
  </si>
  <si>
    <t>10905UK</t>
  </si>
  <si>
    <t>10905UK - ILS</t>
  </si>
  <si>
    <t>C610337</t>
  </si>
  <si>
    <t>10915UK</t>
  </si>
  <si>
    <t>10915UK-MONZO</t>
  </si>
  <si>
    <t>C610175</t>
  </si>
  <si>
    <t>Monzo</t>
  </si>
  <si>
    <t>10950FR</t>
  </si>
  <si>
    <t>10950FR-CS Retention FR</t>
  </si>
  <si>
    <t>C601074</t>
  </si>
  <si>
    <t>CS Retention</t>
  </si>
  <si>
    <t>11152DE</t>
  </si>
  <si>
    <t>11152DE-Data Analytics Leadership Germany</t>
  </si>
  <si>
    <t>CI40007</t>
  </si>
  <si>
    <t>Data Analytics - Leadership 11152DE</t>
  </si>
  <si>
    <t>11225BZ-International Finance BZ</t>
  </si>
  <si>
    <t>C010425</t>
  </si>
  <si>
    <t>FPA - International</t>
  </si>
  <si>
    <t>11225UK-INTERNATIONAL FINANCE UK</t>
  </si>
  <si>
    <t>CI10036</t>
  </si>
  <si>
    <t>Finance - Country Finance Management 11225UK</t>
  </si>
  <si>
    <t>11305ES</t>
  </si>
  <si>
    <t>11305ES-Reporting Accounting ES</t>
  </si>
  <si>
    <t>CI10158</t>
  </si>
  <si>
    <t>Global Accounting - General Accounting 11305ES</t>
  </si>
  <si>
    <t>11305IT</t>
  </si>
  <si>
    <t>11305IT-Reporting Accounting IT</t>
  </si>
  <si>
    <t>CI10154</t>
  </si>
  <si>
    <t>Global Accounting - General Accounting 11305IT</t>
  </si>
  <si>
    <t>11501MX</t>
  </si>
  <si>
    <t>11501MX-Regional Risk Management</t>
  </si>
  <si>
    <t>C050006</t>
  </si>
  <si>
    <t>Regional - Risk Management</t>
  </si>
  <si>
    <t>11915OT-DATA ANALYTICS CHGBK LFS INTL</t>
  </si>
  <si>
    <t>C700010</t>
  </si>
  <si>
    <t>Mgt Fee - Data Analytics Chgbk LFS Intl</t>
  </si>
  <si>
    <t>1305AG</t>
  </si>
  <si>
    <t>1305AG:GCS IR  SUS AG</t>
  </si>
  <si>
    <t>C055105</t>
  </si>
  <si>
    <t>GCS - Arg - IR Sus</t>
  </si>
  <si>
    <t>1315IN</t>
  </si>
  <si>
    <t>1315IN:GCS IR  SUS INDIA</t>
  </si>
  <si>
    <t>C056105</t>
  </si>
  <si>
    <t>GCS - India - IR Sus</t>
  </si>
  <si>
    <t>13H5</t>
  </si>
  <si>
    <t>13H5-Customer Call Centre Best Buy</t>
  </si>
  <si>
    <t>C610328</t>
  </si>
  <si>
    <t>Custom Call Center - Best Buy</t>
  </si>
  <si>
    <t>14C5</t>
  </si>
  <si>
    <t>14C5-IT Infrastructure</t>
  </si>
  <si>
    <t>CI25410</t>
  </si>
  <si>
    <t>IT INTL - Infrastructure 14C5</t>
  </si>
  <si>
    <t>15B1</t>
  </si>
  <si>
    <t>15B1-Financial Reporting</t>
  </si>
  <si>
    <t>CI10190</t>
  </si>
  <si>
    <t>Financial Reporting 15B1</t>
  </si>
  <si>
    <t>15B6</t>
  </si>
  <si>
    <t>15B6-Internal Audit</t>
  </si>
  <si>
    <t>CI10308</t>
  </si>
  <si>
    <t>Internal Audit 15B6</t>
  </si>
  <si>
    <t>15L2</t>
  </si>
  <si>
    <t>15L2-Finance IT</t>
  </si>
  <si>
    <t>CI10415</t>
  </si>
  <si>
    <t>FPA - IT Finance 15L2</t>
  </si>
  <si>
    <t>15L3</t>
  </si>
  <si>
    <t>15L3-Corporate Finance</t>
  </si>
  <si>
    <t>C610173</t>
  </si>
  <si>
    <t>Corporate Finance</t>
  </si>
  <si>
    <t>15L6</t>
  </si>
  <si>
    <t>15L6-Risk Management</t>
  </si>
  <si>
    <t>C610172</t>
  </si>
  <si>
    <t>17705UK</t>
  </si>
  <si>
    <t>17705UK-BARCLAYS</t>
  </si>
  <si>
    <t>C601089</t>
  </si>
  <si>
    <t>Barclays</t>
  </si>
  <si>
    <t>17725UK</t>
  </si>
  <si>
    <t>17725UK-INTEGRATION DIRECT</t>
  </si>
  <si>
    <t>C601099</t>
  </si>
  <si>
    <t>Integration Direct</t>
  </si>
  <si>
    <t>17735UK</t>
  </si>
  <si>
    <t>17735UK-CUSTOMER EXPERIENCE</t>
  </si>
  <si>
    <t>C601108</t>
  </si>
  <si>
    <t>Customer Experience</t>
  </si>
  <si>
    <t>17745UK</t>
  </si>
  <si>
    <t>17745UK-OPERATIONAL SUPPORT</t>
  </si>
  <si>
    <t>C601112</t>
  </si>
  <si>
    <t>Operational Support</t>
  </si>
  <si>
    <t>17750UK</t>
  </si>
  <si>
    <t>17750UK-OTHER CENTRAL</t>
  </si>
  <si>
    <t>C601117</t>
  </si>
  <si>
    <t>Other Central</t>
  </si>
  <si>
    <t>17752UK</t>
  </si>
  <si>
    <t>17752UK-P4U Customer Relations</t>
  </si>
  <si>
    <t>C610350</t>
  </si>
  <si>
    <t>P4U Customer Relations</t>
  </si>
  <si>
    <t>17753UK</t>
  </si>
  <si>
    <t>17753UK-P4U INLIFE</t>
  </si>
  <si>
    <t>C601118</t>
  </si>
  <si>
    <t>P4U Inlife</t>
  </si>
  <si>
    <t>17755UK</t>
  </si>
  <si>
    <t>17755UK-P4U Service</t>
  </si>
  <si>
    <t>C610351</t>
  </si>
  <si>
    <t>P4U Service</t>
  </si>
  <si>
    <t>17756UK</t>
  </si>
  <si>
    <t>17756UK-P4U TELESALES</t>
  </si>
  <si>
    <t>C601119</t>
  </si>
  <si>
    <t>P4U Telesales</t>
  </si>
  <si>
    <t>17757UK</t>
  </si>
  <si>
    <t>17757UK-PRODUCT</t>
  </si>
  <si>
    <t>C601120</t>
  </si>
  <si>
    <t>Product</t>
  </si>
  <si>
    <t>17758UK</t>
  </si>
  <si>
    <t>17758UK-PYB</t>
  </si>
  <si>
    <t>C601121</t>
  </si>
  <si>
    <t>Pyb</t>
  </si>
  <si>
    <t>17759UK</t>
  </si>
  <si>
    <t>17759UK-PYB POLICY ADMIN</t>
  </si>
  <si>
    <t>C601122</t>
  </si>
  <si>
    <t>Pyb Policy Admin</t>
  </si>
  <si>
    <t>17765UK</t>
  </si>
  <si>
    <t>17765UK-SUPPLY CHAIN RETURNS</t>
  </si>
  <si>
    <t>C601126</t>
  </si>
  <si>
    <t>Supply Chain Returns</t>
  </si>
  <si>
    <t>17775IE</t>
  </si>
  <si>
    <t>17775IE-VODAFONE IRELAND</t>
  </si>
  <si>
    <t>C60107A</t>
  </si>
  <si>
    <t>Vodafone 17775IE</t>
  </si>
  <si>
    <t>17775NL</t>
  </si>
  <si>
    <t>17775NL-SPARE</t>
  </si>
  <si>
    <t>CI61211</t>
  </si>
  <si>
    <t>Spare 17775NL</t>
  </si>
  <si>
    <t>17805UK</t>
  </si>
  <si>
    <t>17805UK-ONLINE MARKETING</t>
  </si>
  <si>
    <t>C610132</t>
  </si>
  <si>
    <t>Online Marketing</t>
  </si>
  <si>
    <t>17815UK</t>
  </si>
  <si>
    <t>17815UK-CONNECTED LIVING CHANGE</t>
  </si>
  <si>
    <t>C610136</t>
  </si>
  <si>
    <t>Connected Living Change</t>
  </si>
  <si>
    <t>17850NL</t>
  </si>
  <si>
    <t>17850NL-Tax Accounting NL</t>
  </si>
  <si>
    <t>CI10506</t>
  </si>
  <si>
    <t>Tax - Corporate 17850NL</t>
  </si>
  <si>
    <t>17850UK</t>
  </si>
  <si>
    <t>17850UK-Tax Accounting UK</t>
  </si>
  <si>
    <t>CI10507</t>
  </si>
  <si>
    <t>Tax - Corporate 17850UK</t>
  </si>
  <si>
    <t>17851NL</t>
  </si>
  <si>
    <t>17851NL:COMPLIANCE GLOBAL NL</t>
  </si>
  <si>
    <t>CI20243</t>
  </si>
  <si>
    <t>Legal - Compliance - Global NL</t>
  </si>
  <si>
    <t>17851UK</t>
  </si>
  <si>
    <t>17851UK-Treasury Accounting</t>
  </si>
  <si>
    <t>CI00603</t>
  </si>
  <si>
    <t>Treasury - Management 17851UK</t>
  </si>
  <si>
    <t>17852UK</t>
  </si>
  <si>
    <t>17852UK-Reporting Accounting</t>
  </si>
  <si>
    <t>CI10159</t>
  </si>
  <si>
    <t>Global Accounting - General Accounting 17852UK</t>
  </si>
  <si>
    <t>17853UK</t>
  </si>
  <si>
    <t>17853UK-Cost Accounting</t>
  </si>
  <si>
    <t>C610356</t>
  </si>
  <si>
    <t>Cost Accounting</t>
  </si>
  <si>
    <t>17854UK</t>
  </si>
  <si>
    <t>17854UK-Financial Plan &amp; Analysis</t>
  </si>
  <si>
    <t>CI10426</t>
  </si>
  <si>
    <t>FPA - International 17854UK</t>
  </si>
  <si>
    <t>17855UK</t>
  </si>
  <si>
    <t>17855UK-Commerical Accounting</t>
  </si>
  <si>
    <t>C610357</t>
  </si>
  <si>
    <t>Commercial Accounting</t>
  </si>
  <si>
    <t>17856UK</t>
  </si>
  <si>
    <t>17856UK-International Recharge UK</t>
  </si>
  <si>
    <t>CI70405</t>
  </si>
  <si>
    <t>International Recharge 17856UK</t>
  </si>
  <si>
    <t>17865UK</t>
  </si>
  <si>
    <t>17865UK-Company Secretary</t>
  </si>
  <si>
    <t>C610359</t>
  </si>
  <si>
    <t>Company Secretary</t>
  </si>
  <si>
    <t>17885UK</t>
  </si>
  <si>
    <t>17885UK:CHASE</t>
  </si>
  <si>
    <t>C610392</t>
  </si>
  <si>
    <t>Chase (17885UK)</t>
  </si>
  <si>
    <t>17905PL</t>
  </si>
  <si>
    <t>17905PL-POLAND SALES AUTO</t>
  </si>
  <si>
    <t>CI1961C</t>
  </si>
  <si>
    <t>Marketing - Sales &amp; Mktg - Auto 17905PL</t>
  </si>
  <si>
    <t>17915PT</t>
  </si>
  <si>
    <t>17915PT-Business Transformation</t>
  </si>
  <si>
    <t>C610310</t>
  </si>
  <si>
    <t>Business Transformation</t>
  </si>
  <si>
    <t>17915UK</t>
  </si>
  <si>
    <t>17915UK-BUSINESS TRANSFORMATION</t>
  </si>
  <si>
    <t>C610141</t>
  </si>
  <si>
    <t>17925UK</t>
  </si>
  <si>
    <t>17925UK-EUROPEAN OPERATIONS</t>
  </si>
  <si>
    <t>CI61051</t>
  </si>
  <si>
    <t>European Operations 17925UK</t>
  </si>
  <si>
    <t>17935UK</t>
  </si>
  <si>
    <t>17935UK-Underwriting</t>
  </si>
  <si>
    <t>CI61295</t>
  </si>
  <si>
    <t>Underwriting 17935UK</t>
  </si>
  <si>
    <t>17951UK</t>
  </si>
  <si>
    <t>17951UK-FINANCE  RECHARGE</t>
  </si>
  <si>
    <t>C704002</t>
  </si>
  <si>
    <t>Finance Recharge</t>
  </si>
  <si>
    <t>17952UK</t>
  </si>
  <si>
    <t>17952UK-LEGAL AND LITIGATION COSTS</t>
  </si>
  <si>
    <t>CI20903</t>
  </si>
  <si>
    <t>Legal and Litigation Costs 17952UK</t>
  </si>
  <si>
    <t>17953UK</t>
  </si>
  <si>
    <t>17953UK-Marketing &amp; Communications</t>
  </si>
  <si>
    <t>C100970</t>
  </si>
  <si>
    <t>Marketing and Communications</t>
  </si>
  <si>
    <t>17955UK</t>
  </si>
  <si>
    <t>17955UK-AMAZON OPERATIONS</t>
  </si>
  <si>
    <t>C610150</t>
  </si>
  <si>
    <t>Amazon Operations</t>
  </si>
  <si>
    <t>17956UK</t>
  </si>
  <si>
    <t>17956UK-A&amp;T Claims</t>
  </si>
  <si>
    <t>CI5600B</t>
  </si>
  <si>
    <t>Claims - International Lifestyle - A&amp;T 17956UK</t>
  </si>
  <si>
    <t>17957UK</t>
  </si>
  <si>
    <t>17957UK-Motor Claims</t>
  </si>
  <si>
    <t>CI38504</t>
  </si>
  <si>
    <t>VPS Ops - Auto Claims 17957UK</t>
  </si>
  <si>
    <t>17958UK</t>
  </si>
  <si>
    <t>17958UK-CPI UK - Clms/Admin/CustServ</t>
  </si>
  <si>
    <t>C610376</t>
  </si>
  <si>
    <t>CPI UK - Claims/Admin/Customer Service</t>
  </si>
  <si>
    <t>17959UK</t>
  </si>
  <si>
    <t>17959UK - Digital OPM</t>
  </si>
  <si>
    <t>C610377</t>
  </si>
  <si>
    <t>17965UK</t>
  </si>
  <si>
    <t>17965UK-Repair Network</t>
  </si>
  <si>
    <t>C610380</t>
  </si>
  <si>
    <t>Repair Network</t>
  </si>
  <si>
    <t>50000CI</t>
  </si>
  <si>
    <t>50000CI-Administration ASPRI</t>
  </si>
  <si>
    <t>CI20013</t>
  </si>
  <si>
    <t>Country Executive Administration 50000CI</t>
  </si>
  <si>
    <t>50000PR</t>
  </si>
  <si>
    <t>CI20023</t>
  </si>
  <si>
    <t>Country Executive Administration 50000PR</t>
  </si>
  <si>
    <t>50030PR</t>
  </si>
  <si>
    <t>50030PR-Marketing Services PR</t>
  </si>
  <si>
    <t>CI00922</t>
  </si>
  <si>
    <t>Marketing 50030PR</t>
  </si>
  <si>
    <t>50040PR</t>
  </si>
  <si>
    <t>50040PR-AUTO RELATED OPERATION</t>
  </si>
  <si>
    <t>C601085</t>
  </si>
  <si>
    <t>Auto Related Operation</t>
  </si>
  <si>
    <t>50100CI</t>
  </si>
  <si>
    <t>50100CI-ASPRI Mobile</t>
  </si>
  <si>
    <t>CI53054</t>
  </si>
  <si>
    <t>CL - Mobile - International 50100CI</t>
  </si>
  <si>
    <t>C254000</t>
  </si>
  <si>
    <t>GT - TWG Apps - AIZ Project Amort</t>
  </si>
  <si>
    <t>50191PR</t>
  </si>
  <si>
    <t>50191PR-PRCOVID19</t>
  </si>
  <si>
    <t>C030904</t>
  </si>
  <si>
    <t>Covid 19</t>
  </si>
  <si>
    <t>50200CI</t>
  </si>
  <si>
    <t>50200CI-ASPRI ADMIN</t>
  </si>
  <si>
    <t>C601031</t>
  </si>
  <si>
    <t>ASPRI - Admin</t>
  </si>
  <si>
    <t>50200CN</t>
  </si>
  <si>
    <t>50200CN-Finance Canada</t>
  </si>
  <si>
    <t>CI10015</t>
  </si>
  <si>
    <t>Finance - Country Finance Management 50200CN</t>
  </si>
  <si>
    <t>50200PR</t>
  </si>
  <si>
    <t>50200PR-FACILITIES</t>
  </si>
  <si>
    <t>CI20126</t>
  </si>
  <si>
    <t>Admin Services - Facilities Management 50200PR</t>
  </si>
  <si>
    <t>50202CN</t>
  </si>
  <si>
    <t>50202CN-Accounting Operations</t>
  </si>
  <si>
    <t>CI10152</t>
  </si>
  <si>
    <t>Global Accounting - General Accounting 50202CN</t>
  </si>
  <si>
    <t>50202PR</t>
  </si>
  <si>
    <t>50202Pr-Procurement And Communication</t>
  </si>
  <si>
    <t>C601079</t>
  </si>
  <si>
    <t>Procurement and Communicaton</t>
  </si>
  <si>
    <t>50204CN</t>
  </si>
  <si>
    <t>50204CN-FP&amp;A Canada</t>
  </si>
  <si>
    <t>CI10411</t>
  </si>
  <si>
    <t>FPA - Corporate 50204CN</t>
  </si>
  <si>
    <t>50205CN</t>
  </si>
  <si>
    <t>50205CN-Tax Canada</t>
  </si>
  <si>
    <t>CI10504</t>
  </si>
  <si>
    <t>Tax - Corporate 50205CN</t>
  </si>
  <si>
    <t>C254016</t>
  </si>
  <si>
    <t>GT - TWG Apps - Project Amortization</t>
  </si>
  <si>
    <t>50231CN</t>
  </si>
  <si>
    <t>50231CN-KINGSTON CAPITAL EXPENSES NON IT</t>
  </si>
  <si>
    <t>C500603</t>
  </si>
  <si>
    <t>Kingston Capital Expenses - Non-IT</t>
  </si>
  <si>
    <t>50231PR</t>
  </si>
  <si>
    <t>50231PR-Compliance</t>
  </si>
  <si>
    <t>CI20235</t>
  </si>
  <si>
    <t>Legal - Compliance 50231PR</t>
  </si>
  <si>
    <t>50232CN</t>
  </si>
  <si>
    <t>50232CN-PROJECT BAM</t>
  </si>
  <si>
    <t>C090036</t>
  </si>
  <si>
    <t>Project BAM</t>
  </si>
  <si>
    <t>50241CN</t>
  </si>
  <si>
    <t>50241CN-KINGSTON NETWORKS</t>
  </si>
  <si>
    <t>C500604</t>
  </si>
  <si>
    <t>Kingston Networks</t>
  </si>
  <si>
    <t>50243CN</t>
  </si>
  <si>
    <t>50243CN-INTERNATIONAL LEGAL</t>
  </si>
  <si>
    <t>C020204</t>
  </si>
  <si>
    <t>Legal - International</t>
  </si>
  <si>
    <t>50244CN</t>
  </si>
  <si>
    <t>50244CN-Mobile Operations</t>
  </si>
  <si>
    <t>C570000</t>
  </si>
  <si>
    <t>Mobile Ops - Operations</t>
  </si>
  <si>
    <t>50247CN</t>
  </si>
  <si>
    <t>50247CN-LEAP</t>
  </si>
  <si>
    <t>C601020</t>
  </si>
  <si>
    <t>LEAP</t>
  </si>
  <si>
    <t>50248CN</t>
  </si>
  <si>
    <t>50248CN-US MOBILE GOOGLE AND ONE PLUS</t>
  </si>
  <si>
    <t>C503054</t>
  </si>
  <si>
    <t>CL - Mobile - US Mobile Google and One Plus</t>
  </si>
  <si>
    <t>50249CN</t>
  </si>
  <si>
    <t>50249CN-PROGRAM STUDIO TECHNOLOGY TRACK</t>
  </si>
  <si>
    <t>C601026</t>
  </si>
  <si>
    <t>Program Studio Technology Track</t>
  </si>
  <si>
    <t>50250CN</t>
  </si>
  <si>
    <t>50250CN-TORONTO HR</t>
  </si>
  <si>
    <t>CI20506</t>
  </si>
  <si>
    <t>Human Resources - People Business Partners 50250CN</t>
  </si>
  <si>
    <t>50251CN</t>
  </si>
  <si>
    <t>50251CN-TORONTO FACILITY</t>
  </si>
  <si>
    <t>C500600</t>
  </si>
  <si>
    <t>Toronto Canada Facility</t>
  </si>
  <si>
    <t>50253CN</t>
  </si>
  <si>
    <t>50253CN-HAMILTON FACILITY</t>
  </si>
  <si>
    <t>C500601</t>
  </si>
  <si>
    <t>Hamilton Canada Facility</t>
  </si>
  <si>
    <t>50254CN</t>
  </si>
  <si>
    <t>50254CN:CANADIAN MAIL SERVICES</t>
  </si>
  <si>
    <t>C500615</t>
  </si>
  <si>
    <t>Canadian Mail Services</t>
  </si>
  <si>
    <t>50301CN</t>
  </si>
  <si>
    <t>50301CN-CLIENT EXPENSE DAC CANADA</t>
  </si>
  <si>
    <t>C601025</t>
  </si>
  <si>
    <t>Client Expense DAC Canada</t>
  </si>
  <si>
    <t>50520BZ</t>
  </si>
  <si>
    <t>50520BZ-INTL IT Positions BZ</t>
  </si>
  <si>
    <t>CI25500</t>
  </si>
  <si>
    <t>IT INTL - IT 50520BZ</t>
  </si>
  <si>
    <t>50523BZ</t>
  </si>
  <si>
    <t>50523BZ-Risk Management</t>
  </si>
  <si>
    <t>CI42001</t>
  </si>
  <si>
    <t>Risk Management - Admin 50523BZ</t>
  </si>
  <si>
    <t>50525BZ</t>
  </si>
  <si>
    <t>50525BZ-Compliance Management</t>
  </si>
  <si>
    <t>CI20230</t>
  </si>
  <si>
    <t>Legal - Compliance 50525BZ</t>
  </si>
  <si>
    <t>50526BZ</t>
  </si>
  <si>
    <t>50526BZ-HR MANAGEMENT</t>
  </si>
  <si>
    <t>CI20505</t>
  </si>
  <si>
    <t>Human Resources - People Business Partners 50526BZ</t>
  </si>
  <si>
    <t>50527BZ</t>
  </si>
  <si>
    <t>50527BZ-VSC Management</t>
  </si>
  <si>
    <t>CI40099</t>
  </si>
  <si>
    <t>Global Auto - Management 50527BZ</t>
  </si>
  <si>
    <t>50528BZ</t>
  </si>
  <si>
    <t>50528BZ-LEGAL</t>
  </si>
  <si>
    <t>CI20206</t>
  </si>
  <si>
    <t>Legal 50528BZ</t>
  </si>
  <si>
    <t>50529BZ</t>
  </si>
  <si>
    <t>50529BZ-PROTECT YOUR BUBBLE BZ</t>
  </si>
  <si>
    <t>C515400</t>
  </si>
  <si>
    <t>CL - HRO - Protect Your Bubble International</t>
  </si>
  <si>
    <t>50530BZ</t>
  </si>
  <si>
    <t>50530BZ-VICE PRESIDENT UK</t>
  </si>
  <si>
    <t>C200003</t>
  </si>
  <si>
    <t>Vice President - UK</t>
  </si>
  <si>
    <t>50531BZ-PYB BRAZIL CORPORATE</t>
  </si>
  <si>
    <t>C515401</t>
  </si>
  <si>
    <t>CL - HRO - Protect Your Bubble Intl Corporate</t>
  </si>
  <si>
    <t>50532BZ-CONS INSIGHT BZ CORPORATE</t>
  </si>
  <si>
    <t>C601030</t>
  </si>
  <si>
    <t>Cons Insight BZ Corporate</t>
  </si>
  <si>
    <t>50533BZ</t>
  </si>
  <si>
    <t>50533BZ-Regional Positions BZ</t>
  </si>
  <si>
    <t>C050007</t>
  </si>
  <si>
    <t>Regional - Positions Brazil</t>
  </si>
  <si>
    <t>50590CI</t>
  </si>
  <si>
    <t>50590CI-TELEMARKETING CAIAC</t>
  </si>
  <si>
    <t>C601032</t>
  </si>
  <si>
    <t>Telemarketing CAIAC</t>
  </si>
  <si>
    <t>50590PR</t>
  </si>
  <si>
    <t>50590PR-Warranty And Contact Center Operation</t>
  </si>
  <si>
    <t>C601084</t>
  </si>
  <si>
    <t>Warranty and Contact Center Operation</t>
  </si>
  <si>
    <t>50705PR</t>
  </si>
  <si>
    <t>50705PR-Human Resources</t>
  </si>
  <si>
    <t>CI20525</t>
  </si>
  <si>
    <t>Human Resources - People Business Partners 50705PR</t>
  </si>
  <si>
    <t>50800CI</t>
  </si>
  <si>
    <t>50800CI-EMPLOYEE RELATIONS AND WELFARE</t>
  </si>
  <si>
    <t>C200562</t>
  </si>
  <si>
    <t>Employee Relations and Welfare</t>
  </si>
  <si>
    <t>50800PR</t>
  </si>
  <si>
    <t>50800PR-EMPLOYEE RELATIONS AND WELFARE</t>
  </si>
  <si>
    <t>CI20563</t>
  </si>
  <si>
    <t>50901CN</t>
  </si>
  <si>
    <t>50901CN-Bus Development And Acct Executives</t>
  </si>
  <si>
    <t>CI1095A</t>
  </si>
  <si>
    <t>Business Development 50901CN</t>
  </si>
  <si>
    <t>50902CN</t>
  </si>
  <si>
    <t>50902CN-VSC</t>
  </si>
  <si>
    <t>CI4000Z</t>
  </si>
  <si>
    <t>Global Auto - Management 50902CN</t>
  </si>
  <si>
    <t>50903CN</t>
  </si>
  <si>
    <t>50903CN-Auto Claims Administration</t>
  </si>
  <si>
    <t>CI38501</t>
  </si>
  <si>
    <t>VPS Ops - Auto Claims 50903CN</t>
  </si>
  <si>
    <t>50904CN</t>
  </si>
  <si>
    <t>50904CN-Marketing</t>
  </si>
  <si>
    <t>CI00904</t>
  </si>
  <si>
    <t>Marketing 50904CN</t>
  </si>
  <si>
    <t>50905CN</t>
  </si>
  <si>
    <t>50905CN-Mobile</t>
  </si>
  <si>
    <t>CI53050</t>
  </si>
  <si>
    <t>CL - Mobile - International 50905CN</t>
  </si>
  <si>
    <t>50906CN</t>
  </si>
  <si>
    <t>50906CN-Kingston Operations Admin</t>
  </si>
  <si>
    <t>CI60002</t>
  </si>
  <si>
    <t>Operations 50906CN</t>
  </si>
  <si>
    <t>50907CN</t>
  </si>
  <si>
    <t>50907CN-ATNE INTEGRATION</t>
  </si>
  <si>
    <t>C090037</t>
  </si>
  <si>
    <t>Project ANTE Integration</t>
  </si>
  <si>
    <t>50908CN</t>
  </si>
  <si>
    <t>50908CN-Mobile Device Repair Operations</t>
  </si>
  <si>
    <t>C503024</t>
  </si>
  <si>
    <t>CL - Mobile - Device Repair Operations</t>
  </si>
  <si>
    <t>50909CN</t>
  </si>
  <si>
    <t>50909CN-TORONTO MOBILE REPAIR FACILITY</t>
  </si>
  <si>
    <t>C500360</t>
  </si>
  <si>
    <t>Toronto Canada Repair Facility</t>
  </si>
  <si>
    <t>51200PR</t>
  </si>
  <si>
    <t>51200PR-Accounting</t>
  </si>
  <si>
    <t>CI10157</t>
  </si>
  <si>
    <t>Global Accounting - General Accounting 51200PR</t>
  </si>
  <si>
    <t>93204-IT GLOBAL SPECIALTY SALES AND MKTG</t>
  </si>
  <si>
    <t>51300PR</t>
  </si>
  <si>
    <t>51300PR-CORPORATE</t>
  </si>
  <si>
    <t>C601081</t>
  </si>
  <si>
    <t>51400PR-Dwelling</t>
  </si>
  <si>
    <t>C601028</t>
  </si>
  <si>
    <t>Dwelling International</t>
  </si>
  <si>
    <t>51500PR-PR FINANCIAL PROFIT AND ANALYST CAPIC</t>
  </si>
  <si>
    <t>C390020</t>
  </si>
  <si>
    <t>Lifestyle - PR Financial Profit and Analyst Capic</t>
  </si>
  <si>
    <t>51700PR</t>
  </si>
  <si>
    <t>51700PR-Claims</t>
  </si>
  <si>
    <t>CI56004</t>
  </si>
  <si>
    <t>Claims - International Lifestyle 51700PR</t>
  </si>
  <si>
    <t>51801PR</t>
  </si>
  <si>
    <t>51801PR-MOBILE SERVICES</t>
  </si>
  <si>
    <t>CI57023</t>
  </si>
  <si>
    <t>Mobile Ops - Mobile Services International 51801PR</t>
  </si>
  <si>
    <t>52800CN</t>
  </si>
  <si>
    <t>52800CN-Canada Credit Claims Examiners</t>
  </si>
  <si>
    <t>CI5600A</t>
  </si>
  <si>
    <t>Claims - International Lifestyle 52800CN</t>
  </si>
  <si>
    <t>52801CN</t>
  </si>
  <si>
    <t>52801CN-Canada Credit CCO</t>
  </si>
  <si>
    <t>C600007</t>
  </si>
  <si>
    <t>Credit CCO</t>
  </si>
  <si>
    <t>52807CN</t>
  </si>
  <si>
    <t>52807CN-Kingston HR</t>
  </si>
  <si>
    <t>CI20507</t>
  </si>
  <si>
    <t>Human Resources - People Business Partners 52807CN</t>
  </si>
  <si>
    <t>52808CN</t>
  </si>
  <si>
    <t>52808CN-Legal</t>
  </si>
  <si>
    <t>CI20207</t>
  </si>
  <si>
    <t>Legal 52808CN</t>
  </si>
  <si>
    <t>52809CN</t>
  </si>
  <si>
    <t>52809CN-Kingston Facility</t>
  </si>
  <si>
    <t>C500602</t>
  </si>
  <si>
    <t>Kingston Canada Facility</t>
  </si>
  <si>
    <t>52810CN</t>
  </si>
  <si>
    <t>52810CN-Business Process Optimization</t>
  </si>
  <si>
    <t>C600006</t>
  </si>
  <si>
    <t>Business Process Optimization</t>
  </si>
  <si>
    <t>52815CN</t>
  </si>
  <si>
    <t>52815CN-PRODUCT MANAGEMENT</t>
  </si>
  <si>
    <t>CI30104</t>
  </si>
  <si>
    <t>GH - LS - Product Management 52815CN</t>
  </si>
  <si>
    <t>52818CN</t>
  </si>
  <si>
    <t>52818CN-International Legal APAC</t>
  </si>
  <si>
    <t>CI50011</t>
  </si>
  <si>
    <t>Regional - Legal 52818CN</t>
  </si>
  <si>
    <t>52820CN</t>
  </si>
  <si>
    <t>52820CN-Compliance</t>
  </si>
  <si>
    <t>CI20231</t>
  </si>
  <si>
    <t>Legal - Compliance 52820CN</t>
  </si>
  <si>
    <t>WH200-TN OTHER DIRECT SUPPORT</t>
  </si>
  <si>
    <t>52821CN</t>
  </si>
  <si>
    <t>52821CN-PBA DMC EXPENSES</t>
  </si>
  <si>
    <t>C601024</t>
  </si>
  <si>
    <t>PBA DMC Expenses</t>
  </si>
  <si>
    <t>52850CN</t>
  </si>
  <si>
    <t>52850CN-KINGSTON PERFORMANCE EXCELLENCE</t>
  </si>
  <si>
    <t>C601023</t>
  </si>
  <si>
    <t>Kingston Performance Excellence</t>
  </si>
  <si>
    <t>52851CN</t>
  </si>
  <si>
    <t>52851CN-Business Solutions</t>
  </si>
  <si>
    <t>C600004</t>
  </si>
  <si>
    <t>Business Solutions</t>
  </si>
  <si>
    <t>52852CN</t>
  </si>
  <si>
    <t>52852CN-Inclusive Benefits</t>
  </si>
  <si>
    <t>C600005</t>
  </si>
  <si>
    <t>Inclusive Benefits</t>
  </si>
  <si>
    <t>52853CN</t>
  </si>
  <si>
    <t>52853CN-DIGITAL TRANSFORMATION</t>
  </si>
  <si>
    <t>C601022</t>
  </si>
  <si>
    <t>Digital Transformation</t>
  </si>
  <si>
    <t>52911CN</t>
  </si>
  <si>
    <t>52911CN-Actuarial</t>
  </si>
  <si>
    <t>CI10204</t>
  </si>
  <si>
    <t>Actuarial Management 52911CN</t>
  </si>
  <si>
    <t>52912CN</t>
  </si>
  <si>
    <t>52912CN-President Canada</t>
  </si>
  <si>
    <t>CI20002</t>
  </si>
  <si>
    <t>Country Executive Administration 52912CN</t>
  </si>
  <si>
    <t>53850PR</t>
  </si>
  <si>
    <t>53850PR-Premium Processing</t>
  </si>
  <si>
    <t>CI11008</t>
  </si>
  <si>
    <t>Premium Processing 53850PR</t>
  </si>
  <si>
    <t>55555IT</t>
  </si>
  <si>
    <t>55555IT-INTER COMPANY TRANSACTION ITALY</t>
  </si>
  <si>
    <t>C601054</t>
  </si>
  <si>
    <t>Intercompany Transaction</t>
  </si>
  <si>
    <t>57200PR</t>
  </si>
  <si>
    <t>57200PR-Executive Operations</t>
  </si>
  <si>
    <t>CI10032</t>
  </si>
  <si>
    <t>Finance - Country Finance Management 57200PR</t>
  </si>
  <si>
    <t>4160-INVESTMENTS</t>
  </si>
  <si>
    <t>C900500</t>
  </si>
  <si>
    <t>Assurant Health - Investments</t>
  </si>
  <si>
    <t>93900-NON-CEO ACTIVITY</t>
  </si>
  <si>
    <t>C900900</t>
  </si>
  <si>
    <t>Non-CEO Activity</t>
  </si>
  <si>
    <t>117000-Corporate Eliminations</t>
  </si>
  <si>
    <t>C999000</t>
  </si>
  <si>
    <t>Corporate Eliminations</t>
  </si>
  <si>
    <t>93700AU</t>
  </si>
  <si>
    <t>93700AU-DEFAULT AUSTRALIA</t>
  </si>
  <si>
    <t>CI00001</t>
  </si>
  <si>
    <t>Country Default Cost Center 93700AU</t>
  </si>
  <si>
    <t>93700BZ</t>
  </si>
  <si>
    <t>93700BZ-BRAZIL</t>
  </si>
  <si>
    <t>CI00002</t>
  </si>
  <si>
    <t>Country Default Cost Center 93700BZ</t>
  </si>
  <si>
    <t>30000CN</t>
  </si>
  <si>
    <t>30000CN-DEFAULT CANADA</t>
  </si>
  <si>
    <t>CI00003</t>
  </si>
  <si>
    <t>Country Default Cost Center 30000CN</t>
  </si>
  <si>
    <t>93700CN</t>
  </si>
  <si>
    <t>93700CN-CANADA</t>
  </si>
  <si>
    <t>CI00004</t>
  </si>
  <si>
    <t>Country Default Cost Center 93700CN</t>
  </si>
  <si>
    <t>93700CO</t>
  </si>
  <si>
    <t>93700CO-COLOMBIA</t>
  </si>
  <si>
    <t>CI00005</t>
  </si>
  <si>
    <t>Country Default Cost Center 93700CO</t>
  </si>
  <si>
    <t>93700FR</t>
  </si>
  <si>
    <t>93700FR-FRANCE</t>
  </si>
  <si>
    <t>CI00006</t>
  </si>
  <si>
    <t>Country Default Cost Center 93700FR</t>
  </si>
  <si>
    <t>93830IT</t>
  </si>
  <si>
    <t>93830IT-INTERNATIONAL ITALY</t>
  </si>
  <si>
    <t>CI00007</t>
  </si>
  <si>
    <t>Country Default Cost Center 93830IT</t>
  </si>
  <si>
    <t>93700JP</t>
  </si>
  <si>
    <t>93700JP-JAPAN DEFAULT</t>
  </si>
  <si>
    <t>CI00008</t>
  </si>
  <si>
    <t>Country Default Cost Center 93700JP</t>
  </si>
  <si>
    <t>30000MX</t>
  </si>
  <si>
    <t>30000MX-INTL DEFAULT MEX</t>
  </si>
  <si>
    <t>CI00009</t>
  </si>
  <si>
    <t>Country Default Cost Center 30000MX</t>
  </si>
  <si>
    <t>93810MX</t>
  </si>
  <si>
    <t>93810MX-MEXICO</t>
  </si>
  <si>
    <t>CI00010</t>
  </si>
  <si>
    <t>Country Default Cost Center 93810MX</t>
  </si>
  <si>
    <t>7027-The Warranty Group Peru</t>
  </si>
  <si>
    <t>CI00011</t>
  </si>
  <si>
    <t>Country Default Cost Center 7027</t>
  </si>
  <si>
    <t>93700PE</t>
  </si>
  <si>
    <t>93700PE-PERU</t>
  </si>
  <si>
    <t>CI00012</t>
  </si>
  <si>
    <t>Country Default Cost Center 93700PE</t>
  </si>
  <si>
    <t>93700PR</t>
  </si>
  <si>
    <t>93700PR-PUERTO RICO</t>
  </si>
  <si>
    <t>CI00014</t>
  </si>
  <si>
    <t>Country Default Cost Center 93700PR</t>
  </si>
  <si>
    <t>17702UK</t>
  </si>
  <si>
    <t>17702UK-DEFAULT COST CENTER</t>
  </si>
  <si>
    <t>CI00015</t>
  </si>
  <si>
    <t>Country Default Cost Center 17702UK</t>
  </si>
  <si>
    <t>93LSGUK</t>
  </si>
  <si>
    <t>93LSGUK-DEFAULT LSG</t>
  </si>
  <si>
    <t>CI00016</t>
  </si>
  <si>
    <t>Country Default Cost Center 93LSGUK</t>
  </si>
  <si>
    <t>10223FR</t>
  </si>
  <si>
    <t>10223FR-DEFAULT CWI</t>
  </si>
  <si>
    <t>CI00018</t>
  </si>
  <si>
    <t>Country Default Cost Center 10223FR</t>
  </si>
  <si>
    <t>30000DE</t>
  </si>
  <si>
    <t>30000DE-INTERNATIONAL DEFAULT</t>
  </si>
  <si>
    <t>CI00019</t>
  </si>
  <si>
    <t>Country Default Cost Center 30000DE</t>
  </si>
  <si>
    <t>93700AT</t>
  </si>
  <si>
    <t>93700AT-DEFAULT AUSTRIA</t>
  </si>
  <si>
    <t>CI00020</t>
  </si>
  <si>
    <t>Country Default Cost Center 93700AT</t>
  </si>
  <si>
    <t>93700BA</t>
  </si>
  <si>
    <t>93700BA-DEFAULT BALTIC</t>
  </si>
  <si>
    <t>CI00021</t>
  </si>
  <si>
    <t>Country Default Cost Center 93700BA</t>
  </si>
  <si>
    <t>93700BE</t>
  </si>
  <si>
    <t>93700BE-DEFAULT BELGIUM</t>
  </si>
  <si>
    <t>CI00022</t>
  </si>
  <si>
    <t>Country Default Cost Center 93700BE</t>
  </si>
  <si>
    <t>93700CZ</t>
  </si>
  <si>
    <t>93700CZ-DEFAULT CZECH REPUBLIC</t>
  </si>
  <si>
    <t>CI00023</t>
  </si>
  <si>
    <t>Country Default Cost Center 93700CZ</t>
  </si>
  <si>
    <t>93700DK</t>
  </si>
  <si>
    <t>93700DK-DEFAULT DENMARK</t>
  </si>
  <si>
    <t>CI00024</t>
  </si>
  <si>
    <t>Country Default Cost Center 93700DK</t>
  </si>
  <si>
    <t>93700EE</t>
  </si>
  <si>
    <t>93700EE-DEFAULT ESTONIA</t>
  </si>
  <si>
    <t>CI00025</t>
  </si>
  <si>
    <t>Country Default Cost Center 93700EE</t>
  </si>
  <si>
    <t>93700GR</t>
  </si>
  <si>
    <t>93700GR-DEFAULT GREECE</t>
  </si>
  <si>
    <t>CI00026</t>
  </si>
  <si>
    <t>Country Default Cost Center 93700GR</t>
  </si>
  <si>
    <t>93700HU</t>
  </si>
  <si>
    <t>93700HU-DEFAULT HUNGARY</t>
  </si>
  <si>
    <t>CI00027</t>
  </si>
  <si>
    <t>Country Default Cost Center 93700HU</t>
  </si>
  <si>
    <t>93700NL</t>
  </si>
  <si>
    <t>93700NL-NETHERLANDS DEFAULT</t>
  </si>
  <si>
    <t>CI00028</t>
  </si>
  <si>
    <t>Country Default Cost Center 93700NL</t>
  </si>
  <si>
    <t>93700PL</t>
  </si>
  <si>
    <t>93700PL-DEFAULT POLAND</t>
  </si>
  <si>
    <t>CI00029</t>
  </si>
  <si>
    <t>Country Default Cost Center 93700PL</t>
  </si>
  <si>
    <t>93700PT</t>
  </si>
  <si>
    <t>93700PT-DEFAULT PORTUGAL</t>
  </si>
  <si>
    <t>CI00030</t>
  </si>
  <si>
    <t>Country Default Cost Center 93700PT</t>
  </si>
  <si>
    <t>93700RO</t>
  </si>
  <si>
    <t>93700RO-DEFAULT ROMANIA</t>
  </si>
  <si>
    <t>CI00031</t>
  </si>
  <si>
    <t>Country Default Cost Center 93700RO</t>
  </si>
  <si>
    <t>93701DK</t>
  </si>
  <si>
    <t>93701DK-DEFAULT DENMARK</t>
  </si>
  <si>
    <t>CI00032</t>
  </si>
  <si>
    <t>Country Default Cost Center 93701DK</t>
  </si>
  <si>
    <t>93820DE</t>
  </si>
  <si>
    <t>93820DE-DEFAULT DE</t>
  </si>
  <si>
    <t>CI00033</t>
  </si>
  <si>
    <t>Country Default Cost Center 93820DE</t>
  </si>
  <si>
    <t>93840ES</t>
  </si>
  <si>
    <t>93840ES-DEFAULT ES</t>
  </si>
  <si>
    <t>CI00034</t>
  </si>
  <si>
    <t>Country Default Cost Center 93840ES</t>
  </si>
  <si>
    <t>93CL0</t>
  </si>
  <si>
    <t>93CL0-DEFAULT CHILE</t>
  </si>
  <si>
    <t>CI00035</t>
  </si>
  <si>
    <t>Country Default Cost Center 93CL0</t>
  </si>
  <si>
    <t>93700FI</t>
  </si>
  <si>
    <t>93700FI-DEFAULLT FINLAND</t>
  </si>
  <si>
    <t>CI00036</t>
  </si>
  <si>
    <t>Country Default Cost Center 93700FI</t>
  </si>
  <si>
    <t>93700HK</t>
  </si>
  <si>
    <t>93700HK-HONG KONG</t>
  </si>
  <si>
    <t>CI00037</t>
  </si>
  <si>
    <t>Country Default Cost Center 93700HK</t>
  </si>
  <si>
    <t>93700TW</t>
  </si>
  <si>
    <t>93700TW-TAIWAN ALL OTHER</t>
  </si>
  <si>
    <t>CI00038</t>
  </si>
  <si>
    <t>Country Default Cost Center 93700TW</t>
  </si>
  <si>
    <t>7406-ANZ FINANCE IGCC</t>
  </si>
  <si>
    <t>CI00039</t>
  </si>
  <si>
    <t>Finance - Country Finance Management 7406</t>
  </si>
  <si>
    <t>7446-APAC FINANCE</t>
  </si>
  <si>
    <t>CI00040</t>
  </si>
  <si>
    <t>Finance - Country Finance Management 7446</t>
  </si>
  <si>
    <t>7486-Finance</t>
  </si>
  <si>
    <t>CI00041</t>
  </si>
  <si>
    <t>Finance - Country Finance Management 7486</t>
  </si>
  <si>
    <t>57313PR</t>
  </si>
  <si>
    <t>57313PR-CFO Latam</t>
  </si>
  <si>
    <t>CI50015</t>
  </si>
  <si>
    <t>Regional - Finance 57313PR</t>
  </si>
  <si>
    <t>57314PR</t>
  </si>
  <si>
    <t>57314PR-NEW YORK</t>
  </si>
  <si>
    <t>C601082</t>
  </si>
  <si>
    <t>New York</t>
  </si>
  <si>
    <t>57400CI</t>
  </si>
  <si>
    <t>57400CI-LEGAL EXPENSES ASPRI</t>
  </si>
  <si>
    <t>C601033</t>
  </si>
  <si>
    <t>ASPRI - Legal Expenses</t>
  </si>
  <si>
    <t>57400PR</t>
  </si>
  <si>
    <t>57400PR-Legal</t>
  </si>
  <si>
    <t>CI20218</t>
  </si>
  <si>
    <t>Legal 57400PR</t>
  </si>
  <si>
    <t>7218-Sales &amp; Marketing</t>
  </si>
  <si>
    <t>CI00902</t>
  </si>
  <si>
    <t>Marketing 7218</t>
  </si>
  <si>
    <t>7065MX</t>
  </si>
  <si>
    <t>7065MX-COMMERCIAL BW</t>
  </si>
  <si>
    <t>C610278</t>
  </si>
  <si>
    <t>Commercial BW</t>
  </si>
  <si>
    <t>7235ALO</t>
  </si>
  <si>
    <t>7235ALO:HHRR COLOMBIA ALLOCATIONS</t>
  </si>
  <si>
    <t>C292007</t>
  </si>
  <si>
    <t>Allocations - HHRR - Colombia</t>
  </si>
  <si>
    <t>7232-Sales and Marketing</t>
  </si>
  <si>
    <t>CI00908</t>
  </si>
  <si>
    <t>Marketing 7232</t>
  </si>
  <si>
    <t>7503IN</t>
  </si>
  <si>
    <t>7503IN:GCS INDIA IT LIFESTYLE</t>
  </si>
  <si>
    <t>C056112</t>
  </si>
  <si>
    <t>GCS - India - IT Lifestly (7503IN)</t>
  </si>
  <si>
    <t>7513IN</t>
  </si>
  <si>
    <t>7513IN:GCS INDIA IT GLOBAL HOUSING</t>
  </si>
  <si>
    <t>C056113</t>
  </si>
  <si>
    <t>GCS - India - IT Global Housing (7513IN)</t>
  </si>
  <si>
    <t>78735IN</t>
  </si>
  <si>
    <t>78735IN-India IT Staffing</t>
  </si>
  <si>
    <t>CI25507</t>
  </si>
  <si>
    <t>IT INTL - IT 78735IN</t>
  </si>
  <si>
    <t>8520ATO-ATO Project Support Services</t>
  </si>
  <si>
    <t>C251365</t>
  </si>
  <si>
    <t>GT-Infr and Cloud-ATO Project Support Services</t>
  </si>
  <si>
    <t>C251373</t>
  </si>
  <si>
    <t>GT-Infr and Cloud-Equinix Usa</t>
  </si>
  <si>
    <t>AA005-AFAS HUMAN RESOURCES &amp; ADMINISTRATION</t>
  </si>
  <si>
    <t>C400154</t>
  </si>
  <si>
    <t>Global Auto - AFAS Human Resources &amp; Admin</t>
  </si>
  <si>
    <t>AA025-AFAS FIELD REGION 25</t>
  </si>
  <si>
    <t>C400165</t>
  </si>
  <si>
    <t>Global Auto - AFAS Field Region 25</t>
  </si>
  <si>
    <t>AA065-AFAS REGION 65 MARKETING COMPLIANCE</t>
  </si>
  <si>
    <t>C400173</t>
  </si>
  <si>
    <t>Global Auto - AFAS Field Region 65 Marketing Compliance</t>
  </si>
  <si>
    <t>10280MX</t>
  </si>
  <si>
    <t>10280MX-Marketing Mexico</t>
  </si>
  <si>
    <t>CI00920</t>
  </si>
  <si>
    <t>Marketing 10280MX</t>
  </si>
  <si>
    <t>7242-Sales &amp; Marketing</t>
  </si>
  <si>
    <t>CI00921</t>
  </si>
  <si>
    <t>Marketing 7242</t>
  </si>
  <si>
    <t>ADS2005-MIdwest</t>
  </si>
  <si>
    <t>C400105</t>
  </si>
  <si>
    <t>10030PR</t>
  </si>
  <si>
    <t>10030PR-Marketing Services PR</t>
  </si>
  <si>
    <t>CI00923</t>
  </si>
  <si>
    <t>Marketing 10030PR</t>
  </si>
  <si>
    <t>FS2005 - Call Center Claims</t>
  </si>
  <si>
    <t>C590011</t>
  </si>
  <si>
    <t>AFS Ops - Call Center Claims</t>
  </si>
  <si>
    <t>10627UK</t>
  </si>
  <si>
    <t>10627UK-MARKETING PR</t>
  </si>
  <si>
    <t>CI00928</t>
  </si>
  <si>
    <t>Marketing 10627UK</t>
  </si>
  <si>
    <t>C290100</t>
  </si>
  <si>
    <t>GT Chargebacks - Voluntary Home</t>
  </si>
  <si>
    <t>7161-Marketing General Manager</t>
  </si>
  <si>
    <t>CI00930</t>
  </si>
  <si>
    <t>Marketing 7161</t>
  </si>
  <si>
    <t>C290101</t>
  </si>
  <si>
    <t>GT Chargebacks - Flood Solutions</t>
  </si>
  <si>
    <t>7211-Finance</t>
  </si>
  <si>
    <t>CI10011</t>
  </si>
  <si>
    <t>Finance - Country Finance Management 7211</t>
  </si>
  <si>
    <t>7048-Finance</t>
  </si>
  <si>
    <t>CI10012</t>
  </si>
  <si>
    <t>Finance - Country Finance Management 7048</t>
  </si>
  <si>
    <t>C290104</t>
  </si>
  <si>
    <t>GT Chargebacks - GS Innovations</t>
  </si>
  <si>
    <t>C290906</t>
  </si>
  <si>
    <t>GT Chargebacks - AMS</t>
  </si>
  <si>
    <t>C290500</t>
  </si>
  <si>
    <t>GT Chargebacks - VPS</t>
  </si>
  <si>
    <t>C290799</t>
  </si>
  <si>
    <t>GT Chargebacks - Lifestyle Other</t>
  </si>
  <si>
    <t>7072-Finance</t>
  </si>
  <si>
    <t>CI10018</t>
  </si>
  <si>
    <t>Finance - Country Finance Management 7072</t>
  </si>
  <si>
    <t>7231-Finance</t>
  </si>
  <si>
    <t>CI10019</t>
  </si>
  <si>
    <t>Finance - Country Finance Management 7231</t>
  </si>
  <si>
    <t>C291001</t>
  </si>
  <si>
    <t>GT Chargebacks -TWG US Credit</t>
  </si>
  <si>
    <t>R00015-BAIL DEPARTMENT</t>
  </si>
  <si>
    <t>C303055</t>
  </si>
  <si>
    <t>GH - GS - Bail Department</t>
  </si>
  <si>
    <t>C251409</t>
  </si>
  <si>
    <t>GT-Infr and Cloud-Scottsdale Tier II Support</t>
  </si>
  <si>
    <t>7466-Finance</t>
  </si>
  <si>
    <t>CI10023</t>
  </si>
  <si>
    <t>Finance - Country Finance Management 7466</t>
  </si>
  <si>
    <t>T1045-WESTFIELD MALL AT MONTGOMERY</t>
  </si>
  <si>
    <t>T2915-BRIDGE ST &amp; EMERSON AVE</t>
  </si>
  <si>
    <t>7200-Finance Japan</t>
  </si>
  <si>
    <t>CI10026</t>
  </si>
  <si>
    <t>Finance - Country Finance Management 7200</t>
  </si>
  <si>
    <t>7083-Finance</t>
  </si>
  <si>
    <t>CI10027</t>
  </si>
  <si>
    <t>Finance - Country Finance Management 7083</t>
  </si>
  <si>
    <t>T2956-SOUTHGATE &amp; LYNN</t>
  </si>
  <si>
    <t>10611NL</t>
  </si>
  <si>
    <t>10611NL-Finance</t>
  </si>
  <si>
    <t>CI10029</t>
  </si>
  <si>
    <t>Finance - Country Finance Management 10611NL</t>
  </si>
  <si>
    <t>10783NL</t>
  </si>
  <si>
    <t>10783NL-Netherlands Finance</t>
  </si>
  <si>
    <t>CI10030</t>
  </si>
  <si>
    <t>Finance - Country Finance Management 10783NL</t>
  </si>
  <si>
    <t>7241-Finance</t>
  </si>
  <si>
    <t>CI10031</t>
  </si>
  <si>
    <t>Finance - Country Finance Management 7241</t>
  </si>
  <si>
    <t>T4235-SOUTH DAKOTA AVE &amp; HAMILTON ST</t>
  </si>
  <si>
    <t>T4445-FOOTHILLS MALL E FOOTHILLS &amp; S COLLE</t>
  </si>
  <si>
    <t>T4520-MARKET ST &amp; MCKENZIE LN</t>
  </si>
  <si>
    <t>10783UK</t>
  </si>
  <si>
    <t>10783UK-Finance</t>
  </si>
  <si>
    <t>CI10035</t>
  </si>
  <si>
    <t>Finance - Country Finance Management 10783UK</t>
  </si>
  <si>
    <t>T4565-HWY 70 &amp; CABELA DR</t>
  </si>
  <si>
    <t>7140-Finance  and  Adm Director</t>
  </si>
  <si>
    <t>CI10037</t>
  </si>
  <si>
    <t>Finance - Country Finance Management 7140</t>
  </si>
  <si>
    <t>7141-Finance Dept</t>
  </si>
  <si>
    <t>CI10038</t>
  </si>
  <si>
    <t>Finance - Country Finance Management 7141</t>
  </si>
  <si>
    <t>T5037-CONCORD PIKE</t>
  </si>
  <si>
    <t>10017AU</t>
  </si>
  <si>
    <t>10017AU-ALEGRE FINANCE</t>
  </si>
  <si>
    <t>CI10052</t>
  </si>
  <si>
    <t>Finance - Alegre 10017AU</t>
  </si>
  <si>
    <t>10014AU</t>
  </si>
  <si>
    <t>10014AU-Alegre Finance &amp; Admin</t>
  </si>
  <si>
    <t>CI10062</t>
  </si>
  <si>
    <t>Finance - Alegre 10014AU</t>
  </si>
  <si>
    <t>T5046-ED CAREY</t>
  </si>
  <si>
    <t>10210FR</t>
  </si>
  <si>
    <t>10210FR-Investor Relations &amp; Sustainability FR</t>
  </si>
  <si>
    <t>CI10092</t>
  </si>
  <si>
    <t>Investor Relations 10210FR</t>
  </si>
  <si>
    <t>T5048-LAREDO RETAIL STORE</t>
  </si>
  <si>
    <t>T516E-LAKEWOOD &amp; CARSON</t>
  </si>
  <si>
    <t>T522F-E JOHN SIMS PKWY &amp; BAILEY DR</t>
  </si>
  <si>
    <t>T5339-N TARRANT PKWY &amp; I-35</t>
  </si>
  <si>
    <t>T534F-ALA LILIKOI &amp; SALT LAKE 2</t>
  </si>
  <si>
    <t>T5411-N EXPRESSWAY &amp; FM 802</t>
  </si>
  <si>
    <t>10210PR</t>
  </si>
  <si>
    <t>10210PR-Accounting</t>
  </si>
  <si>
    <t>CI10156</t>
  </si>
  <si>
    <t>Global Accounting - General Accounting 10210PR</t>
  </si>
  <si>
    <t>T5412-W NOLANA &amp; N 29TH</t>
  </si>
  <si>
    <t>T5420-CALLOWAY &amp; ROSEDALE</t>
  </si>
  <si>
    <t>T5421-CARLISLE &amp; PHOENIX</t>
  </si>
  <si>
    <t>7143-Accounting Dept</t>
  </si>
  <si>
    <t>CI10160</t>
  </si>
  <si>
    <t>Global Accounting - General Accounting 7143</t>
  </si>
  <si>
    <t>T5450-NORTH WEST AVE &amp; SPARKS ST</t>
  </si>
  <si>
    <t>7096:CHINA CONTROLLER &amp; ACCOUNTING</t>
  </si>
  <si>
    <t>CI10162</t>
  </si>
  <si>
    <t>Global Accounting - Controller and Acctg - China</t>
  </si>
  <si>
    <t>7097:SOUTH KOREA CONTROLLER &amp; ACCOUNTING</t>
  </si>
  <si>
    <t>CI10163</t>
  </si>
  <si>
    <t>Global Accounting - Controller and Acctg - South Korea</t>
  </si>
  <si>
    <t>T5521-LAS VEGAS STRIP</t>
  </si>
  <si>
    <t>T5529-K &amp; 7TH</t>
  </si>
  <si>
    <t>T5574-PINE &amp; BAY</t>
  </si>
  <si>
    <t>T5658-TRI-COUNTY</t>
  </si>
  <si>
    <t>6013-Warranty Reinsurance</t>
  </si>
  <si>
    <t>CI10182</t>
  </si>
  <si>
    <t>T5725-BUCKHEAD</t>
  </si>
  <si>
    <t>17936UK</t>
  </si>
  <si>
    <t>17936UK-FINANCIAL REPORTING</t>
  </si>
  <si>
    <t>CI10191</t>
  </si>
  <si>
    <t>Financial Reporting 17936UK</t>
  </si>
  <si>
    <t>10400AG</t>
  </si>
  <si>
    <t>10400AG-ACTUARIAL</t>
  </si>
  <si>
    <t>CI10201</t>
  </si>
  <si>
    <t>Actuarial Management 10400AG</t>
  </si>
  <si>
    <t>T5853-UNIVERSITY DR &amp; PERIMETER PKWY</t>
  </si>
  <si>
    <t>10400BZ</t>
  </si>
  <si>
    <t>10400BZ-Actuarial</t>
  </si>
  <si>
    <t>CI10203</t>
  </si>
  <si>
    <t>Actuarial Management 10400BZ</t>
  </si>
  <si>
    <t>T5867-5 POINTS WEST</t>
  </si>
  <si>
    <t>10400RC</t>
  </si>
  <si>
    <t>10400RC-CHINA ACTUARIAL</t>
  </si>
  <si>
    <t>CI10205</t>
  </si>
  <si>
    <t>Actuarial Management 10400RC</t>
  </si>
  <si>
    <t>7078-Actuarial</t>
  </si>
  <si>
    <t>CI10206</t>
  </si>
  <si>
    <t>Actuarial Management 7078</t>
  </si>
  <si>
    <t>T5891-NORMANDY BLVD</t>
  </si>
  <si>
    <t>10230KR</t>
  </si>
  <si>
    <t>10230KR-International Actuarial SK</t>
  </si>
  <si>
    <t>CI10208</t>
  </si>
  <si>
    <t>Actuarial Management 10230KR</t>
  </si>
  <si>
    <t>10400MX</t>
  </si>
  <si>
    <t>10400MX-Actuarial Mex</t>
  </si>
  <si>
    <t>CI10209</t>
  </si>
  <si>
    <t>Actuarial Management 10400MX</t>
  </si>
  <si>
    <t>T5930-SHELBYVILLE</t>
  </si>
  <si>
    <t>10230ES</t>
  </si>
  <si>
    <t>10230ES-International Actuarial ES</t>
  </si>
  <si>
    <t>CI10211</t>
  </si>
  <si>
    <t>Actuarial Management 10230ES</t>
  </si>
  <si>
    <t>10400UK</t>
  </si>
  <si>
    <t>10400UK-ACTUARIAL UK</t>
  </si>
  <si>
    <t>CI10212</t>
  </si>
  <si>
    <t>Actuarial Management 10400UK</t>
  </si>
  <si>
    <t>T5978-AIRPORT</t>
  </si>
  <si>
    <t>17934UK</t>
  </si>
  <si>
    <t>17934UK-Actuarial</t>
  </si>
  <si>
    <t>CI10214</t>
  </si>
  <si>
    <t>Actuarial Management 17934UK</t>
  </si>
  <si>
    <t>12R3</t>
  </si>
  <si>
    <t>12R3-Actuarial TWG Europe</t>
  </si>
  <si>
    <t>CI10215</t>
  </si>
  <si>
    <t>Actuarial Management 12R3</t>
  </si>
  <si>
    <t>10231-Actuarial Management</t>
  </si>
  <si>
    <t>CI10216</t>
  </si>
  <si>
    <t>Actuarial Management 10231</t>
  </si>
  <si>
    <t>T7517-MELROSE DRIVE</t>
  </si>
  <si>
    <t>10110BZ</t>
  </si>
  <si>
    <t>10110BZ - Internal Audit Brazil</t>
  </si>
  <si>
    <t>CI10306</t>
  </si>
  <si>
    <t>Internal Audit 10110BZ</t>
  </si>
  <si>
    <t>17702NL</t>
  </si>
  <si>
    <t>17702NL-Internal Audit</t>
  </si>
  <si>
    <t>CI10307</t>
  </si>
  <si>
    <t>Internal Audit 17702NL</t>
  </si>
  <si>
    <t>T7589-CONTRA COSTA BLVD &amp; MONUMENT</t>
  </si>
  <si>
    <t>17849UK</t>
  </si>
  <si>
    <t>17849UK-Internal Audit UK</t>
  </si>
  <si>
    <t>CI10309</t>
  </si>
  <si>
    <t>Internal Audit 17849UK</t>
  </si>
  <si>
    <t>7224-Internal Audit Argentina</t>
  </si>
  <si>
    <t>CI10310</t>
  </si>
  <si>
    <t>Internal Audit 7224</t>
  </si>
  <si>
    <t>T7657-RTE 295 &amp; PUTNAM PIKE</t>
  </si>
  <si>
    <t>T7855-HIGHWAY 10 &amp; ROUND LAKE BLVD</t>
  </si>
  <si>
    <t>T8045-I-10 &amp; JOHN RALSTON</t>
  </si>
  <si>
    <t>T8053-N CONWAY &amp; E 8TH ST</t>
  </si>
  <si>
    <t>17938UK</t>
  </si>
  <si>
    <t>17938UK-Finance IT UK</t>
  </si>
  <si>
    <t>CI10416</t>
  </si>
  <si>
    <t>FPA - IT Finance 17938UK</t>
  </si>
  <si>
    <t>113234-IT Finance Analysis Miami</t>
  </si>
  <si>
    <t>CI10417</t>
  </si>
  <si>
    <t>FPA - IT Finance 113234</t>
  </si>
  <si>
    <t>T8105-HWY 441 &amp; ATLANTIC</t>
  </si>
  <si>
    <t>T8541-SOUTHCENTER &amp; MINKLER</t>
  </si>
  <si>
    <t>17944UK</t>
  </si>
  <si>
    <t>17944UK-FINANCIAL PLANNING AND ANALYSIS</t>
  </si>
  <si>
    <t>CI10427</t>
  </si>
  <si>
    <t>FPA - International 17944UK</t>
  </si>
  <si>
    <t>17940UK</t>
  </si>
  <si>
    <t>17940UK-Financial Analysis &amp; Planning</t>
  </si>
  <si>
    <t>CI10428</t>
  </si>
  <si>
    <t>FPA - International 17940UK</t>
  </si>
  <si>
    <t>T8542-STORY &amp; KING</t>
  </si>
  <si>
    <t>T8568-CHEYENNE &amp; CIVIC CENTER</t>
  </si>
  <si>
    <t>T8572-PENN &amp; I-494</t>
  </si>
  <si>
    <t>T8581-5TH &amp; 50TH BROOKLYN</t>
  </si>
  <si>
    <t>13449BZ</t>
  </si>
  <si>
    <t>13449BZ-Tax Expense Brazil to US</t>
  </si>
  <si>
    <t>CI10503</t>
  </si>
  <si>
    <t>Tax - Corporate 13449BZ</t>
  </si>
  <si>
    <t>T8754-WHIPPLE AVE &amp; TUSCARAWAS AVE</t>
  </si>
  <si>
    <t>T8758-AURORA AVE NORTH &amp; 135TH ST</t>
  </si>
  <si>
    <t>T8785-KENWOOD RD &amp; ORCHARD LANE</t>
  </si>
  <si>
    <t>T9052-FRONT &amp; OREGON</t>
  </si>
  <si>
    <t>113223-Milwaukee Tax Department</t>
  </si>
  <si>
    <t>CI10508</t>
  </si>
  <si>
    <t>Tax - Corporate 113223</t>
  </si>
  <si>
    <t>118120 - TWG Tax</t>
  </si>
  <si>
    <t>CI10509</t>
  </si>
  <si>
    <t>Tax - Corporate 118120</t>
  </si>
  <si>
    <t>13400-Treasury Tax</t>
  </si>
  <si>
    <t>CI10510</t>
  </si>
  <si>
    <t>Tax - Corporate 13400</t>
  </si>
  <si>
    <t>10624UK</t>
  </si>
  <si>
    <t>10624UK-REGULATORY FEES</t>
  </si>
  <si>
    <t>CI10596</t>
  </si>
  <si>
    <t>Licensing Regulatory Fees 10624UK</t>
  </si>
  <si>
    <t>T9056-8TH AVE &amp; W 36TH ST</t>
  </si>
  <si>
    <t>10102BZ</t>
  </si>
  <si>
    <t>10102BZ-TAXES</t>
  </si>
  <si>
    <t>CI10599</t>
  </si>
  <si>
    <t>Taxes 10102BZ</t>
  </si>
  <si>
    <t>10102MX</t>
  </si>
  <si>
    <t>10102MX-TAXES</t>
  </si>
  <si>
    <t>CI10600</t>
  </si>
  <si>
    <t>Taxes 10102MX</t>
  </si>
  <si>
    <t>17910UK</t>
  </si>
  <si>
    <t>17910UK-Honda Sales</t>
  </si>
  <si>
    <t>CI10945</t>
  </si>
  <si>
    <t>Marketing - Honda Sales 17910UK</t>
  </si>
  <si>
    <t>10180CL</t>
  </si>
  <si>
    <t>10180CL-CHILE NEW SALES</t>
  </si>
  <si>
    <t>CI1094A</t>
  </si>
  <si>
    <t>Marketing - New Sales 10180CL</t>
  </si>
  <si>
    <t>10912NL</t>
  </si>
  <si>
    <t>10912NL-Sales Optimization</t>
  </si>
  <si>
    <t>CI1094B</t>
  </si>
  <si>
    <t>Marketing - New Sales 10912NL</t>
  </si>
  <si>
    <t>10180CI</t>
  </si>
  <si>
    <t>10180CI-Puerto Rico New Sales</t>
  </si>
  <si>
    <t>CI1094D</t>
  </si>
  <si>
    <t>Marketing - New Sales 10180CI</t>
  </si>
  <si>
    <t>10180PR</t>
  </si>
  <si>
    <t>10180PR-PUERTO RICO NEW SALES</t>
  </si>
  <si>
    <t>CI1094E</t>
  </si>
  <si>
    <t>Marketing - New Sales 10180PR</t>
  </si>
  <si>
    <t>T9305-WASHINGTON BLVD &amp; ROSEMEAD BLVD</t>
  </si>
  <si>
    <t>10180UK</t>
  </si>
  <si>
    <t>10180UK-UK New Sales</t>
  </si>
  <si>
    <t>CI1094G</t>
  </si>
  <si>
    <t>Marketing - New Sales 10180UK</t>
  </si>
  <si>
    <t>17909UK</t>
  </si>
  <si>
    <t>17909UK-Motor Business Development</t>
  </si>
  <si>
    <t>CI10951</t>
  </si>
  <si>
    <t>Business Development - Auto 17909UK</t>
  </si>
  <si>
    <t>T9325-MINERAL SPRING &amp; DOUGLAS</t>
  </si>
  <si>
    <t>7070-Sales: Business Develpmnt</t>
  </si>
  <si>
    <t>CI1095B</t>
  </si>
  <si>
    <t>Business Development 7070</t>
  </si>
  <si>
    <t>10260FR</t>
  </si>
  <si>
    <t>10260FR-Business Development</t>
  </si>
  <si>
    <t>CI1095C</t>
  </si>
  <si>
    <t>Business Development 10260FR</t>
  </si>
  <si>
    <t>7449-Sales-Business Development-(India-Motor)</t>
  </si>
  <si>
    <t>CI1095D</t>
  </si>
  <si>
    <t>Business Development 7449</t>
  </si>
  <si>
    <t>7460-Sales -Business Develpmnt</t>
  </si>
  <si>
    <t>CI1095E</t>
  </si>
  <si>
    <t>Business Development 7460</t>
  </si>
  <si>
    <t>7080-Sales: Business Develpmnt</t>
  </si>
  <si>
    <t>CI1095F</t>
  </si>
  <si>
    <t>Business Development 7080</t>
  </si>
  <si>
    <t>T9356-SKIBO RD &amp; CHASON RIDGE DR</t>
  </si>
  <si>
    <t>7480-Sales: Business Develpmnt</t>
  </si>
  <si>
    <t>CI1095H</t>
  </si>
  <si>
    <t>Business Development 7480</t>
  </si>
  <si>
    <t>10400ES</t>
  </si>
  <si>
    <t>10400ES-BUSINESS DEVELOPMENT ES</t>
  </si>
  <si>
    <t>CI1095I</t>
  </si>
  <si>
    <t>Business Development 10400ES</t>
  </si>
  <si>
    <t>10780UK</t>
  </si>
  <si>
    <t>10780UK-Business Development</t>
  </si>
  <si>
    <t>CI1095K</t>
  </si>
  <si>
    <t>Business Development 10780UK</t>
  </si>
  <si>
    <t>7470-Sales  Business Development Singapore</t>
  </si>
  <si>
    <t>CI1095L</t>
  </si>
  <si>
    <t>Business Development 7470</t>
  </si>
  <si>
    <t>T9515-BROADWAY &amp; STEINWAY ST</t>
  </si>
  <si>
    <t>10916UK</t>
  </si>
  <si>
    <t>10916UK:BUSINESS DEVELOPMENT</t>
  </si>
  <si>
    <t>CI1095N</t>
  </si>
  <si>
    <t>Business Development 10916UK</t>
  </si>
  <si>
    <t>7071-Sales: Client Management</t>
  </si>
  <si>
    <t>CI10962</t>
  </si>
  <si>
    <t>Marketing - Client Management 7071</t>
  </si>
  <si>
    <t>T9521-SUDLEY RD &amp; STREAMWALK LN</t>
  </si>
  <si>
    <t>7076-CD: Business Implemntatin</t>
  </si>
  <si>
    <t>CI10967</t>
  </si>
  <si>
    <t>Marketing - Business Implementation 7076</t>
  </si>
  <si>
    <t>T9531-NORTHERN BLVD &amp; 87TH ST</t>
  </si>
  <si>
    <t>7448-Sales-Client Management-(India-Motor)</t>
  </si>
  <si>
    <t>CI1096A</t>
  </si>
  <si>
    <t>Marketing - Client Management 7448</t>
  </si>
  <si>
    <t>7081-Sales Client Management</t>
  </si>
  <si>
    <t>CI1096B</t>
  </si>
  <si>
    <t>Marketing - Client Management 7081</t>
  </si>
  <si>
    <t>T955D-W SCHAUMBURG RD &amp; BARRINGTON RD</t>
  </si>
  <si>
    <t>7461-Sales - Client Management</t>
  </si>
  <si>
    <t>CI1096D</t>
  </si>
  <si>
    <t>Marketing - Client Management 7461</t>
  </si>
  <si>
    <t>T9572-ROUTE 440 &amp; NEW HOOK RD</t>
  </si>
  <si>
    <t>7222-Premium Processing</t>
  </si>
  <si>
    <t>CI11002</t>
  </si>
  <si>
    <t>Premium Processing 7222</t>
  </si>
  <si>
    <t>T9596-VENICE &amp; CULVER</t>
  </si>
  <si>
    <t>T9650-CROSS BAY BLVD &amp; 158TH AVE</t>
  </si>
  <si>
    <t>T9759-ALABAMA &amp; LUGONIA</t>
  </si>
  <si>
    <t>11100PR</t>
  </si>
  <si>
    <t>11100PR-Premium Processing</t>
  </si>
  <si>
    <t>CI11007</t>
  </si>
  <si>
    <t>Premium Processing 11100PR</t>
  </si>
  <si>
    <t>T9875-GRIDLEY &amp; SOUTH</t>
  </si>
  <si>
    <t>17907IT</t>
  </si>
  <si>
    <t>17907IT-ITALY SALES AUTO</t>
  </si>
  <si>
    <t>CI1961A</t>
  </si>
  <si>
    <t>Marketing - Sales &amp; Mktg - Auto 17907IT</t>
  </si>
  <si>
    <t>10270MX</t>
  </si>
  <si>
    <t>10270MX-Sales VCP Mexico</t>
  </si>
  <si>
    <t>CI1961B</t>
  </si>
  <si>
    <t>Marketing - Sales &amp; Mktg - Auto 10270MX</t>
  </si>
  <si>
    <t>U9925-Auto Customer Service</t>
  </si>
  <si>
    <t>C385000</t>
  </si>
  <si>
    <t>10000BZ</t>
  </si>
  <si>
    <t>10000BZ-Brazil Executive Administration</t>
  </si>
  <si>
    <t>CI20001</t>
  </si>
  <si>
    <t>Country Executive Administration 10000BZ</t>
  </si>
  <si>
    <t>U9950-VPS CONFERENCES AND MEETINGS</t>
  </si>
  <si>
    <t>C400037</t>
  </si>
  <si>
    <t>Global Auto - VPS Conferences and Meetings</t>
  </si>
  <si>
    <t>10100CL</t>
  </si>
  <si>
    <t>10100CL-ADMIN CHILE</t>
  </si>
  <si>
    <t>CI20003</t>
  </si>
  <si>
    <t>Country Executive Administration 10100CL</t>
  </si>
  <si>
    <t>10000RC</t>
  </si>
  <si>
    <t>10000RC-CHINA EXECUTIVE MANAGEMENT</t>
  </si>
  <si>
    <t>CI20004</t>
  </si>
  <si>
    <t>Country Executive Administration 10000RC</t>
  </si>
  <si>
    <t>93800RC</t>
  </si>
  <si>
    <t>93800RC-China</t>
  </si>
  <si>
    <t>CI20005</t>
  </si>
  <si>
    <t>Country Executive Administration 93800RC</t>
  </si>
  <si>
    <t>10100RC</t>
  </si>
  <si>
    <t>10100RC-CHINA ADMIN</t>
  </si>
  <si>
    <t>CI20006</t>
  </si>
  <si>
    <t>Country Executive Administration 10100RC</t>
  </si>
  <si>
    <t>7230-Administration</t>
  </si>
  <si>
    <t>CI20007</t>
  </si>
  <si>
    <t>Country Executive Administration 7230</t>
  </si>
  <si>
    <t>10000FR</t>
  </si>
  <si>
    <t>10000FR-Excecutive Management FR</t>
  </si>
  <si>
    <t>CI20008</t>
  </si>
  <si>
    <t>Country Executive Administration 10000FR</t>
  </si>
  <si>
    <t>10000DE</t>
  </si>
  <si>
    <t>10000DE-EXECUTIVE GERMANY</t>
  </si>
  <si>
    <t>CI20009</t>
  </si>
  <si>
    <t>Country Executive Administration 10000DE</t>
  </si>
  <si>
    <t>10009DE</t>
  </si>
  <si>
    <t>10009DE-EXECUTIVE DE</t>
  </si>
  <si>
    <t>CI20010</t>
  </si>
  <si>
    <t>Country Executive Administration 10009DE</t>
  </si>
  <si>
    <t>10000IT</t>
  </si>
  <si>
    <t>10000IT-EXECUTIVE ITALY</t>
  </si>
  <si>
    <t>CI20011</t>
  </si>
  <si>
    <t>Country Executive Administration 10000IT</t>
  </si>
  <si>
    <t>10000MX</t>
  </si>
  <si>
    <t>10000MX-Mexico</t>
  </si>
  <si>
    <t>CI20012</t>
  </si>
  <si>
    <t>Country Executive Administration 10000MX</t>
  </si>
  <si>
    <t>U9954-Innovation</t>
  </si>
  <si>
    <t>C400005</t>
  </si>
  <si>
    <t>Global Auto - Innovation</t>
  </si>
  <si>
    <t>10100PR</t>
  </si>
  <si>
    <t>10100PR-ADMINISTRATION</t>
  </si>
  <si>
    <t>CI20014</t>
  </si>
  <si>
    <t>Country Executive Administration 10100PR</t>
  </si>
  <si>
    <t>10009ES</t>
  </si>
  <si>
    <t>10009ES-EXECUTIVE ES</t>
  </si>
  <si>
    <t>CI20015</t>
  </si>
  <si>
    <t>Country Executive Administration 10009ES</t>
  </si>
  <si>
    <t>10009UK</t>
  </si>
  <si>
    <t>10009UK-EXECUTIVE UK</t>
  </si>
  <si>
    <t>CI20016</t>
  </si>
  <si>
    <t>Country Executive Administration 10009UK</t>
  </si>
  <si>
    <t>10182UK</t>
  </si>
  <si>
    <t>10182UK - Administration</t>
  </si>
  <si>
    <t>CI20017</t>
  </si>
  <si>
    <t>Country Executive Administration 10182UK</t>
  </si>
  <si>
    <t>10786UK</t>
  </si>
  <si>
    <t>10786UK-EXECUTIVE</t>
  </si>
  <si>
    <t>CI20018</t>
  </si>
  <si>
    <t>Country Executive Administration 10786UK</t>
  </si>
  <si>
    <t>10000AO</t>
  </si>
  <si>
    <t>10000AO-EXECUTIVE MANAGEMENT</t>
  </si>
  <si>
    <t>CI20019</t>
  </si>
  <si>
    <t>Country Executive Administration 10000AO</t>
  </si>
  <si>
    <t>7090-Country Manager</t>
  </si>
  <si>
    <t>CI20020</t>
  </si>
  <si>
    <t>Country Executive Administration 7090</t>
  </si>
  <si>
    <t>7216-Country Manager</t>
  </si>
  <si>
    <t>CI20021</t>
  </si>
  <si>
    <t>Country Executive Administration 7216</t>
  </si>
  <si>
    <t>7240-Administration 7240</t>
  </si>
  <si>
    <t>CI20022</t>
  </si>
  <si>
    <t>Country Executive Administration 7240</t>
  </si>
  <si>
    <t>U9965-VPS Executive Management</t>
  </si>
  <si>
    <t>C400000</t>
  </si>
  <si>
    <t>Global Auto - Executive Management</t>
  </si>
  <si>
    <t>10000PR</t>
  </si>
  <si>
    <t>CI20024</t>
  </si>
  <si>
    <t>Country Executive Administration 10000PR</t>
  </si>
  <si>
    <t>10806UK</t>
  </si>
  <si>
    <t>10806UK-INTERNATIONAL OTHER</t>
  </si>
  <si>
    <t>CI20099</t>
  </si>
  <si>
    <t>International Other 10806UK</t>
  </si>
  <si>
    <t>7062MX</t>
  </si>
  <si>
    <t>7062MX-ADMINISTRATION GENERICO</t>
  </si>
  <si>
    <t>CI20101</t>
  </si>
  <si>
    <t>Admin Services - Management 7062MX</t>
  </si>
  <si>
    <t>10100AB</t>
  </si>
  <si>
    <t>10100AB-ADMINISTRATION</t>
  </si>
  <si>
    <t>CI20102</t>
  </si>
  <si>
    <t>Admin Services - Management 10100AB</t>
  </si>
  <si>
    <t>10789UK</t>
  </si>
  <si>
    <t>10789UK-Procurement</t>
  </si>
  <si>
    <t>CI20103</t>
  </si>
  <si>
    <t>Admin Services - Procurement 10789UK</t>
  </si>
  <si>
    <t>113044-Procurement Management</t>
  </si>
  <si>
    <t>CI20104</t>
  </si>
  <si>
    <t>Admin Services - Procurement 113044</t>
  </si>
  <si>
    <t>112001:GSF &amp; CAO ANALYTICS</t>
  </si>
  <si>
    <t>CI20105</t>
  </si>
  <si>
    <t>GSF &amp; CAO Analytics</t>
  </si>
  <si>
    <t>10800AG</t>
  </si>
  <si>
    <t>10800AG-FACILITIES ARGENTINA</t>
  </si>
  <si>
    <t>CI20110</t>
  </si>
  <si>
    <t>Admin Services - Facilities Management 10800AG</t>
  </si>
  <si>
    <t>10800BZ</t>
  </si>
  <si>
    <t>10800BZ-Facilities Brazil</t>
  </si>
  <si>
    <t>CI20111</t>
  </si>
  <si>
    <t>Admin Services - Facilities Management 10800BZ</t>
  </si>
  <si>
    <t>10007RC</t>
  </si>
  <si>
    <t>10007RC-FACILITIES BEIJING CHINA</t>
  </si>
  <si>
    <t>CI20112</t>
  </si>
  <si>
    <t>Admin Services - Facilities Management 10007RC</t>
  </si>
  <si>
    <t>10008RC</t>
  </si>
  <si>
    <t>10008RC-FACILITIES SHANGHAI CHINA</t>
  </si>
  <si>
    <t>CI20113</t>
  </si>
  <si>
    <t>Admin Services - Facilities Management 10008RC</t>
  </si>
  <si>
    <t>10009RC</t>
  </si>
  <si>
    <t>10009RC-FACILITIES XIAN CHINA</t>
  </si>
  <si>
    <t>CI20114</t>
  </si>
  <si>
    <t>Admin Services - Facilities Management 10009RC</t>
  </si>
  <si>
    <t>10160FR</t>
  </si>
  <si>
    <t>10160FR-FACILITIES DENIS PAPIN FR</t>
  </si>
  <si>
    <t>CI20115</t>
  </si>
  <si>
    <t>Admin Services - Facilities Management 10160FR</t>
  </si>
  <si>
    <t>10161FR</t>
  </si>
  <si>
    <t>10161FR-FACILITIES ARCHIMEDE FR</t>
  </si>
  <si>
    <t>CI20116</t>
  </si>
  <si>
    <t>Admin Services - Facilities Management 10161FR</t>
  </si>
  <si>
    <t>10162FR</t>
  </si>
  <si>
    <t>10162FR-FACILITIES NEUILLY FR</t>
  </si>
  <si>
    <t>CI20117</t>
  </si>
  <si>
    <t>Admin Services - Facilities Management 10162FR</t>
  </si>
  <si>
    <t>10203FR</t>
  </si>
  <si>
    <t>10203FR-Facilities FR</t>
  </si>
  <si>
    <t>CI20118</t>
  </si>
  <si>
    <t>Admin Services - Facilities Management 10203FR</t>
  </si>
  <si>
    <t>10007DE</t>
  </si>
  <si>
    <t>10007DE-REAL ESTATE AND FACILITIES</t>
  </si>
  <si>
    <t>CI20119</t>
  </si>
  <si>
    <t>Admin Services - Facilities Management 10007DE</t>
  </si>
  <si>
    <t>10002IT</t>
  </si>
  <si>
    <t>10002IT-EXECUTIVE FACILITIES ITALY</t>
  </si>
  <si>
    <t>CI2011A</t>
  </si>
  <si>
    <t>Admin Services - Executive Facilities 10002IT</t>
  </si>
  <si>
    <t>10002ES</t>
  </si>
  <si>
    <t>10002ES-EXECUTIVE FACILITIES ES</t>
  </si>
  <si>
    <t>CI2011B</t>
  </si>
  <si>
    <t>Admin Services - Executive Facilities 10002ES</t>
  </si>
  <si>
    <t>10002UK</t>
  </si>
  <si>
    <t>10002UK-EXECUTIVE FACILITIES UK</t>
  </si>
  <si>
    <t>CI2011C</t>
  </si>
  <si>
    <t>Admin Services - Executive Facilities 10002UK</t>
  </si>
  <si>
    <t>17928IT</t>
  </si>
  <si>
    <t>17928IT-FACILITIES ITALY</t>
  </si>
  <si>
    <t>CI20120</t>
  </si>
  <si>
    <t>Admin Services - Facilities Management 17928IT</t>
  </si>
  <si>
    <t>10007IT</t>
  </si>
  <si>
    <t>10007IT-REAL ESTATE AND FACILITIES</t>
  </si>
  <si>
    <t>CI20121</t>
  </si>
  <si>
    <t>Admin Services - Facilities Management 10007IT</t>
  </si>
  <si>
    <t>10007JP</t>
  </si>
  <si>
    <t>10007JP-FACILITIES JAPAN</t>
  </si>
  <si>
    <t>CI20122</t>
  </si>
  <si>
    <t>Admin Services - Facilities Management 10007JP</t>
  </si>
  <si>
    <t>10007KR</t>
  </si>
  <si>
    <t>10007KR-FACILITIES BUNDANG GU</t>
  </si>
  <si>
    <t>CI20123</t>
  </si>
  <si>
    <t>Admin Services - Facilities Management 10007KR</t>
  </si>
  <si>
    <t>10008KR</t>
  </si>
  <si>
    <t>10008KR-FACILITIES YONGIN RETURN CENTER</t>
  </si>
  <si>
    <t>CI20124</t>
  </si>
  <si>
    <t>Admin Services - Facilities Management 10008KR</t>
  </si>
  <si>
    <t>10700MX</t>
  </si>
  <si>
    <t>10700MX-FACILITIES MEXICO</t>
  </si>
  <si>
    <t>CI20125</t>
  </si>
  <si>
    <t>Admin Services - Facilities Management 10700MX</t>
  </si>
  <si>
    <t>W0150MX</t>
  </si>
  <si>
    <t>W0150MX-MOBILE SERVICES FINANCE MEXICO</t>
  </si>
  <si>
    <t>C570024</t>
  </si>
  <si>
    <t>Mobile Ops - Mobile Services Finance</t>
  </si>
  <si>
    <t>10007ES</t>
  </si>
  <si>
    <t>10007ES-REAL ESTATE AND FACILITIES</t>
  </si>
  <si>
    <t>CI20127</t>
  </si>
  <si>
    <t>Admin Services - Facilities Management 10007ES</t>
  </si>
  <si>
    <t>10007UK</t>
  </si>
  <si>
    <t>10007UK-FACILITIES YORK UK</t>
  </si>
  <si>
    <t>CI20128</t>
  </si>
  <si>
    <t>Admin Services - Facilities Management 10007UK</t>
  </si>
  <si>
    <t>10790UK</t>
  </si>
  <si>
    <t>10790UK-Facilities</t>
  </si>
  <si>
    <t>CI20129</t>
  </si>
  <si>
    <t>Admin Services - Facilities Management 10790UK</t>
  </si>
  <si>
    <t>17742UK</t>
  </si>
  <si>
    <t>17742UK-FACILITIES CREWE</t>
  </si>
  <si>
    <t>CI20130</t>
  </si>
  <si>
    <t>Admin Services - Facilities Management 17742UK</t>
  </si>
  <si>
    <t>17842UK</t>
  </si>
  <si>
    <t>17842UK-FACILITIES MAIDENHEAD UK</t>
  </si>
  <si>
    <t>CI20131</t>
  </si>
  <si>
    <t>Admin Services - Facilities Management 17842UK</t>
  </si>
  <si>
    <t>17843UK</t>
  </si>
  <si>
    <t>17843UK-FACILITIES NEWCASTLE - TUNSTALL</t>
  </si>
  <si>
    <t>CI20132</t>
  </si>
  <si>
    <t>Admin Services - Facilities Management 17843UK</t>
  </si>
  <si>
    <t>17844UK</t>
  </si>
  <si>
    <t>17844UK-FACILITIES MAIDENHEAD PYB</t>
  </si>
  <si>
    <t>CI20133</t>
  </si>
  <si>
    <t>Admin Services - Facilities Management 17844UK</t>
  </si>
  <si>
    <t>17929UK</t>
  </si>
  <si>
    <t>17929UK-FACILITIES MITCHELDEAN &amp; STAINES</t>
  </si>
  <si>
    <t>CI20134</t>
  </si>
  <si>
    <t>Admin Services - Facilities Management 17929UK</t>
  </si>
  <si>
    <t>17932UK</t>
  </si>
  <si>
    <t>17932UK-FACILITIES AMSTERDAM</t>
  </si>
  <si>
    <t>CI20135</t>
  </si>
  <si>
    <t>Admin Services - Facilities Management 17932UK</t>
  </si>
  <si>
    <t>U9966-ST PETERSBURG FACILITIES MGMT</t>
  </si>
  <si>
    <t>CI20137</t>
  </si>
  <si>
    <t>Admin Services - Facilities Management U9966</t>
  </si>
  <si>
    <t>W0250MX</t>
  </si>
  <si>
    <t>W0250MX-Mobile Services Sales And Marketing</t>
  </si>
  <si>
    <t>C100964</t>
  </si>
  <si>
    <t>Marketing - Sales &amp; MKtg - Mobile</t>
  </si>
  <si>
    <t>10790NL</t>
  </si>
  <si>
    <t>10790NL-FACILITIES NETHERLANDS</t>
  </si>
  <si>
    <t>CI20139</t>
  </si>
  <si>
    <t>Admin Services - Facilities Management 10790NL</t>
  </si>
  <si>
    <t>10800CL</t>
  </si>
  <si>
    <t>10800CL-FACILITIES CHILE</t>
  </si>
  <si>
    <t>CI20140</t>
  </si>
  <si>
    <t>Admin Services - Facilities Management 10800CL</t>
  </si>
  <si>
    <t>17CM</t>
  </si>
  <si>
    <t>17CM-Facilities Amsterdam</t>
  </si>
  <si>
    <t>CI20141</t>
  </si>
  <si>
    <t>Admin Services - Facilities Management 17CM</t>
  </si>
  <si>
    <t>7019-FACILITIES CHINA</t>
  </si>
  <si>
    <t>CI20142</t>
  </si>
  <si>
    <t>Admin Services - Facilities Management 7019</t>
  </si>
  <si>
    <t>W0350MX</t>
  </si>
  <si>
    <t>W0350MX-MOBILE SERVICES LEGAL</t>
  </si>
  <si>
    <t>C570026</t>
  </si>
  <si>
    <t>Mobile Ops - Mobile Services Legal</t>
  </si>
  <si>
    <t>7049-Legal Australia</t>
  </si>
  <si>
    <t>CI20203</t>
  </si>
  <si>
    <t>Legal 7049</t>
  </si>
  <si>
    <t>W0500MX</t>
  </si>
  <si>
    <t>W0500MX-MOBILE SERVICES PREMIUM PROCESSING</t>
  </si>
  <si>
    <t>C570027</t>
  </si>
  <si>
    <t>Mobile Ops - Mobile Services Premium Processing</t>
  </si>
  <si>
    <t>W0550MX</t>
  </si>
  <si>
    <t>W0550MX-Wireless Claims</t>
  </si>
  <si>
    <t>C570010</t>
  </si>
  <si>
    <t>Mobile Ops - Mobile Services Claims</t>
  </si>
  <si>
    <t>W0650MX</t>
  </si>
  <si>
    <t>W0650MX-MOBILE SERVICES CALL CENTERS</t>
  </si>
  <si>
    <t>C570028</t>
  </si>
  <si>
    <t>Mobile Ops - Mobile Services Call Centers</t>
  </si>
  <si>
    <t>W20150-ALBANY FRONTLINE</t>
  </si>
  <si>
    <t>C550012</t>
  </si>
  <si>
    <t>7079-Legal</t>
  </si>
  <si>
    <t>CI20209</t>
  </si>
  <si>
    <t>Legal 7079</t>
  </si>
  <si>
    <t>W20152-NFM</t>
  </si>
  <si>
    <t>C515033</t>
  </si>
  <si>
    <t>CL - HRO - NFM</t>
  </si>
  <si>
    <t>W20153-NATIONAL SERVICE NETWORK EPS</t>
  </si>
  <si>
    <t>C515041</t>
  </si>
  <si>
    <t>CL - HRO - National Service Network EPS</t>
  </si>
  <si>
    <t>W20250-CLAIMS AUDIT</t>
  </si>
  <si>
    <t>C515042</t>
  </si>
  <si>
    <t>CL - HRO - Claims Audit</t>
  </si>
  <si>
    <t>7467-Legal</t>
  </si>
  <si>
    <t>CI20213</t>
  </si>
  <si>
    <t>Legal 7467</t>
  </si>
  <si>
    <t>W20350-SAMSUNG CD</t>
  </si>
  <si>
    <t>C515021</t>
  </si>
  <si>
    <t>CL - HRO - Samsung CD</t>
  </si>
  <si>
    <t>10197KR</t>
  </si>
  <si>
    <t>10197KR-Legal &amp; Compliance</t>
  </si>
  <si>
    <t>CI20216</t>
  </si>
  <si>
    <t>Legal 10197KR</t>
  </si>
  <si>
    <t>W20500-GENERAL OPERATIONS</t>
  </si>
  <si>
    <t>C550014</t>
  </si>
  <si>
    <t>HRO Ops - General Operations</t>
  </si>
  <si>
    <t>17400PR</t>
  </si>
  <si>
    <t>17400PR-LEGAL</t>
  </si>
  <si>
    <t>CI20219</t>
  </si>
  <si>
    <t>Legal 17400PR</t>
  </si>
  <si>
    <t>W20502-BUSINESS DEVELOPMENT</t>
  </si>
  <si>
    <t>C503029</t>
  </si>
  <si>
    <t>CL - Mobile - Business Development</t>
  </si>
  <si>
    <t>10614UK</t>
  </si>
  <si>
    <t>10614UK-LEGAL</t>
  </si>
  <si>
    <t>CI20222</t>
  </si>
  <si>
    <t>Legal 10614UK</t>
  </si>
  <si>
    <t>W20551:HOME SOLS FRAUD TRIAGE</t>
  </si>
  <si>
    <t>HRO Ops - Home Solutions Friad Triage</t>
  </si>
  <si>
    <t>7089-Legal 7089</t>
  </si>
  <si>
    <t>CI20224</t>
  </si>
  <si>
    <t>Legal 7089</t>
  </si>
  <si>
    <t>7221-Legal Argentina</t>
  </si>
  <si>
    <t>CI20225</t>
  </si>
  <si>
    <t>Legal 7221</t>
  </si>
  <si>
    <t>21100-Corporate Legal ATL</t>
  </si>
  <si>
    <t>CI20226</t>
  </si>
  <si>
    <t>Legal - Corporate 21100</t>
  </si>
  <si>
    <t>W20650-JEWELRY CLIENTS</t>
  </si>
  <si>
    <t>C515034</t>
  </si>
  <si>
    <t>CL - HRO - Jewelry Clients</t>
  </si>
  <si>
    <t>W20705-BLUE NILE</t>
  </si>
  <si>
    <t>C515202</t>
  </si>
  <si>
    <t>CL - HRO - New Sales - Blue Nile</t>
  </si>
  <si>
    <t>W20750-EPS OPERATIONS AND BUSINESS ANALYSIS</t>
  </si>
  <si>
    <t>C515609</t>
  </si>
  <si>
    <t>Div Fin Svcs - EPS Operations and Business Analysis</t>
  </si>
  <si>
    <t>W20751-WHIRLPOOL DIRECT MARKETING</t>
  </si>
  <si>
    <t>C515023</t>
  </si>
  <si>
    <t>CL - HRO - Whirlpool Direct Marketing</t>
  </si>
  <si>
    <t>W20752-Louisville Headquarters</t>
  </si>
  <si>
    <t>C515013</t>
  </si>
  <si>
    <t>CL - HRO - Louisville Headquarters</t>
  </si>
  <si>
    <t>10360FR</t>
  </si>
  <si>
    <t>10360FR-Compliance FR</t>
  </si>
  <si>
    <t>CI20232</t>
  </si>
  <si>
    <t>Legal - Compliance 10360FR</t>
  </si>
  <si>
    <t>10360MX</t>
  </si>
  <si>
    <t>10360MX-Compliance Mexico</t>
  </si>
  <si>
    <t>CI20233</t>
  </si>
  <si>
    <t>Legal - Compliance 10360MX</t>
  </si>
  <si>
    <t>W20753-CARCHEX</t>
  </si>
  <si>
    <t>C515024</t>
  </si>
  <si>
    <t>CL - HRO - Carchex</t>
  </si>
  <si>
    <t>W20754-ACCOUNTING CLIENT OPERATIONS</t>
  </si>
  <si>
    <t>10200ES</t>
  </si>
  <si>
    <t>10200ES-COMPLIANCE ES</t>
  </si>
  <si>
    <t>CI20236</t>
  </si>
  <si>
    <t>Legal - Compliance 10200ES</t>
  </si>
  <si>
    <t>W20755-CONNSCD MKTG</t>
  </si>
  <si>
    <t>C515025</t>
  </si>
  <si>
    <t>CL - HRO - Connscd Mktg</t>
  </si>
  <si>
    <t>W20756-Addison Front Line</t>
  </si>
  <si>
    <t>C550005</t>
  </si>
  <si>
    <t>HRO Ops - Addison Front Line</t>
  </si>
  <si>
    <t>13K4</t>
  </si>
  <si>
    <t>13K4-Compliance</t>
  </si>
  <si>
    <t>CI20239</t>
  </si>
  <si>
    <t>Legal - Compliance 13K4</t>
  </si>
  <si>
    <t>17921UK</t>
  </si>
  <si>
    <t>17921UK-COMPLIANCE</t>
  </si>
  <si>
    <t>CI20240</t>
  </si>
  <si>
    <t>Legal - Compliance 17921UK</t>
  </si>
  <si>
    <t>W20757-ACCOUNTING CLIENT IMPLEMENTATIONS</t>
  </si>
  <si>
    <t>W20758-Direct Sales Rapid City</t>
  </si>
  <si>
    <t>C515014</t>
  </si>
  <si>
    <t>CL - HRO - Direct Sales Rapid City</t>
  </si>
  <si>
    <t>W20759-CONNECTED LIVING GENERAL</t>
  </si>
  <si>
    <t>C515036</t>
  </si>
  <si>
    <t>CL - HRO - Connected Living General</t>
  </si>
  <si>
    <t>17881UK</t>
  </si>
  <si>
    <t>17881UK:COMPLIANCE GLOBAL UK</t>
  </si>
  <si>
    <t>CI20244</t>
  </si>
  <si>
    <t>Legal - Compliance - Global UK</t>
  </si>
  <si>
    <t>113292-Corp Compliance Operations</t>
  </si>
  <si>
    <t>CI20402</t>
  </si>
  <si>
    <t>Legal - Compliance - Corporate 113292</t>
  </si>
  <si>
    <t>93033-Compliance Governance</t>
  </si>
  <si>
    <t>CI20403</t>
  </si>
  <si>
    <t>Legal - Compliance - Corporate 93033</t>
  </si>
  <si>
    <t>W20795-GOOGLE ESC</t>
  </si>
  <si>
    <t>C515040</t>
  </si>
  <si>
    <t>CL - HRO - Google ESC</t>
  </si>
  <si>
    <t>10200AG</t>
  </si>
  <si>
    <t>10200AG-Human Resources</t>
  </si>
  <si>
    <t>CI20501</t>
  </si>
  <si>
    <t>Human Resources - People Business Partners 10200AG</t>
  </si>
  <si>
    <t>W20850-Rapid City Billing Team</t>
  </si>
  <si>
    <t>C515017</t>
  </si>
  <si>
    <t>CL - HRO - Rapid City Billing Team</t>
  </si>
  <si>
    <t>7046- HR</t>
  </si>
  <si>
    <t>CI20503</t>
  </si>
  <si>
    <t>Human Resources - People Business Partners 7046</t>
  </si>
  <si>
    <t>10200BZ</t>
  </si>
  <si>
    <t>10200BZ-HR</t>
  </si>
  <si>
    <t>CI20504</t>
  </si>
  <si>
    <t>Human Resources - People Business Partners 10200BZ</t>
  </si>
  <si>
    <t>W20950-AMERICAN FREIGHT</t>
  </si>
  <si>
    <t>C515203</t>
  </si>
  <si>
    <t>CL - HRO - New Sales - American Freight</t>
  </si>
  <si>
    <t>W20951-AMERICAN FREIGHT AFTMKT</t>
  </si>
  <si>
    <t>C515026</t>
  </si>
  <si>
    <t>CL - HRO - American Freight Aftermarket</t>
  </si>
  <si>
    <t>W20952-DETROIT ENERGY</t>
  </si>
  <si>
    <t>C515044</t>
  </si>
  <si>
    <t>CL - HRO - Connected Home - Detroit Energy</t>
  </si>
  <si>
    <t>10200CL</t>
  </si>
  <si>
    <t>10200CL-HUMAN RESOURCES</t>
  </si>
  <si>
    <t>CI20508</t>
  </si>
  <si>
    <t>Human Resources - People Business Partners 10200CL</t>
  </si>
  <si>
    <t>10200RC</t>
  </si>
  <si>
    <t>10200RC-CHINA HUMAN RESOURCES</t>
  </si>
  <si>
    <t>CI20509</t>
  </si>
  <si>
    <t>Human Resources - People Business Partners 10200RC</t>
  </si>
  <si>
    <t>7077-HR</t>
  </si>
  <si>
    <t>CI20510</t>
  </si>
  <si>
    <t>Human Resources - People Business Partners 7077</t>
  </si>
  <si>
    <t>93800RCHR</t>
  </si>
  <si>
    <t>93800RC-China (HR)</t>
  </si>
  <si>
    <t>CI20511</t>
  </si>
  <si>
    <t>Human Resources - People Business Partners 93800RCHR</t>
  </si>
  <si>
    <t>W20953-TMO PGHOME</t>
  </si>
  <si>
    <t>C515204</t>
  </si>
  <si>
    <t>CL - HRO - New Sales - TMO PGHome</t>
  </si>
  <si>
    <t>10200FR</t>
  </si>
  <si>
    <t>10200FR-HR Management FR</t>
  </si>
  <si>
    <t>CI20513</t>
  </si>
  <si>
    <t>Human Resources - People Business Partners 10200FR</t>
  </si>
  <si>
    <t>10201FR</t>
  </si>
  <si>
    <t>10201FR-HR BUSINESS PARTNER SUPPORT FR</t>
  </si>
  <si>
    <t>CI20514</t>
  </si>
  <si>
    <t>Human Resources - People Business Partners 10201FR</t>
  </si>
  <si>
    <t>10200DE</t>
  </si>
  <si>
    <t>10200DE-HUMAN RESOURCES DE</t>
  </si>
  <si>
    <t>CI20515</t>
  </si>
  <si>
    <t>Human Resources - People Business Partners 10200DE</t>
  </si>
  <si>
    <t>7447 - Human Resource-(India-Motor)</t>
  </si>
  <si>
    <t>CI20516</t>
  </si>
  <si>
    <t>Human Resources - People Business Partners 7447</t>
  </si>
  <si>
    <t>W20954-NEW BUSINESS OPS</t>
  </si>
  <si>
    <t>C515205</t>
  </si>
  <si>
    <t>CL - HRO - New Sales - New Business Ops</t>
  </si>
  <si>
    <t>10360JP</t>
  </si>
  <si>
    <t>10360JP - Japan HR</t>
  </si>
  <si>
    <t>CI20518</t>
  </si>
  <si>
    <t>Human Resources - People Business Partners 10360JP</t>
  </si>
  <si>
    <t>7087-HR Korea</t>
  </si>
  <si>
    <t>CI20519</t>
  </si>
  <si>
    <t>Human Resources - People Business Partners 7087</t>
  </si>
  <si>
    <t>10200MX</t>
  </si>
  <si>
    <t>10200MX-Human Resources Mex</t>
  </si>
  <si>
    <t>CI20520</t>
  </si>
  <si>
    <t>Human Resources - People Business Partners 10200MX</t>
  </si>
  <si>
    <t>10784NL</t>
  </si>
  <si>
    <t>10784NL - Human Resources</t>
  </si>
  <si>
    <t>CI20521</t>
  </si>
  <si>
    <t>Human Resources - People Business Partners 10784NL</t>
  </si>
  <si>
    <t>7094-New Zealand HR</t>
  </si>
  <si>
    <t>CI20522</t>
  </si>
  <si>
    <t>Human Resources - People Business Partners 7094</t>
  </si>
  <si>
    <t>W20955</t>
  </si>
  <si>
    <t>W20955:BRANDSMART</t>
  </si>
  <si>
    <t>C515210</t>
  </si>
  <si>
    <t>CL - HRO - New Sales - Brandsmart</t>
  </si>
  <si>
    <t>10700PR</t>
  </si>
  <si>
    <t>10700PR-HUMAN RESOURCES</t>
  </si>
  <si>
    <t>CI20524</t>
  </si>
  <si>
    <t>Human Resources - People Business Partners 10700PR</t>
  </si>
  <si>
    <t>10200UK</t>
  </si>
  <si>
    <t>10200UK-HUMAN RESOURCES UK</t>
  </si>
  <si>
    <t>CI20526</t>
  </si>
  <si>
    <t>Human Resources - People Business Partners 10200UK</t>
  </si>
  <si>
    <t>10784UK</t>
  </si>
  <si>
    <t>10784UK-Human Resources</t>
  </si>
  <si>
    <t>CI20527</t>
  </si>
  <si>
    <t>Human Resources - People Business Partners 10784UK</t>
  </si>
  <si>
    <t>17946UK</t>
  </si>
  <si>
    <t>17946UK-HR</t>
  </si>
  <si>
    <t>CI20528</t>
  </si>
  <si>
    <t>Human Resources - People Business Partners 17946UK</t>
  </si>
  <si>
    <t>18A3</t>
  </si>
  <si>
    <t>18A3-HR TWG Europe</t>
  </si>
  <si>
    <t>CI20529</t>
  </si>
  <si>
    <t>Human Resources - People Business Partners 18A3</t>
  </si>
  <si>
    <t>7192-Human Ressources  HR</t>
  </si>
  <si>
    <t>CI20530</t>
  </si>
  <si>
    <t>Human Resources - People Business Partners 7192</t>
  </si>
  <si>
    <t>7468-HR India</t>
  </si>
  <si>
    <t>CI20531</t>
  </si>
  <si>
    <t>Human Resources - People Business Partners 7468</t>
  </si>
  <si>
    <t>7488-HR</t>
  </si>
  <si>
    <t>CI20532</t>
  </si>
  <si>
    <t>Human Resources - People Business Partners 7488</t>
  </si>
  <si>
    <t>17927UK</t>
  </si>
  <si>
    <t>17927UK-Learning and Development</t>
  </si>
  <si>
    <t>CI2053A</t>
  </si>
  <si>
    <t>Human Resources - Learning and Performance 17927UK</t>
  </si>
  <si>
    <t>10800PR</t>
  </si>
  <si>
    <t>10800PR-EMPLOYEE RELATIONS AND WELFARE</t>
  </si>
  <si>
    <t>CI20562</t>
  </si>
  <si>
    <t>W52803C</t>
  </si>
  <si>
    <t>W52803C-Connected Living Call Center</t>
  </si>
  <si>
    <t>C550019</t>
  </si>
  <si>
    <t>CL - HRO Ops - Call Center</t>
  </si>
  <si>
    <t>10619NL</t>
  </si>
  <si>
    <t>10619NL-RECRUITMENT NL</t>
  </si>
  <si>
    <t>CI20568</t>
  </si>
  <si>
    <t>Human Resource - Recruiting 10619NL</t>
  </si>
  <si>
    <t>17722NL</t>
  </si>
  <si>
    <t>17722NL-HR TRAINERS</t>
  </si>
  <si>
    <t>CI20569</t>
  </si>
  <si>
    <t>Human Resources - Trainers 17722NL</t>
  </si>
  <si>
    <t>10622UK</t>
  </si>
  <si>
    <t>10622UK-LEGAL FEES</t>
  </si>
  <si>
    <t>CI20901</t>
  </si>
  <si>
    <t>Legal And Litigation Costs 10622UK</t>
  </si>
  <si>
    <t>12R6</t>
  </si>
  <si>
    <t>12R6-Legal and Litigation Costs</t>
  </si>
  <si>
    <t>CI20902</t>
  </si>
  <si>
    <t>Legal And Litigation Costs 12R6</t>
  </si>
  <si>
    <t>W52804C</t>
  </si>
  <si>
    <t>W52804C-BBYC PRP EXPENSES</t>
  </si>
  <si>
    <t>C601027</t>
  </si>
  <si>
    <t>BBYC PRP Expenses</t>
  </si>
  <si>
    <t>7462-CD  IT India</t>
  </si>
  <si>
    <t>CI25100</t>
  </si>
  <si>
    <t>IT INTL - CD IT 7462</t>
  </si>
  <si>
    <t>7214-IT</t>
  </si>
  <si>
    <t>CI25101</t>
  </si>
  <si>
    <t>IT INTL - Application Development 7214</t>
  </si>
  <si>
    <t>10310BZ</t>
  </si>
  <si>
    <t>10310BZ-IT Application Development Brazil</t>
  </si>
  <si>
    <t>CI25102</t>
  </si>
  <si>
    <t>IT INTL - Application Development 10310BZ</t>
  </si>
  <si>
    <t>10311CN</t>
  </si>
  <si>
    <t>10311CN-IT APPL DEVELOPMENT CANADA KINGSTON</t>
  </si>
  <si>
    <t>CI25103</t>
  </si>
  <si>
    <t>IT INTL - Application Development 10311CN</t>
  </si>
  <si>
    <t>10310DE</t>
  </si>
  <si>
    <t>10310DE-IT APPLICATION DEVELOPMENT GERMANY</t>
  </si>
  <si>
    <t>CI25104</t>
  </si>
  <si>
    <t>IT INTL - Application Development 10310DE</t>
  </si>
  <si>
    <t>10310JP</t>
  </si>
  <si>
    <t>10310JP-IT Application Development</t>
  </si>
  <si>
    <t>CI25105</t>
  </si>
  <si>
    <t>IT INTL - Application Development 10310JP</t>
  </si>
  <si>
    <t>10310UK</t>
  </si>
  <si>
    <t>10310UK-IT APPL DEVELOPMENT UNITED KINGDOM</t>
  </si>
  <si>
    <t>CI25106</t>
  </si>
  <si>
    <t>IT INTL - Application Development 10310UK</t>
  </si>
  <si>
    <t>10312BZ</t>
  </si>
  <si>
    <t>10312BZ-IT Development Tech Hub</t>
  </si>
  <si>
    <t>CI25201</t>
  </si>
  <si>
    <t>IT INTL - Development Tech Hub 10312BZ</t>
  </si>
  <si>
    <t>10312CO</t>
  </si>
  <si>
    <t>10312CO-IT DEVELOPMENT TECH HUB</t>
  </si>
  <si>
    <t>CI25202</t>
  </si>
  <si>
    <t>IT INTL - Development Tech Hub 10312CO</t>
  </si>
  <si>
    <t>10312MX</t>
  </si>
  <si>
    <t>10312MX-IT DEVELOPMENT TECH HUB</t>
  </si>
  <si>
    <t>CI25203</t>
  </si>
  <si>
    <t>IT INTL - Development Tech Hub 10312MX</t>
  </si>
  <si>
    <t>10314AG</t>
  </si>
  <si>
    <t>10314AG:IT DEV TECH HUB ELITA</t>
  </si>
  <si>
    <t>CI25204</t>
  </si>
  <si>
    <t>IT INTL - Tech Hub - Elita 10314AG</t>
  </si>
  <si>
    <t>10314BZ</t>
  </si>
  <si>
    <t>10314BZ:IT DEV TECH HUB ELITA</t>
  </si>
  <si>
    <t>CI25205</t>
  </si>
  <si>
    <t>IT INTL - Tech Hub - Elita 10314BZ</t>
  </si>
  <si>
    <t>10314CO</t>
  </si>
  <si>
    <t>10314CO:IT DEV TECH HUB ELITA</t>
  </si>
  <si>
    <t>CI25206</t>
  </si>
  <si>
    <t>IT INTL - Tech Hub - Elita 10314CO</t>
  </si>
  <si>
    <t>10320BZ</t>
  </si>
  <si>
    <t>10320BZ-IT Infrastructure Brazil</t>
  </si>
  <si>
    <t>CI25401</t>
  </si>
  <si>
    <t>IT INTL - Infrastructure 10320BZ</t>
  </si>
  <si>
    <t>10320CL</t>
  </si>
  <si>
    <t>10320CL-IT INFRASTRUCTURE</t>
  </si>
  <si>
    <t>CI25402</t>
  </si>
  <si>
    <t>IT INTL - Infrastructure 10320CL</t>
  </si>
  <si>
    <t>10320RC</t>
  </si>
  <si>
    <t>10320RC-IT INFRASTRUCTURE CHINA</t>
  </si>
  <si>
    <t>CI25403</t>
  </si>
  <si>
    <t>IT INTL - Infrastructure 10320RC</t>
  </si>
  <si>
    <t>10320DE</t>
  </si>
  <si>
    <t>10320DE-IT INFRASTRUCTURE GERMANY</t>
  </si>
  <si>
    <t>CI25404</t>
  </si>
  <si>
    <t>IT INTL - Infrastructure 10320DE</t>
  </si>
  <si>
    <t>10320IT</t>
  </si>
  <si>
    <t>10320IT-IT INFRASTRUCTURE ITALY</t>
  </si>
  <si>
    <t>CI25405</t>
  </si>
  <si>
    <t>IT INTL - Infrastructure 10320IT</t>
  </si>
  <si>
    <t>10320MX</t>
  </si>
  <si>
    <t>10320MX-IT INFRASTRUCTURE MEXICO</t>
  </si>
  <si>
    <t>CI25406</t>
  </si>
  <si>
    <t>IT INTL - Infrastructure 10320MX</t>
  </si>
  <si>
    <t>10320PR</t>
  </si>
  <si>
    <t>10320PR-IT Infrastructure Puerto Rico</t>
  </si>
  <si>
    <t>CI25407</t>
  </si>
  <si>
    <t>IT INTL - Infrastructure 10320PR</t>
  </si>
  <si>
    <t>10320ES</t>
  </si>
  <si>
    <t>10320ES-IT INFRASTRUCTURE SPAIN</t>
  </si>
  <si>
    <t>CI25408</t>
  </si>
  <si>
    <t>IT INTL - Infrastructure 10320ES</t>
  </si>
  <si>
    <t>10320UK</t>
  </si>
  <si>
    <t>10320UK-IT INFRASTRUCTURE UNITED KINGDOM</t>
  </si>
  <si>
    <t>CI25409</t>
  </si>
  <si>
    <t>IT INTL - Infrastructure 10320UK</t>
  </si>
  <si>
    <t>W52805C</t>
  </si>
  <si>
    <t>W52805C-Connected Living Service Network Mgt</t>
  </si>
  <si>
    <t>C550018</t>
  </si>
  <si>
    <t>HRO Ops - Service Network Management</t>
  </si>
  <si>
    <t>17949UK</t>
  </si>
  <si>
    <t>17949UK-IT Infrastructure UK</t>
  </si>
  <si>
    <t>CI25411</t>
  </si>
  <si>
    <t>IT INTL - Infrastructure 17949UK</t>
  </si>
  <si>
    <t>10791NL</t>
  </si>
  <si>
    <t>10791NL-IT INFRASTRUCTURE</t>
  </si>
  <si>
    <t>CI25412</t>
  </si>
  <si>
    <t>IT INTL - Infrastructure 10791NL</t>
  </si>
  <si>
    <t>W52806C</t>
  </si>
  <si>
    <t>W52806C-CONNECTED LIVING LIVEXCHANGE</t>
  </si>
  <si>
    <t>C550023</t>
  </si>
  <si>
    <t>HRO Ops - Connected Living Livexchange</t>
  </si>
  <si>
    <t>10321CN</t>
  </si>
  <si>
    <t>10321CN-IT Kingston</t>
  </si>
  <si>
    <t>CI25501</t>
  </si>
  <si>
    <t>IT INTL - IT 10321CN</t>
  </si>
  <si>
    <t>10300CL</t>
  </si>
  <si>
    <t>10300CL-IT CHILE</t>
  </si>
  <si>
    <t>CI25502</t>
  </si>
  <si>
    <t>IT INTL - IT 10300CL</t>
  </si>
  <si>
    <t>93800RCIT</t>
  </si>
  <si>
    <t>93800RC-China (IT)</t>
  </si>
  <si>
    <t>CI25503</t>
  </si>
  <si>
    <t>IT INTL - IT 93800RCIT</t>
  </si>
  <si>
    <t>7233-IT</t>
  </si>
  <si>
    <t>CI25504</t>
  </si>
  <si>
    <t>IT INTL - IT 7233</t>
  </si>
  <si>
    <t>W52807C</t>
  </si>
  <si>
    <t>W52807C - BBYC Dedicated</t>
  </si>
  <si>
    <t>C550020</t>
  </si>
  <si>
    <t>HRO Ops - Best Buy Canada</t>
  </si>
  <si>
    <t>W52808C</t>
  </si>
  <si>
    <t>W52808C-CONNECTED LIVING CLAIMS ADMIN</t>
  </si>
  <si>
    <t>C550022</t>
  </si>
  <si>
    <t>HRO Ops - Claims Administration</t>
  </si>
  <si>
    <t>WH405-OVERLAND PARK KS FACILITY</t>
  </si>
  <si>
    <t>C500351</t>
  </si>
  <si>
    <t>HYLA Overland Park Kansas Facility</t>
  </si>
  <si>
    <t>7082-CD: IT</t>
  </si>
  <si>
    <t>CI25508</t>
  </si>
  <si>
    <t>IT INTL - IT 7082</t>
  </si>
  <si>
    <t>10300MX</t>
  </si>
  <si>
    <t>10300MX-IT Mexico</t>
  </si>
  <si>
    <t>CI25509</t>
  </si>
  <si>
    <t>IT INTL - IT 10300MX</t>
  </si>
  <si>
    <t>7061MX</t>
  </si>
  <si>
    <t>7061MX-IT</t>
  </si>
  <si>
    <t>CI25510</t>
  </si>
  <si>
    <t>IT INTL - IT 7061MX</t>
  </si>
  <si>
    <t>10902NL</t>
  </si>
  <si>
    <t>10902NL-IT Change</t>
  </si>
  <si>
    <t>CI25511</t>
  </si>
  <si>
    <t>IT INTL - IT 10902NL</t>
  </si>
  <si>
    <t>7243-IT</t>
  </si>
  <si>
    <t>CI25512</t>
  </si>
  <si>
    <t>IT INTL - IT 7243</t>
  </si>
  <si>
    <t>7482-CD: IT</t>
  </si>
  <si>
    <t>CI25513</t>
  </si>
  <si>
    <t>IT INTL - IT 7482</t>
  </si>
  <si>
    <t>10782UK</t>
  </si>
  <si>
    <t>10782UK-IT</t>
  </si>
  <si>
    <t>CI25514</t>
  </si>
  <si>
    <t>IT INTL - IT 10782UK</t>
  </si>
  <si>
    <t>7073-CD IT</t>
  </si>
  <si>
    <t>CI25515</t>
  </si>
  <si>
    <t>IT INTL - IT 7073</t>
  </si>
  <si>
    <t>WH500-TN Operations</t>
  </si>
  <si>
    <t>C505002</t>
  </si>
  <si>
    <t>CL - Mobile - TN - Operations</t>
  </si>
  <si>
    <t>WH510-TN Engineering TAP Center</t>
  </si>
  <si>
    <t>C505003</t>
  </si>
  <si>
    <t>CL - Mobile - TN - Engineering TAP Center</t>
  </si>
  <si>
    <t>WH520-TN Device Protection</t>
  </si>
  <si>
    <t>C505004</t>
  </si>
  <si>
    <t>CL - Mobile - TN - Device Protection</t>
  </si>
  <si>
    <t>WH521-TN Sales Asset Value Recovery</t>
  </si>
  <si>
    <t>C505005</t>
  </si>
  <si>
    <t>CL - Mobile - TN - Sales Asset Value Recovery</t>
  </si>
  <si>
    <t>72121-DULUTH LOSS DRAFT PROCESSING</t>
  </si>
  <si>
    <t>CI35536</t>
  </si>
  <si>
    <t>Housing Ops - LD Processing 72121</t>
  </si>
  <si>
    <t>WH524-TN DIAGNOSTICS</t>
  </si>
  <si>
    <t>C505050</t>
  </si>
  <si>
    <t>CL - Mobile - TN - Diagnostics</t>
  </si>
  <si>
    <t>72212-DULUTH PROCESSING ADMIN</t>
  </si>
  <si>
    <t>CI35543</t>
  </si>
  <si>
    <t>Housing Ops - Hazard Processing Administration 72212</t>
  </si>
  <si>
    <t>WH541-TN FINANCE AND ACCOUNTING</t>
  </si>
  <si>
    <t>C505045</t>
  </si>
  <si>
    <t>CL - Mobile - TN - Finance and Accounting</t>
  </si>
  <si>
    <t>72774-SMARTFLOW CTQ BI ANALYSTS</t>
  </si>
  <si>
    <t>CI35598</t>
  </si>
  <si>
    <t>Housing Ops -  Process Analysis &amp; Capability 72774</t>
  </si>
  <si>
    <t>72002-SMARTFLOW INTAKE AND RULES ANALYSTS</t>
  </si>
  <si>
    <t>CI35607</t>
  </si>
  <si>
    <t>Housing Ops - Smartflow Business Analysts 72002</t>
  </si>
  <si>
    <t>WH581-TN Human Resources</t>
  </si>
  <si>
    <t>C505006</t>
  </si>
  <si>
    <t>CL - Mobile - TN - Human Resources</t>
  </si>
  <si>
    <t>WH590-TN Data Analytics TIU</t>
  </si>
  <si>
    <t>C040020</t>
  </si>
  <si>
    <t>Data Analytics - TN TIU</t>
  </si>
  <si>
    <t>42372-PRODUCTIVITY ENHANCEMENTS</t>
  </si>
  <si>
    <t>CI35643</t>
  </si>
  <si>
    <t>Housing Ops - Productivity Enhancements</t>
  </si>
  <si>
    <t>42374-HAZARD OUTSOURCING PROCESSING</t>
  </si>
  <si>
    <t>CI35644</t>
  </si>
  <si>
    <t>Housing Ops - Hazard Outsourcing Processing</t>
  </si>
  <si>
    <t>42469-DIGITAL INITIATIVES</t>
  </si>
  <si>
    <t>CI35645</t>
  </si>
  <si>
    <t>Housing Ops - Digital Initiatives</t>
  </si>
  <si>
    <t>WH635-TN Supply Chain ATT KTG</t>
  </si>
  <si>
    <t>C505018</t>
  </si>
  <si>
    <t>CL - Mobile - TN - Supply Chain ATT KTG</t>
  </si>
  <si>
    <t>42622-SPRINGFIELD CUSTOMER CARE CZUPRYN</t>
  </si>
  <si>
    <t>CI3564X</t>
  </si>
  <si>
    <t>Housing Ops - Springfield Customer Care 42622</t>
  </si>
  <si>
    <t>WH651-TN Device Protection TAP Center</t>
  </si>
  <si>
    <t>C505023</t>
  </si>
  <si>
    <t>CL - Mobile - TN - Device Protection TAP Center</t>
  </si>
  <si>
    <t>13B4</t>
  </si>
  <si>
    <t>13B4-Motor Claims</t>
  </si>
  <si>
    <t>CI38503</t>
  </si>
  <si>
    <t>VPS Ops - Auto Claims 13B4</t>
  </si>
  <si>
    <t>WH652-TN Supply Chain USC Ops</t>
  </si>
  <si>
    <t>C505024</t>
  </si>
  <si>
    <t>CL - Mobile - TN - Supply Chain USC Ops</t>
  </si>
  <si>
    <t>U9926-Auto Claims</t>
  </si>
  <si>
    <t>CI38505</t>
  </si>
  <si>
    <t>VPS Ops - Auto Claims U9926</t>
  </si>
  <si>
    <t>WH653-TN Supply Chain USC Supp</t>
  </si>
  <si>
    <t>C505025</t>
  </si>
  <si>
    <t>CL - Mobile - TN - Supply Chain USC Supp</t>
  </si>
  <si>
    <t>10281AG</t>
  </si>
  <si>
    <t>10281AG - Data Analytics International</t>
  </si>
  <si>
    <t>CI40002</t>
  </si>
  <si>
    <t>Data Analytics - Leadership 10281AG</t>
  </si>
  <si>
    <t>WH654-TN Supply Chain Google Support</t>
  </si>
  <si>
    <t>C505026</t>
  </si>
  <si>
    <t>CL - Mobile - TN - Supply Chain Google Support</t>
  </si>
  <si>
    <t>WH656-TN Supply Chain Samsung Support</t>
  </si>
  <si>
    <t>C505027</t>
  </si>
  <si>
    <t>CL - Mobile - TN - Supply Chain Samsung Support</t>
  </si>
  <si>
    <t>WH657-TN Supply Chain Samsung Ops</t>
  </si>
  <si>
    <t>C505028</t>
  </si>
  <si>
    <t>CL - Mobile - TN - Supply Chain Samsung Ops</t>
  </si>
  <si>
    <t>WH658-TN Supply Chain Loss Prevention</t>
  </si>
  <si>
    <t>C505029</t>
  </si>
  <si>
    <t>CL - Mobile - TN - Supply Chain Loss Prevention</t>
  </si>
  <si>
    <t>WH675-TN Supply Chain ATT Receiving</t>
  </si>
  <si>
    <t>C505032</t>
  </si>
  <si>
    <t>CL - Mobile - TN - Supply Chain ATT Receiving</t>
  </si>
  <si>
    <t>WH695</t>
  </si>
  <si>
    <t>WH695:ATT BRE- NEXT SUPPORT</t>
  </si>
  <si>
    <t>C505056</t>
  </si>
  <si>
    <t>CL - Mobile - TN - ATT BRE-Next Support</t>
  </si>
  <si>
    <t>WS105 - Broadtech Indirect</t>
  </si>
  <si>
    <t>C506002</t>
  </si>
  <si>
    <t>CL - Mobile - Broadtech - Indirect</t>
  </si>
  <si>
    <t>WS205-CL Ops &amp; Reg Compliance</t>
  </si>
  <si>
    <t>C570007</t>
  </si>
  <si>
    <t>Mobile Ops - CL Ops &amp; Reg Compliance</t>
  </si>
  <si>
    <t>ADS2007-Gulf South</t>
  </si>
  <si>
    <t>CI40107</t>
  </si>
  <si>
    <t>Global Auto - ADS - Gulf South ADS2007</t>
  </si>
  <si>
    <t>7013-TWG COLOMBIA</t>
  </si>
  <si>
    <t>CI40401</t>
  </si>
  <si>
    <t>TWG - International 7013</t>
  </si>
  <si>
    <t>WS215-Mobile Services Claims</t>
  </si>
  <si>
    <t>CI57010</t>
  </si>
  <si>
    <t>Mobile Ops - Mobile Services Claims WS215</t>
  </si>
  <si>
    <t>7016-TWG JAPAN</t>
  </si>
  <si>
    <t>CI40403</t>
  </si>
  <si>
    <t>TWG - International 7016</t>
  </si>
  <si>
    <t>7012-TWG MEXICO</t>
  </si>
  <si>
    <t>CI40404</t>
  </si>
  <si>
    <t>TWG - International 7012</t>
  </si>
  <si>
    <t>7012MX</t>
  </si>
  <si>
    <t>7012MX-TWG MEXICO</t>
  </si>
  <si>
    <t>CI40405</t>
  </si>
  <si>
    <t>TWG - International 7012MX</t>
  </si>
  <si>
    <t>WS225-TMUS Metro</t>
  </si>
  <si>
    <t>C506009</t>
  </si>
  <si>
    <t>CL - Mobile - TMUS Metro</t>
  </si>
  <si>
    <t>7009-TWG URUGUAY</t>
  </si>
  <si>
    <t>CI40407</t>
  </si>
  <si>
    <t>TWG - International 7009</t>
  </si>
  <si>
    <t>7010-TWG CHILE</t>
  </si>
  <si>
    <t>CI40408</t>
  </si>
  <si>
    <t>TWG - International 7010</t>
  </si>
  <si>
    <t>7014-TWG BRASIL</t>
  </si>
  <si>
    <t>CI40409</t>
  </si>
  <si>
    <t>TWG - International 7014</t>
  </si>
  <si>
    <t>7020-TWG THAILAND</t>
  </si>
  <si>
    <t>CI40410</t>
  </si>
  <si>
    <t>TWG - International 7020</t>
  </si>
  <si>
    <t>7021-TWG KOREA</t>
  </si>
  <si>
    <t>CI40411</t>
  </si>
  <si>
    <t>TWG - International 7021</t>
  </si>
  <si>
    <t>7039-TWG New Zealand</t>
  </si>
  <si>
    <t>CI40412</t>
  </si>
  <si>
    <t>TWG - International 7039</t>
  </si>
  <si>
    <t>7442-TWG India</t>
  </si>
  <si>
    <t>CI40413</t>
  </si>
  <si>
    <t>TWG - International 7442</t>
  </si>
  <si>
    <t>WS285-MOBILE SERVICES ZV VOICE OUTSOURCING</t>
  </si>
  <si>
    <t>C570018</t>
  </si>
  <si>
    <t>Mobile Ops - Mobile Services ZV Voice Outsourcing</t>
  </si>
  <si>
    <t>10613NL</t>
  </si>
  <si>
    <t>10613NL-Risk</t>
  </si>
  <si>
    <t>CI42002</t>
  </si>
  <si>
    <t>Risk Management - Admin 10613NL</t>
  </si>
  <si>
    <t>10613UK</t>
  </si>
  <si>
    <t>10613UK-RISK</t>
  </si>
  <si>
    <t>CI42003</t>
  </si>
  <si>
    <t>Risk Management - Admin 10613UK</t>
  </si>
  <si>
    <t>10613FR</t>
  </si>
  <si>
    <t>10613FR:RISK FR</t>
  </si>
  <si>
    <t>CI42004</t>
  </si>
  <si>
    <t>Risk Management - Admin 10613FR</t>
  </si>
  <si>
    <t>TWGCLO-TWGCLO</t>
  </si>
  <si>
    <t>CI49998</t>
  </si>
  <si>
    <t>Lifestyle Other - TWG All Other TWGCLO</t>
  </si>
  <si>
    <t>WS295-Mobile Services Albany Call Center</t>
  </si>
  <si>
    <t>C570015</t>
  </si>
  <si>
    <t>Mobile Ops - Mobile Services Albany Call Center</t>
  </si>
  <si>
    <t>WS350</t>
  </si>
  <si>
    <t>WS350-PR MOBILE LOGISTICS</t>
  </si>
  <si>
    <t>C503055</t>
  </si>
  <si>
    <t>CL - Mobile - Logistics</t>
  </si>
  <si>
    <t>WS500-LEWISVILLE SECURITY SERVICES</t>
  </si>
  <si>
    <t>C506029</t>
  </si>
  <si>
    <t>CL - Mobile - Broadtech - Lewisville Security Services</t>
  </si>
  <si>
    <t>10202MX</t>
  </si>
  <si>
    <t>10202MX-PEOPLE ORG DIRECTOR MX AND PR</t>
  </si>
  <si>
    <t>CI50003</t>
  </si>
  <si>
    <t>Regional - People Organization 10202MX</t>
  </si>
  <si>
    <t>10361MX</t>
  </si>
  <si>
    <t>10361MX-Compliance Regional Dir</t>
  </si>
  <si>
    <t>CI50004</t>
  </si>
  <si>
    <t>Regional - Compliance 10361MX</t>
  </si>
  <si>
    <t>10202LO</t>
  </si>
  <si>
    <t>10202LO-People Org Director Latam</t>
  </si>
  <si>
    <t>CI5000X</t>
  </si>
  <si>
    <t>Regional - People Organization 10202LO</t>
  </si>
  <si>
    <t>WS502-Sales Optimization Fred Meyer</t>
  </si>
  <si>
    <t>C506019</t>
  </si>
  <si>
    <t>CL - Mobile - Sales Optimization Fred Meyer</t>
  </si>
  <si>
    <t>WS503-Repair And Logistics Support</t>
  </si>
  <si>
    <t>C506020</t>
  </si>
  <si>
    <t>CL - Mobile - Repair And Logistics Support</t>
  </si>
  <si>
    <t>WS504-Pocket Geek Premium Tech Support</t>
  </si>
  <si>
    <t>C506021</t>
  </si>
  <si>
    <t>CL - Mobile - Pocket Geek Premium Tech Support</t>
  </si>
  <si>
    <t>10618MX</t>
  </si>
  <si>
    <t>10618MX-REGIONAL POSITIONS OPERATIONS</t>
  </si>
  <si>
    <t>CI50013</t>
  </si>
  <si>
    <t>Regional - Operations 10618MX</t>
  </si>
  <si>
    <t>WS505-Planning</t>
  </si>
  <si>
    <t>C010452</t>
  </si>
  <si>
    <t>FPA - Mobile</t>
  </si>
  <si>
    <t>WS506-Sales Optimization Century Link</t>
  </si>
  <si>
    <t>C506022</t>
  </si>
  <si>
    <t>CL - Mobile - Sales Optimization Century Link</t>
  </si>
  <si>
    <t>7404-APAC - ANZ Expenses</t>
  </si>
  <si>
    <t>CI50016</t>
  </si>
  <si>
    <t>Regional - Management and Admin 7404</t>
  </si>
  <si>
    <t>1M1M</t>
  </si>
  <si>
    <t>1M1M-Mainland Europe Management</t>
  </si>
  <si>
    <t>CI50017</t>
  </si>
  <si>
    <t>Regional - Management and Admin 1M1M</t>
  </si>
  <si>
    <t>WS507-POCKET GEEK MOBILE DEFENSE</t>
  </si>
  <si>
    <t>C503033</t>
  </si>
  <si>
    <t>CL - Mobile - Pocket Geek Mobile Defense</t>
  </si>
  <si>
    <t>WS508-MOBILE DEFENSE CLEVELAND FACILITY</t>
  </si>
  <si>
    <t>C500514</t>
  </si>
  <si>
    <t>Mobile Defense Cleveland Facility</t>
  </si>
  <si>
    <t>WS510-Dynamic Fulfillment</t>
  </si>
  <si>
    <t>C506023</t>
  </si>
  <si>
    <t>CL - Mobile - Dynamic Fulfillment</t>
  </si>
  <si>
    <t>AW011-AFWC HOUSTON TX FACILITY</t>
  </si>
  <si>
    <t>CI50510</t>
  </si>
  <si>
    <t>AFAS TX Facility AW011</t>
  </si>
  <si>
    <t>WS511-Cell Phone Repair</t>
  </si>
  <si>
    <t>C509000</t>
  </si>
  <si>
    <t>CL - Mobile - Cell Phone Repair</t>
  </si>
  <si>
    <t>10636UK</t>
  </si>
  <si>
    <t>10636UK-Global Roles Human Resources</t>
  </si>
  <si>
    <t>CI52003</t>
  </si>
  <si>
    <t>Global Roles - People Organization 10636UK</t>
  </si>
  <si>
    <t>17867UK</t>
  </si>
  <si>
    <t>17867UK-GLOBAL ROLES UNDERWRITING</t>
  </si>
  <si>
    <t>CI52006</t>
  </si>
  <si>
    <t>Global Roles - Underwriting 17867UK</t>
  </si>
  <si>
    <t>17978UK</t>
  </si>
  <si>
    <t>17978UK-Global Roles Underwriting</t>
  </si>
  <si>
    <t>CI52007</t>
  </si>
  <si>
    <t>Global Roles - Underwriting 17978UK</t>
  </si>
  <si>
    <t>17401PR</t>
  </si>
  <si>
    <t>17401PR-Global Positions Legal PR</t>
  </si>
  <si>
    <t>CI52011</t>
  </si>
  <si>
    <t>17979UK</t>
  </si>
  <si>
    <t>17979UK-Global Roles Actuarial</t>
  </si>
  <si>
    <t>CI52012</t>
  </si>
  <si>
    <t>Global Roles - Actuarial 17979UK</t>
  </si>
  <si>
    <t>17866UK</t>
  </si>
  <si>
    <t>17866UK-GLOBAL ROLES TAX</t>
  </si>
  <si>
    <t>CI52013</t>
  </si>
  <si>
    <t>Global Roles - Tax 17866UK</t>
  </si>
  <si>
    <t>10617AG</t>
  </si>
  <si>
    <t>10617AG-GLOBAL ROLES AG</t>
  </si>
  <si>
    <t>CI52019</t>
  </si>
  <si>
    <t>Global Roles - Argentina 10617AG</t>
  </si>
  <si>
    <t>17883UK</t>
  </si>
  <si>
    <t>17883UK:GLOBAL ROLES AUTO- AIZ</t>
  </si>
  <si>
    <t>CI52020</t>
  </si>
  <si>
    <t>Global Roles - Auto AIZ 17883UK</t>
  </si>
  <si>
    <t>10687AG</t>
  </si>
  <si>
    <t>10687AG-Supply Chain AG</t>
  </si>
  <si>
    <t>CI53013</t>
  </si>
  <si>
    <t>CL - Mobile - Supply Chain and Business Support 10687AG</t>
  </si>
  <si>
    <t>WS512-REPAIR SERVICE AGREEMENT</t>
  </si>
  <si>
    <t>C503034</t>
  </si>
  <si>
    <t>CL - Mobile - Repair Service Agreement</t>
  </si>
  <si>
    <t>10787DE</t>
  </si>
  <si>
    <t>10787DE-Supply Chain Germany</t>
  </si>
  <si>
    <t>CI53015</t>
  </si>
  <si>
    <t>CL - Mobile - Supply Chain and Business Support 10787DE</t>
  </si>
  <si>
    <t>10787IT</t>
  </si>
  <si>
    <t>10787IT-Supply Chain Italy</t>
  </si>
  <si>
    <t>CI53016</t>
  </si>
  <si>
    <t>CL - Mobile - Supply Chain and Business Support 10787IT</t>
  </si>
  <si>
    <t>10601JP</t>
  </si>
  <si>
    <t>10601JP-Japan SCM</t>
  </si>
  <si>
    <t>CI53017</t>
  </si>
  <si>
    <t>CL - Mobile - Supply Chain and Business Support 10601JP</t>
  </si>
  <si>
    <t>10787ES</t>
  </si>
  <si>
    <t>10787ES-Supply Chain ES</t>
  </si>
  <si>
    <t>CI53018</t>
  </si>
  <si>
    <t>CL - Mobile - Supply Chain and Business Support 10787ES</t>
  </si>
  <si>
    <t>10184UK</t>
  </si>
  <si>
    <t>10184UK - Supply Chain - Facilities</t>
  </si>
  <si>
    <t>CI53019</t>
  </si>
  <si>
    <t>CL - Mobile - Supply Chain and Business Support 10184UK</t>
  </si>
  <si>
    <t>10787UK</t>
  </si>
  <si>
    <t>10787UK-Supply Chain</t>
  </si>
  <si>
    <t>CI53020</t>
  </si>
  <si>
    <t>CL - Mobile - Supply Chain and Business Support 10787UK</t>
  </si>
  <si>
    <t>17809UK</t>
  </si>
  <si>
    <t>17809UK-Supply Chain Change</t>
  </si>
  <si>
    <t>CI53021</t>
  </si>
  <si>
    <t>CL - Mobile - Supply Chain and Business Support 17809UK</t>
  </si>
  <si>
    <t>104306-GLOBAL SUPPLY CHAIN</t>
  </si>
  <si>
    <t>CI53022</t>
  </si>
  <si>
    <t>CL - Mobile - Supply Chain and Business Support 104306</t>
  </si>
  <si>
    <t>WS513 - FIXT Operations</t>
  </si>
  <si>
    <t>C509001</t>
  </si>
  <si>
    <t>CL - Mobile - FixT Operations</t>
  </si>
  <si>
    <t>WS514-CELLPHONE REPAIR INDEPENDENCE FACILITY</t>
  </si>
  <si>
    <t>C500400</t>
  </si>
  <si>
    <t>CPR Independence Facility</t>
  </si>
  <si>
    <t>W3870</t>
  </si>
  <si>
    <t>W3870-Japan Mobile</t>
  </si>
  <si>
    <t>CI53052</t>
  </si>
  <si>
    <t>CL - Mobile - International W3870</t>
  </si>
  <si>
    <t>10360KR</t>
  </si>
  <si>
    <t>10360KR-SOUTH KOREA MOBILE</t>
  </si>
  <si>
    <t>CI53053</t>
  </si>
  <si>
    <t>CL - Mobile - International 10360KR</t>
  </si>
  <si>
    <t>WS515-CELLPHONE REPAIR STRONGSVILLE FACILITY</t>
  </si>
  <si>
    <t>C500401</t>
  </si>
  <si>
    <t>CPR Strongsville Facility</t>
  </si>
  <si>
    <t>WS516 - CPR Strongsville Nonfacility</t>
  </si>
  <si>
    <t>C509500</t>
  </si>
  <si>
    <t>CL - Mobile - CPR - Strongsville Non-Facility</t>
  </si>
  <si>
    <t>L0104</t>
  </si>
  <si>
    <t>Strongsville Store</t>
  </si>
  <si>
    <t>T0003-S&amp;R CENTRAL COSTS</t>
  </si>
  <si>
    <t>CI5305A</t>
  </si>
  <si>
    <t>CL - Mobile - Service and Repair Central Costs T0003</t>
  </si>
  <si>
    <t>TM002-S&amp;R STORES</t>
  </si>
  <si>
    <t>CI5305B</t>
  </si>
  <si>
    <t>CL - Mobile - Service and Repair Stores TM002</t>
  </si>
  <si>
    <t>10181KR</t>
  </si>
  <si>
    <t>10181KR-CALL CENTER</t>
  </si>
  <si>
    <t>CI55019</t>
  </si>
  <si>
    <t>CL - HRO Ops - Call Center 10181KR</t>
  </si>
  <si>
    <t>10660MX</t>
  </si>
  <si>
    <t>10660MX-Call Centers ESC</t>
  </si>
  <si>
    <t>CI55020</t>
  </si>
  <si>
    <t>CL - HRO Ops - Call Center 10660MX</t>
  </si>
  <si>
    <t>WS517-CPR Repair Depot</t>
  </si>
  <si>
    <t>C509501</t>
  </si>
  <si>
    <t>CL - Mobile - CPR - Repair Depot</t>
  </si>
  <si>
    <t>US Home Office</t>
  </si>
  <si>
    <t>WS520-PROJECT PHOENIX</t>
  </si>
  <si>
    <t>C090019</t>
  </si>
  <si>
    <t>Project Phoenix</t>
  </si>
  <si>
    <t>11110PR</t>
  </si>
  <si>
    <t>11110PR-Claims</t>
  </si>
  <si>
    <t>CI56003</t>
  </si>
  <si>
    <t>Claims - International Lifestyle 11110PR</t>
  </si>
  <si>
    <t>WS521-PROJECT GUARDIAN</t>
  </si>
  <si>
    <t>WS550-ACCOUNTING AND CLAIMS PAYABLE</t>
  </si>
  <si>
    <t>WS705-Forward Logistics Direct</t>
  </si>
  <si>
    <t>C503002</t>
  </si>
  <si>
    <t>CL - Mobile - Forward Logistics Direct</t>
  </si>
  <si>
    <t>17963UK</t>
  </si>
  <si>
    <t>17963UK-GAP Claims</t>
  </si>
  <si>
    <t>CI5600C</t>
  </si>
  <si>
    <t>Claims - International Lifestyle - GAP 17963UK</t>
  </si>
  <si>
    <t>WS715-Production</t>
  </si>
  <si>
    <t>C503007</t>
  </si>
  <si>
    <t>CL - Mobile - Production</t>
  </si>
  <si>
    <t>W3890</t>
  </si>
  <si>
    <t>W3890-MOBILE SERVICES PE</t>
  </si>
  <si>
    <t>CI57022</t>
  </si>
  <si>
    <t>Mobile Ops - Mobile Services International W3890</t>
  </si>
  <si>
    <t>WS725-Materials Bulk Fulfillment Direct</t>
  </si>
  <si>
    <t>C503011</t>
  </si>
  <si>
    <t>CL - Mobile - Materials Bulk Fulfillment Direct</t>
  </si>
  <si>
    <t>WS735-T MOBILE MDF</t>
  </si>
  <si>
    <t>C503036</t>
  </si>
  <si>
    <t>CL - Mobile - T-Mobile MDF</t>
  </si>
  <si>
    <t>WS750-Connected Living Executive</t>
  </si>
  <si>
    <t>CI50000</t>
  </si>
  <si>
    <t>CL - Connected Living Executive WS750</t>
  </si>
  <si>
    <t>WS750ES</t>
  </si>
  <si>
    <t>WS750ES-Connected Living Executive ES</t>
  </si>
  <si>
    <t>C500000</t>
  </si>
  <si>
    <t>CL - Connected Living Executive</t>
  </si>
  <si>
    <t>7234-Operations</t>
  </si>
  <si>
    <t>CI60004</t>
  </si>
  <si>
    <t>Operations 7234</t>
  </si>
  <si>
    <t>1O1M</t>
  </si>
  <si>
    <t>1O1M- European Operations</t>
  </si>
  <si>
    <t>CI60005</t>
  </si>
  <si>
    <t>Operations 1O1M</t>
  </si>
  <si>
    <t>10600JP</t>
  </si>
  <si>
    <t>10600JP-Japan Operation</t>
  </si>
  <si>
    <t>CI60006</t>
  </si>
  <si>
    <t>Operations 10600JP</t>
  </si>
  <si>
    <t>10600MX</t>
  </si>
  <si>
    <t>10600MX-Operations MEX</t>
  </si>
  <si>
    <t>CI60007</t>
  </si>
  <si>
    <t>Operations 10600MX</t>
  </si>
  <si>
    <t>1774EUR</t>
  </si>
  <si>
    <t>1774EUR-OPERATIONS MANAGEMENT</t>
  </si>
  <si>
    <t>CI60008</t>
  </si>
  <si>
    <t>Operations Management 1774EUR</t>
  </si>
  <si>
    <t>7402:HN AU OPS</t>
  </si>
  <si>
    <t>CI60009</t>
  </si>
  <si>
    <t>Operations - HN AU</t>
  </si>
  <si>
    <t>10601NL</t>
  </si>
  <si>
    <t>10601NL-Operations</t>
  </si>
  <si>
    <t>CI6000Z</t>
  </si>
  <si>
    <t>Operations 10601NL</t>
  </si>
  <si>
    <t>WS751-Global Connected Living Strategy</t>
  </si>
  <si>
    <t>CI50002</t>
  </si>
  <si>
    <t>CL - Connected Living Strategy WS751</t>
  </si>
  <si>
    <t>WS751ES</t>
  </si>
  <si>
    <t>WS751ES-Global Connected Living Strategy</t>
  </si>
  <si>
    <t>CI50001</t>
  </si>
  <si>
    <t>CL - Connected Living Strategy WS751ES</t>
  </si>
  <si>
    <t>10179AG</t>
  </si>
  <si>
    <t>10179AG-ASSET DISPOSITION</t>
  </si>
  <si>
    <t>CI60106</t>
  </si>
  <si>
    <t>Asset Disposition 10179AG</t>
  </si>
  <si>
    <t>10179AU</t>
  </si>
  <si>
    <t>10179AU-ASSET DISPOSITION</t>
  </si>
  <si>
    <t>CI60107</t>
  </si>
  <si>
    <t>Asset Disposition 10179AU</t>
  </si>
  <si>
    <t>10179BZ</t>
  </si>
  <si>
    <t>10179BZ-ASSET DISPOSITION</t>
  </si>
  <si>
    <t>CI60108</t>
  </si>
  <si>
    <t>Asset Disposition 10179BZ</t>
  </si>
  <si>
    <t>10179CL</t>
  </si>
  <si>
    <t>10179CL-ASSET DISPOSITION</t>
  </si>
  <si>
    <t>CI60109</t>
  </si>
  <si>
    <t>Asset Disposition 10179CL</t>
  </si>
  <si>
    <t>10177ES</t>
  </si>
  <si>
    <t>10177ES-GLOBAL DEVELOPMENT SPAIN</t>
  </si>
  <si>
    <t>CI6010A</t>
  </si>
  <si>
    <t>Global Development 10177ES</t>
  </si>
  <si>
    <t>10177UK</t>
  </si>
  <si>
    <t>10177UK-GLOBAL DEVELOPMENT UK</t>
  </si>
  <si>
    <t>CI6010B</t>
  </si>
  <si>
    <t>Global Development 10177UK</t>
  </si>
  <si>
    <t>10179JP</t>
  </si>
  <si>
    <t>10179JP-Japan Disposition</t>
  </si>
  <si>
    <t>CI60110</t>
  </si>
  <si>
    <t>Asset Disposition 10179JP</t>
  </si>
  <si>
    <t>10179KR</t>
  </si>
  <si>
    <t>10179KR-ASSET DISPOSITION</t>
  </si>
  <si>
    <t>CI60111</t>
  </si>
  <si>
    <t>Asset Disposition 10179KR</t>
  </si>
  <si>
    <t>10192KR</t>
  </si>
  <si>
    <t>10192KR-Asset Disposition</t>
  </si>
  <si>
    <t>CI60112</t>
  </si>
  <si>
    <t>Asset Disposition 10192KR</t>
  </si>
  <si>
    <t>10179ES</t>
  </si>
  <si>
    <t>10179ES-ASSET DISPOSITION</t>
  </si>
  <si>
    <t>CI60113</t>
  </si>
  <si>
    <t>Asset Disposition 10179ES</t>
  </si>
  <si>
    <t>10179UK</t>
  </si>
  <si>
    <t>10179UK-ASSET DISPOSITION</t>
  </si>
  <si>
    <t>CI60114</t>
  </si>
  <si>
    <t>Asset Disposition 10179UK</t>
  </si>
  <si>
    <t>10181UK</t>
  </si>
  <si>
    <t>10181UK - Asset Disposition</t>
  </si>
  <si>
    <t>CI60115</t>
  </si>
  <si>
    <t>Asset Disposition 10181UK</t>
  </si>
  <si>
    <t>10362BZ-DWELLING BRAZIL</t>
  </si>
  <si>
    <t>CI60128</t>
  </si>
  <si>
    <t>Dwelling International 10362BZ</t>
  </si>
  <si>
    <t>WS752-YORK WS SECURITY SERVICES</t>
  </si>
  <si>
    <t>C503027</t>
  </si>
  <si>
    <t>CL - Mobile - York WS Security Services</t>
  </si>
  <si>
    <t>WS753-Connected Living US Executive</t>
  </si>
  <si>
    <t>C500002</t>
  </si>
  <si>
    <t>CL - Connected Living U.S. Executive</t>
  </si>
  <si>
    <t>1W1M</t>
  </si>
  <si>
    <t>1W1M-BREXIT</t>
  </si>
  <si>
    <t>CI60148</t>
  </si>
  <si>
    <t>Brexit 1W1M</t>
  </si>
  <si>
    <t>10614NL</t>
  </si>
  <si>
    <t>10614NL-LEGAL CHANGE</t>
  </si>
  <si>
    <t>CI60162</t>
  </si>
  <si>
    <t>Legal Change IT 10614NL</t>
  </si>
  <si>
    <t>10616NL</t>
  </si>
  <si>
    <t>10616NL-REGULATORY FEES</t>
  </si>
  <si>
    <t>CI60163</t>
  </si>
  <si>
    <t>Regulatory Fees 10616NL</t>
  </si>
  <si>
    <t>WS754-ID PROTECTION</t>
  </si>
  <si>
    <t>C503038</t>
  </si>
  <si>
    <t>CL - Mobile - ID Protection</t>
  </si>
  <si>
    <t>WS755-PRIVOWNY</t>
  </si>
  <si>
    <t>C503039</t>
  </si>
  <si>
    <t>CL - Mobile - Privowny</t>
  </si>
  <si>
    <t>10790IT</t>
  </si>
  <si>
    <t>10790IT-EU CENTRAL SERVICES</t>
  </si>
  <si>
    <t>CI61043</t>
  </si>
  <si>
    <t>EU Central Services 10790IT</t>
  </si>
  <si>
    <t>WS755FR</t>
  </si>
  <si>
    <t>WS755FR-Privowny France</t>
  </si>
  <si>
    <t>C509610</t>
  </si>
  <si>
    <t>Privowny France</t>
  </si>
  <si>
    <t>L7000</t>
  </si>
  <si>
    <t>France Home Office</t>
  </si>
  <si>
    <t>17812UK</t>
  </si>
  <si>
    <t>17812UK-EU CENTRAL SERVICES</t>
  </si>
  <si>
    <t>CI61045</t>
  </si>
  <si>
    <t>EU Central Services 17812UK</t>
  </si>
  <si>
    <t>17926UK</t>
  </si>
  <si>
    <t>17926UK-EU CENTRAL SERVICES</t>
  </si>
  <si>
    <t>CI61046</t>
  </si>
  <si>
    <t>EU Central Services 17926UK</t>
  </si>
  <si>
    <t>WS758-Trade In And Upgrade</t>
  </si>
  <si>
    <t>C503017</t>
  </si>
  <si>
    <t>CL - Mobile - Trade In And Upgrade</t>
  </si>
  <si>
    <t>WS759-ASSET DISPOSITION</t>
  </si>
  <si>
    <t>C601006</t>
  </si>
  <si>
    <t>Asset Disposition</t>
  </si>
  <si>
    <t>10003UK</t>
  </si>
  <si>
    <t>10003UK-EXECUTIVE PMO UK</t>
  </si>
  <si>
    <t>CI61061</t>
  </si>
  <si>
    <t>Executive Pmo Uk 10003UK</t>
  </si>
  <si>
    <t>17937UK</t>
  </si>
  <si>
    <t>17937UK-SOLVENCY II</t>
  </si>
  <si>
    <t>CI61146</t>
  </si>
  <si>
    <t>Solvency II 17937UK</t>
  </si>
  <si>
    <t>WS765-CL-Protection Solutions</t>
  </si>
  <si>
    <t>C503018</t>
  </si>
  <si>
    <t>CL - Mobile - Protection Solutions</t>
  </si>
  <si>
    <t>11302UK</t>
  </si>
  <si>
    <t>11302UK-TWG INTEGRATION</t>
  </si>
  <si>
    <t>CI61174</t>
  </si>
  <si>
    <t>TWG Integration 11302UK</t>
  </si>
  <si>
    <t>7163-Training</t>
  </si>
  <si>
    <t>CI61194</t>
  </si>
  <si>
    <t>Training 7163</t>
  </si>
  <si>
    <t>WS815-PRODUCT DEVELOPMENT</t>
  </si>
  <si>
    <t>C503041</t>
  </si>
  <si>
    <t>CL - Mobile - Product Development</t>
  </si>
  <si>
    <t>17819NL</t>
  </si>
  <si>
    <t>17819NL-SPARE</t>
  </si>
  <si>
    <t>CI61212</t>
  </si>
  <si>
    <t>Spare 17819NL</t>
  </si>
  <si>
    <t>WS825-Sales Optimization Support</t>
  </si>
  <si>
    <t>CI56001</t>
  </si>
  <si>
    <t>CL - Mobile - Sales Optimization - Support</t>
  </si>
  <si>
    <t>WS825AG</t>
  </si>
  <si>
    <t>WS825AG-SALES OPTIMIZATION SUPPORT</t>
  </si>
  <si>
    <t>C506001</t>
  </si>
  <si>
    <t>7086-CD  Business Implementation Korea</t>
  </si>
  <si>
    <t>CI61231</t>
  </si>
  <si>
    <t>CD Business Implementation 7086</t>
  </si>
  <si>
    <t>WS835-Sales Optimization CPR</t>
  </si>
  <si>
    <t>C506015</t>
  </si>
  <si>
    <t>CL - Mobile - Sales Optimization - CPR</t>
  </si>
  <si>
    <t>17713UK</t>
  </si>
  <si>
    <t>17713UK-Customer Service Management</t>
  </si>
  <si>
    <t>CI61281</t>
  </si>
  <si>
    <t>Customer Service Management 17713UK</t>
  </si>
  <si>
    <t>WS951-Production Control, Purchasing G&amp;A</t>
  </si>
  <si>
    <t>C506018</t>
  </si>
  <si>
    <t>CL - Mobile - Production Control - Purchasing G&amp;A</t>
  </si>
  <si>
    <t>7223-Underwriting</t>
  </si>
  <si>
    <t>CI61296</t>
  </si>
  <si>
    <t>Underwriting 7223</t>
  </si>
  <si>
    <t>WS952-YORK SANDHURST FACILITY</t>
  </si>
  <si>
    <t>C500357</t>
  </si>
  <si>
    <t>York PA Sandhurst Facility</t>
  </si>
  <si>
    <t>7091-Project Manager  PMO</t>
  </si>
  <si>
    <t>CI61298</t>
  </si>
  <si>
    <t>Project Manager PMO 7091</t>
  </si>
  <si>
    <t>17960UK</t>
  </si>
  <si>
    <t>17960UK-Motor Administration</t>
  </si>
  <si>
    <t>CI61327</t>
  </si>
  <si>
    <t>Motor Administration 17960UK</t>
  </si>
  <si>
    <t>17968UK</t>
  </si>
  <si>
    <t>17968UK-Customer Relations</t>
  </si>
  <si>
    <t>CI61331</t>
  </si>
  <si>
    <t>Customer Relations 17968UK</t>
  </si>
  <si>
    <t>17980UK</t>
  </si>
  <si>
    <t>17980UK-On-boarding Trainers TWG</t>
  </si>
  <si>
    <t>CI61360</t>
  </si>
  <si>
    <t>Oboarding Trainers AIZ 17980UK</t>
  </si>
  <si>
    <t>10617UK</t>
  </si>
  <si>
    <t>10617UK-INTERNATIONAL RECHARGE</t>
  </si>
  <si>
    <t>CI70404</t>
  </si>
  <si>
    <t>International Recharge 10617UK</t>
  </si>
  <si>
    <t>WS953-FACILITIES MGMT ENG YORK GRUMBACHER</t>
  </si>
  <si>
    <t>CI20138</t>
  </si>
  <si>
    <t>Admin Services - Facilities Management WS953</t>
  </si>
  <si>
    <t>Pinnacle Expenses</t>
  </si>
  <si>
    <t>C253727</t>
  </si>
  <si>
    <t>GT - LS INTL - Pinnacle Expenses</t>
  </si>
  <si>
    <t>30000-DEFAULT</t>
  </si>
  <si>
    <t>Use PC instead</t>
  </si>
  <si>
    <t>Country Default Cost Center 30000</t>
  </si>
  <si>
    <t>CI00017</t>
  </si>
  <si>
    <t>No</t>
  </si>
  <si>
    <t>30000PR</t>
  </si>
  <si>
    <t>30000PR-DEFAULT PUERTO RICO</t>
  </si>
  <si>
    <t>Country Default Cost Center 30000PR</t>
  </si>
  <si>
    <t>CI00013</t>
  </si>
  <si>
    <t>93000-DEFAULT CORPORATE</t>
  </si>
  <si>
    <t>Corporate Default</t>
  </si>
  <si>
    <t>C030000</t>
  </si>
  <si>
    <t>93600-VPS DEFAULT CENTER</t>
  </si>
  <si>
    <t>Global Auto - VPS Default Center</t>
  </si>
  <si>
    <t>C400999</t>
  </si>
  <si>
    <t>U9999-VPS DEFAULT DEFAULT</t>
  </si>
  <si>
    <t>Global Auto - VPS Default Center U9999</t>
  </si>
  <si>
    <t>CI40999</t>
  </si>
  <si>
    <t>WS2000-MOBILE SERVICES DEFAULT COST CENTER</t>
  </si>
  <si>
    <t>CL - Mobile - Mobile Service Default Center</t>
  </si>
  <si>
    <t>C503099</t>
  </si>
  <si>
    <t>GFS
Sub account</t>
  </si>
  <si>
    <t>Account Description</t>
  </si>
  <si>
    <t>SS account</t>
  </si>
  <si>
    <t>Type Code (as a reference, not meant to be exhaustive list)</t>
  </si>
  <si>
    <t>Date of Changes</t>
  </si>
  <si>
    <t>SS Account GFS</t>
  </si>
  <si>
    <t>GFS Account (check)</t>
  </si>
  <si>
    <t>A105098-00</t>
  </si>
  <si>
    <t>Inv Def Comp - Executive 401k Plan</t>
  </si>
  <si>
    <t>MIPSP</t>
  </si>
  <si>
    <t>A105099-00</t>
  </si>
  <si>
    <t>Invested Deferred Compensation Asset</t>
  </si>
  <si>
    <t>A105099-01</t>
  </si>
  <si>
    <t>Inv Def Comp - Frozen Plans</t>
  </si>
  <si>
    <t>FOR</t>
  </si>
  <si>
    <t>A105099-02</t>
  </si>
  <si>
    <t>Inv Def Comp - Active Plans</t>
  </si>
  <si>
    <t>ADC</t>
  </si>
  <si>
    <t>A105100-00</t>
  </si>
  <si>
    <t>Policy Loans - Dir</t>
  </si>
  <si>
    <t>Policy Loans</t>
  </si>
  <si>
    <t>A105111-00</t>
  </si>
  <si>
    <t>Loans Loss Reserve</t>
  </si>
  <si>
    <t>A105200-00</t>
  </si>
  <si>
    <t>Policy Loans - Asmd NonAffil</t>
  </si>
  <si>
    <t>A105300-00</t>
  </si>
  <si>
    <t>Policy Loans - Ced NonAffil</t>
  </si>
  <si>
    <t>A105900-00</t>
  </si>
  <si>
    <t>Policy Loans - NonAdmit</t>
  </si>
  <si>
    <t>A1T0017-00</t>
  </si>
  <si>
    <t>ST Inv Other Non Aflt</t>
  </si>
  <si>
    <t>A1T0108-00</t>
  </si>
  <si>
    <t>Csh In Office</t>
  </si>
  <si>
    <t>A1T0126-00</t>
  </si>
  <si>
    <t>Cash Other</t>
  </si>
  <si>
    <t>A115000-00</t>
  </si>
  <si>
    <t>Due To (From) Parent and Affiliates</t>
  </si>
  <si>
    <t>(add appropriate affil)</t>
  </si>
  <si>
    <t>E00901</t>
  </si>
  <si>
    <t>E00730</t>
  </si>
  <si>
    <t>E00721</t>
  </si>
  <si>
    <t>E00711</t>
  </si>
  <si>
    <t>E00912</t>
  </si>
  <si>
    <t>E00001</t>
  </si>
  <si>
    <t>E00330</t>
  </si>
  <si>
    <t>E00302</t>
  </si>
  <si>
    <t>E00301</t>
  </si>
  <si>
    <t>E01003</t>
  </si>
  <si>
    <t>E01001</t>
  </si>
  <si>
    <t>ET8168</t>
  </si>
  <si>
    <t>E00902</t>
  </si>
  <si>
    <t>E00911</t>
  </si>
  <si>
    <t>E00900</t>
  </si>
  <si>
    <t>E00510</t>
  </si>
  <si>
    <t>E00920</t>
  </si>
  <si>
    <t>E01004</t>
  </si>
  <si>
    <t>E00921</t>
  </si>
  <si>
    <t>E00400</t>
  </si>
  <si>
    <t>E00401</t>
  </si>
  <si>
    <t>E00420</t>
  </si>
  <si>
    <t>E00411</t>
  </si>
  <si>
    <t>E00402</t>
  </si>
  <si>
    <t>E00910</t>
  </si>
  <si>
    <t>E00915</t>
  </si>
  <si>
    <t>E00916</t>
  </si>
  <si>
    <t>E00340</t>
  </si>
  <si>
    <t>E00350</t>
  </si>
  <si>
    <t>E00360</t>
  </si>
  <si>
    <t>E00341</t>
  </si>
  <si>
    <t>E00502</t>
  </si>
  <si>
    <t>E00352</t>
  </si>
  <si>
    <t>E01503</t>
  </si>
  <si>
    <t>E01504</t>
  </si>
  <si>
    <t>E01300</t>
  </si>
  <si>
    <t>E00913</t>
  </si>
  <si>
    <t>E01302</t>
  </si>
  <si>
    <t>E00331</t>
  </si>
  <si>
    <t>ET8534</t>
  </si>
  <si>
    <t>E01301</t>
  </si>
  <si>
    <t>E00521</t>
  </si>
  <si>
    <t>E00520</t>
  </si>
  <si>
    <t>E01500</t>
  </si>
  <si>
    <t>E01303</t>
  </si>
  <si>
    <t>E00903</t>
  </si>
  <si>
    <t>E00906</t>
  </si>
  <si>
    <t>E01501</t>
  </si>
  <si>
    <t>E01510</t>
  </si>
  <si>
    <t>E01511</t>
  </si>
  <si>
    <t>E01120</t>
  </si>
  <si>
    <t>E01130</t>
  </si>
  <si>
    <t>E01134</t>
  </si>
  <si>
    <t>E01131</t>
  </si>
  <si>
    <t>E01460</t>
  </si>
  <si>
    <t>E01462</t>
  </si>
  <si>
    <t>ET8716</t>
  </si>
  <si>
    <t>E01200</t>
  </si>
  <si>
    <t>E01201</t>
  </si>
  <si>
    <t>E01204</t>
  </si>
  <si>
    <t>E01205</t>
  </si>
  <si>
    <t>E01203</t>
  </si>
  <si>
    <t>E01206</t>
  </si>
  <si>
    <t>E01222</t>
  </si>
  <si>
    <t>E00821</t>
  </si>
  <si>
    <t>E01440</t>
  </si>
  <si>
    <t>E01444</t>
  </si>
  <si>
    <t>E01443</t>
  </si>
  <si>
    <t>E01210</t>
  </si>
  <si>
    <t>E01220</t>
  </si>
  <si>
    <t>E01240</t>
  </si>
  <si>
    <t>E01241</t>
  </si>
  <si>
    <t>E01233</t>
  </si>
  <si>
    <t>E01231</t>
  </si>
  <si>
    <t>E01446</t>
  </si>
  <si>
    <t>E01221</t>
  </si>
  <si>
    <t>E01445</t>
  </si>
  <si>
    <t>E01230</t>
  </si>
  <si>
    <t>E01470</t>
  </si>
  <si>
    <t>E01471</t>
  </si>
  <si>
    <t>E01480</t>
  </si>
  <si>
    <t>E01481</t>
  </si>
  <si>
    <t>E01454</t>
  </si>
  <si>
    <t>E01207</t>
  </si>
  <si>
    <t>E01491</t>
  </si>
  <si>
    <t>E01453</t>
  </si>
  <si>
    <t>E01450</t>
  </si>
  <si>
    <t>E01464</t>
  </si>
  <si>
    <t>E01465</t>
  </si>
  <si>
    <t>E01452</t>
  </si>
  <si>
    <t>E01461</t>
  </si>
  <si>
    <t>E01340</t>
  </si>
  <si>
    <t>E01341</t>
  </si>
  <si>
    <t>E01350</t>
  </si>
  <si>
    <t>E01351</t>
  </si>
  <si>
    <t>E01362</t>
  </si>
  <si>
    <t>E01361</t>
  </si>
  <si>
    <t>E01360</t>
  </si>
  <si>
    <t>E01466</t>
  </si>
  <si>
    <t>ET8855</t>
  </si>
  <si>
    <t>E01403</t>
  </si>
  <si>
    <t>E01402</t>
  </si>
  <si>
    <t>E01401</t>
  </si>
  <si>
    <t>E01490</t>
  </si>
  <si>
    <t>E01492</t>
  </si>
  <si>
    <t>E01430</t>
  </si>
  <si>
    <t>ET8916</t>
  </si>
  <si>
    <t>E01132</t>
  </si>
  <si>
    <t>E01420</t>
  </si>
  <si>
    <t>14208V09</t>
  </si>
  <si>
    <t>E00530</t>
  </si>
  <si>
    <t>14208V17</t>
  </si>
  <si>
    <t>E00531</t>
  </si>
  <si>
    <t>14308IA2</t>
  </si>
  <si>
    <t>E00804</t>
  </si>
  <si>
    <t>14308IA3</t>
  </si>
  <si>
    <t>E00805</t>
  </si>
  <si>
    <t>14308IAT</t>
  </si>
  <si>
    <t>E00631</t>
  </si>
  <si>
    <t>14308IAU</t>
  </si>
  <si>
    <t>E00632</t>
  </si>
  <si>
    <t>14308IAV</t>
  </si>
  <si>
    <t>E00635</t>
  </si>
  <si>
    <t>14308IBC</t>
  </si>
  <si>
    <t>E00809</t>
  </si>
  <si>
    <t>14308IBS</t>
  </si>
  <si>
    <t>E00909</t>
  </si>
  <si>
    <t>14308IBZ</t>
  </si>
  <si>
    <t>14308ICD</t>
  </si>
  <si>
    <t>E00806</t>
  </si>
  <si>
    <t>14308ICL</t>
  </si>
  <si>
    <t>E00808</t>
  </si>
  <si>
    <t>14308ICN</t>
  </si>
  <si>
    <t>E00511</t>
  </si>
  <si>
    <t>14308IDL</t>
  </si>
  <si>
    <t>E00621</t>
  </si>
  <si>
    <t>14308IF4</t>
  </si>
  <si>
    <t>E01020</t>
  </si>
  <si>
    <t>14308IHK</t>
  </si>
  <si>
    <t>E00633</t>
  </si>
  <si>
    <t>14308IJH</t>
  </si>
  <si>
    <t>E00403</t>
  </si>
  <si>
    <t>14308IJP</t>
  </si>
  <si>
    <t>E00650</t>
  </si>
  <si>
    <t>14308IJR</t>
  </si>
  <si>
    <t>E00634</t>
  </si>
  <si>
    <t>14308IJS</t>
  </si>
  <si>
    <t>E00651</t>
  </si>
  <si>
    <t>14308IJT</t>
  </si>
  <si>
    <t>E00652</t>
  </si>
  <si>
    <t>14308IKO</t>
  </si>
  <si>
    <t>E00641</t>
  </si>
  <si>
    <t>14308IL1</t>
  </si>
  <si>
    <t>E01010</t>
  </si>
  <si>
    <t>14308IL3</t>
  </si>
  <si>
    <t>E01013</t>
  </si>
  <si>
    <t>14308IL4</t>
  </si>
  <si>
    <t>E01011</t>
  </si>
  <si>
    <t>14308IL6</t>
  </si>
  <si>
    <t>E01012</t>
  </si>
  <si>
    <t>14308IMA</t>
  </si>
  <si>
    <t>E00802</t>
  </si>
  <si>
    <t>14308IMD</t>
  </si>
  <si>
    <t>E00832</t>
  </si>
  <si>
    <t>14308IMH</t>
  </si>
  <si>
    <t>E00830</t>
  </si>
  <si>
    <t>14308IMV</t>
  </si>
  <si>
    <t>E00831</t>
  </si>
  <si>
    <t>14308IRO</t>
  </si>
  <si>
    <t>E00803</t>
  </si>
  <si>
    <t>14308IS1</t>
  </si>
  <si>
    <t>E01006</t>
  </si>
  <si>
    <t>14308IU1</t>
  </si>
  <si>
    <t>E01007</t>
  </si>
  <si>
    <t>14308IU2</t>
  </si>
  <si>
    <t>E01005</t>
  </si>
  <si>
    <t>14308IU5</t>
  </si>
  <si>
    <t>E01002</t>
  </si>
  <si>
    <t>14308IU7</t>
  </si>
  <si>
    <t>E01000</t>
  </si>
  <si>
    <t>14308IUH</t>
  </si>
  <si>
    <t>E00630</t>
  </si>
  <si>
    <t>14308IUP</t>
  </si>
  <si>
    <t>E00636</t>
  </si>
  <si>
    <t>14308S01</t>
  </si>
  <si>
    <t>E00940</t>
  </si>
  <si>
    <t>14308S02</t>
  </si>
  <si>
    <t>E00943</t>
  </si>
  <si>
    <t>14308S04</t>
  </si>
  <si>
    <t>E00942</t>
  </si>
  <si>
    <t>14308S05</t>
  </si>
  <si>
    <t>ET8S05</t>
  </si>
  <si>
    <t>14308S06</t>
  </si>
  <si>
    <t>14308S10</t>
  </si>
  <si>
    <t>E00941</t>
  </si>
  <si>
    <t>14308S12</t>
  </si>
  <si>
    <t>E00944</t>
  </si>
  <si>
    <t>14308S15</t>
  </si>
  <si>
    <t>E00930</t>
  </si>
  <si>
    <t>14308S17</t>
  </si>
  <si>
    <t>ET8S17</t>
  </si>
  <si>
    <t>14308S18</t>
  </si>
  <si>
    <t>E00905</t>
  </si>
  <si>
    <t>14308S20</t>
  </si>
  <si>
    <t>E00500</t>
  </si>
  <si>
    <t>14308S21</t>
  </si>
  <si>
    <t>E00501</t>
  </si>
  <si>
    <t>Due to Voyager Service Programs</t>
  </si>
  <si>
    <t>14308V14</t>
  </si>
  <si>
    <t>E99999</t>
  </si>
  <si>
    <t>14308V17</t>
  </si>
  <si>
    <t>E00300</t>
  </si>
  <si>
    <t>14308INI</t>
  </si>
  <si>
    <t>E00637</t>
  </si>
  <si>
    <t>E00004</t>
  </si>
  <si>
    <t>E00100</t>
  </si>
  <si>
    <t>E00111</t>
  </si>
  <si>
    <t>14308N31</t>
  </si>
  <si>
    <t>E00101</t>
  </si>
  <si>
    <t>14308S03</t>
  </si>
  <si>
    <t>E00950</t>
  </si>
  <si>
    <t>A115010-00</t>
  </si>
  <si>
    <t>Intercompany Receivable - Nonadmit</t>
  </si>
  <si>
    <t>A255000-00</t>
  </si>
  <si>
    <t>Intercompany Payable</t>
  </si>
  <si>
    <t>(for STAT purposes)</t>
  </si>
  <si>
    <t>A110100-00</t>
  </si>
  <si>
    <t>Premiums Due - Dir</t>
  </si>
  <si>
    <t>A110100-01</t>
  </si>
  <si>
    <t>Premiums Due - FY - Dir</t>
  </si>
  <si>
    <t>A110100-11</t>
  </si>
  <si>
    <t>Premiums Due - Renewal - Dir</t>
  </si>
  <si>
    <t>A110102-00</t>
  </si>
  <si>
    <t>Premiums Deferred - Dir</t>
  </si>
  <si>
    <t>A110102-01</t>
  </si>
  <si>
    <t>Premiums Deferred - FY - Dir</t>
  </si>
  <si>
    <t>A110102-11</t>
  </si>
  <si>
    <t>Premiums Deferred - Renewal - Dir</t>
  </si>
  <si>
    <t>A110120-00</t>
  </si>
  <si>
    <t>AH Premiums Due and Unpaid - Dir</t>
  </si>
  <si>
    <t>A110200-00</t>
  </si>
  <si>
    <t>Premiums Due - Asmd NonAffil</t>
  </si>
  <si>
    <t>A110200-01</t>
  </si>
  <si>
    <t>Premiums Due - FY - Asmd NonAffil</t>
  </si>
  <si>
    <t>A110202-00</t>
  </si>
  <si>
    <t>Premiums Deferred - Asmd NonAffil</t>
  </si>
  <si>
    <t>A110202-01</t>
  </si>
  <si>
    <t>Premiums Deferred - FY - Asmd NonAffil</t>
  </si>
  <si>
    <t>A110202-11</t>
  </si>
  <si>
    <t>Premiums Deferred - Renewal - Asmd NonAffil</t>
  </si>
  <si>
    <t>A110300-00</t>
  </si>
  <si>
    <t>Premiums Due - Ced NonAffil</t>
  </si>
  <si>
    <t>A110300-01</t>
  </si>
  <si>
    <t>Premiums Due - FY - Ced NonAffil</t>
  </si>
  <si>
    <t>A110300-11</t>
  </si>
  <si>
    <t>Premiums Due - Renewal - Ced NonAffil</t>
  </si>
  <si>
    <t>A110700-00</t>
  </si>
  <si>
    <t>Insurance Receivables - Cash Clearing</t>
  </si>
  <si>
    <t>A110701-00</t>
  </si>
  <si>
    <t>Insurance Receivables - Disbursement Clearing</t>
  </si>
  <si>
    <t>A110702-00</t>
  </si>
  <si>
    <t>Insurance Receivables - Unidentified Cash</t>
  </si>
  <si>
    <t>A110900-00</t>
  </si>
  <si>
    <t>Insurance Receivables - Nonadmit</t>
  </si>
  <si>
    <t>Type codes in sys:    DMO</t>
  </si>
  <si>
    <t>FAS</t>
  </si>
  <si>
    <t>PMS</t>
  </si>
  <si>
    <t>Exceed</t>
  </si>
  <si>
    <t>CAS</t>
  </si>
  <si>
    <t>A111000-00</t>
  </si>
  <si>
    <t>Agents Balances</t>
  </si>
  <si>
    <t>RDM00</t>
  </si>
  <si>
    <t>RXY00</t>
  </si>
  <si>
    <t>RPM00</t>
  </si>
  <si>
    <t>RWA00</t>
  </si>
  <si>
    <t>A111000-01</t>
  </si>
  <si>
    <t>Agents Bal - Cash Receipts Suspense</t>
  </si>
  <si>
    <t>RDM01</t>
  </si>
  <si>
    <t>RXY01</t>
  </si>
  <si>
    <t>RPM01</t>
  </si>
  <si>
    <t>RWA01</t>
  </si>
  <si>
    <t>A111000-02</t>
  </si>
  <si>
    <t xml:space="preserve">Agents Bal - Premium Clearing </t>
  </si>
  <si>
    <t>RDM02</t>
  </si>
  <si>
    <t>RXY02</t>
  </si>
  <si>
    <t>RPM02</t>
  </si>
  <si>
    <t>RWA02</t>
  </si>
  <si>
    <t>A111000-03</t>
  </si>
  <si>
    <t>Agents Bal - Cash Disb Suspense</t>
  </si>
  <si>
    <t>RPRDW03</t>
  </si>
  <si>
    <t>RPM03</t>
  </si>
  <si>
    <t>A111000-04</t>
  </si>
  <si>
    <t>Agents Bal - Commissions</t>
  </si>
  <si>
    <t>A111000-05</t>
  </si>
  <si>
    <t>Agents Bal - Accrued</t>
  </si>
  <si>
    <t>A111010-00</t>
  </si>
  <si>
    <t>Dealer Balances Receivable TPA</t>
  </si>
  <si>
    <t>A111010-01</t>
  </si>
  <si>
    <t>Dealer Balances Receivable TPA - Unapplied Cash</t>
  </si>
  <si>
    <t>A111010-04</t>
  </si>
  <si>
    <t>Dealer Balances Receivable - Lag Accural</t>
  </si>
  <si>
    <t>A111020-00</t>
  </si>
  <si>
    <t>Dealer Balances Receivable Admin</t>
  </si>
  <si>
    <t>A111020-01</t>
  </si>
  <si>
    <t>Dealer Balances Receivable Admin - Unapplied Cash</t>
  </si>
  <si>
    <t>A111101-00</t>
  </si>
  <si>
    <t>Agents Balances - Consumer Direct Retail</t>
  </si>
  <si>
    <t>RDB01</t>
  </si>
  <si>
    <t>RWCUST</t>
  </si>
  <si>
    <t>A111101-01</t>
  </si>
  <si>
    <t>Agents Bal - CD - Cash Receipts (Suspense)</t>
  </si>
  <si>
    <t>A111101-02</t>
  </si>
  <si>
    <t xml:space="preserve">Agents Bal - CD - Prem Clearing </t>
  </si>
  <si>
    <t xml:space="preserve">RPM00,RPM03 </t>
  </si>
  <si>
    <t>A111101-03</t>
  </si>
  <si>
    <t>Agents Bal - CD - Cash Disb Suspense</t>
  </si>
  <si>
    <t>A111102-00</t>
  </si>
  <si>
    <t>Commissions PIA - Dir</t>
  </si>
  <si>
    <t>A111109-00</t>
  </si>
  <si>
    <t>Installment Prem Bkd Ndue</t>
  </si>
  <si>
    <t>RBSM00</t>
  </si>
  <si>
    <t>RBAM00</t>
  </si>
  <si>
    <t>A111109-01</t>
  </si>
  <si>
    <t>Installment Prem Bkd Ndue - Cash Rec Suspense</t>
  </si>
  <si>
    <t>RBSM01</t>
  </si>
  <si>
    <t>RBAM01</t>
  </si>
  <si>
    <t>A111109-02</t>
  </si>
  <si>
    <t>Installment Prem Bkd Ndue - Prem Clearing</t>
  </si>
  <si>
    <t>RBSM02</t>
  </si>
  <si>
    <t>RBAM02</t>
  </si>
  <si>
    <t>A111109-03</t>
  </si>
  <si>
    <t>Installment Prem Bkd Ndue - Cash Disb Suspense</t>
  </si>
  <si>
    <t>RBSM03</t>
  </si>
  <si>
    <t>RBAM03</t>
  </si>
  <si>
    <t>A111109-04</t>
  </si>
  <si>
    <t>Installment Prem Bkd Ndue - Unidentified Cash</t>
  </si>
  <si>
    <t>RBSM21</t>
  </si>
  <si>
    <t>RBAM21</t>
  </si>
  <si>
    <t>A111109-05</t>
  </si>
  <si>
    <t>Installment Prem Bkd Ndue - Cash on Hold Suspense</t>
  </si>
  <si>
    <t>RBSM11</t>
  </si>
  <si>
    <t>RBAM11</t>
  </si>
  <si>
    <t>A111109-06</t>
  </si>
  <si>
    <t>Installment Comm Bkd Ndue - Cash Rec Clearing</t>
  </si>
  <si>
    <t>RBS01</t>
  </si>
  <si>
    <t>A111109-07</t>
  </si>
  <si>
    <t>Installment Comm Bkd Ndue - Disbursements</t>
  </si>
  <si>
    <t>RBS03, RBA03</t>
  </si>
  <si>
    <t>A111109-08</t>
  </si>
  <si>
    <t>Installment Comm Bkd Ndue - ACH &amp; CC</t>
  </si>
  <si>
    <t>RBSM31 and RSD31</t>
  </si>
  <si>
    <t>A111109-09</t>
  </si>
  <si>
    <t>Installment Prem Bkd Ndue - Cash Receipt Clearing</t>
  </si>
  <si>
    <t>16008000</t>
  </si>
  <si>
    <t>A111200-00</t>
  </si>
  <si>
    <t>Agents Balances - Asmd NonAffil</t>
  </si>
  <si>
    <t>A111202-00</t>
  </si>
  <si>
    <t>Agents Credit Reclass - Qrty Reclass Entry</t>
  </si>
  <si>
    <t>A111302-00</t>
  </si>
  <si>
    <t>Commissions PIA - Ced NonAffil</t>
  </si>
  <si>
    <t>A111711-00</t>
  </si>
  <si>
    <t>Dealer Balances Receivable TPA - Unidentified Cash</t>
  </si>
  <si>
    <t>A111720-00</t>
  </si>
  <si>
    <t>Dealer Balances Receivable Admin - Unidentified Cash</t>
  </si>
  <si>
    <t>A111800-00</t>
  </si>
  <si>
    <t>Agents Bal - Allow for doubtful acct - CECL</t>
  </si>
  <si>
    <t>RWDEALR and RWCUST</t>
  </si>
  <si>
    <t>A111900-00</t>
  </si>
  <si>
    <t>Agents Balances - Nonadmit</t>
  </si>
  <si>
    <t>A111902-00</t>
  </si>
  <si>
    <t>Commissions PIA - NonAdmit</t>
  </si>
  <si>
    <t>A111903-00</t>
  </si>
  <si>
    <t>Rec on Uninsured AH Plns - NonAdmit</t>
  </si>
  <si>
    <t>A111909-00</t>
  </si>
  <si>
    <t>Installment Prem Bkd Ndue - Nonadmit</t>
  </si>
  <si>
    <t>A111910-00</t>
  </si>
  <si>
    <t>Dealer Balances Receivable TPA - Nonadmit</t>
  </si>
  <si>
    <t>A111920-00</t>
  </si>
  <si>
    <t>Dealer Balances Receivable Admin - Nonadmit</t>
  </si>
  <si>
    <t>A112000-00</t>
  </si>
  <si>
    <t>Other Receivable</t>
  </si>
  <si>
    <t>RCGAR02</t>
  </si>
  <si>
    <t>A112001-00</t>
  </si>
  <si>
    <t>High deductible Receivable</t>
  </si>
  <si>
    <t>A112002-00</t>
  </si>
  <si>
    <t>Other Rec - Warranty DPM Suspense</t>
  </si>
  <si>
    <t>A112003-00</t>
  </si>
  <si>
    <t>Other Rec - Premium Reclass</t>
  </si>
  <si>
    <t>RFR9999</t>
  </si>
  <si>
    <t>A112004-00</t>
  </si>
  <si>
    <t>Other Rec - Escrow Receivables</t>
  </si>
  <si>
    <t>A112901-00</t>
  </si>
  <si>
    <t>High deductible Receivable - Nonadmit</t>
  </si>
  <si>
    <t>A112005-00</t>
  </si>
  <si>
    <t>Employee Receivables</t>
  </si>
  <si>
    <t>A112005-01</t>
  </si>
  <si>
    <t>Acts Rcvbl Lns to Emplys</t>
  </si>
  <si>
    <t>A112005-03</t>
  </si>
  <si>
    <t>Accts Rcv Employee Advnc Payroll</t>
  </si>
  <si>
    <t>A112006-00</t>
  </si>
  <si>
    <t>Other Rec - Sublease Revenue</t>
  </si>
  <si>
    <t>RENT</t>
  </si>
  <si>
    <t>A112007-00</t>
  </si>
  <si>
    <t>Accounts Receivable - Other</t>
  </si>
  <si>
    <t>A112008-00</t>
  </si>
  <si>
    <t>RGSTITC</t>
  </si>
  <si>
    <t>A1T0300-00</t>
  </si>
  <si>
    <t>Acts Rcvbl Trvl Advances</t>
  </si>
  <si>
    <t>A112010-00</t>
  </si>
  <si>
    <t>Vendor Deposits</t>
  </si>
  <si>
    <t>A112016-00</t>
  </si>
  <si>
    <t>AR Cash Advances</t>
  </si>
  <si>
    <t>A1T0303-00</t>
  </si>
  <si>
    <t>Acts Rcvbl Vendor Deposits NAdmtd</t>
  </si>
  <si>
    <t>A112015-00</t>
  </si>
  <si>
    <t>Accounts Receivable Admitted</t>
  </si>
  <si>
    <t>A112020-00</t>
  </si>
  <si>
    <t>Deposit Treaty Asset</t>
  </si>
  <si>
    <t>A112025-00</t>
  </si>
  <si>
    <t>Credit Card Fees and Rebates Receivable</t>
  </si>
  <si>
    <t>A112100-00</t>
  </si>
  <si>
    <t>Fee Income Receivable</t>
  </si>
  <si>
    <t>RW</t>
  </si>
  <si>
    <t>A112100-01</t>
  </si>
  <si>
    <t>Fee Inc Rec - Cash Receipts (suspense)</t>
  </si>
  <si>
    <t>RWUNAPD</t>
  </si>
  <si>
    <t>A112100-02</t>
  </si>
  <si>
    <t xml:space="preserve">Fee Inc Rec - Clearing </t>
  </si>
  <si>
    <t>A112100-03</t>
  </si>
  <si>
    <t>Fee Inc Rec - Cash Disb Suspense</t>
  </si>
  <si>
    <t>A112200-00</t>
  </si>
  <si>
    <t>Premiums Due - Renewal - Asmd NonAffil</t>
  </si>
  <si>
    <t>A112600-00</t>
  </si>
  <si>
    <t>Fee Outsourcing Receivable</t>
  </si>
  <si>
    <t>A112600-01</t>
  </si>
  <si>
    <t>Fee OS Rec- Cash Receipts (Suspense)</t>
  </si>
  <si>
    <t>A112600-02</t>
  </si>
  <si>
    <t>Fee OS Rec - Mortgage Outsourcing</t>
  </si>
  <si>
    <t>A112600-03</t>
  </si>
  <si>
    <t>Fee OS Rec- New loan board/ins setup</t>
  </si>
  <si>
    <t>A112600-04</t>
  </si>
  <si>
    <t xml:space="preserve">Fee OS Rec- NY Exposure Management Charge </t>
  </si>
  <si>
    <t>A112600-05</t>
  </si>
  <si>
    <t>Fee OS Rec- Mortgagee Clause Notices</t>
  </si>
  <si>
    <t>A112600-06</t>
  </si>
  <si>
    <t>Fee OS Rec- Customer Service</t>
  </si>
  <si>
    <t>A112600-07</t>
  </si>
  <si>
    <t>Fee OS Rec- Loss Drafts</t>
  </si>
  <si>
    <t>A112600-08</t>
  </si>
  <si>
    <t>Fee OS Rec- Licensing</t>
  </si>
  <si>
    <t>A112701-00</t>
  </si>
  <si>
    <t>Fee Inc Rec - Unidentified Cash</t>
  </si>
  <si>
    <t>A112800-00</t>
  </si>
  <si>
    <t>Fee Inc Rec - Allow doubtful acct CECL</t>
  </si>
  <si>
    <t>A112801-00</t>
  </si>
  <si>
    <t>Other Rec - Allow doubtful acct CECL</t>
  </si>
  <si>
    <t>CECL</t>
  </si>
  <si>
    <t>A112900-00</t>
  </si>
  <si>
    <t>Fee Inc Rec - Nonadmit</t>
  </si>
  <si>
    <t>A112902-00</t>
  </si>
  <si>
    <t>Other Receivable - NonAdmit</t>
  </si>
  <si>
    <t>A113000-00</t>
  </si>
  <si>
    <t>AR Reinsurance</t>
  </si>
  <si>
    <t>A113000-01</t>
  </si>
  <si>
    <t>AR - R/I Reimb - Licensing Fees</t>
  </si>
  <si>
    <t>A113000-02</t>
  </si>
  <si>
    <t>AR - RI Reimb - Marketeting Exp</t>
  </si>
  <si>
    <t>A113900-00</t>
  </si>
  <si>
    <t>AR Reinsurance - Nonadmit</t>
  </si>
  <si>
    <t>Added</t>
  </si>
  <si>
    <t>A130000-00</t>
  </si>
  <si>
    <t>Other Net Reins Receivable</t>
  </si>
  <si>
    <t>A130200-00</t>
  </si>
  <si>
    <t>Reins Rec Net -  Asm NonAffil</t>
  </si>
  <si>
    <t>AR in Yellow book</t>
  </si>
  <si>
    <t>A130201-00</t>
  </si>
  <si>
    <t>Reins Rec Asm NonAffil</t>
  </si>
  <si>
    <t>A130300-00</t>
  </si>
  <si>
    <t>Reins Rec Claims and LAE - Ced NonAffil</t>
  </si>
  <si>
    <t>A130301-00</t>
  </si>
  <si>
    <t>Reins Rec Claims and LAE Allow - Ced NonAffil</t>
  </si>
  <si>
    <t>A130301-01</t>
  </si>
  <si>
    <t>Rein Rec Clm LAE CECL Allw Ced NonAffil</t>
  </si>
  <si>
    <t>A130302-00</t>
  </si>
  <si>
    <t>Reins Rec Life Due and Unpaid Claims Ced NonAffil</t>
  </si>
  <si>
    <t>A130303-00</t>
  </si>
  <si>
    <t>LDTI Remeasurement - Future Plcy Ced</t>
  </si>
  <si>
    <t>A130304-00</t>
  </si>
  <si>
    <t>Life Claims Payable Ced Non Affil</t>
  </si>
  <si>
    <t>A130305-00</t>
  </si>
  <si>
    <t>Rsv AH PV Not Yet Due LD Ced</t>
  </si>
  <si>
    <t>A130306-00</t>
  </si>
  <si>
    <t>Rsv Life Deficiency LD Ced - nonAffil</t>
  </si>
  <si>
    <t>A130307-00</t>
  </si>
  <si>
    <t>Rsv AH Plcy ALR LD Ced - nonAffil</t>
  </si>
  <si>
    <t>A130309-00</t>
  </si>
  <si>
    <t>Rsv Annuity Payout LD Ced - nonAffil</t>
  </si>
  <si>
    <t>A130310-00</t>
  </si>
  <si>
    <t>Rsv Annuity Defrd LD Ced - nonAffil</t>
  </si>
  <si>
    <t>A130311-00</t>
  </si>
  <si>
    <t>Rsv Oth Adl Actrl Actv Lf - nonAffil</t>
  </si>
  <si>
    <t>A130400-00</t>
  </si>
  <si>
    <t>Reins Rec Net - Asm Affil</t>
  </si>
  <si>
    <t>Reins Rec Asm Affil</t>
  </si>
  <si>
    <t>A130401-00</t>
  </si>
  <si>
    <t>A130500-00</t>
  </si>
  <si>
    <t>Reins Rec Claims and LAE - Ced Affil</t>
  </si>
  <si>
    <t>A130501-00</t>
  </si>
  <si>
    <t>Reins Rec Claims and LAE Allow - Ced Affil</t>
  </si>
  <si>
    <t>A130502-00</t>
  </si>
  <si>
    <t>Reins Rec Life Due and Unpaid Claims Ced Affil</t>
  </si>
  <si>
    <t>A130506-00</t>
  </si>
  <si>
    <t>20600200</t>
  </si>
  <si>
    <t>A130900-00</t>
  </si>
  <si>
    <t>Reins Rec Asmd Nonadmit</t>
  </si>
  <si>
    <t>A131200-00</t>
  </si>
  <si>
    <t>Funds Held Reins Asm NonAffil</t>
  </si>
  <si>
    <t>A131400-00</t>
  </si>
  <si>
    <t>Funds Held Reins Asm Affil</t>
  </si>
  <si>
    <t>A145000-00</t>
  </si>
  <si>
    <t>Goodwill Carrying Value</t>
  </si>
  <si>
    <t>A145100-00</t>
  </si>
  <si>
    <t>DAC - Dir</t>
  </si>
  <si>
    <t>A145100-01</t>
  </si>
  <si>
    <t>DAC Comm - Advance - Dir</t>
  </si>
  <si>
    <t>A145100-02</t>
  </si>
  <si>
    <t>DAC Comm - Override - Dir</t>
  </si>
  <si>
    <t>A145100-03</t>
  </si>
  <si>
    <t>DAC Comm Retail Gross-up - Dir</t>
  </si>
  <si>
    <t>A145100-04</t>
  </si>
  <si>
    <t>DAC Comm Dealer Cost Gross-up - Dir</t>
  </si>
  <si>
    <t>A145100-06</t>
  </si>
  <si>
    <t>DAC Comm Reins Fees Gross - Dir</t>
  </si>
  <si>
    <t>A145110-00</t>
  </si>
  <si>
    <t>DAC Clip expense - Dir Affl</t>
  </si>
  <si>
    <t>A145110-01</t>
  </si>
  <si>
    <t>DAC Clip expense - Loss Fund - Dir Affil</t>
  </si>
  <si>
    <t>A145110-02</t>
  </si>
  <si>
    <t>DAC Clip expense - Risk Fee - Dir Affil</t>
  </si>
  <si>
    <t>A145110-03</t>
  </si>
  <si>
    <t>DAC Clip expense - Premium Tax - Dir Affil</t>
  </si>
  <si>
    <t>A145110-04</t>
  </si>
  <si>
    <t>DAC Clip expense - RF Ptax combo - Dir Affil</t>
  </si>
  <si>
    <t>A145111-00</t>
  </si>
  <si>
    <t>DAC Expense - Dir</t>
  </si>
  <si>
    <t>A145111-01</t>
  </si>
  <si>
    <t>DAC Telemarketing - Dir</t>
  </si>
  <si>
    <t>A145111-02</t>
  </si>
  <si>
    <t>DAC Direct Mail - Dir</t>
  </si>
  <si>
    <t>A145111-03</t>
  </si>
  <si>
    <t>DAC Gen Expn - Dir</t>
  </si>
  <si>
    <t>A145115-00</t>
  </si>
  <si>
    <t>DAC - Prem Tax - Dir</t>
  </si>
  <si>
    <t>A145200-00</t>
  </si>
  <si>
    <t>DAC - Asm Non-Affil</t>
  </si>
  <si>
    <t>A145215-00</t>
  </si>
  <si>
    <t>DAC - Prem Tax - Asm NonAffil</t>
  </si>
  <si>
    <t>A145300-00</t>
  </si>
  <si>
    <t>DAC - Ced Non-Affil</t>
  </si>
  <si>
    <t>A145300-01</t>
  </si>
  <si>
    <t>DAC - Reins Fees Ced Non-Affil</t>
  </si>
  <si>
    <t>A145315-00</t>
  </si>
  <si>
    <t>DAC - Prem Tax - Ced NonAffil</t>
  </si>
  <si>
    <t>A145400-00</t>
  </si>
  <si>
    <t>DAC - Asm Affil</t>
  </si>
  <si>
    <t>A145415-00</t>
  </si>
  <si>
    <t>DAC - Prem Tax - Asm Affil</t>
  </si>
  <si>
    <t>A145500-00</t>
  </si>
  <si>
    <t>DAC - Ced Affil</t>
  </si>
  <si>
    <t>A145500-01</t>
  </si>
  <si>
    <t>DAC - Reins Fees Ced Affil</t>
  </si>
  <si>
    <t>A145500-02</t>
  </si>
  <si>
    <t>DAC - Reins Fees Gross Ced Affil</t>
  </si>
  <si>
    <t>A145515-00</t>
  </si>
  <si>
    <t>DAC - Prem Tax - Ced Affil</t>
  </si>
  <si>
    <t>A146000-00</t>
  </si>
  <si>
    <t>Value of Business Acquired</t>
  </si>
  <si>
    <t>A146000-01</t>
  </si>
  <si>
    <t>CY Value of Business Acquired</t>
  </si>
  <si>
    <t>A146001-00</t>
  </si>
  <si>
    <t>PY Value of Business Acquired</t>
  </si>
  <si>
    <t>A146001-01</t>
  </si>
  <si>
    <t>A146001-02</t>
  </si>
  <si>
    <t>PY VOBA - Accum Amort</t>
  </si>
  <si>
    <t>A146001-03</t>
  </si>
  <si>
    <t>PY Insurance In Force</t>
  </si>
  <si>
    <t>A146001-04</t>
  </si>
  <si>
    <t>PY VOBA from Dispositions</t>
  </si>
  <si>
    <t>A146002-00</t>
  </si>
  <si>
    <t>CY VOBA Amortization</t>
  </si>
  <si>
    <t>A147000-00</t>
  </si>
  <si>
    <t>CY - Contract Based</t>
  </si>
  <si>
    <t>A147010-00</t>
  </si>
  <si>
    <t>CY - Contract Based Acc Amort</t>
  </si>
  <si>
    <t>A147070-00</t>
  </si>
  <si>
    <t>Contract Based - Clearing</t>
  </si>
  <si>
    <t>A147100-00</t>
  </si>
  <si>
    <t>CY - Customer Related</t>
  </si>
  <si>
    <t>A147110-00</t>
  </si>
  <si>
    <t>CY - Customer Related Acc Amort</t>
  </si>
  <si>
    <t>A147170-00</t>
  </si>
  <si>
    <t>Customer Related - Clearing</t>
  </si>
  <si>
    <t>A147200-00</t>
  </si>
  <si>
    <t>CY - Marketing Related</t>
  </si>
  <si>
    <t>A147210-00</t>
  </si>
  <si>
    <t>CY - Marketing Related Acc Amort</t>
  </si>
  <si>
    <t>A147270-00</t>
  </si>
  <si>
    <t>Marketing Related - Clearing</t>
  </si>
  <si>
    <t>A147300-00</t>
  </si>
  <si>
    <t>CY Technology Based</t>
  </si>
  <si>
    <t>A147310-00</t>
  </si>
  <si>
    <t>CY Technology Based Accum Amort</t>
  </si>
  <si>
    <t>A147370-00</t>
  </si>
  <si>
    <t>Technology Related - Clearing</t>
  </si>
  <si>
    <t>A147900-00</t>
  </si>
  <si>
    <t>CY - Customer Related Nadmt</t>
  </si>
  <si>
    <t>A150000-00</t>
  </si>
  <si>
    <t>Cost - Land</t>
  </si>
  <si>
    <t>A150001-00</t>
  </si>
  <si>
    <t>Cost - Land Improvement</t>
  </si>
  <si>
    <t>A150998-00</t>
  </si>
  <si>
    <t>Land - Allocation</t>
  </si>
  <si>
    <t>A150999-00</t>
  </si>
  <si>
    <t>Land - Allocation Offset</t>
  </si>
  <si>
    <t>A151001-00</t>
  </si>
  <si>
    <t>Cost - Building Improvement</t>
  </si>
  <si>
    <t>A151700-00</t>
  </si>
  <si>
    <t>Building - Clearing</t>
  </si>
  <si>
    <t>A151701-00</t>
  </si>
  <si>
    <t>Building Improvement - Clearing</t>
  </si>
  <si>
    <t>A151900-00</t>
  </si>
  <si>
    <t>Building - Nonadmit</t>
  </si>
  <si>
    <t>A151901-00</t>
  </si>
  <si>
    <t>Building Improvement - Nonadmit</t>
  </si>
  <si>
    <t>A151998-00</t>
  </si>
  <si>
    <t>Building and Improvements - Allocation</t>
  </si>
  <si>
    <t>A151999-00</t>
  </si>
  <si>
    <t>Building and Improvements - Allocation Offset</t>
  </si>
  <si>
    <t>A152001-00</t>
  </si>
  <si>
    <t>FFE Cost - IT Hardware</t>
  </si>
  <si>
    <t>A152003-00</t>
  </si>
  <si>
    <t>FFE Cost - Leasehold Improvements</t>
  </si>
  <si>
    <t>A152010-00</t>
  </si>
  <si>
    <t>FFE Cost - Heavy Equipment</t>
  </si>
  <si>
    <t>A152011-00</t>
  </si>
  <si>
    <t>Decor - Cost</t>
  </si>
  <si>
    <t>A152510-00</t>
  </si>
  <si>
    <t>Heavy Equipment - CIP</t>
  </si>
  <si>
    <t>A152511-00</t>
  </si>
  <si>
    <t>Decor - CIP</t>
  </si>
  <si>
    <t>A152610-00</t>
  </si>
  <si>
    <t>Heavy Equipment - CIP Clearing</t>
  </si>
  <si>
    <t>A152611-00</t>
  </si>
  <si>
    <t>Decor - CIP Clearing</t>
  </si>
  <si>
    <t>A152710-00</t>
  </si>
  <si>
    <t>Heavy Equipment - Clearing</t>
  </si>
  <si>
    <t>A152711-00</t>
  </si>
  <si>
    <t>Decor - Clearing</t>
  </si>
  <si>
    <t>A152800-00</t>
  </si>
  <si>
    <t>Accum Depn - Furniture</t>
  </si>
  <si>
    <t>A152803-00</t>
  </si>
  <si>
    <t>Accum Depn - Leasehold Improvements</t>
  </si>
  <si>
    <t>A152805-00</t>
  </si>
  <si>
    <t>Accum Depn - Purchased Software</t>
  </si>
  <si>
    <t>A152810-00</t>
  </si>
  <si>
    <t>Heavy Equipment - Accum Depn</t>
  </si>
  <si>
    <t>A152811-00</t>
  </si>
  <si>
    <t>Decor - Accum Depn</t>
  </si>
  <si>
    <t>A1T0094-00</t>
  </si>
  <si>
    <t>Rl Est Bld &amp; Impr Occupied Acm Dpr</t>
  </si>
  <si>
    <t>A1T0096-00</t>
  </si>
  <si>
    <t>PP&amp;E clearing account</t>
  </si>
  <si>
    <t>A1T0099-00</t>
  </si>
  <si>
    <t>Land Improvement Accum Deprec</t>
  </si>
  <si>
    <t>A1T0105-00</t>
  </si>
  <si>
    <t>Rl Est Lsehold Imprvmnts Oth</t>
  </si>
  <si>
    <t>A1T0107-00</t>
  </si>
  <si>
    <t>RI Est Lsehold Imprvmts NAdmtd</t>
  </si>
  <si>
    <t>A1T0148-00</t>
  </si>
  <si>
    <t>EDP Equip Sftwr Accm Dep</t>
  </si>
  <si>
    <t>A1T0325-00</t>
  </si>
  <si>
    <t>Rl Est Bld &amp; Impr Occupied Oth - CIP</t>
  </si>
  <si>
    <t>A1T0326-00</t>
  </si>
  <si>
    <t>Rl Est Lsehold Imprvmnts Oth - CIP</t>
  </si>
  <si>
    <t>A1T0327-00</t>
  </si>
  <si>
    <t>IT Equipment - CIP</t>
  </si>
  <si>
    <t>A1T0328-00</t>
  </si>
  <si>
    <t>Furn and Non IT Equipment - CIP</t>
  </si>
  <si>
    <t>A1T0329-00</t>
  </si>
  <si>
    <t>Software placed in-service - CIP</t>
  </si>
  <si>
    <t>A1T0335-00</t>
  </si>
  <si>
    <t>Internally Developed Software - SIP</t>
  </si>
  <si>
    <t>A1T0351-00</t>
  </si>
  <si>
    <t>Furn and Non IT Equipment</t>
  </si>
  <si>
    <t>A1T0353-00</t>
  </si>
  <si>
    <t>Dprcbl Asts Furn and Equip NAdmtd</t>
  </si>
  <si>
    <t>A1T0403-00</t>
  </si>
  <si>
    <t>Software capitalized</t>
  </si>
  <si>
    <t>A1T0407-00</t>
  </si>
  <si>
    <t>Software placed in-service</t>
  </si>
  <si>
    <t>A1T0409-00</t>
  </si>
  <si>
    <t>Software Capitalized Non-Admit.</t>
  </si>
  <si>
    <t>A1T0411-00</t>
  </si>
  <si>
    <t>Accum Amort-Internally Dev SW</t>
  </si>
  <si>
    <t>A1T0412-00</t>
  </si>
  <si>
    <t>Software placed in service NAdmtd</t>
  </si>
  <si>
    <t>A1T0900-00</t>
  </si>
  <si>
    <t>EDP Equipment NAdmtd</t>
  </si>
  <si>
    <t>A1T0906-00</t>
  </si>
  <si>
    <t>Internally dev software NAdmtd</t>
  </si>
  <si>
    <t>A153000-00</t>
  </si>
  <si>
    <t>Prepaid Expenses</t>
  </si>
  <si>
    <t>A153000-01</t>
  </si>
  <si>
    <t>Prepaid Exp - Prepaid Software Lease</t>
  </si>
  <si>
    <t>SWL12:Prepaid SW Lease 12 mths</t>
  </si>
  <si>
    <t>A153000-02</t>
  </si>
  <si>
    <t>Prepaid Exp - Prepaid Software Maint</t>
  </si>
  <si>
    <t>SWM12:Prepaid SW Maint 12 mths</t>
  </si>
  <si>
    <t>A153000-03</t>
  </si>
  <si>
    <t>Prepaid Exp - Prepaid Supplies</t>
  </si>
  <si>
    <t>SUP12:PREPAID SUPPLIES</t>
  </si>
  <si>
    <t>A153000-04</t>
  </si>
  <si>
    <t>Prepaid Exp - Prepaid Postage</t>
  </si>
  <si>
    <t>RPOSTAX:PREPAID POSTAGE XEROX</t>
  </si>
  <si>
    <t>A153000-05</t>
  </si>
  <si>
    <t>Prepaid Corporate Membership</t>
  </si>
  <si>
    <t>A153001-00</t>
  </si>
  <si>
    <t>Deferred Expenses</t>
  </si>
  <si>
    <t>A153002-00</t>
  </si>
  <si>
    <t>Prepaid Asset - Claims Floater</t>
  </si>
  <si>
    <t>A153003-00</t>
  </si>
  <si>
    <t>Artwork Asset</t>
  </si>
  <si>
    <t>A153004-00</t>
  </si>
  <si>
    <t>Other Assets</t>
  </si>
  <si>
    <t>A153005-00</t>
  </si>
  <si>
    <t>Dealer Loans Receivable</t>
  </si>
  <si>
    <t>A153006-00</t>
  </si>
  <si>
    <t>ROU Asset &amp; Carry Over Sections</t>
  </si>
  <si>
    <t xml:space="preserve"> </t>
  </si>
  <si>
    <t>A153006-10</t>
  </si>
  <si>
    <t>ROU Asset - Lease EQ and Veh Rent</t>
  </si>
  <si>
    <t>EVRNT</t>
  </si>
  <si>
    <t>A153006-12</t>
  </si>
  <si>
    <t>ROU Asset - Office Space</t>
  </si>
  <si>
    <t>all other type codes</t>
  </si>
  <si>
    <t>A153007-00</t>
  </si>
  <si>
    <t>Accum Amort ROU Asset &amp; Carry Over Sections</t>
  </si>
  <si>
    <t>A153007-10</t>
  </si>
  <si>
    <t>Accum Amort ROU Asset - EQ and Veh Rent</t>
  </si>
  <si>
    <t>A153007-12</t>
  </si>
  <si>
    <t>Accum Amort ROU Asset - Prepaid Rent</t>
  </si>
  <si>
    <t>A153008-00</t>
  </si>
  <si>
    <t>Assets held in separate accounts</t>
  </si>
  <si>
    <t>A153009-00</t>
  </si>
  <si>
    <t>LT Inv  Other Aflt</t>
  </si>
  <si>
    <t>A153010-00</t>
  </si>
  <si>
    <t>Held for Sale Asset</t>
  </si>
  <si>
    <t>A153011-00</t>
  </si>
  <si>
    <t>Prepaid Exp - Rent</t>
  </si>
  <si>
    <t>A153012-00</t>
  </si>
  <si>
    <t>Prepaid Exp - Corp insurance</t>
  </si>
  <si>
    <t>INSPRE</t>
  </si>
  <si>
    <t>A153013-00</t>
  </si>
  <si>
    <t>Prepaid Exp - Credit Facility</t>
  </si>
  <si>
    <t>CREDFAC</t>
  </si>
  <si>
    <t>A153014-00</t>
  </si>
  <si>
    <t>Prepaid Exp - Insurance Pymts CY</t>
  </si>
  <si>
    <t>INS24</t>
  </si>
  <si>
    <t>A153015-00</t>
  </si>
  <si>
    <t>Prepaid Exp - Escrow Offset</t>
  </si>
  <si>
    <t>INSESC</t>
  </si>
  <si>
    <t>A153016-00</t>
  </si>
  <si>
    <t>Prepaid Exp - TSA Qualified</t>
  </si>
  <si>
    <t>TSA</t>
  </si>
  <si>
    <t>A153017-00</t>
  </si>
  <si>
    <t>Prepaid Exp - Insurance</t>
  </si>
  <si>
    <t>A153018-00</t>
  </si>
  <si>
    <t>Prepaid Exp - Claims</t>
  </si>
  <si>
    <t>A153018-01</t>
  </si>
  <si>
    <t>Prepaid Exp - Claims - Funding Clrg Pl</t>
  </si>
  <si>
    <t>A153020-00</t>
  </si>
  <si>
    <t>Prepaid Royalties</t>
  </si>
  <si>
    <t>A153050-00</t>
  </si>
  <si>
    <t>Prepaid Expenses - FA</t>
  </si>
  <si>
    <t>A153051-00</t>
  </si>
  <si>
    <t>Prepaid Expenses - FA Clearing</t>
  </si>
  <si>
    <t>A153100-00</t>
  </si>
  <si>
    <t>Prepaid Expenses - AP</t>
  </si>
  <si>
    <t>A153101-00</t>
  </si>
  <si>
    <t>Federal Tax Valuation Allowance</t>
  </si>
  <si>
    <t>A153102-00</t>
  </si>
  <si>
    <t>State Tax Valuation Allowance</t>
  </si>
  <si>
    <t>A153103-00</t>
  </si>
  <si>
    <t>Foreign Tax Valuation Allowance</t>
  </si>
  <si>
    <t>A153120-00</t>
  </si>
  <si>
    <t>Direct Mail and Telemarketing</t>
  </si>
  <si>
    <t>A153150-00</t>
  </si>
  <si>
    <t>Taxes Recoverable -Fed Deferred</t>
  </si>
  <si>
    <t>A153151-00</t>
  </si>
  <si>
    <t>Unrealized Loss Federal Deferred</t>
  </si>
  <si>
    <t>A153152-00</t>
  </si>
  <si>
    <t>Taxes Recoverable-State Deferred</t>
  </si>
  <si>
    <t>A153153-00</t>
  </si>
  <si>
    <t>Guar Assessm Rcvry</t>
  </si>
  <si>
    <t>A153154-00</t>
  </si>
  <si>
    <t>Taxes Recoverable GST</t>
  </si>
  <si>
    <t>RGPQITC, GFSTITC</t>
  </si>
  <si>
    <t>A153155-00</t>
  </si>
  <si>
    <t>Taxes Recoverable HST</t>
  </si>
  <si>
    <t>A153156-00</t>
  </si>
  <si>
    <t>Taxes Recoverable QST</t>
  </si>
  <si>
    <t>RQSTITC</t>
  </si>
  <si>
    <t>A153157-00</t>
  </si>
  <si>
    <t>Deferred Tax Foreign Exchange Asset</t>
  </si>
  <si>
    <t>A153159-00</t>
  </si>
  <si>
    <t>VAT Recoverable</t>
  </si>
  <si>
    <t>A153160-00</t>
  </si>
  <si>
    <t>Organizational Costs</t>
  </si>
  <si>
    <t>A153200-00</t>
  </si>
  <si>
    <t>Retiree Medical Asset</t>
  </si>
  <si>
    <t>A153201-00</t>
  </si>
  <si>
    <t>Employee Pension Plan</t>
  </si>
  <si>
    <t>A153300-00</t>
  </si>
  <si>
    <t>Premium Tax Recoverable</t>
  </si>
  <si>
    <t>A153710-00</t>
  </si>
  <si>
    <t>Other Assets Clearing Account</t>
  </si>
  <si>
    <t>A153710-01</t>
  </si>
  <si>
    <t>Other Assets - Clearing Claims Issued Drafts</t>
  </si>
  <si>
    <t>RCL904</t>
  </si>
  <si>
    <t>A153710-02</t>
  </si>
  <si>
    <t>Other Assets - Clearing Claims Chase QP</t>
  </si>
  <si>
    <t>RCL902</t>
  </si>
  <si>
    <t>A153710-03</t>
  </si>
  <si>
    <t>Other Assets - Clearing Claims Mortgage Cross Selling</t>
  </si>
  <si>
    <t>R999810</t>
  </si>
  <si>
    <t>A153710-04</t>
  </si>
  <si>
    <t>Other Assets - Clearing Claims RCG Disbursements to Clients</t>
  </si>
  <si>
    <t>RRCG001</t>
  </si>
  <si>
    <t>A153710-05</t>
  </si>
  <si>
    <t>Other Assets - Clearing Claims BoA Disb Dep 5240</t>
  </si>
  <si>
    <t>B005030</t>
  </si>
  <si>
    <t>A153710-06</t>
  </si>
  <si>
    <t>Other Assets - Clearing Claims ATL Comp Sys GL Interface</t>
  </si>
  <si>
    <t>CCOMPME</t>
  </si>
  <si>
    <t>A153710-07</t>
  </si>
  <si>
    <t>Other Assets - Clearing Claims ASP GAAP FIN REP</t>
  </si>
  <si>
    <t>ASPGFR</t>
  </si>
  <si>
    <t>A153725-00</t>
  </si>
  <si>
    <t>Midwest Equity true-ups</t>
  </si>
  <si>
    <t>A153726-00</t>
  </si>
  <si>
    <t>Client Restricted Funds</t>
  </si>
  <si>
    <t>A153727-00</t>
  </si>
  <si>
    <t>LT Inv Common Stock Aflt</t>
  </si>
  <si>
    <t>A153728-00</t>
  </si>
  <si>
    <t>Other Capital Assets</t>
  </si>
  <si>
    <t>A153729-00</t>
  </si>
  <si>
    <t>IMR Asset</t>
  </si>
  <si>
    <t>A153730-00</t>
  </si>
  <si>
    <t>Prepaid Wireless Equipment</t>
  </si>
  <si>
    <t>A153730-01</t>
  </si>
  <si>
    <t>Prepaid Wireless Equipment - Obsolescence</t>
  </si>
  <si>
    <t>A153730-02</t>
  </si>
  <si>
    <t>Materials</t>
  </si>
  <si>
    <t>A153730-03</t>
  </si>
  <si>
    <t>Resource</t>
  </si>
  <si>
    <t>A153730-04</t>
  </si>
  <si>
    <t>Overhead</t>
  </si>
  <si>
    <t>A153730-05</t>
  </si>
  <si>
    <t>Receiving Inspection</t>
  </si>
  <si>
    <t>A153740-00</t>
  </si>
  <si>
    <t>Security Deposits</t>
  </si>
  <si>
    <t>A153805-00</t>
  </si>
  <si>
    <t>Dealer Loan Allowance</t>
  </si>
  <si>
    <t>A153005</t>
  </si>
  <si>
    <t>A153900-00</t>
  </si>
  <si>
    <t>Prepaid Expenses - NonAdmit</t>
  </si>
  <si>
    <t>A153901-00</t>
  </si>
  <si>
    <t>Claim Funding - NonAdmit</t>
  </si>
  <si>
    <t>A153005-01</t>
  </si>
  <si>
    <t>A153902-00</t>
  </si>
  <si>
    <t>Work of Art - NonAdmit</t>
  </si>
  <si>
    <t>A153903-00</t>
  </si>
  <si>
    <t>Clearing Accounts - NonAdmit</t>
  </si>
  <si>
    <t>A153904-00</t>
  </si>
  <si>
    <t>IMR Asset - NonAdmit</t>
  </si>
  <si>
    <t>A153905-00</t>
  </si>
  <si>
    <t>Other Assets - Nonadmit</t>
  </si>
  <si>
    <t>A153906-00</t>
  </si>
  <si>
    <t>LT Inv Comn Stk Affil - NonAdmit</t>
  </si>
  <si>
    <t>A153950-00</t>
  </si>
  <si>
    <t>Taxes Recoverable - Fed Deferred Non-admit</t>
  </si>
  <si>
    <t>A200100-00</t>
  </si>
  <si>
    <t>Case Rsv - Dir</t>
  </si>
  <si>
    <t>A200100-01</t>
  </si>
  <si>
    <t>Case Rsv - HD offset - Dir</t>
  </si>
  <si>
    <t>A200100-05</t>
  </si>
  <si>
    <t>Case Rsv CAT- Dir</t>
  </si>
  <si>
    <t>A200100-06</t>
  </si>
  <si>
    <t>Case Rsv CAToffset- Dir</t>
  </si>
  <si>
    <t>A200101-00</t>
  </si>
  <si>
    <t>Case Rsv ALAE - Dir</t>
  </si>
  <si>
    <t>A200101-02</t>
  </si>
  <si>
    <t>Case Rsv ALAE - Dir - DCC</t>
  </si>
  <si>
    <t>A200101-03</t>
  </si>
  <si>
    <t>Case Rsv ALAE - Dir - AAO</t>
  </si>
  <si>
    <t>A200102-00</t>
  </si>
  <si>
    <t>Case Rsv ULAE - Dir</t>
  </si>
  <si>
    <t>A200103-00</t>
  </si>
  <si>
    <t>Case Rsv ALAE - HD offset - Dir</t>
  </si>
  <si>
    <t>A200104-00</t>
  </si>
  <si>
    <t>Case Rsv ULAE - HD offset - Dir</t>
  </si>
  <si>
    <t>A200105-00</t>
  </si>
  <si>
    <t>Case Rsv Life Not Yet Due LD - Dir</t>
  </si>
  <si>
    <t>A200106-00</t>
  </si>
  <si>
    <t>Case Rsv Life Due and Unpaid - Dir</t>
  </si>
  <si>
    <t>to delete see A205106</t>
  </si>
  <si>
    <t>A200107-00</t>
  </si>
  <si>
    <t>Case Rsv Life - ICOS and Pending Claims Dir</t>
  </si>
  <si>
    <t>to delete see A205120</t>
  </si>
  <si>
    <t>A200108-00</t>
  </si>
  <si>
    <t>Case Rsv Life Disable Wvr SD- Dir</t>
  </si>
  <si>
    <t>A200109-00</t>
  </si>
  <si>
    <t>IBNR Rsv Life - Dir</t>
  </si>
  <si>
    <t>A200110-00</t>
  </si>
  <si>
    <t>IBNR Rsv Life Mortality and Morbidity Dir</t>
  </si>
  <si>
    <t>rename and remap in AMU</t>
  </si>
  <si>
    <t>A200112-00</t>
  </si>
  <si>
    <t>IBNR Rsv - HD offset - Dir</t>
  </si>
  <si>
    <t>remap to new account</t>
  </si>
  <si>
    <t>A200115-00</t>
  </si>
  <si>
    <t>IBNR Rsv - Dir</t>
  </si>
  <si>
    <t>A200116-00</t>
  </si>
  <si>
    <t>IBNR Rsv ALAE - Dir</t>
  </si>
  <si>
    <t>A200116-02</t>
  </si>
  <si>
    <t>IBNR Rsv ALAE - Dir - DCC</t>
  </si>
  <si>
    <t>A200116-03</t>
  </si>
  <si>
    <t>IBNR Rsv ALAE - Dir - AAO</t>
  </si>
  <si>
    <t>A200117-00</t>
  </si>
  <si>
    <t>IBNR Rsv ULAE - Dir</t>
  </si>
  <si>
    <t>A200118-00</t>
  </si>
  <si>
    <t>Claims Rec Slvg/Sub - Dir</t>
  </si>
  <si>
    <t>A200119-00</t>
  </si>
  <si>
    <t>IBNR Rsv ALAE - HD offset - Dir</t>
  </si>
  <si>
    <t>A200120-00</t>
  </si>
  <si>
    <t>Salvage &amp; Sub Rsv - Dir</t>
  </si>
  <si>
    <t>A200121-00</t>
  </si>
  <si>
    <t>IBNR Rsv ULAE - HD offset - Dir</t>
  </si>
  <si>
    <t>A200130-00</t>
  </si>
  <si>
    <t>Case Rsv - - HD offset - Dir</t>
  </si>
  <si>
    <t>A200135-00</t>
  </si>
  <si>
    <t>Rsv Life ICOS Resisted Claims - Dir</t>
  </si>
  <si>
    <t>new</t>
  </si>
  <si>
    <t>A200200-00</t>
  </si>
  <si>
    <t>Case Rsv - Asm NonAffil</t>
  </si>
  <si>
    <t>A200201-00</t>
  </si>
  <si>
    <t>Case Rsv ALAE - Asm NonAffil</t>
  </si>
  <si>
    <t>A200202-00</t>
  </si>
  <si>
    <t>Case Rsv ULAE- Asm NonAffil</t>
  </si>
  <si>
    <t>A200203-00</t>
  </si>
  <si>
    <t>Case Rsv - HD recovery</t>
  </si>
  <si>
    <t>A200205-00</t>
  </si>
  <si>
    <t>Case Rsv Life Not Due LD - Asm NonAffil</t>
  </si>
  <si>
    <t>A200207-00</t>
  </si>
  <si>
    <t>Case Rsv Life - ICOS Asm NonAffil</t>
  </si>
  <si>
    <t>A200210-00</t>
  </si>
  <si>
    <t>IBNR Rsv - Asm NonAffil</t>
  </si>
  <si>
    <t>A200211-00</t>
  </si>
  <si>
    <t>IBNR Rsv ALAE - Asm NonAffil</t>
  </si>
  <si>
    <t>A200212-00</t>
  </si>
  <si>
    <t>IBNR Rsv ULAE - Asm NonAffil</t>
  </si>
  <si>
    <t>A200215-00</t>
  </si>
  <si>
    <t>IBNR Rsv Life - Asm NonAffil</t>
  </si>
  <si>
    <t>A200220-00</t>
  </si>
  <si>
    <t>Salvage &amp; Sub Rsv - Asmd Non-Affil</t>
  </si>
  <si>
    <t>A200300-00</t>
  </si>
  <si>
    <t>Case Rsv - Ced NonAffil</t>
  </si>
  <si>
    <t>A200300-01</t>
  </si>
  <si>
    <t>Case Rsv - Funds Held - Ced NonAffil</t>
  </si>
  <si>
    <t>A200301-00</t>
  </si>
  <si>
    <t>Case Rsv ALAE - Ced NonAffil</t>
  </si>
  <si>
    <t>A200303-00</t>
  </si>
  <si>
    <t>Case Rsv ULAE - Ced NonAffil</t>
  </si>
  <si>
    <t>A200305-00</t>
  </si>
  <si>
    <t>Case Rsv Life Not Due LD - Ced NonAffil</t>
  </si>
  <si>
    <t>20000200</t>
  </si>
  <si>
    <t>A200306-00</t>
  </si>
  <si>
    <t>Case Rsv Life Disable Wvr SD - Ced NonAffil</t>
  </si>
  <si>
    <t>A200307-00</t>
  </si>
  <si>
    <t>Rsv Life Plcy Mortality LD - Ced NonAffil</t>
  </si>
  <si>
    <t>Case Rsv Life ICOS - Ced NonAffil</t>
  </si>
  <si>
    <t>To Delete see A205320</t>
  </si>
  <si>
    <t>A200308-00</t>
  </si>
  <si>
    <t>A200310-00</t>
  </si>
  <si>
    <t>IBNR Rsv - Ced NonAffil</t>
  </si>
  <si>
    <t>Rsv IBNR Ced</t>
  </si>
  <si>
    <t>A200310-01</t>
  </si>
  <si>
    <t>IBNR Rsv - Funds Held - Ced NonAffil</t>
  </si>
  <si>
    <t>A200311-00</t>
  </si>
  <si>
    <t>IBNR Rsv ALAE - Ced NonAffil</t>
  </si>
  <si>
    <t>Rsv ALAE IBNR Ced</t>
  </si>
  <si>
    <t>A200312-00</t>
  </si>
  <si>
    <t>IBNR Rsv ULAE- Ced NonAffil</t>
  </si>
  <si>
    <t>Rsv ULAE IBNR Ced</t>
  </si>
  <si>
    <t>A200315-00</t>
  </si>
  <si>
    <t>IBNR Rsv Life - Ced NonAffil</t>
  </si>
  <si>
    <t>A200320-00</t>
  </si>
  <si>
    <t>Salvage &amp; Sub Rsv - Ced Non-Affil</t>
  </si>
  <si>
    <t>A200400-00</t>
  </si>
  <si>
    <t>Case Rsv - Asm Affil</t>
  </si>
  <si>
    <t>A200401-00</t>
  </si>
  <si>
    <t>Case Rsv ALAE - Asm Affil</t>
  </si>
  <si>
    <t>A200402-00</t>
  </si>
  <si>
    <t>Case Rsv ULAE- Asm Affil</t>
  </si>
  <si>
    <t>A200405-00</t>
  </si>
  <si>
    <t>Case Rsv Life Not Yet Due LD - Asm Affil</t>
  </si>
  <si>
    <t>A200407-00</t>
  </si>
  <si>
    <t>Case Rsv Life ICOS - Asm Affil</t>
  </si>
  <si>
    <t>A200410-00</t>
  </si>
  <si>
    <t>IBNR Rsv - Asm Affil</t>
  </si>
  <si>
    <t>A200411-00</t>
  </si>
  <si>
    <t>IBNR Rsv ALAE - Asm Affil</t>
  </si>
  <si>
    <t>A200412-00</t>
  </si>
  <si>
    <t>IBNR Rsv ULAE - Asm Affil</t>
  </si>
  <si>
    <t>A200415-00</t>
  </si>
  <si>
    <t>IBNR Rsv Life - Asm Affil</t>
  </si>
  <si>
    <t>A200420-00</t>
  </si>
  <si>
    <t>Salvage &amp; Sub Rsv - Asmd Affil</t>
  </si>
  <si>
    <t>A200500-00</t>
  </si>
  <si>
    <t>Case Rsv - Ced Affil</t>
  </si>
  <si>
    <t>A200501-00</t>
  </si>
  <si>
    <t>Case Rsv ALAE - Ced Affil</t>
  </si>
  <si>
    <t>A200502-00</t>
  </si>
  <si>
    <t>Case Rsv ULAE - Ced Affil</t>
  </si>
  <si>
    <t>A200505-00</t>
  </si>
  <si>
    <t>Case Rsv Life ICOS and Pend Clm - Ced Affil</t>
  </si>
  <si>
    <t>to delete see A205520</t>
  </si>
  <si>
    <t>A200507-00</t>
  </si>
  <si>
    <t>Case Rsv Life ICOS - Ced Affil</t>
  </si>
  <si>
    <t>A200508-00</t>
  </si>
  <si>
    <t>Agr Rsv Oth Adl Actrl Clm - Ced Affil</t>
  </si>
  <si>
    <t>A200510-00</t>
  </si>
  <si>
    <t>IBNR Rsv - Ced Affil</t>
  </si>
  <si>
    <t>A200511-00</t>
  </si>
  <si>
    <t>IBNR Rsv ALAE - Ced Affil</t>
  </si>
  <si>
    <t>A200512-00</t>
  </si>
  <si>
    <t>IBNR Rsv ULAE- Ced Affil</t>
  </si>
  <si>
    <t>A200515-00</t>
  </si>
  <si>
    <t>IBNR Rsv Life - Ced Affil</t>
  </si>
  <si>
    <t>A200520-00</t>
  </si>
  <si>
    <t>Salvage &amp; Sub Rsv - Ced Affil</t>
  </si>
  <si>
    <t>A201101-00</t>
  </si>
  <si>
    <t>Risk Adjustment</t>
  </si>
  <si>
    <t>A201102-00</t>
  </si>
  <si>
    <t>Depst Funds Supl wo Life Cont - Dir</t>
  </si>
  <si>
    <t>A201103-00</t>
  </si>
  <si>
    <t>Depst Funds Oth Amts left on Depst SD - Dir</t>
  </si>
  <si>
    <t>A201106-00</t>
  </si>
  <si>
    <t>Prem Depst Funds Othr - Dir</t>
  </si>
  <si>
    <t>A201107-00</t>
  </si>
  <si>
    <t>Prem Rsv Life LD - Dir</t>
  </si>
  <si>
    <t>A201108-00</t>
  </si>
  <si>
    <t>Life Claims Payable Dir</t>
  </si>
  <si>
    <t>A201109-00</t>
  </si>
  <si>
    <t>Future Policy LDTI Remeasurement Dir</t>
  </si>
  <si>
    <t>A201110-00</t>
  </si>
  <si>
    <t>Agr Rsv Oth Plcy Adl Actrl Actv Lf</t>
  </si>
  <si>
    <t>A201111-00</t>
  </si>
  <si>
    <t>Rsv Life Deficiency LD - Dir</t>
  </si>
  <si>
    <t>A201112-00</t>
  </si>
  <si>
    <t>Rsv AH Plcy ALR LD Dir</t>
  </si>
  <si>
    <t>A201113-00</t>
  </si>
  <si>
    <t>Depst Funds Suppl Contr - Dir</t>
  </si>
  <si>
    <t>A201114-00</t>
  </si>
  <si>
    <t>Depst Funds Dvds Accum - Dir</t>
  </si>
  <si>
    <t>A201118-00</t>
  </si>
  <si>
    <t>Rsv Annuity Defrd LD - Dir</t>
  </si>
  <si>
    <t>A201119-00</t>
  </si>
  <si>
    <t>Rsv Annuity Payout LD Dir</t>
  </si>
  <si>
    <t>A201121-00</t>
  </si>
  <si>
    <t>Depst Funds Cpns and Endow Accum - Dir Dir</t>
  </si>
  <si>
    <t>A201207-00</t>
  </si>
  <si>
    <t>Prem Rsv Life LD - Asm Non-Affil</t>
  </si>
  <si>
    <t>A201208-00</t>
  </si>
  <si>
    <t>Prem Rsv Life ALR LD - Asm Non-Affil</t>
  </si>
  <si>
    <t>A201301-00</t>
  </si>
  <si>
    <t>Ceded Risk Adjustment</t>
  </si>
  <si>
    <t>A201307-00</t>
  </si>
  <si>
    <t>A201371-00</t>
  </si>
  <si>
    <t>A201407-00</t>
  </si>
  <si>
    <t>Prem Rsv Life LD - Asm Affil</t>
  </si>
  <si>
    <t>A205106-00</t>
  </si>
  <si>
    <t>A205107-00</t>
  </si>
  <si>
    <t>A205108-00</t>
  </si>
  <si>
    <t>A205110-00</t>
  </si>
  <si>
    <t>A205112-00</t>
  </si>
  <si>
    <t>IBNR Rsv Life Mortality - Dir</t>
  </si>
  <si>
    <t>A205120-00</t>
  </si>
  <si>
    <t>A205170-00</t>
  </si>
  <si>
    <t>Rsv AH PV Not Yet Due LD - Dir</t>
  </si>
  <si>
    <t>A205171-00</t>
  </si>
  <si>
    <t>RSv AH Deficiency SD Dir</t>
  </si>
  <si>
    <t>A205175-00</t>
  </si>
  <si>
    <t>Rsv AH ICOS and Pending Claims - Dir</t>
  </si>
  <si>
    <t>A205180-00</t>
  </si>
  <si>
    <t>Rsv AH IBNR - Dir</t>
  </si>
  <si>
    <t>A205208-00</t>
  </si>
  <si>
    <t>A205210-00</t>
  </si>
  <si>
    <t>A205220-00</t>
  </si>
  <si>
    <t>A205307-00</t>
  </si>
  <si>
    <t>A205310-00</t>
  </si>
  <si>
    <t>A205320-00</t>
  </si>
  <si>
    <t>A205370-00</t>
  </si>
  <si>
    <t>Rsv AH PV Not Yet Due LD - Ced NonAffil</t>
  </si>
  <si>
    <t>A205371-00</t>
  </si>
  <si>
    <t>Rsv AH Deficiency SD - Ced NonAffil</t>
  </si>
  <si>
    <t>A205375-00</t>
  </si>
  <si>
    <t>Rsv AH ICOS and Pending Claims - Ced NonAffil</t>
  </si>
  <si>
    <t>A205380-00</t>
  </si>
  <si>
    <t>Rsv AH IBNR - Ced Non-Affil</t>
  </si>
  <si>
    <t>A205408-00</t>
  </si>
  <si>
    <t>A205410-00</t>
  </si>
  <si>
    <t>A205420-00</t>
  </si>
  <si>
    <t>A205510-00</t>
  </si>
  <si>
    <t>A205520-00</t>
  </si>
  <si>
    <t>A266101-00</t>
  </si>
  <si>
    <t>Litigation Reserves</t>
  </si>
  <si>
    <t>A205004-00</t>
  </si>
  <si>
    <t>UPR Life Dep Funds Other - Dir</t>
  </si>
  <si>
    <t>A215100-00</t>
  </si>
  <si>
    <t>UPR - Dir</t>
  </si>
  <si>
    <t>A215100-01</t>
  </si>
  <si>
    <t>UPR - Risk Fee - Dir</t>
  </si>
  <si>
    <t>A215100-02</t>
  </si>
  <si>
    <t>UPR - Admin - Dir</t>
  </si>
  <si>
    <t>A215100-03</t>
  </si>
  <si>
    <t>UPR - Loss Fund - Dir</t>
  </si>
  <si>
    <t>RWUPR</t>
  </si>
  <si>
    <t>A215100-04</t>
  </si>
  <si>
    <t>UPR - Prem Tax - Dir</t>
  </si>
  <si>
    <t>A215100-05</t>
  </si>
  <si>
    <t>UPR - Exp Rated Refunds - Dir</t>
  </si>
  <si>
    <t>A215100-07</t>
  </si>
  <si>
    <t>UPR - Reclass Admin</t>
  </si>
  <si>
    <t>A215100-08</t>
  </si>
  <si>
    <t>UPR - Retail Gross-up</t>
  </si>
  <si>
    <t>RWUPRCM</t>
  </si>
  <si>
    <t>A215100-09</t>
  </si>
  <si>
    <t>UPR - Dealer Cost Gross-up</t>
  </si>
  <si>
    <t>A215101-00</t>
  </si>
  <si>
    <t>UPR Life - Dir</t>
  </si>
  <si>
    <t>A215101-01</t>
  </si>
  <si>
    <t>UPR Life - PIA FY - Dir</t>
  </si>
  <si>
    <t>A215101-02</t>
  </si>
  <si>
    <t>UPR Life - PIA Renewal - Dir</t>
  </si>
  <si>
    <t>A215101-03</t>
  </si>
  <si>
    <t>UPR Life - Dep Funds Grnt Int Cont - Dir</t>
  </si>
  <si>
    <t>A215102-00</t>
  </si>
  <si>
    <t>UPR Life - PIA - Dir</t>
  </si>
  <si>
    <t>A215102-02</t>
  </si>
  <si>
    <t>Prem PIA Renwl - Dir</t>
  </si>
  <si>
    <t>A215104-00</t>
  </si>
  <si>
    <t>A215105-00</t>
  </si>
  <si>
    <t>UPR - Liab Amts Hld Unins Hlth Pln Dir</t>
  </si>
  <si>
    <t>2T0392</t>
  </si>
  <si>
    <t>A215110-00</t>
  </si>
  <si>
    <t>UPR Clip - Dir Affil</t>
  </si>
  <si>
    <t>A215110-01</t>
  </si>
  <si>
    <t>UPR Clip - Loss Fund - Dir Affil</t>
  </si>
  <si>
    <t>A215110-02</t>
  </si>
  <si>
    <t>UPR Clip - Risk Fee - Dir Affil</t>
  </si>
  <si>
    <t>A215110-03</t>
  </si>
  <si>
    <t>UPR Clip - Premium Tax - Dir Affil</t>
  </si>
  <si>
    <t>A215111-00</t>
  </si>
  <si>
    <t>UPR Clip - RF Ptax combo - Dir Affil</t>
  </si>
  <si>
    <t>A215112-00</t>
  </si>
  <si>
    <t>A215200-00</t>
  </si>
  <si>
    <t>UPR - Asm Non-Affil</t>
  </si>
  <si>
    <t>A215200-01</t>
  </si>
  <si>
    <t>UPR - Risk Fee - Asm Non-Affil</t>
  </si>
  <si>
    <t>A215200-02</t>
  </si>
  <si>
    <t>UPR - Admin - Asm Non-Affil</t>
  </si>
  <si>
    <t>A215200-03</t>
  </si>
  <si>
    <t>UPR - Loss Fund - Asm Non-Affil</t>
  </si>
  <si>
    <t>A215200-04</t>
  </si>
  <si>
    <t>UPR - Prem Tax - Asm Non-Affil</t>
  </si>
  <si>
    <t>A215201-00</t>
  </si>
  <si>
    <t>UPR Life - Asm Non-Affil</t>
  </si>
  <si>
    <t>A215300-00</t>
  </si>
  <si>
    <t>UPR - Ced Non-Affil</t>
  </si>
  <si>
    <t>A215300-01</t>
  </si>
  <si>
    <t>UPR - Risk Fee - Ced Non Affil</t>
  </si>
  <si>
    <t>A215300-03</t>
  </si>
  <si>
    <t>UPR - Loss Fund - Ced Non Affil</t>
  </si>
  <si>
    <t>A215300-04</t>
  </si>
  <si>
    <t>UPR - Prem Tax - Ced Non Affil</t>
  </si>
  <si>
    <t>A215300-05</t>
  </si>
  <si>
    <t>UPR - Loss Fund - FH - Ced Non Affil</t>
  </si>
  <si>
    <t>A215301-00</t>
  </si>
  <si>
    <t>UPR Life - Ced Non-Affil</t>
  </si>
  <si>
    <t>A215301-02</t>
  </si>
  <si>
    <t>A215302-00</t>
  </si>
  <si>
    <t>UPR PIA Life - Ced Non-Affil</t>
  </si>
  <si>
    <t>A215400-00</t>
  </si>
  <si>
    <t>UPR - Asm Affil</t>
  </si>
  <si>
    <t>Affil version of above</t>
  </si>
  <si>
    <t>A215400-01</t>
  </si>
  <si>
    <t>UPR - Risk Fee - Asm Affil</t>
  </si>
  <si>
    <t>A215400-02</t>
  </si>
  <si>
    <t>UPR - Admin - Asm Affil</t>
  </si>
  <si>
    <t>A215400-03</t>
  </si>
  <si>
    <t>UPR - Loss Fund - Asm Affil</t>
  </si>
  <si>
    <t>A215400-04</t>
  </si>
  <si>
    <t>UPR - Prem Tax - Asm Affil</t>
  </si>
  <si>
    <t>A215401-00</t>
  </si>
  <si>
    <t>UPR Life - Asm Affil</t>
  </si>
  <si>
    <t>A215500-00</t>
  </si>
  <si>
    <t>UPR - Ced Affil</t>
  </si>
  <si>
    <t>1306905 and 1306906</t>
  </si>
  <si>
    <t>A215500-01</t>
  </si>
  <si>
    <t>UPR - Risk Fee - Ced Affil</t>
  </si>
  <si>
    <t>A215500-03</t>
  </si>
  <si>
    <t>UPR - Loss Fund - Ced Affil</t>
  </si>
  <si>
    <t>A215500-04</t>
  </si>
  <si>
    <t>UPR - Prem Tax - Ced Affil</t>
  </si>
  <si>
    <t>A215501-00</t>
  </si>
  <si>
    <t>UPR Life - Ced Affil</t>
  </si>
  <si>
    <t>A215501-02</t>
  </si>
  <si>
    <t>A220100-00</t>
  </si>
  <si>
    <t>Comm Payable Agents - Dir</t>
  </si>
  <si>
    <t>A220100-01</t>
  </si>
  <si>
    <t>Comm Payable Agents-Advance</t>
  </si>
  <si>
    <t>RBAM33, RBSM33</t>
  </si>
  <si>
    <t>A220100-02</t>
  </si>
  <si>
    <t>Comm Payable Agents-Fieldman</t>
  </si>
  <si>
    <t>A220100-03</t>
  </si>
  <si>
    <t>Comm Payable Agents-Interest</t>
  </si>
  <si>
    <t>A220100-04</t>
  </si>
  <si>
    <t>Comm Payable Agents-Warehouse</t>
  </si>
  <si>
    <t>A220100-05</t>
  </si>
  <si>
    <t>Comm Payable Agents-Bonus</t>
  </si>
  <si>
    <t>A220100-06</t>
  </si>
  <si>
    <t>Comm Payable Agents-TWG Fee Liability</t>
  </si>
  <si>
    <t>A220100-07</t>
  </si>
  <si>
    <t>Comm Pay Agents - Cash on Hold Suspense</t>
  </si>
  <si>
    <t>RBA11, RBS11</t>
  </si>
  <si>
    <t>A220100-08</t>
  </si>
  <si>
    <t>Comm Pay Agents - Suspense - Single Policy</t>
  </si>
  <si>
    <t>RBSM32</t>
  </si>
  <si>
    <t>A220100-09</t>
  </si>
  <si>
    <t>Comm Pay Agents - Suspense - Account Bill</t>
  </si>
  <si>
    <t>RBAM32</t>
  </si>
  <si>
    <t>A220101-00</t>
  </si>
  <si>
    <t>Comm Payable Other - Dir</t>
  </si>
  <si>
    <t>A220102-00</t>
  </si>
  <si>
    <t>Commissions Payable - Contingent</t>
  </si>
  <si>
    <t>A220102-01</t>
  </si>
  <si>
    <t>Exp Rated Refunds Payable</t>
  </si>
  <si>
    <t>A220103-00</t>
  </si>
  <si>
    <t>Commissions Payable - Profit Sharing</t>
  </si>
  <si>
    <t>A220103-01</t>
  </si>
  <si>
    <t>Comm Pay - PS Client Fee ADS</t>
  </si>
  <si>
    <t>A220103-02</t>
  </si>
  <si>
    <t>Comm Pay - PS Client Fee Home Warr</t>
  </si>
  <si>
    <t>A220104-00</t>
  </si>
  <si>
    <t>Agent Credit Balances</t>
  </si>
  <si>
    <t>A220105-00</t>
  </si>
  <si>
    <t>Deposit Accounting</t>
  </si>
  <si>
    <t>A220105-01</t>
  </si>
  <si>
    <t>Deposit Accounting - UPR</t>
  </si>
  <si>
    <t>A220105-02</t>
  </si>
  <si>
    <t>Deposit Accounting - Case Reserves</t>
  </si>
  <si>
    <t>A220105-03</t>
  </si>
  <si>
    <t>Deposit Accounting - IBNR</t>
  </si>
  <si>
    <t>A220105-04</t>
  </si>
  <si>
    <t>Deposit Accounting - Reinsurance Recoverable</t>
  </si>
  <si>
    <t>A220105-05</t>
  </si>
  <si>
    <t>Deposit Accounting - Reinsurance Payable</t>
  </si>
  <si>
    <t>A220105-06</t>
  </si>
  <si>
    <t>Deposit Accounting  - Funds Withheld Reinsurance</t>
  </si>
  <si>
    <t>A220105-07</t>
  </si>
  <si>
    <t>Deposit Accounting - Unearned Fee</t>
  </si>
  <si>
    <t>A220105-08</t>
  </si>
  <si>
    <t>Deposit Accounting - Comm DAC</t>
  </si>
  <si>
    <t>A220106-00</t>
  </si>
  <si>
    <t>Deposit Treaty Liability</t>
  </si>
  <si>
    <t>A220108-00</t>
  </si>
  <si>
    <t>Commissions Due to Recoverable IBNR</t>
  </si>
  <si>
    <t>A220109-00</t>
  </si>
  <si>
    <t>Experience Rated Refunds Payable</t>
  </si>
  <si>
    <t>A220110-00</t>
  </si>
  <si>
    <t>Deposit Accounting Assumed Funds Held</t>
  </si>
  <si>
    <t>A220200-00</t>
  </si>
  <si>
    <t>Comm Payable Agents- Asm Non-Affil</t>
  </si>
  <si>
    <t>A220201-00</t>
  </si>
  <si>
    <t>Comm Payable Other - Asm Non-Affil</t>
  </si>
  <si>
    <t>A220202-00</t>
  </si>
  <si>
    <t>Comm Payable - Contingent Asm Non-Affil</t>
  </si>
  <si>
    <t>A220203-00</t>
  </si>
  <si>
    <t>Comm Payable - Profit Share Asm Non-Affil</t>
  </si>
  <si>
    <t>A220300-00</t>
  </si>
  <si>
    <t>Comm Payable Agents - Ceded Non-Affil</t>
  </si>
  <si>
    <t>A220301-00</t>
  </si>
  <si>
    <t>Comm Payable Other - Ceded Non-Affil</t>
  </si>
  <si>
    <t>A220302-00</t>
  </si>
  <si>
    <t>Comm Payable - Contingent Ced NonAffil</t>
  </si>
  <si>
    <t>A220303-00</t>
  </si>
  <si>
    <t>Comm Payable - Profit Share Ced NonAffil</t>
  </si>
  <si>
    <t>A220400-00</t>
  </si>
  <si>
    <t>Comm Payable Agents- Asm Affil</t>
  </si>
  <si>
    <t>A220401-00</t>
  </si>
  <si>
    <t>Comm Payable - Profit Sharing Asm Affil</t>
  </si>
  <si>
    <t>A220500-00</t>
  </si>
  <si>
    <t>Comm Payable Agents - Ceded Affil</t>
  </si>
  <si>
    <t>A220501-00</t>
  </si>
  <si>
    <t>Comm Payable - Profit Sharing Ced Affil</t>
  </si>
  <si>
    <t>A2T0304-00</t>
  </si>
  <si>
    <t>Deposit Accounting Assumed Funds Held tmp</t>
  </si>
  <si>
    <t>REIN PAYABLE SUSP</t>
  </si>
  <si>
    <t>Reinsurance payable suspense</t>
  </si>
  <si>
    <t>A230200-00</t>
  </si>
  <si>
    <t>Reinsurance Payable - Asm NonAffil</t>
  </si>
  <si>
    <t>A230202-00</t>
  </si>
  <si>
    <t>Other Reins Payable - Asm NonAffil</t>
  </si>
  <si>
    <t>A230300-00</t>
  </si>
  <si>
    <t>Reinsurance Payable - Ced NonAffil</t>
  </si>
  <si>
    <t>A230400-00</t>
  </si>
  <si>
    <t>Reinsurance Payable - Asm Affil</t>
  </si>
  <si>
    <t>A230402-00</t>
  </si>
  <si>
    <t>Other Reinsurance Payable - Asm Affil</t>
  </si>
  <si>
    <t>A230500-00</t>
  </si>
  <si>
    <t>Reinsurance Payable - Ced Affil</t>
  </si>
  <si>
    <t>A241000-00</t>
  </si>
  <si>
    <t>Suspense Accounts - Reinsurance</t>
  </si>
  <si>
    <t>A242000-01</t>
  </si>
  <si>
    <t>Reinsurance Funds Held - Non-Affil</t>
  </si>
  <si>
    <t>A242200-00</t>
  </si>
  <si>
    <t>Reinsurance Funds Held - Asm Non-Affil</t>
  </si>
  <si>
    <t>A242200-02</t>
  </si>
  <si>
    <t>Reins FH - Under Treaty - Asm Non Affil</t>
  </si>
  <si>
    <t>A242200-03</t>
  </si>
  <si>
    <t>Reins FH - Coinsurance - Asm Non Affil</t>
  </si>
  <si>
    <t>A242300-00</t>
  </si>
  <si>
    <t>Reinsurance Funds Held - Ced Non-Affil</t>
  </si>
  <si>
    <t>A242300-01</t>
  </si>
  <si>
    <t>Reins FH - Other - Ced Non-Affil</t>
  </si>
  <si>
    <t>A242300-02</t>
  </si>
  <si>
    <t>Reins FH - Under Treaty - Ced Non-Affil</t>
  </si>
  <si>
    <t>A242300-03</t>
  </si>
  <si>
    <t>Reins FH - Coinsurance - Ced Non-Affil</t>
  </si>
  <si>
    <t>A242400-00</t>
  </si>
  <si>
    <t>Reinsurance Funds Held - Asm Affil</t>
  </si>
  <si>
    <t>A242400-01</t>
  </si>
  <si>
    <t>Reins FH - Other - Asm Affil</t>
  </si>
  <si>
    <t>A242400-02</t>
  </si>
  <si>
    <t>Reins FH - Under Treaty - Asm Affil</t>
  </si>
  <si>
    <t>A242400-03</t>
  </si>
  <si>
    <t>Reins FH - Coinsurance - Asm Affil</t>
  </si>
  <si>
    <t>A242500-00</t>
  </si>
  <si>
    <t>Reinsurance Funds Held - Ced Affil</t>
  </si>
  <si>
    <t>A242500-01</t>
  </si>
  <si>
    <t>Reins FH - Other - Ced Affil</t>
  </si>
  <si>
    <t>A242500-02</t>
  </si>
  <si>
    <t>Reins FH - Under Treaty - Ced Affil</t>
  </si>
  <si>
    <t>A242500-03</t>
  </si>
  <si>
    <t>Reins FH - Coinsurance - Ced Affil</t>
  </si>
  <si>
    <t>A260000-00</t>
  </si>
  <si>
    <t>Gen Exp - Other</t>
  </si>
  <si>
    <t>A260000-01</t>
  </si>
  <si>
    <t>Gen Exp Other - Salesforce CC Payable</t>
  </si>
  <si>
    <t>A260000-20</t>
  </si>
  <si>
    <t>Gen Exp Other -CPR Stores</t>
  </si>
  <si>
    <t>RFRJAME</t>
  </si>
  <si>
    <t>A260000-21</t>
  </si>
  <si>
    <t>Gen Exp Other -Accrued Exps - Inventory Adj</t>
  </si>
  <si>
    <t>RWS5102</t>
  </si>
  <si>
    <t>A260000-23</t>
  </si>
  <si>
    <t>Gen Exp Other -ASL/ASP ERA Other</t>
  </si>
  <si>
    <t>ERA08</t>
  </si>
  <si>
    <t>A260000-24</t>
  </si>
  <si>
    <t>Gen Exp Other -Vendor All AP Suspense</t>
  </si>
  <si>
    <t>RCDVEND</t>
  </si>
  <si>
    <t>A260000-25</t>
  </si>
  <si>
    <t>Gen Exp Other -Prepaid Inv XMPP</t>
  </si>
  <si>
    <t>RWS1324</t>
  </si>
  <si>
    <t>A260000-26</t>
  </si>
  <si>
    <t>Gen Exp Other -Prepaid - Inventory</t>
  </si>
  <si>
    <t>RWS1322</t>
  </si>
  <si>
    <t>A260000-27</t>
  </si>
  <si>
    <t>Gen Exp Other -Accounts Payable</t>
  </si>
  <si>
    <t>RWS2000</t>
  </si>
  <si>
    <t>A260000-28</t>
  </si>
  <si>
    <t>Gen Exp Other -Freight Payable</t>
  </si>
  <si>
    <t>RWS2080</t>
  </si>
  <si>
    <t>A260000-29</t>
  </si>
  <si>
    <t>Gen Exp Other -Accrued Exps - Equipment Purchased</t>
  </si>
  <si>
    <t>RWS2400</t>
  </si>
  <si>
    <t>A260000-30</t>
  </si>
  <si>
    <t>Gen Exp Other -Accrued Exp - T-Mobile Equipment Purchases</t>
  </si>
  <si>
    <t>RWS2401</t>
  </si>
  <si>
    <t>A260000-31</t>
  </si>
  <si>
    <t>Gen Exp Other -Accrued Exps - Monthly Incurred</t>
  </si>
  <si>
    <t>RWS2404</t>
  </si>
  <si>
    <t>A260000-32</t>
  </si>
  <si>
    <t>Gen Exp Other -Accrued Exps - Gain Share Liab</t>
  </si>
  <si>
    <t>RWS2406</t>
  </si>
  <si>
    <t>A260001-00</t>
  </si>
  <si>
    <t>Gen Exp - Audit Fees</t>
  </si>
  <si>
    <t>A260002-00</t>
  </si>
  <si>
    <t>Gen Exp - Consulting</t>
  </si>
  <si>
    <t>A260003-00</t>
  </si>
  <si>
    <t>Gen Exp - Contributions</t>
  </si>
  <si>
    <t>A260004-00</t>
  </si>
  <si>
    <t>Gen Exp - Legal</t>
  </si>
  <si>
    <t>A260005-00</t>
  </si>
  <si>
    <t>Gen Exp - Long Term Incentive Plan</t>
  </si>
  <si>
    <t>A260006-00</t>
  </si>
  <si>
    <t>Gen Exp - Minority Interest</t>
  </si>
  <si>
    <t>A260007-00</t>
  </si>
  <si>
    <t>Gen Exp - Outsourced Services</t>
  </si>
  <si>
    <t>A260008-00</t>
  </si>
  <si>
    <t>Gen Exp - Postage, Printing and Supplies</t>
  </si>
  <si>
    <t>A260009-00</t>
  </si>
  <si>
    <t>Gen Exp - Rent and Maint</t>
  </si>
  <si>
    <t>A260010-00</t>
  </si>
  <si>
    <t>Gen Exp - Sales &amp; Marketing</t>
  </si>
  <si>
    <t>A260011-00</t>
  </si>
  <si>
    <t>Gen Exp - Serivice Fees</t>
  </si>
  <si>
    <t>A260012-00</t>
  </si>
  <si>
    <t>Gen Exp - State Exam Fees</t>
  </si>
  <si>
    <t>A260013-00</t>
  </si>
  <si>
    <t>Gen Exp - Telecom</t>
  </si>
  <si>
    <t>A260014-00</t>
  </si>
  <si>
    <t>Gen Exp - Professional</t>
  </si>
  <si>
    <t>A260015-00</t>
  </si>
  <si>
    <t>Gen Exp - Underwriting</t>
  </si>
  <si>
    <t>A260016-00</t>
  </si>
  <si>
    <t>Fee Liability</t>
  </si>
  <si>
    <t>A260016-01</t>
  </si>
  <si>
    <t>Fee Liability sub</t>
  </si>
  <si>
    <t>A260016-02</t>
  </si>
  <si>
    <t>Fee Liability Home</t>
  </si>
  <si>
    <t>A260017-00</t>
  </si>
  <si>
    <t>Customer Deposits</t>
  </si>
  <si>
    <t>A260018-00</t>
  </si>
  <si>
    <t>Funds W/H Liability</t>
  </si>
  <si>
    <t>A260019-00</t>
  </si>
  <si>
    <t>Gen Exp - Remittance Not Allocated</t>
  </si>
  <si>
    <t>A260019-01</t>
  </si>
  <si>
    <t>Gen Exp Remit - AIM CLM CC Payable</t>
  </si>
  <si>
    <t>A260019-02</t>
  </si>
  <si>
    <t>Gen Exp Remit - Other non allocated</t>
  </si>
  <si>
    <t>A260020-00</t>
  </si>
  <si>
    <t>Postretirement Benefits</t>
  </si>
  <si>
    <t>A260021-00</t>
  </si>
  <si>
    <t>Gen Exp - Profit Share</t>
  </si>
  <si>
    <t>A260022-00</t>
  </si>
  <si>
    <t>Misc Liabiltiy</t>
  </si>
  <si>
    <t>A260025-00</t>
  </si>
  <si>
    <t>Corporate Expense Accruals</t>
  </si>
  <si>
    <t>ACCEXP</t>
  </si>
  <si>
    <t>A260027-00</t>
  </si>
  <si>
    <t>Corp Restructuring Accruals - Domestic</t>
  </si>
  <si>
    <t>A260028-00</t>
  </si>
  <si>
    <t>Corp Restructuring Accruals - Intl</t>
  </si>
  <si>
    <t>RRENT</t>
  </si>
  <si>
    <t>A260030-00</t>
  </si>
  <si>
    <t>Gen Expns Empl Slry &amp; Wges Deferred</t>
  </si>
  <si>
    <t>A260100-00</t>
  </si>
  <si>
    <t>Agents Credit Bal - Unidentified Cash</t>
  </si>
  <si>
    <t>A260100-01</t>
  </si>
  <si>
    <t>Agents Cr Bal - Unid Cash - Outgoing</t>
  </si>
  <si>
    <t>A260100-02</t>
  </si>
  <si>
    <t>Agents Cr Bal - Unid Cash Incoming</t>
  </si>
  <si>
    <t>A260500-00</t>
  </si>
  <si>
    <t>Payroll Related Accruals</t>
  </si>
  <si>
    <t>A260500-01</t>
  </si>
  <si>
    <t>Pyrll Accrual - Slry &amp; Wges</t>
  </si>
  <si>
    <t>A260500-03</t>
  </si>
  <si>
    <t>Pyrll Accrual - PTO</t>
  </si>
  <si>
    <t>A260500-04</t>
  </si>
  <si>
    <t>Pyrll Accrual - Other</t>
  </si>
  <si>
    <t>A260501-00</t>
  </si>
  <si>
    <t>Health and Welfare - Employee</t>
  </si>
  <si>
    <t>A260501-01</t>
  </si>
  <si>
    <t>Hlth and Wf - Payroll Clearing</t>
  </si>
  <si>
    <t>A260501-02</t>
  </si>
  <si>
    <t>Hlth and Wf - Misc Liab Empl WH Med</t>
  </si>
  <si>
    <t>A260501-03</t>
  </si>
  <si>
    <t>Hlth and Wf - Flex Spend Dependent Care</t>
  </si>
  <si>
    <t>A260502-00</t>
  </si>
  <si>
    <t>Invested Deferred Compensation Liab</t>
  </si>
  <si>
    <t>A260502-01</t>
  </si>
  <si>
    <t>Inv Def Comp Liab - Active Plan</t>
  </si>
  <si>
    <t>A260502-02</t>
  </si>
  <si>
    <t>Inv Def Comp Liab - Frozen Plan</t>
  </si>
  <si>
    <t>A260503-00</t>
  </si>
  <si>
    <t>401k True Up</t>
  </si>
  <si>
    <t>A260503-01</t>
  </si>
  <si>
    <t>401 K Co Match</t>
  </si>
  <si>
    <t>A260504-00</t>
  </si>
  <si>
    <t>Retirement Plans</t>
  </si>
  <si>
    <t>A260505-00</t>
  </si>
  <si>
    <t>Misc. Payroll Related Liabilities</t>
  </si>
  <si>
    <t>A260505-01</t>
  </si>
  <si>
    <t>MISC PYRLL - ESOP</t>
  </si>
  <si>
    <t>A260505-02</t>
  </si>
  <si>
    <t>MISC PYRLL - ESPP</t>
  </si>
  <si>
    <t>A260505-03</t>
  </si>
  <si>
    <t>MISC PYRLL - PAC Contribution</t>
  </si>
  <si>
    <t>A260505-04</t>
  </si>
  <si>
    <t>MISC PYRLL - Charitable Contribution</t>
  </si>
  <si>
    <t>A260505-05</t>
  </si>
  <si>
    <t>MISC PYRLL - Misc Liabilities</t>
  </si>
  <si>
    <t>A260510-00</t>
  </si>
  <si>
    <t>Payroll Suspense</t>
  </si>
  <si>
    <t>A260510-01</t>
  </si>
  <si>
    <t>ADP Payroll Suspense</t>
  </si>
  <si>
    <t>Payroll type codes</t>
  </si>
  <si>
    <t>A260510-02</t>
  </si>
  <si>
    <t>Benefits Suspense</t>
  </si>
  <si>
    <t>A260510-03</t>
  </si>
  <si>
    <t>Unmapped Codes</t>
  </si>
  <si>
    <t>A260510-04</t>
  </si>
  <si>
    <t>Susp - Global Stock Vesting</t>
  </si>
  <si>
    <t>A260510-05</t>
  </si>
  <si>
    <t>PYR Suspense - Global ALTEIP</t>
  </si>
  <si>
    <t>A260520-00</t>
  </si>
  <si>
    <t>Payroll Accrual Severance</t>
  </si>
  <si>
    <t>A260520-20</t>
  </si>
  <si>
    <t>Pyrll Accrual - Sevr Exec</t>
  </si>
  <si>
    <t>A260520-21</t>
  </si>
  <si>
    <t>Pyrll Accrual - Sevr Non Transform</t>
  </si>
  <si>
    <t>A260520-22</t>
  </si>
  <si>
    <t>Pyrll Accrual - Sevr 2022 Transform</t>
  </si>
  <si>
    <t>A260520-23</t>
  </si>
  <si>
    <t>Pyrll Accrual - Sevr Statesman</t>
  </si>
  <si>
    <t>A260520-24</t>
  </si>
  <si>
    <t>Pyrll Accrual - Sevr 2023 Transform</t>
  </si>
  <si>
    <t>A260525-00</t>
  </si>
  <si>
    <t>Non Empl Tax WH</t>
  </si>
  <si>
    <t>A260525-01</t>
  </si>
  <si>
    <t>Non Empl Tax WH Backup</t>
  </si>
  <si>
    <t>A260525-02</t>
  </si>
  <si>
    <t>Non Empl Tax WH Other State</t>
  </si>
  <si>
    <t>A260525-03</t>
  </si>
  <si>
    <t>Non Empl Tax WH SIT</t>
  </si>
  <si>
    <t>A260526-00</t>
  </si>
  <si>
    <t>Non Empl Tax FICA</t>
  </si>
  <si>
    <t>A266102-00</t>
  </si>
  <si>
    <t>Escheat Liability</t>
  </si>
  <si>
    <t>A266102-01</t>
  </si>
  <si>
    <t>Escheat - Stale dated Suspense</t>
  </si>
  <si>
    <t>A266102-02</t>
  </si>
  <si>
    <t>Escheat - Unclaimed Funds to be Escheated</t>
  </si>
  <si>
    <t>A266700-00</t>
  </si>
  <si>
    <t>Clearing Suspense Account</t>
  </si>
  <si>
    <t>A266700-99</t>
  </si>
  <si>
    <t>Suspense Account - Clear Type Codes</t>
  </si>
  <si>
    <t>A266701-00</t>
  </si>
  <si>
    <t>Suspense Account - Premium</t>
  </si>
  <si>
    <t>A266702-00</t>
  </si>
  <si>
    <t>Suspense Account - Premium Refund</t>
  </si>
  <si>
    <t>A266703-00</t>
  </si>
  <si>
    <t>Suspense Account - Claims</t>
  </si>
  <si>
    <t>A266704-00</t>
  </si>
  <si>
    <t>Suspense Account - Cash Management</t>
  </si>
  <si>
    <t>A266705-00</t>
  </si>
  <si>
    <t>Suspense Account Claims - Write-in</t>
  </si>
  <si>
    <t>(moved from A266703)</t>
  </si>
  <si>
    <t>A266706-00</t>
  </si>
  <si>
    <t>Suspense Account - Investments</t>
  </si>
  <si>
    <t>A266707-00</t>
  </si>
  <si>
    <t>Suspense Account - STD</t>
  </si>
  <si>
    <t>A266708-00</t>
  </si>
  <si>
    <t>Suspense Account - Fee income</t>
  </si>
  <si>
    <t>A266709-00</t>
  </si>
  <si>
    <t>Suspense - Payables</t>
  </si>
  <si>
    <t>APTX</t>
  </si>
  <si>
    <t>A266710-00</t>
  </si>
  <si>
    <t>Suspense - Non Payroll</t>
  </si>
  <si>
    <t>FORD or IFIS or RWGE</t>
  </si>
  <si>
    <t>A266711-00</t>
  </si>
  <si>
    <t xml:space="preserve">Suspense - STOCK Comp </t>
  </si>
  <si>
    <t>1311A or 1311</t>
  </si>
  <si>
    <t>A266715-00</t>
  </si>
  <si>
    <t>Suspense Account - Claims - Recovery</t>
  </si>
  <si>
    <t>RCL905</t>
  </si>
  <si>
    <t>A266716-00</t>
  </si>
  <si>
    <t>Suspense Account - Claims - Financial Claims</t>
  </si>
  <si>
    <t>RCL011, RCL907</t>
  </si>
  <si>
    <t>A266717-00</t>
  </si>
  <si>
    <t>Suspense Account - Claims - Issued Drafts</t>
  </si>
  <si>
    <t>A261500-00</t>
  </si>
  <si>
    <t>Taxes Payable Federal-Deferred</t>
  </si>
  <si>
    <t>A261500-01</t>
  </si>
  <si>
    <t>Unrealized gain (loss) Federal deferred</t>
  </si>
  <si>
    <t>A261500-02</t>
  </si>
  <si>
    <t>Deferred Tax Foreign Exchange</t>
  </si>
  <si>
    <t>A261500-04</t>
  </si>
  <si>
    <t>Taxes Pay Fed Defer CECL Allowance</t>
  </si>
  <si>
    <t>A261501-00</t>
  </si>
  <si>
    <t>Tax Pay Fed - Defer - Unrl Gain (loss)</t>
  </si>
  <si>
    <t>A268000-00</t>
  </si>
  <si>
    <t>Long-term Brwd Funds- Interest Accrued</t>
  </si>
  <si>
    <t>A268000-01</t>
  </si>
  <si>
    <t>LT Interest Accrued - 3 Yr Sr Note</t>
  </si>
  <si>
    <t>NOTE03A</t>
  </si>
  <si>
    <t>A268000-02</t>
  </si>
  <si>
    <t>LT Interest Accrued - 10 Yr Bond</t>
  </si>
  <si>
    <t>NOTE10B</t>
  </si>
  <si>
    <t>A268000-03</t>
  </si>
  <si>
    <t>LT Interest Accrued - 10 Yr Sr Note</t>
  </si>
  <si>
    <t>NOTE10C</t>
  </si>
  <si>
    <t>A268000-04</t>
  </si>
  <si>
    <t>LT Interest Accrued - 30 Yr Note</t>
  </si>
  <si>
    <t>NOTE30</t>
  </si>
  <si>
    <t>A268000-05</t>
  </si>
  <si>
    <t>LT Interest Accrued - 40 Yr Note</t>
  </si>
  <si>
    <t>NOTE40</t>
  </si>
  <si>
    <t>A268000-06</t>
  </si>
  <si>
    <t>LT Interest Accrued - 10 Yr Note</t>
  </si>
  <si>
    <t>TWGNT10</t>
  </si>
  <si>
    <t>A268000-07</t>
  </si>
  <si>
    <t>LT Interest Accrued - 30 Yr Note - TWG</t>
  </si>
  <si>
    <t>TWGNT30</t>
  </si>
  <si>
    <t>A267000-00</t>
  </si>
  <si>
    <t>Borrowed Money</t>
  </si>
  <si>
    <t>A267110-00</t>
  </si>
  <si>
    <t>Notes Payable - Affiliates</t>
  </si>
  <si>
    <t>A264100-00</t>
  </si>
  <si>
    <t>Amounts Withheld</t>
  </si>
  <si>
    <t>A264100-01</t>
  </si>
  <si>
    <t>Amts Withheld - Trustee</t>
  </si>
  <si>
    <t>A264100-02</t>
  </si>
  <si>
    <t>Amts Withheld - Agents</t>
  </si>
  <si>
    <t>A264100-05</t>
  </si>
  <si>
    <t>Amts Withheld - Funds WH Liability Affil</t>
  </si>
  <si>
    <t>A264105-00</t>
  </si>
  <si>
    <t>Separate Account Liabilities</t>
  </si>
  <si>
    <t>A264106-00</t>
  </si>
  <si>
    <t>Amts WH Other - Reserves</t>
  </si>
  <si>
    <t>A264107-00</t>
  </si>
  <si>
    <t>Amts WH Other - Marketing Fund</t>
  </si>
  <si>
    <t>A264108-00</t>
  </si>
  <si>
    <t>Accounts Payable Separate Accounts</t>
  </si>
  <si>
    <t>A264109-00</t>
  </si>
  <si>
    <t>Amts WH Other - Claims settlement</t>
  </si>
  <si>
    <t>RWS1210</t>
  </si>
  <si>
    <t>A264110-00</t>
  </si>
  <si>
    <t>Amts WH Other - Assureconnection</t>
  </si>
  <si>
    <t>RWS1267</t>
  </si>
  <si>
    <t>A264111-00</t>
  </si>
  <si>
    <t>Amts WH Other - Refunds for Carrier</t>
  </si>
  <si>
    <t>RWS1405</t>
  </si>
  <si>
    <t>A264112-00</t>
  </si>
  <si>
    <t>Amts WH Other - Freight settlement</t>
  </si>
  <si>
    <t>RWS2010</t>
  </si>
  <si>
    <t>A264113-00</t>
  </si>
  <si>
    <t>Amts WH Other - Deductible Equip Recovery</t>
  </si>
  <si>
    <t>RWS2560</t>
  </si>
  <si>
    <t>A264114-00</t>
  </si>
  <si>
    <t>Amts WH Other - Deductible Invoiced</t>
  </si>
  <si>
    <t>RWS2570</t>
  </si>
  <si>
    <t>A265100-00</t>
  </si>
  <si>
    <t>Premium Credit Balances</t>
  </si>
  <si>
    <t>A265100-02</t>
  </si>
  <si>
    <t>Prem Credit Bal - Premium</t>
  </si>
  <si>
    <t>A265101-00</t>
  </si>
  <si>
    <t>Prem Credit Bal - Adv Comm</t>
  </si>
  <si>
    <t>A265102-00</t>
  </si>
  <si>
    <t>Advance Premium Credit Balance</t>
  </si>
  <si>
    <t>A210017-00</t>
  </si>
  <si>
    <t>UCP - AIZ Disbursement - 4252</t>
  </si>
  <si>
    <t>A263600-00</t>
  </si>
  <si>
    <t>Deferred gain on sold business</t>
  </si>
  <si>
    <t>A266001-00</t>
  </si>
  <si>
    <t>Other Liab - Rcvbl Mgmt Debtor Overpymt</t>
  </si>
  <si>
    <t>A266002-00</t>
  </si>
  <si>
    <t>Other Liab - International Pension</t>
  </si>
  <si>
    <t>A266003-00</t>
  </si>
  <si>
    <t>Other Liab - Oth Plcy Maint Rsv</t>
  </si>
  <si>
    <t>A266004-00</t>
  </si>
  <si>
    <t>Other Liab - Asset Valuation Reserve</t>
  </si>
  <si>
    <t>A266005-00</t>
  </si>
  <si>
    <t>Other Liab - Rein In Unauthorized Company</t>
  </si>
  <si>
    <t>A266006-00</t>
  </si>
  <si>
    <t>Other Liab - Misc Liab Other</t>
  </si>
  <si>
    <t>A266006-01</t>
  </si>
  <si>
    <t>Other Liab - Prm Other Carrier Premium Pay</t>
  </si>
  <si>
    <t>A266007-00</t>
  </si>
  <si>
    <t>Other Liab - Global Insurance Liability</t>
  </si>
  <si>
    <t>A266008-00</t>
  </si>
  <si>
    <t>Other Liab - Loans/Advance NonAffil</t>
  </si>
  <si>
    <t>A266009-00</t>
  </si>
  <si>
    <t>Other Liab - Capital lease</t>
  </si>
  <si>
    <t>A266010-00</t>
  </si>
  <si>
    <t>Other Liab - Lease Liability Office Space</t>
  </si>
  <si>
    <t>A266011-00</t>
  </si>
  <si>
    <t>Lease Liability - Equipment or Vehicles</t>
  </si>
  <si>
    <t>A266012-00</t>
  </si>
  <si>
    <t>Other Liab - Oth Contingentent Liability</t>
  </si>
  <si>
    <t>A266013-00</t>
  </si>
  <si>
    <t>Other Liab - Oth Prem Cancellation Reserve</t>
  </si>
  <si>
    <t>A266014-00</t>
  </si>
  <si>
    <t>Other Liab - Escrow Payable</t>
  </si>
  <si>
    <t>A266015-00</t>
  </si>
  <si>
    <t>Other Liab - Loss Drafts Deposits</t>
  </si>
  <si>
    <t>A266016-00</t>
  </si>
  <si>
    <t>Self Funded Workers Comp</t>
  </si>
  <si>
    <t>A262100-00</t>
  </si>
  <si>
    <t>Taxes, Licenses &amp; Fees Payable</t>
  </si>
  <si>
    <t>A262100-01</t>
  </si>
  <si>
    <t>Taxes Payable - Premium Tax</t>
  </si>
  <si>
    <t>A262100-02</t>
  </si>
  <si>
    <t>Premium Tax Accrual - Allocation</t>
  </si>
  <si>
    <t>A262100-03</t>
  </si>
  <si>
    <t>Taxes Payable Licenses Fees</t>
  </si>
  <si>
    <t>A262100-04</t>
  </si>
  <si>
    <t>Taxes Pay Real Estate</t>
  </si>
  <si>
    <t>A262100-05</t>
  </si>
  <si>
    <t>Taxes Payable Personal Property Tax</t>
  </si>
  <si>
    <t>A262101-00</t>
  </si>
  <si>
    <t>Taxes Payable State</t>
  </si>
  <si>
    <t>A262101-03</t>
  </si>
  <si>
    <t>Taxes Recoverable-State Current</t>
  </si>
  <si>
    <t>A262101-05</t>
  </si>
  <si>
    <t>Taxes Payable State Franchise/Excise Tax</t>
  </si>
  <si>
    <t>A262101-06</t>
  </si>
  <si>
    <t>Taxes Payable Other State Taxes</t>
  </si>
  <si>
    <t>A262102-00</t>
  </si>
  <si>
    <t>Taxes Payable City or Local</t>
  </si>
  <si>
    <t>A262103-00</t>
  </si>
  <si>
    <t>Taxes Payable Use Tax</t>
  </si>
  <si>
    <t>A262104-00</t>
  </si>
  <si>
    <t>Taxes Payable Sales Tax</t>
  </si>
  <si>
    <t>A262105-00</t>
  </si>
  <si>
    <t>Taxes Payable - E&amp;S taxes</t>
  </si>
  <si>
    <t>A262106-00</t>
  </si>
  <si>
    <t>Taxes Payable PST</t>
  </si>
  <si>
    <t>A262106-01</t>
  </si>
  <si>
    <t>Taxes Pay - PST</t>
  </si>
  <si>
    <t>A262106-02</t>
  </si>
  <si>
    <t>Taxes Pay - Ins RST</t>
  </si>
  <si>
    <t>A262107-00</t>
  </si>
  <si>
    <t>Taxes Payable GST</t>
  </si>
  <si>
    <t>A262107-01</t>
  </si>
  <si>
    <t>Taxes Pay - GST HST</t>
  </si>
  <si>
    <t>A262107-20</t>
  </si>
  <si>
    <t>Taxes Pay - GST self-assessed</t>
  </si>
  <si>
    <t>A262108-00</t>
  </si>
  <si>
    <t>Taxes Payable - VAT</t>
  </si>
  <si>
    <t>A262109-00</t>
  </si>
  <si>
    <t>Accrued Insurance Department Penalties</t>
  </si>
  <si>
    <t>A262110-00</t>
  </si>
  <si>
    <t>Taxes Payable HST</t>
  </si>
  <si>
    <t>A262111-00</t>
  </si>
  <si>
    <t>Taxes Payable RST</t>
  </si>
  <si>
    <t>A262112-00</t>
  </si>
  <si>
    <t>Taxes Payable State - Current</t>
  </si>
  <si>
    <t>Taxes payable roll-up, not TLF</t>
  </si>
  <si>
    <t>A262101-04</t>
  </si>
  <si>
    <t>TLF roll-up is correct</t>
  </si>
  <si>
    <t>A262113-00</t>
  </si>
  <si>
    <t>Taxes Payable Other</t>
  </si>
  <si>
    <t>A262120-00</t>
  </si>
  <si>
    <t>Taxes Payable Guaranty Fund</t>
  </si>
  <si>
    <t>A262121-00</t>
  </si>
  <si>
    <t>Annual Insurer Fee Pay</t>
  </si>
  <si>
    <t>A266100-00</t>
  </si>
  <si>
    <t>Guarantee Assessment Liability</t>
  </si>
  <si>
    <t>A263300-00</t>
  </si>
  <si>
    <t>UEF - Ceding Fee - Ced NonAffil</t>
  </si>
  <si>
    <t>A263500-00</t>
  </si>
  <si>
    <t>UEF - Ceding Fee - Ced Affil</t>
  </si>
  <si>
    <t>A161000-00</t>
  </si>
  <si>
    <t>Taxes Recoverable-Fed Current</t>
  </si>
  <si>
    <t>A161900-00</t>
  </si>
  <si>
    <t xml:space="preserve">Taxes Recoverable-Fed Current Nonadmit </t>
  </si>
  <si>
    <t>A261000-00</t>
  </si>
  <si>
    <t>Taxes Payable TLF</t>
  </si>
  <si>
    <t>Taxes Payable Federal-Current</t>
  </si>
  <si>
    <t>TWG income tax payable/receivable</t>
  </si>
  <si>
    <t>A263100-00</t>
  </si>
  <si>
    <t>Unrnd Fee Dir</t>
  </si>
  <si>
    <t>A263100-01</t>
  </si>
  <si>
    <t>Unearned Fees Debt</t>
  </si>
  <si>
    <t>A263100-02</t>
  </si>
  <si>
    <t>Unrnd Inc Oth Non Aflt</t>
  </si>
  <si>
    <t>A263100-03</t>
  </si>
  <si>
    <t>UEF Reclass to UPR - Dir</t>
  </si>
  <si>
    <t>A263100-04</t>
  </si>
  <si>
    <t>UEF - Mortgage Fees - Dir</t>
  </si>
  <si>
    <t>A263100-05</t>
  </si>
  <si>
    <t>UEF - Loss Draft Fees - Dir</t>
  </si>
  <si>
    <t>A263100-07</t>
  </si>
  <si>
    <t>UEF Loss Fund - Dir</t>
  </si>
  <si>
    <t>A263101-00</t>
  </si>
  <si>
    <t>Unrnd Inv Inc Plcy Related Interest</t>
  </si>
  <si>
    <t>A263102-00</t>
  </si>
  <si>
    <t>Unearned Inv Inc - other</t>
  </si>
  <si>
    <t>A263103-00</t>
  </si>
  <si>
    <t>Unearned Other Revenue Fees</t>
  </si>
  <si>
    <t>A263200-00</t>
  </si>
  <si>
    <t>Non LPT Retro - Asm Non Affil</t>
  </si>
  <si>
    <t>A263301-00</t>
  </si>
  <si>
    <t>LPT Retroactive Rein Ced NonAffil</t>
  </si>
  <si>
    <t>A263302-00</t>
  </si>
  <si>
    <t>Non LPT Retro Rein Ced NonAffil</t>
  </si>
  <si>
    <t>A263501-00</t>
  </si>
  <si>
    <t>LPT Retroactive Rein Ced Affil</t>
  </si>
  <si>
    <t>A263502-00</t>
  </si>
  <si>
    <t>Non LPT Retro Rein Ced Affil</t>
  </si>
  <si>
    <t>A270000-00</t>
  </si>
  <si>
    <t>Bridge Loan</t>
  </si>
  <si>
    <t>A270000-01</t>
  </si>
  <si>
    <t>Bridge Ln - 2026 3Yr Sr Notes</t>
  </si>
  <si>
    <t>A270000-02</t>
  </si>
  <si>
    <t>Bridge Ln - 2030 10Yr Bond</t>
  </si>
  <si>
    <t>A270000-03</t>
  </si>
  <si>
    <t>Bridge Ln - 10Yr Sr Notes Due 2032</t>
  </si>
  <si>
    <t>A270000-04</t>
  </si>
  <si>
    <t>Bridge Ln - 30Yr Notes</t>
  </si>
  <si>
    <t>A270000-05</t>
  </si>
  <si>
    <t>Bridge Ln - 40Yr Notes</t>
  </si>
  <si>
    <t>A270000-06</t>
  </si>
  <si>
    <t>Bridge Ln - 5Yr Notes</t>
  </si>
  <si>
    <t>TWGNT05</t>
  </si>
  <si>
    <t>A270000-07</t>
  </si>
  <si>
    <t>Bridge Ln - 10Yr Notes</t>
  </si>
  <si>
    <t>A270000-08</t>
  </si>
  <si>
    <t>A271000-00</t>
  </si>
  <si>
    <t>Unamortized Discount</t>
  </si>
  <si>
    <t>A271000-01</t>
  </si>
  <si>
    <t>Unamort Disc - 2026 3Yr Sr Notes</t>
  </si>
  <si>
    <t>A271000-02</t>
  </si>
  <si>
    <t>Unamort Disc - 2030 10Yr Bond</t>
  </si>
  <si>
    <t>A271000-03</t>
  </si>
  <si>
    <t>Unamort Disc - 10Yr Sr Notes Due 2032</t>
  </si>
  <si>
    <t>A271000-04</t>
  </si>
  <si>
    <t>Unamort Disc - 30Yr Notes</t>
  </si>
  <si>
    <t>A271000-05</t>
  </si>
  <si>
    <t>Unamort Disc - 5Yr Notes</t>
  </si>
  <si>
    <t>A271000-06</t>
  </si>
  <si>
    <t>Unamort Disc - 10Yr Notes</t>
  </si>
  <si>
    <t>A272000-00</t>
  </si>
  <si>
    <t>Debt Issuance Cost</t>
  </si>
  <si>
    <t>A272000-01</t>
  </si>
  <si>
    <t>Debt Issue Cost -2026 3Yr Sr Notes</t>
  </si>
  <si>
    <t>A272000-02</t>
  </si>
  <si>
    <t>Debt Issue Cost -2030 10Yr Bond</t>
  </si>
  <si>
    <t>A272000-03</t>
  </si>
  <si>
    <t>Debt Issue Cost -10Yr Sr Notes Due 2032</t>
  </si>
  <si>
    <t>A272000-04</t>
  </si>
  <si>
    <t>Debt Issue Cost -30Yr Notes</t>
  </si>
  <si>
    <t>A272000-05</t>
  </si>
  <si>
    <t>Debt Issue Cost -40Yr Notes</t>
  </si>
  <si>
    <t>A272000-06</t>
  </si>
  <si>
    <t>Debt Issue Cost -5Yr Notes</t>
  </si>
  <si>
    <t>A272000-07</t>
  </si>
  <si>
    <t>Debt Issue Cost -10Yr Notes</t>
  </si>
  <si>
    <t>A272000-08</t>
  </si>
  <si>
    <t>A300000-00</t>
  </si>
  <si>
    <t>Capital Stck Common-Issuance</t>
  </si>
  <si>
    <t>A320000-00</t>
  </si>
  <si>
    <t>Grss Pd In &amp; Cntrbd Srpls-Issuance</t>
  </si>
  <si>
    <t>A3T0009</t>
  </si>
  <si>
    <t>TWG</t>
  </si>
  <si>
    <t>Chng Srpls Capital Paid In</t>
  </si>
  <si>
    <t>A3T0125</t>
  </si>
  <si>
    <t>A320010-00</t>
  </si>
  <si>
    <t>Chng Srpls Capital Paid In Retirement</t>
  </si>
  <si>
    <t>A3T0126</t>
  </si>
  <si>
    <t>A320001-00</t>
  </si>
  <si>
    <t>APIC - AAIR-Issuance</t>
  </si>
  <si>
    <t>A3T0010</t>
  </si>
  <si>
    <t>A320002-00</t>
  </si>
  <si>
    <t>APIC RS-Issuance</t>
  </si>
  <si>
    <t>A3T0013</t>
  </si>
  <si>
    <t>A320003-00</t>
  </si>
  <si>
    <t>APIC ESPP-Issuance</t>
  </si>
  <si>
    <t>A3T0016</t>
  </si>
  <si>
    <t>A320004-00</t>
  </si>
  <si>
    <t>APIC PSU - Issuance</t>
  </si>
  <si>
    <t>A3T0019</t>
  </si>
  <si>
    <t>A300005-00</t>
  </si>
  <si>
    <t>Capital Stck Common - Retirement</t>
  </si>
  <si>
    <t>A310000-00</t>
  </si>
  <si>
    <t>Preferred Stock</t>
  </si>
  <si>
    <t>A311005-00</t>
  </si>
  <si>
    <t>Treasury Stck Common - Retirement</t>
  </si>
  <si>
    <t>Additional Paid In Capital - Prfrd Stock</t>
  </si>
  <si>
    <t>A3T0046</t>
  </si>
  <si>
    <t>A320100-00</t>
  </si>
  <si>
    <t>APIC -AAIR-Expense</t>
  </si>
  <si>
    <t>A3T0011</t>
  </si>
  <si>
    <t>A320101-00</t>
  </si>
  <si>
    <t>APIC RS-Expense</t>
  </si>
  <si>
    <t>A3T0014</t>
  </si>
  <si>
    <t>A320102-00</t>
  </si>
  <si>
    <t>APIC ESPP-Expense</t>
  </si>
  <si>
    <t>A3T0017</t>
  </si>
  <si>
    <t>A320103-00</t>
  </si>
  <si>
    <t>APIC - PSU - Expense</t>
  </si>
  <si>
    <t>A3T0020</t>
  </si>
  <si>
    <t>A320104-00</t>
  </si>
  <si>
    <t>APIC - RSU - Expense</t>
  </si>
  <si>
    <t>A3T0022</t>
  </si>
  <si>
    <t>A320105-00</t>
  </si>
  <si>
    <t>APIC - tax pool SARS</t>
  </si>
  <si>
    <t>A3T0012</t>
  </si>
  <si>
    <t>A320106-00</t>
  </si>
  <si>
    <t>APIC - tax pool RS</t>
  </si>
  <si>
    <t>A3T0018</t>
  </si>
  <si>
    <t>A320107-00</t>
  </si>
  <si>
    <t>APIC - tax pool ESPP</t>
  </si>
  <si>
    <t>A3T0021</t>
  </si>
  <si>
    <t>A320108-00</t>
  </si>
  <si>
    <t>APIC - tax pool PSU</t>
  </si>
  <si>
    <t>A330000-00</t>
  </si>
  <si>
    <t>Retained Earnings</t>
  </si>
  <si>
    <t>A330001-00</t>
  </si>
  <si>
    <t>Unassgnd Fnds PY Earnings</t>
  </si>
  <si>
    <t>A3T0029</t>
  </si>
  <si>
    <t>Unassgnd Funds Equity Pick-up</t>
  </si>
  <si>
    <t>A3T0031</t>
  </si>
  <si>
    <t>A330002-00</t>
  </si>
  <si>
    <t>P_L Close Out</t>
  </si>
  <si>
    <t>A3T0030</t>
  </si>
  <si>
    <t>PY Amort of gain on sale of line of business Temp</t>
  </si>
  <si>
    <t>A3T0045</t>
  </si>
  <si>
    <t>A330003-00</t>
  </si>
  <si>
    <t>PY Cap Gain Loss Money Market MVA</t>
  </si>
  <si>
    <t>A3T0114</t>
  </si>
  <si>
    <t>A330004-00</t>
  </si>
  <si>
    <t>PY Cap Gain Loss PS GAAP Bnd STAT MVA</t>
  </si>
  <si>
    <t>A3T0115</t>
  </si>
  <si>
    <t>A330005-00</t>
  </si>
  <si>
    <t>PY Cap Gain Loss Prfd Stck MVA</t>
  </si>
  <si>
    <t>A3T0116</t>
  </si>
  <si>
    <t>A330006-00</t>
  </si>
  <si>
    <t>PY Cap Gain Loss Common Stock MVA</t>
  </si>
  <si>
    <t>A3T0117</t>
  </si>
  <si>
    <t>A330007-00</t>
  </si>
  <si>
    <t>PY Cap Gain Loss Mutual Fund MVA</t>
  </si>
  <si>
    <t>A3T0118</t>
  </si>
  <si>
    <t>A330010-00</t>
  </si>
  <si>
    <t>Unassgnd Fnds PY Srpls Adj</t>
  </si>
  <si>
    <t>A3T0032</t>
  </si>
  <si>
    <t>A330015-00</t>
  </si>
  <si>
    <t>Unassgnd Fnds Dvds from Aflt</t>
  </si>
  <si>
    <t>A3T0034</t>
  </si>
  <si>
    <t>A330020-00</t>
  </si>
  <si>
    <t>Unassgnd Fnds Chgs In Acctg Prncpl</t>
  </si>
  <si>
    <t>A3T0033</t>
  </si>
  <si>
    <t>A330021-00</t>
  </si>
  <si>
    <t>Unassgnd Fnds Divds Pd To Aflt</t>
  </si>
  <si>
    <t>A3T0035</t>
  </si>
  <si>
    <t>A330930-00</t>
  </si>
  <si>
    <t>Unassgnd Fnds Non Admitd Asts</t>
  </si>
  <si>
    <t>A3T0041</t>
  </si>
  <si>
    <t>A330035-00</t>
  </si>
  <si>
    <t>Unassgnd Fnds Oth</t>
  </si>
  <si>
    <t>A3T0027</t>
  </si>
  <si>
    <t>A330036-00</t>
  </si>
  <si>
    <t>Segment Equity Allocation</t>
  </si>
  <si>
    <t>A3T0028</t>
  </si>
  <si>
    <t>A330037-00</t>
  </si>
  <si>
    <t>Equity Pick-up Other Changes</t>
  </si>
  <si>
    <t>A3T0142</t>
  </si>
  <si>
    <t>A330042-00</t>
  </si>
  <si>
    <t>Chng Surplus Net Deferred Income Tax</t>
  </si>
  <si>
    <t>A3T0122</t>
  </si>
  <si>
    <t>A330038-00</t>
  </si>
  <si>
    <t>Chng Srpls Asst Valuation Reserve</t>
  </si>
  <si>
    <t>A3T0124</t>
  </si>
  <si>
    <t>A330100-00</t>
  </si>
  <si>
    <t>Chng Srpls Treasury Stock Retirement</t>
  </si>
  <si>
    <t>A330500-00</t>
  </si>
  <si>
    <t>Chng Srpls Dividends to Stockhldrs</t>
  </si>
  <si>
    <t>A3T0133</t>
  </si>
  <si>
    <t>A330939-00</t>
  </si>
  <si>
    <t>Chng Srpls NonAdmitted Asts</t>
  </si>
  <si>
    <t>A3T0140</t>
  </si>
  <si>
    <t>A330040-00</t>
  </si>
  <si>
    <t>Chng Srpls Reins in Unathr Cmpnys</t>
  </si>
  <si>
    <t>A3T0141</t>
  </si>
  <si>
    <t>A330041-00</t>
  </si>
  <si>
    <t>Other Changes in Surplus</t>
  </si>
  <si>
    <t>A3T0143</t>
  </si>
  <si>
    <t>A330045-00</t>
  </si>
  <si>
    <t>Oth Aggr Wrt In Oth Thn Spec Srpls</t>
  </si>
  <si>
    <t>A3T0108</t>
  </si>
  <si>
    <t>A330050-00</t>
  </si>
  <si>
    <t>Oth Aggr Wrt In Oth For Spec Srpl</t>
  </si>
  <si>
    <t>A3T0110</t>
  </si>
  <si>
    <t>A330051-00</t>
  </si>
  <si>
    <t>Oth Aggr Wrt In For Spec Srpl PY Tax</t>
  </si>
  <si>
    <t>A3T0111</t>
  </si>
  <si>
    <t>A330055-00</t>
  </si>
  <si>
    <t>Goodwill From Acquisition</t>
  </si>
  <si>
    <t>A3T0112</t>
  </si>
  <si>
    <t>A330060-00</t>
  </si>
  <si>
    <t>Beginning IGAAP Equity</t>
  </si>
  <si>
    <t>A3T0215</t>
  </si>
  <si>
    <t>A330065-00</t>
  </si>
  <si>
    <t>Cum eff of chng for CECL</t>
  </si>
  <si>
    <t>A3T0119</t>
  </si>
  <si>
    <t>A330066-00</t>
  </si>
  <si>
    <t>Cum eff of chng for CECL Tax</t>
  </si>
  <si>
    <t>A3T0120</t>
  </si>
  <si>
    <t>Tax PY Allw Unrlzd Gain ST (closed)</t>
  </si>
  <si>
    <t>A3T0061</t>
  </si>
  <si>
    <t>PY Allw Unrlzd Loss Common Stk Affl (closed)</t>
  </si>
  <si>
    <t>closed</t>
  </si>
  <si>
    <t>PY Tax Amrt pension unrgzd periodic ben cost</t>
  </si>
  <si>
    <t>A3T0082</t>
  </si>
  <si>
    <t>PY Allow for Unreal G L - Derivatives</t>
  </si>
  <si>
    <t>A3T0083</t>
  </si>
  <si>
    <t>Tax PY Allow for Unreal  G L Derivatives</t>
  </si>
  <si>
    <t>A3T0084</t>
  </si>
  <si>
    <t>PY Allw for Unrid Gn/Lss on RE Joint Ventures (closed)</t>
  </si>
  <si>
    <t>PY Unrealized gain loss BA - Afflt</t>
  </si>
  <si>
    <t>A3T0089</t>
  </si>
  <si>
    <t>A349000-00</t>
  </si>
  <si>
    <t>Chng Srpls Foreign Currency Exchng</t>
  </si>
  <si>
    <t>A3T0135</t>
  </si>
  <si>
    <t>A349001-00</t>
  </si>
  <si>
    <t>CTA on Beginning Balance</t>
  </si>
  <si>
    <t>A349002-00</t>
  </si>
  <si>
    <t>CTA on FX Translation</t>
  </si>
  <si>
    <t>A349003-00</t>
  </si>
  <si>
    <t>CTA on Activity</t>
  </si>
  <si>
    <t>A349101-00</t>
  </si>
  <si>
    <t>Def Tax on Change in Foreign Currency</t>
  </si>
  <si>
    <t>A3T0137</t>
  </si>
  <si>
    <t>Cum eff of chng for ASU 2016-01</t>
  </si>
  <si>
    <t>A3T0148</t>
  </si>
  <si>
    <t>Cum eff of chng for ASU 2016-01 Tax</t>
  </si>
  <si>
    <t>A3T0149</t>
  </si>
  <si>
    <t>Cum eff of chng Rev Rec</t>
  </si>
  <si>
    <t>A3T0151</t>
  </si>
  <si>
    <t>Cum eff of chng Rev Rec Tax</t>
  </si>
  <si>
    <t>A3T0152</t>
  </si>
  <si>
    <t>A349110-00</t>
  </si>
  <si>
    <t>Tax CY Allw For Fixed Maturity Equity Securities</t>
  </si>
  <si>
    <t>A3T0153</t>
  </si>
  <si>
    <t>FX Allw for Fixed Maturity Equity Securities</t>
  </si>
  <si>
    <t>A3T0154</t>
  </si>
  <si>
    <t>CY Allw for Unrlzd Gain Loss Bnds Assurant CLO</t>
  </si>
  <si>
    <t>A3T0157</t>
  </si>
  <si>
    <t>CY Allw for Unrealized Gain Loss on LT Bonds</t>
  </si>
  <si>
    <t>A3T0167</t>
  </si>
  <si>
    <t>FX  Allw For Unrld Gn Loss Fxd Inc</t>
  </si>
  <si>
    <t>A3T0168</t>
  </si>
  <si>
    <t>Tax CY Allw for Unrealized Gain on LT Bonds</t>
  </si>
  <si>
    <t>A3T0169</t>
  </si>
  <si>
    <t>CY Allw for Unrlzd Gain Loss on Rdm Pref Stk</t>
  </si>
  <si>
    <t>A3T0170</t>
  </si>
  <si>
    <t>CY Allw Unrld Gn Loss Money Market</t>
  </si>
  <si>
    <t>A3T0173</t>
  </si>
  <si>
    <t>CY Allow for Highly Inflationary OCI</t>
  </si>
  <si>
    <t>A3T0176</t>
  </si>
  <si>
    <t>CY Al Unrld Gn Loss Common Stk Unaff</t>
  </si>
  <si>
    <t>A3T0182</t>
  </si>
  <si>
    <t>CY Def Tax on FX Cashflow Hedges</t>
  </si>
  <si>
    <t>A3T0139</t>
  </si>
  <si>
    <t>Tax CY Impairment Allow LT Bonds AFS</t>
  </si>
  <si>
    <t>A3T0156</t>
  </si>
  <si>
    <t>Tax CY Allow for unrealized OTTI</t>
  </si>
  <si>
    <t>A3T0181</t>
  </si>
  <si>
    <t>Tax CY Allw for Unrld Bond to OTTI</t>
  </si>
  <si>
    <t>A3T0187</t>
  </si>
  <si>
    <t>CY Tax Amrt pension unrgzd periodic ben/cost</t>
  </si>
  <si>
    <t>A3T0196</t>
  </si>
  <si>
    <t>Tax - CY Allow for Unreal G/L - Swaption</t>
  </si>
  <si>
    <t>A3T0198</t>
  </si>
  <si>
    <t>Tax - CY Allow for Unreal G/L - Other derivatives</t>
  </si>
  <si>
    <t>A3T0200</t>
  </si>
  <si>
    <t>CY Al Unrld Gn Common Stk Affl</t>
  </si>
  <si>
    <t>A3T0185</t>
  </si>
  <si>
    <t>CY Allow for Unrealized Gain Loss Surplus Not</t>
  </si>
  <si>
    <t>A3T0189</t>
  </si>
  <si>
    <t>Tax CY Allow for Unrealized Loss-Surplus Notes (closed)</t>
  </si>
  <si>
    <t>A3T0190</t>
  </si>
  <si>
    <t>CY Allw For Unrld Gn/Lss on CLO LP</t>
  </si>
  <si>
    <t>A3T0191</t>
  </si>
  <si>
    <t>Tax Cur Yr Al Unrlzd Gn/Ls CLO LP</t>
  </si>
  <si>
    <t>A3T0192</t>
  </si>
  <si>
    <t>CY Allw for Unrealized Gain/Loss on Other</t>
  </si>
  <si>
    <t>A3T0193</t>
  </si>
  <si>
    <t>Tax CY allw for Unrealized Gain/Loss on Other</t>
  </si>
  <si>
    <t>A3T0194</t>
  </si>
  <si>
    <t>CY Amrt pension unrgzd periodic ben/cost</t>
  </si>
  <si>
    <t>A3T0195</t>
  </si>
  <si>
    <t>Cy Allw For Unrld Gn/Lss On Oth BA</t>
  </si>
  <si>
    <t>A3T0201</t>
  </si>
  <si>
    <t>Tax Cur Yr Al Unrlzd Ga/Ls Other BA</t>
  </si>
  <si>
    <t>A3T0202</t>
  </si>
  <si>
    <t>A349025-00</t>
  </si>
  <si>
    <t>CY Allw For Unrld Gn/Lss on Limited Prtnr</t>
  </si>
  <si>
    <t>none</t>
  </si>
  <si>
    <t>CY Allw Unrld Gn Loss Mutual Fund Naflt</t>
  </si>
  <si>
    <t>A3T0204</t>
  </si>
  <si>
    <t>CY Al Unrld Gain Loss Preferred Stk Unaff</t>
  </si>
  <si>
    <t>A3T0208</t>
  </si>
  <si>
    <t>CY All Unrlz Gain Loss PS GAAP Bond STAT</t>
  </si>
  <si>
    <t>A3T0210</t>
  </si>
  <si>
    <t>A349034-00</t>
  </si>
  <si>
    <t>CY LDTI Revaluation Dir</t>
  </si>
  <si>
    <t>A349035-00</t>
  </si>
  <si>
    <t>CY LDTI Revaluation Cd</t>
  </si>
  <si>
    <t>A349100-00</t>
  </si>
  <si>
    <t>PY Unassgnd Fnds Chgs in FX</t>
  </si>
  <si>
    <t>A3T0024</t>
  </si>
  <si>
    <t>PY Unassgnd Fnds Chngs in Frgn Crncy</t>
  </si>
  <si>
    <t>A3T0036</t>
  </si>
  <si>
    <t>PY Unassgnd Fnds Chngs Frgn Crncy</t>
  </si>
  <si>
    <t>A3T0037</t>
  </si>
  <si>
    <t>PY Unassgnd Fnds in FX - Other</t>
  </si>
  <si>
    <t>A3T0039</t>
  </si>
  <si>
    <t>PGAAP - Change on Foreign Exchange</t>
  </si>
  <si>
    <t>A3T0040</t>
  </si>
  <si>
    <t>Tax PY Allw For Fixed Maturity Equity Securities</t>
  </si>
  <si>
    <t>A3T0047</t>
  </si>
  <si>
    <t>PY Allw for Unrlzd Gain Loss Bnds Assurant CLO</t>
  </si>
  <si>
    <t>A3T0050</t>
  </si>
  <si>
    <t>PY Allw for Unrealized Gain Loss on URR Temp</t>
  </si>
  <si>
    <t>A3T0052</t>
  </si>
  <si>
    <t>Tax PY Allw for Unrealized Gain Loss on URR Temp</t>
  </si>
  <si>
    <t>A3T0053</t>
  </si>
  <si>
    <t>PY Allw for Unrealized Gain Loss on Shadow DAC Temp</t>
  </si>
  <si>
    <t>A3T0054</t>
  </si>
  <si>
    <t>Tax PY Allw for Unrealized Gain Loss on Shadow DAC Temp</t>
  </si>
  <si>
    <t>A3T0055</t>
  </si>
  <si>
    <t>PY Allw For Unrld Gain Loss Fixed Inc</t>
  </si>
  <si>
    <t>A3T0056</t>
  </si>
  <si>
    <t>Tax Pr Yr Allow Unrlzd Gn Fix Inc</t>
  </si>
  <si>
    <t>A3T0057</t>
  </si>
  <si>
    <t>PY Allw for Unrlzd Gain Loss on Rdm Pref Stk</t>
  </si>
  <si>
    <t>A3T0059</t>
  </si>
  <si>
    <t>PY Allw for Unrld Gain ST</t>
  </si>
  <si>
    <t>A3T0060</t>
  </si>
  <si>
    <t>PY Allw Unrld Gn Loss Money Market</t>
  </si>
  <si>
    <t>A3T0062</t>
  </si>
  <si>
    <t>PY Allow for Highly Inflationary OCI</t>
  </si>
  <si>
    <t>A3T0064</t>
  </si>
  <si>
    <t>Tax PY Allow for Highly Inflationary OCI</t>
  </si>
  <si>
    <t>A3T0065</t>
  </si>
  <si>
    <t>Tax PY Allow for unrealized for OTTI</t>
  </si>
  <si>
    <t>A3T0068</t>
  </si>
  <si>
    <t>PY Allw For Unrld Gain Loss Common Stk Unaff</t>
  </si>
  <si>
    <t>A3T0069</t>
  </si>
  <si>
    <t>Tax PY Al Unrld Gn Common Stk Unaff</t>
  </si>
  <si>
    <t>A3T0070</t>
  </si>
  <si>
    <t>PY Allw For Unrld Gn Common Stk Affl</t>
  </si>
  <si>
    <t>A3T0071</t>
  </si>
  <si>
    <t>Tax PY Allw for Unrld Bond to OTTI</t>
  </si>
  <si>
    <t>A3T0073</t>
  </si>
  <si>
    <t>PY Allw For Unrld Gn/Lss on CLO LP</t>
  </si>
  <si>
    <t>A3T0076</t>
  </si>
  <si>
    <t>Tax PY Al Unrlzd Gn/Ls CLO LP</t>
  </si>
  <si>
    <t>A3T0077</t>
  </si>
  <si>
    <t>PY Allow For Unrealized Gn/Lss Other</t>
  </si>
  <si>
    <t>A3T0079</t>
  </si>
  <si>
    <t>Tax PY Allw For Unreal Gn/Lss Other</t>
  </si>
  <si>
    <t>A3T0080</t>
  </si>
  <si>
    <t>PY Amrt Pension unrgzd periodic ben/cost</t>
  </si>
  <si>
    <t>A3T0081</t>
  </si>
  <si>
    <t>PY Allw For Unrld Gn/Lss On Oth BA</t>
  </si>
  <si>
    <t>A3T0087</t>
  </si>
  <si>
    <t>Tax Pr Yr Al Unrlzd Ga/Ls Other BA</t>
  </si>
  <si>
    <t>A3T0088</t>
  </si>
  <si>
    <t>A349010-00</t>
  </si>
  <si>
    <t>PY FX Cashflow Hedges</t>
  </si>
  <si>
    <t>A349005-00</t>
  </si>
  <si>
    <t>CY FX Cashflow Hedges</t>
  </si>
  <si>
    <t>A349102-00</t>
  </si>
  <si>
    <t>Tax - PY Unassgnd Fnds Chngs Frgn Crncy</t>
  </si>
  <si>
    <t>A349125-00</t>
  </si>
  <si>
    <t>PY Allw For Unrld Gn/Lss on Limited Prtnr</t>
  </si>
  <si>
    <t>PY Allw For Unrld Gn Policy Loans</t>
  </si>
  <si>
    <t>A3T0090</t>
  </si>
  <si>
    <t>PY Allw Unrld Gn Loss Mutual Fund Naflt</t>
  </si>
  <si>
    <t>A3T0091</t>
  </si>
  <si>
    <t>PY Allw For Unrld Gain Loss Preferred Stk Unaff</t>
  </si>
  <si>
    <t>A3T0096</t>
  </si>
  <si>
    <t>Tax PY Al Unrld Gain Preferred Stk Unaff</t>
  </si>
  <si>
    <t>A3T0098</t>
  </si>
  <si>
    <t>PY Al Unrld Gain Preferred Stk Aff</t>
  </si>
  <si>
    <t>A3T0232</t>
  </si>
  <si>
    <t>PY All Unrlz Gain Loss PS GAAP Bond STAT</t>
  </si>
  <si>
    <t>A3T0100</t>
  </si>
  <si>
    <t>PY Change in VA</t>
  </si>
  <si>
    <t>A3T0106</t>
  </si>
  <si>
    <t>A311000-00</t>
  </si>
  <si>
    <t>Treasury Stck Common</t>
  </si>
  <si>
    <t>A3T0007</t>
  </si>
  <si>
    <t>A3T0038-00</t>
  </si>
  <si>
    <t>PY Def Tax on FX Cashflow Hedges</t>
  </si>
  <si>
    <t>A350000-00</t>
  </si>
  <si>
    <t>CY gross non-controlling interest</t>
  </si>
  <si>
    <t>A3T0217</t>
  </si>
  <si>
    <t>A350100-00</t>
  </si>
  <si>
    <t>PY gross non-controlling interest</t>
  </si>
  <si>
    <t>A3T0223</t>
  </si>
  <si>
    <t>CY Gross change in equity of non-controlling interest</t>
  </si>
  <si>
    <t>A3T0221</t>
  </si>
  <si>
    <t>CY Tax on change in equity of non-controlling interest</t>
  </si>
  <si>
    <t>A3T0222</t>
  </si>
  <si>
    <t>A400100-00</t>
  </si>
  <si>
    <t>Prem Written - Dir</t>
  </si>
  <si>
    <t>A400100-01</t>
  </si>
  <si>
    <t>Prem Written - Risk Fee - Dir</t>
  </si>
  <si>
    <t>A400100-02</t>
  </si>
  <si>
    <t>Prem Written - Admin - Dir</t>
  </si>
  <si>
    <t>A400100-03</t>
  </si>
  <si>
    <t>Prem Written - Loss Fund - Dir</t>
  </si>
  <si>
    <t>A400100-04</t>
  </si>
  <si>
    <t>Prem Written - Prem Tax - Dir</t>
  </si>
  <si>
    <t>A400100-05</t>
  </si>
  <si>
    <t>Prem Written - Exp Rated Refunds - Dir</t>
  </si>
  <si>
    <t>A400100-06</t>
  </si>
  <si>
    <t>Prem Written - Cancelled - Dir</t>
  </si>
  <si>
    <t>A400100-08</t>
  </si>
  <si>
    <t>Prem Written - Retail Gross-up - Dir</t>
  </si>
  <si>
    <t>A400100-10</t>
  </si>
  <si>
    <t>Prem Written - Dealer Cst Gross-up - Dir</t>
  </si>
  <si>
    <t>A400100-09</t>
  </si>
  <si>
    <t>Prem Written - Comm Broker Fee - Dir</t>
  </si>
  <si>
    <t>A400102-00</t>
  </si>
  <si>
    <t>Prem Written - Reclass from Fee Income</t>
  </si>
  <si>
    <t>A400101-00</t>
  </si>
  <si>
    <t>Prem Written- CAT Reinstatement Non-Affil</t>
  </si>
  <si>
    <t>A400110-00</t>
  </si>
  <si>
    <t>Prem Written Clip - Dir Affil</t>
  </si>
  <si>
    <t>A400110-01</t>
  </si>
  <si>
    <t>Prem Written Clip - Risk Fee - Dir Affil</t>
  </si>
  <si>
    <t>A400110-03</t>
  </si>
  <si>
    <t>Prem Written Clip - Loss Fund Dir Affil</t>
  </si>
  <si>
    <t>A400110-04</t>
  </si>
  <si>
    <t>Prem Written Clip - Prem Tax Dir Affil</t>
  </si>
  <si>
    <t>A400110-05</t>
  </si>
  <si>
    <t>Prem Written Clip - RFee Ptax Dir Affil</t>
  </si>
  <si>
    <t>A400200-00</t>
  </si>
  <si>
    <t>Prem Written - Asm Non-Affil</t>
  </si>
  <si>
    <t>A400200-01</t>
  </si>
  <si>
    <t>Prem Written - Risk Fee - Asm Non-Affil</t>
  </si>
  <si>
    <t>A400200-02</t>
  </si>
  <si>
    <t>Prem Written - Admin - Asm Non-Affil</t>
  </si>
  <si>
    <t>A400200-03</t>
  </si>
  <si>
    <t>Prem Written - Loss Fund - Asm Non-Affil</t>
  </si>
  <si>
    <t>A400200-04</t>
  </si>
  <si>
    <t>Prem Written - Prem Tax - Asm Non-Affil</t>
  </si>
  <si>
    <t>A400200-05</t>
  </si>
  <si>
    <t>Prem Written -Comm BKR Fee - Asm Non-Affil</t>
  </si>
  <si>
    <t>A400300-00</t>
  </si>
  <si>
    <t>Prem Written - Ced Non-Affil</t>
  </si>
  <si>
    <t>A400300-03</t>
  </si>
  <si>
    <t>Prem Written - Loss Fund - Ced Non-Affil</t>
  </si>
  <si>
    <t>A400300-04</t>
  </si>
  <si>
    <t>Prem Written - Prem Tax - Ced Non-Affil</t>
  </si>
  <si>
    <t>A400300-05</t>
  </si>
  <si>
    <t>Prem Written - Misc - Ced Non-Affil</t>
  </si>
  <si>
    <t>A400300-06</t>
  </si>
  <si>
    <t>Prem Written - Funds Held - Ced Non-Affil</t>
  </si>
  <si>
    <t>A400300-10</t>
  </si>
  <si>
    <t>Prem Written - CAT Ced Non-Affil</t>
  </si>
  <si>
    <t>A400300-11</t>
  </si>
  <si>
    <t>Prem Written - CAT Reinstatement Ced Non-Affil</t>
  </si>
  <si>
    <t>A400400-00</t>
  </si>
  <si>
    <t>Prem Written - Asm Affil</t>
  </si>
  <si>
    <t>A400400-01</t>
  </si>
  <si>
    <t>Prem Written - Risk Fee - Asm Affil</t>
  </si>
  <si>
    <t>A400400-02</t>
  </si>
  <si>
    <t>Prem Written - Admin - Asm Affil</t>
  </si>
  <si>
    <t>A400400-03</t>
  </si>
  <si>
    <t>Prem Written - Loss Fund - Asm Affil</t>
  </si>
  <si>
    <t>A400400-04</t>
  </si>
  <si>
    <t>Prem Written - Prem Tax - Asm Affil</t>
  </si>
  <si>
    <t>A400400-05</t>
  </si>
  <si>
    <t>Prem Written -Comm BKR Fee - Asm Affil</t>
  </si>
  <si>
    <t>A400500-00</t>
  </si>
  <si>
    <t>Prem Written - Ced Affil</t>
  </si>
  <si>
    <t>A400500-03</t>
  </si>
  <si>
    <t>Prem Written - Loss Fund - Ced Affil</t>
  </si>
  <si>
    <t>A400500-04</t>
  </si>
  <si>
    <t>Prem Written - Prem Tax - Ced Affil</t>
  </si>
  <si>
    <t>A400500-05</t>
  </si>
  <si>
    <t>Prem Written - Misc - Ced Affil</t>
  </si>
  <si>
    <t>A400500-06</t>
  </si>
  <si>
    <t>Prem Written - Funds Held - Ced Affil</t>
  </si>
  <si>
    <t>A401100-00</t>
  </si>
  <si>
    <t>Premiums - Dir</t>
  </si>
  <si>
    <t>A401100-22</t>
  </si>
  <si>
    <t>Premiums - Advances FY - Dir</t>
  </si>
  <si>
    <t>A401100-23</t>
  </si>
  <si>
    <t>Premiums - Due/Unpaid FY - Dir</t>
  </si>
  <si>
    <t>A401100-31</t>
  </si>
  <si>
    <t>Premiums - Renewal - Dir</t>
  </si>
  <si>
    <t>A401100-32</t>
  </si>
  <si>
    <t>Premiums - Advances Renewal - Dir</t>
  </si>
  <si>
    <t>A401100-33</t>
  </si>
  <si>
    <t>Premiums - Due/Unpaid Renewal - Dir</t>
  </si>
  <si>
    <t>A401100-34</t>
  </si>
  <si>
    <t>Premiums - Exp Rated Refunds - Dir</t>
  </si>
  <si>
    <t>A401100-41</t>
  </si>
  <si>
    <t>Premiums - Single - Dir</t>
  </si>
  <si>
    <t>A401100-51</t>
  </si>
  <si>
    <t>Premiums - Deposit Funds - Dir</t>
  </si>
  <si>
    <t>A401101-00</t>
  </si>
  <si>
    <t>Premiums - Life - Dir</t>
  </si>
  <si>
    <t>A401102-00</t>
  </si>
  <si>
    <t>Premiums - Suppl w/o Life Cont - Dir</t>
  </si>
  <si>
    <t>A401103-00</t>
  </si>
  <si>
    <t>Premiums - Suppl w Life Cont - Dir</t>
  </si>
  <si>
    <t>A401200-00</t>
  </si>
  <si>
    <t>Premiums - Asmd NonAffil</t>
  </si>
  <si>
    <t>A401200-21</t>
  </si>
  <si>
    <t>Premiums - FY - Asmd NonAffil</t>
  </si>
  <si>
    <t>A401200-22</t>
  </si>
  <si>
    <t>Premiums - Advances FY - Asmd NonAffil</t>
  </si>
  <si>
    <t>A401200-23</t>
  </si>
  <si>
    <t>Premiums - Due/Unpaid FY - Asmd NonAffil</t>
  </si>
  <si>
    <t>A401200-31</t>
  </si>
  <si>
    <t>Premiums - Renewal - Asmd NonAffil</t>
  </si>
  <si>
    <t>40004100</t>
  </si>
  <si>
    <t>A401200-32</t>
  </si>
  <si>
    <t>Premiums - Advances Renewal - Asmd NonAffil</t>
  </si>
  <si>
    <t>A401200-33</t>
  </si>
  <si>
    <t>Premiums - Due/Unpaid Renewal - Asmd NonAffil</t>
  </si>
  <si>
    <t>A401200-34</t>
  </si>
  <si>
    <t>Premiums - Exp Rated Refunds - Asmd NonAffil</t>
  </si>
  <si>
    <t>A401200-41</t>
  </si>
  <si>
    <t>Premiums - Single - Asmd NonAffil</t>
  </si>
  <si>
    <t>A401200-51</t>
  </si>
  <si>
    <t>Premiums - Deposit Funds - Asmd NonAffil</t>
  </si>
  <si>
    <t>A401300-00</t>
  </si>
  <si>
    <t>Premiums - Ced NonAffil</t>
  </si>
  <si>
    <t>Life entities</t>
  </si>
  <si>
    <t>A401300-21</t>
  </si>
  <si>
    <t>Premiums - FY - Ced NonAffil</t>
  </si>
  <si>
    <t>A401300-22</t>
  </si>
  <si>
    <t>Premiums - Advances FY - Ced NonAffil</t>
  </si>
  <si>
    <t>A401300-23</t>
  </si>
  <si>
    <t>Premiums - Due/Unpaid FY - Ced NonAffil</t>
  </si>
  <si>
    <t>A401300-31</t>
  </si>
  <si>
    <t>Premiums - Renewal - Ced NonAffil</t>
  </si>
  <si>
    <t>A401300-32</t>
  </si>
  <si>
    <t>Premiums - Advances Renewal - Ced NonAffil</t>
  </si>
  <si>
    <t>A401300-33</t>
  </si>
  <si>
    <t>Premiums - Due/Unpaid Renewal - Ced NonAffil</t>
  </si>
  <si>
    <t>A401300-34</t>
  </si>
  <si>
    <t>Premiums - Exp Rated Refunds - Ced NonAffil</t>
  </si>
  <si>
    <t>A401300-41</t>
  </si>
  <si>
    <t>Premiums - Single - Ced NonAffil</t>
  </si>
  <si>
    <t>A401300-51</t>
  </si>
  <si>
    <t>Premiums - Deposit Funds - Ced NonAffil</t>
  </si>
  <si>
    <t>A401400-00</t>
  </si>
  <si>
    <t>Premiums - Asmd Affil</t>
  </si>
  <si>
    <t>A401400-21</t>
  </si>
  <si>
    <t>Premiums - FY - Asmd Affil</t>
  </si>
  <si>
    <t>A401400-22</t>
  </si>
  <si>
    <t>Premiums - Advances FY - Asmd Affil</t>
  </si>
  <si>
    <t>A401400-23</t>
  </si>
  <si>
    <t>Premiums - Due/Unpaid FY - Asmd Affil</t>
  </si>
  <si>
    <t>A401400-31</t>
  </si>
  <si>
    <t>Premiums - Renewal - Asmd Affil</t>
  </si>
  <si>
    <t>A401400-32</t>
  </si>
  <si>
    <t>Premiums - Advances Renewal - Asmd Affil</t>
  </si>
  <si>
    <t>A401400-33</t>
  </si>
  <si>
    <t>Premiums - Due/Unpaid Renewal - Asmd Affil</t>
  </si>
  <si>
    <t>A401400-34</t>
  </si>
  <si>
    <t>Premiums - Exp Rated Refunds - Asmd Affil</t>
  </si>
  <si>
    <t>A401400-41</t>
  </si>
  <si>
    <t>Premiums - Single - Asmd Affil</t>
  </si>
  <si>
    <t>A401400-51</t>
  </si>
  <si>
    <t>Premiums - Deposit Funds - Asmd Affil</t>
  </si>
  <si>
    <t>A401500-00</t>
  </si>
  <si>
    <t>Premiums - Ced Affil</t>
  </si>
  <si>
    <t>A401500-21</t>
  </si>
  <si>
    <t>Premiums - FY - Ced Affil</t>
  </si>
  <si>
    <t>A401500-22</t>
  </si>
  <si>
    <t>Premiums - Advances FY - Ced Affil</t>
  </si>
  <si>
    <t>A401500-23</t>
  </si>
  <si>
    <t>Premiums - Due/Unpaid FY - Ced Affil</t>
  </si>
  <si>
    <t>A401500-31</t>
  </si>
  <si>
    <t>Premiums - Renewal - Ced Affil</t>
  </si>
  <si>
    <t>A401500-32</t>
  </si>
  <si>
    <t>Premiums - Advances Renewal - Ced Affil</t>
  </si>
  <si>
    <t>A401500-33</t>
  </si>
  <si>
    <t>Premiums - Due/Unpaid Renewal - Ced Affil</t>
  </si>
  <si>
    <t>A401500-34</t>
  </si>
  <si>
    <t>Premiums - Exp Rated Refunds - Ced Affil</t>
  </si>
  <si>
    <t>A401500-41</t>
  </si>
  <si>
    <t>Premiums - Single - Ced Affil</t>
  </si>
  <si>
    <t>A401500-51</t>
  </si>
  <si>
    <t>Premiums - Deposit Funds - Ced Affil</t>
  </si>
  <si>
    <t>A405000-00</t>
  </si>
  <si>
    <t>Chg In UPR Life - Dir</t>
  </si>
  <si>
    <t>A405000-21</t>
  </si>
  <si>
    <t>Chg in UPR Life FY - Dir</t>
  </si>
  <si>
    <t>For: 08169, 08101 or 08187</t>
  </si>
  <si>
    <t>A405000-31</t>
  </si>
  <si>
    <t>Chg in UPR Life Renewals - Dir</t>
  </si>
  <si>
    <t>A405303-00</t>
  </si>
  <si>
    <t xml:space="preserve"> Reserve Adj on modco reins UPR NonAffil</t>
  </si>
  <si>
    <t>A405503-00</t>
  </si>
  <si>
    <t xml:space="preserve"> Reserve Adj on modco reins UPR Affil</t>
  </si>
  <si>
    <t>A405310-21</t>
  </si>
  <si>
    <t>Chg in UPR Life FY - Ced NonAffil</t>
  </si>
  <si>
    <t>A405310-31</t>
  </si>
  <si>
    <t>Chg in UPR Life Renewals - Ced NonAffil</t>
  </si>
  <si>
    <t>A405510-21</t>
  </si>
  <si>
    <t>Chg in UPR Life FY - Ced Affil</t>
  </si>
  <si>
    <t>A405510-31</t>
  </si>
  <si>
    <t>Chg in UPR Life Renewals - Ced Affil</t>
  </si>
  <si>
    <t>A405100-00</t>
  </si>
  <si>
    <t>Chg In UPR - Dir</t>
  </si>
  <si>
    <t>A405100-01</t>
  </si>
  <si>
    <t>Chg In UPR - Risk Fee - Dir</t>
  </si>
  <si>
    <t>A405100-02</t>
  </si>
  <si>
    <t>Chg In UPR - Admin - Dir</t>
  </si>
  <si>
    <t>A405100-03</t>
  </si>
  <si>
    <t>Chg In UPR - Loss Fund - Dir</t>
  </si>
  <si>
    <t>A405100-04</t>
  </si>
  <si>
    <t>Chg In UPR - Prem Tax - Dir</t>
  </si>
  <si>
    <t>A405100-05</t>
  </si>
  <si>
    <t>Chg In UPR - Exp Rated Refunds - Dir</t>
  </si>
  <si>
    <t>A405100-06</t>
  </si>
  <si>
    <t>Chg In UPR - Cancelled - Dir</t>
  </si>
  <si>
    <t>A405100-08</t>
  </si>
  <si>
    <t>Chg in UPR - Retail Gross-up</t>
  </si>
  <si>
    <t>A405101-00</t>
  </si>
  <si>
    <t>Chg In UPR - Reclass UE Fee - Dir</t>
  </si>
  <si>
    <t>A405110-00</t>
  </si>
  <si>
    <t>Chg In UPR Clip - Dir Affil</t>
  </si>
  <si>
    <t>A405110-01</t>
  </si>
  <si>
    <t>chg in UPR Clip - Risk Fee - Dir Affil</t>
  </si>
  <si>
    <t>A405110-03</t>
  </si>
  <si>
    <t>Chg in UPR Clip - Loss Fund Dir Affil</t>
  </si>
  <si>
    <t>A405110-04</t>
  </si>
  <si>
    <t>Chg in UPR Clip - Prem Tax Dir Affil</t>
  </si>
  <si>
    <t>A405110-05</t>
  </si>
  <si>
    <t>Chg in UPR Clip - Rfee PTax Dir Affil</t>
  </si>
  <si>
    <t>A405200-00</t>
  </si>
  <si>
    <t>Chg In UPR - Asm Non-Affil</t>
  </si>
  <si>
    <t>A405200-01</t>
  </si>
  <si>
    <t>Chg In UPR - Risk Fee - Asm Non-Affil</t>
  </si>
  <si>
    <t>A405200-02</t>
  </si>
  <si>
    <t>Chg In UPR - Admin - Asm Non-Affil</t>
  </si>
  <si>
    <t>A405200-03</t>
  </si>
  <si>
    <t>Chg In UPR - Loss Fund - Asm Non-Affil</t>
  </si>
  <si>
    <t>A405200-04</t>
  </si>
  <si>
    <t>Chg In UPR - Prem Tax - Asm Non-Affil</t>
  </si>
  <si>
    <t>A405300-00</t>
  </si>
  <si>
    <t>Chg In UPR - Ced Non-Affil</t>
  </si>
  <si>
    <t>A405300-01</t>
  </si>
  <si>
    <t>Chg In UPR - Risk Fee - Ced Non Affil</t>
  </si>
  <si>
    <t>A405300-03</t>
  </si>
  <si>
    <t>Chg In UPR - Loss Fund - Ced Non Affil</t>
  </si>
  <si>
    <t>A405300-04</t>
  </si>
  <si>
    <t>Chg In UPR - Prem Tax - Ced Non Affil</t>
  </si>
  <si>
    <t>A405300-05</t>
  </si>
  <si>
    <t>Chg In UPR - Funds Held - Ced Non-Affil</t>
  </si>
  <si>
    <t>A405300-10</t>
  </si>
  <si>
    <t>Chg In UPR - Ced CAT Non-Affil</t>
  </si>
  <si>
    <t>A405400-00</t>
  </si>
  <si>
    <t>Chg In UPR - Asm Affil</t>
  </si>
  <si>
    <t>A405400-01</t>
  </si>
  <si>
    <t>Chg In UPR - Risk Fee - Asm Affil</t>
  </si>
  <si>
    <t>A405400-02</t>
  </si>
  <si>
    <t>Chg In UPR - Admin - Asm Affil</t>
  </si>
  <si>
    <t>A405400-03</t>
  </si>
  <si>
    <t>Chg In UPR - Loss Fund - Asm Affil</t>
  </si>
  <si>
    <t>A405400-04</t>
  </si>
  <si>
    <t>Chg In UPR - Prem Tax - Asm Affil</t>
  </si>
  <si>
    <t>A405500-00</t>
  </si>
  <si>
    <t>Chg In UPR - Ced Affil</t>
  </si>
  <si>
    <t>A405500-01</t>
  </si>
  <si>
    <t>Chg In UPR - Risk Fee - Ced Affil</t>
  </si>
  <si>
    <t>A405500-03</t>
  </si>
  <si>
    <t>Chg In UPR - Loss Fund - Ced Affil</t>
  </si>
  <si>
    <t>A405500-04</t>
  </si>
  <si>
    <t>Chg In UPR - Prem Tax - Ced Affil</t>
  </si>
  <si>
    <t>A410000-00</t>
  </si>
  <si>
    <t>Fee Income - Service Fee Income</t>
  </si>
  <si>
    <t>A410000-01</t>
  </si>
  <si>
    <t>Fee Income - Reclass ASC944</t>
  </si>
  <si>
    <t>A410000-02</t>
  </si>
  <si>
    <t>Fee Income - Cancelation Fees</t>
  </si>
  <si>
    <t>A410025-00</t>
  </si>
  <si>
    <t>Amortization of Deferred Gain on Sold Bus</t>
  </si>
  <si>
    <t>A410100-00</t>
  </si>
  <si>
    <t>Service Fee Income Written</t>
  </si>
  <si>
    <t>A410100-01</t>
  </si>
  <si>
    <t>Fee Written - Service Fee Revenue</t>
  </si>
  <si>
    <t>tweak on Signal/Cworks move to affil accounts</t>
  </si>
  <si>
    <t>A410100-02</t>
  </si>
  <si>
    <t>Fee Written - Reclass to Premium</t>
  </si>
  <si>
    <t>A410100-03</t>
  </si>
  <si>
    <t>Fee Written - Gross Mobile Upgrade Fees</t>
  </si>
  <si>
    <t>A410100-04</t>
  </si>
  <si>
    <t>Fee Written - Outsource Rev or Mkup</t>
  </si>
  <si>
    <t>A410100-05</t>
  </si>
  <si>
    <t>Fee Written - Service Other</t>
  </si>
  <si>
    <t>A410100-06</t>
  </si>
  <si>
    <t>Fee Written - Claims Service Non-Affil</t>
  </si>
  <si>
    <t>A410100-07</t>
  </si>
  <si>
    <t>Fee Written - Hazard Ins</t>
  </si>
  <si>
    <t>A410105-00</t>
  </si>
  <si>
    <t>Administrative Fees - TPA</t>
  </si>
  <si>
    <t>A410110-00</t>
  </si>
  <si>
    <t>Service Fee Income Affil</t>
  </si>
  <si>
    <t>A410110-01</t>
  </si>
  <si>
    <t>Fee Written - Service Fee Rev Affil</t>
  </si>
  <si>
    <t>tweak on Signal/Cworks move to nonAffil</t>
  </si>
  <si>
    <t>A410110-02</t>
  </si>
  <si>
    <t>Fee Written - Claims Service Affil</t>
  </si>
  <si>
    <t>A410110-03</t>
  </si>
  <si>
    <t>Fee Written - Device Revenue Affil</t>
  </si>
  <si>
    <t>A410110-04</t>
  </si>
  <si>
    <t>Fee Written - Component Rev Affil</t>
  </si>
  <si>
    <t>A410110-05</t>
  </si>
  <si>
    <t>Fee Written - Freight Revenue Affil</t>
  </si>
  <si>
    <t>A410110-06</t>
  </si>
  <si>
    <t>Fee Written - eCommerce Affil</t>
  </si>
  <si>
    <t>A410120-00</t>
  </si>
  <si>
    <t>Outsourcing Fee Income</t>
  </si>
  <si>
    <t>A410120-01</t>
  </si>
  <si>
    <t xml:space="preserve">Outsource Fee - Mortgage </t>
  </si>
  <si>
    <t>A410120-02</t>
  </si>
  <si>
    <t>Outsource Fee- New loan board/ins setup</t>
  </si>
  <si>
    <t>A410120-03</t>
  </si>
  <si>
    <t xml:space="preserve">Outsource Fee- NY Exposure Mgmt </t>
  </si>
  <si>
    <t xml:space="preserve">            RMNYEM</t>
  </si>
  <si>
    <t>A410120-04</t>
  </si>
  <si>
    <t>Outsource Fee- Mortgagee Clause Notices</t>
  </si>
  <si>
    <t>A410120-05</t>
  </si>
  <si>
    <t>Outsource Fee- Customer Service</t>
  </si>
  <si>
    <t>A410120-06</t>
  </si>
  <si>
    <t>Outsource Fee- Loss Drafts</t>
  </si>
  <si>
    <t>A410130-00</t>
  </si>
  <si>
    <t>Other Fee Income</t>
  </si>
  <si>
    <t>A410130-01</t>
  </si>
  <si>
    <t>Fee - Marketing Revenue</t>
  </si>
  <si>
    <t>A410130-03</t>
  </si>
  <si>
    <t>Fee - Device Revenue</t>
  </si>
  <si>
    <t>A410130-04</t>
  </si>
  <si>
    <t>Fee - Component Revenue</t>
  </si>
  <si>
    <t>A410130-05</t>
  </si>
  <si>
    <t>Fee - Parts Markup Revenue</t>
  </si>
  <si>
    <t>A410130-06</t>
  </si>
  <si>
    <t>Fee - Activity Fee Revenue</t>
  </si>
  <si>
    <t>A410130-07</t>
  </si>
  <si>
    <t>Fee - Freight Revenue</t>
  </si>
  <si>
    <t>A410130-08</t>
  </si>
  <si>
    <t>Fee - Sales Rebate or Discount</t>
  </si>
  <si>
    <t>A410130-11</t>
  </si>
  <si>
    <t>Fee - Membership</t>
  </si>
  <si>
    <t>A410130-12</t>
  </si>
  <si>
    <t>Fee - Inspection Service Fees</t>
  </si>
  <si>
    <t>A410130-16</t>
  </si>
  <si>
    <t>Fee - Other Income</t>
  </si>
  <si>
    <t>A410130-17</t>
  </si>
  <si>
    <t>Fee - Return Allowance</t>
  </si>
  <si>
    <t>A410130-18</t>
  </si>
  <si>
    <t>FAS 97 Annuity Loading</t>
  </si>
  <si>
    <t>Type code</t>
  </si>
  <si>
    <t>A410130-19</t>
  </si>
  <si>
    <t>Fee - Warranty Ceded</t>
  </si>
  <si>
    <t>A410130-20</t>
  </si>
  <si>
    <t>Fee - Warranty Commission</t>
  </si>
  <si>
    <t>A410130-21</t>
  </si>
  <si>
    <t>Fee - Warranty Motorclub</t>
  </si>
  <si>
    <t>A410130-22</t>
  </si>
  <si>
    <t>Fee - Premium Virginia Surety Co Ins</t>
  </si>
  <si>
    <t>A410130-23</t>
  </si>
  <si>
    <t>Fee - Warranty</t>
  </si>
  <si>
    <t>A410130-24</t>
  </si>
  <si>
    <t>Fee - Warranty Client Fees</t>
  </si>
  <si>
    <t>A410130-25</t>
  </si>
  <si>
    <t>Fee - Warranty Admin Fees</t>
  </si>
  <si>
    <t>A410130-26</t>
  </si>
  <si>
    <t>Fee - Warranty Mktg Fees</t>
  </si>
  <si>
    <t>A410130-27</t>
  </si>
  <si>
    <t>Fee - Suggested Retail Price</t>
  </si>
  <si>
    <t>A410130-28</t>
  </si>
  <si>
    <t>Fee - Income Dealer Loans</t>
  </si>
  <si>
    <t>A410134-00</t>
  </si>
  <si>
    <t>A410131-00</t>
  </si>
  <si>
    <t>Fee Income Advisory Fee</t>
  </si>
  <si>
    <t>A410135-00</t>
  </si>
  <si>
    <t>Fee Income - Miscellaneous</t>
  </si>
  <si>
    <t>A410135-01</t>
  </si>
  <si>
    <t>Fee Inc Misc - Distribution</t>
  </si>
  <si>
    <t>A410135-02</t>
  </si>
  <si>
    <t>Fee Inc Misc - Discount Card</t>
  </si>
  <si>
    <t>A410135-03</t>
  </si>
  <si>
    <t>Fee Inc Misc - Admin Debt Defer</t>
  </si>
  <si>
    <t>A410135-04</t>
  </si>
  <si>
    <t>Fee Inc Misc - Debt Defer</t>
  </si>
  <si>
    <t>A410135-05</t>
  </si>
  <si>
    <t>Fee Inc Misc - Debt Defer Cost</t>
  </si>
  <si>
    <t>A410138-00</t>
  </si>
  <si>
    <t>Interest Maintenance Reserve</t>
  </si>
  <si>
    <t>A410140-00</t>
  </si>
  <si>
    <t>Other income</t>
  </si>
  <si>
    <t>A410140-01</t>
  </si>
  <si>
    <t>MGA Commission Income</t>
  </si>
  <si>
    <t>A410140-02</t>
  </si>
  <si>
    <t>MGA Other Comm Revenue</t>
  </si>
  <si>
    <t>A410140-03</t>
  </si>
  <si>
    <t>MGA Commissions Due Others</t>
  </si>
  <si>
    <t>A410140-04</t>
  </si>
  <si>
    <t>MGA Premium Costs</t>
  </si>
  <si>
    <t>A410140-11</t>
  </si>
  <si>
    <t>Fee Inc - Commission Rev</t>
  </si>
  <si>
    <t>A410140-13</t>
  </si>
  <si>
    <t>Other Income</t>
  </si>
  <si>
    <t>A410140-14</t>
  </si>
  <si>
    <t>Sublease - Operating Income</t>
  </si>
  <si>
    <t>A410141-00</t>
  </si>
  <si>
    <t>NDIC LFRC to LIC</t>
  </si>
  <si>
    <t>A410142-00</t>
  </si>
  <si>
    <t>NDIC LIC from LFRC</t>
  </si>
  <si>
    <t>A410145-00</t>
  </si>
  <si>
    <t>Fee Income - Management fees</t>
  </si>
  <si>
    <t>A410145-01</t>
  </si>
  <si>
    <t>Receivables Mgmt Fees</t>
  </si>
  <si>
    <t>A410145-02</t>
  </si>
  <si>
    <t>Receivables Mgmt Fees - Interest</t>
  </si>
  <si>
    <t>A410145-03</t>
  </si>
  <si>
    <t>Receivables Mgmt Legal Fees</t>
  </si>
  <si>
    <t>A410145-04</t>
  </si>
  <si>
    <t>Receivables Mgmt Legal Fees - Interest</t>
  </si>
  <si>
    <t>A410146-00</t>
  </si>
  <si>
    <t>Operating Income - Sublease</t>
  </si>
  <si>
    <t>A410147-00</t>
  </si>
  <si>
    <t>Other Income - Rent</t>
  </si>
  <si>
    <t>A410148-00</t>
  </si>
  <si>
    <t>Installment Fees</t>
  </si>
  <si>
    <t>A410149-00</t>
  </si>
  <si>
    <t>Inv Inc Real Est Home office Rent</t>
  </si>
  <si>
    <t>A410150-00</t>
  </si>
  <si>
    <t>Policy Finance Fees</t>
  </si>
  <si>
    <t>A410151-00</t>
  </si>
  <si>
    <t>LPT Retroactive Reins Ceded</t>
  </si>
  <si>
    <t>A410152-00</t>
  </si>
  <si>
    <t>Non LPT Retroactive Reins Ceded</t>
  </si>
  <si>
    <t>A410153-00</t>
  </si>
  <si>
    <t>Non LPT Retro Rein Assumed</t>
  </si>
  <si>
    <t>A410155-00</t>
  </si>
  <si>
    <t>Fee Income Direct</t>
  </si>
  <si>
    <t>A410155-01</t>
  </si>
  <si>
    <t>Fee Inc - Direct Bill - Non Affil</t>
  </si>
  <si>
    <t>A410155-02</t>
  </si>
  <si>
    <t>Fee Inc - Direct Bill - Affil</t>
  </si>
  <si>
    <t>A410155-03</t>
  </si>
  <si>
    <t>Fee Inc - Transfer Fees</t>
  </si>
  <si>
    <t>A410155-04</t>
  </si>
  <si>
    <t>Fee Inc - Cancellation Fees</t>
  </si>
  <si>
    <t>A410160-00</t>
  </si>
  <si>
    <t>Fee Regulatory - Price Breakdown</t>
  </si>
  <si>
    <t>TWG Obligor Amt Class type</t>
  </si>
  <si>
    <t>A410160-01</t>
  </si>
  <si>
    <t>Warranty Commission</t>
  </si>
  <si>
    <t>A410160-02</t>
  </si>
  <si>
    <t>Warranty Fees</t>
  </si>
  <si>
    <t>A410160-03</t>
  </si>
  <si>
    <t>Prem VSC Clip exp</t>
  </si>
  <si>
    <t>A410160-04</t>
  </si>
  <si>
    <t>Warranty Retail</t>
  </si>
  <si>
    <t>A410250-00</t>
  </si>
  <si>
    <t>Policy Finance Fees - Asm NonAffil</t>
  </si>
  <si>
    <t>A410350-00</t>
  </si>
  <si>
    <t>Policy Finance Fees - Ced NonAffil</t>
  </si>
  <si>
    <t>A410450-00</t>
  </si>
  <si>
    <t>Policy Finance Fees - Asm Affil</t>
  </si>
  <si>
    <t>A410550-00</t>
  </si>
  <si>
    <t>Policy Finance Fees - Ced Affil</t>
  </si>
  <si>
    <t>A412000-00</t>
  </si>
  <si>
    <t>Fee Income - Debt Deferment</t>
  </si>
  <si>
    <t>A415100-00</t>
  </si>
  <si>
    <t>Chg In UEF Service Fee</t>
  </si>
  <si>
    <t>A415100-01</t>
  </si>
  <si>
    <t>Chg In UEF - Service Fee Revenue</t>
  </si>
  <si>
    <t>A415100-02</t>
  </si>
  <si>
    <t>Chg in UEF - Reclass to premium</t>
  </si>
  <si>
    <t>A415100-03</t>
  </si>
  <si>
    <t>Chg In UEF - Mobile Upgrade Fees</t>
  </si>
  <si>
    <t>A415100-04</t>
  </si>
  <si>
    <t>Chg in UEF - Outsourcing</t>
  </si>
  <si>
    <t>A415101-00</t>
  </si>
  <si>
    <t>A415101-21</t>
  </si>
  <si>
    <t>A415101-31</t>
  </si>
  <si>
    <t>A415110-00</t>
  </si>
  <si>
    <t>Chg UEF Service Fee Affil</t>
  </si>
  <si>
    <t>A415110-01</t>
  </si>
  <si>
    <t>Chg in UEF - Service Fee Rev Affil</t>
  </si>
  <si>
    <t>A415110-02</t>
  </si>
  <si>
    <t>Chg in UEF - Claims Service Affil</t>
  </si>
  <si>
    <t>A415110-03</t>
  </si>
  <si>
    <t>Chg in UEF - Device Revenue Affil</t>
  </si>
  <si>
    <t>A415110-04</t>
  </si>
  <si>
    <t>Chg in UEF - Component Rev Affil</t>
  </si>
  <si>
    <t>A415201-00</t>
  </si>
  <si>
    <t>Chg in UPR Life - Asm NonAffil</t>
  </si>
  <si>
    <t>A415301-00</t>
  </si>
  <si>
    <t>Chg In UPR Life - Ced NonAffil</t>
  </si>
  <si>
    <t>A415301-21</t>
  </si>
  <si>
    <t>A415301-31</t>
  </si>
  <si>
    <t>Chg in UPR Life Renewal - Ced NonAffil</t>
  </si>
  <si>
    <t>A415304-00</t>
  </si>
  <si>
    <t>Reserve Adj on modco reins UPR NonAffil</t>
  </si>
  <si>
    <t>A415401-00</t>
  </si>
  <si>
    <t>Chg in UPR Life - Asm Affil</t>
  </si>
  <si>
    <t>A415401-21</t>
  </si>
  <si>
    <t>Chg in UPR Life - FY - Asm Affil</t>
  </si>
  <si>
    <t>A415401-31</t>
  </si>
  <si>
    <t>Chg in UPR Life - Renewal - Asm Affil</t>
  </si>
  <si>
    <t>A415501-00</t>
  </si>
  <si>
    <t>Chg In UPR Life - Ced Affil</t>
  </si>
  <si>
    <t>A415501-21</t>
  </si>
  <si>
    <t>Chg In UPR Life FY - Ced Affil</t>
  </si>
  <si>
    <t>A415501-31</t>
  </si>
  <si>
    <t>Chg In UPR Life Renewal- Ced Affil</t>
  </si>
  <si>
    <t>A415504-00</t>
  </si>
  <si>
    <t>Reserve Adj on modco reins UPR Affil</t>
  </si>
  <si>
    <t>A422005-00</t>
  </si>
  <si>
    <t>Dealer Loans Interest Income</t>
  </si>
  <si>
    <t>A421000-00</t>
  </si>
  <si>
    <t>Interest Income - Cash Accounts</t>
  </si>
  <si>
    <t>A423000-00</t>
  </si>
  <si>
    <t>Inv Inc Policy Loans</t>
  </si>
  <si>
    <t>A427000-00</t>
  </si>
  <si>
    <t>Inv Inc CD LT Blackrock</t>
  </si>
  <si>
    <t>A4T0412-00</t>
  </si>
  <si>
    <t>Inv Inc Cptl Gns Dfr Bnds Oth NAflt</t>
  </si>
  <si>
    <t>A500100-00</t>
  </si>
  <si>
    <t>Claims Paid - Dir</t>
  </si>
  <si>
    <t>A500100-01</t>
  </si>
  <si>
    <t>Claims Paid - Dir NonCAT</t>
  </si>
  <si>
    <t>A500100-02</t>
  </si>
  <si>
    <t>Claims Paid - CAT</t>
  </si>
  <si>
    <t>A500100-03</t>
  </si>
  <si>
    <t>Claims Paid - CAT offset</t>
  </si>
  <si>
    <t>A500100-04</t>
  </si>
  <si>
    <t>Claims Paid Deductible offset</t>
  </si>
  <si>
    <t>A500100-05</t>
  </si>
  <si>
    <t>Claims Recovery - Dir</t>
  </si>
  <si>
    <t>A500100-06</t>
  </si>
  <si>
    <t>Claims Recovery - HD - Dir</t>
  </si>
  <si>
    <t>A500100-08</t>
  </si>
  <si>
    <t>Claims - Inventory Reserves for Ins</t>
  </si>
  <si>
    <t>A500100-09</t>
  </si>
  <si>
    <t>Claims - Inventory Write-offs for Ins</t>
  </si>
  <si>
    <t>A500100-15</t>
  </si>
  <si>
    <t>Claims Paid - Cost of Labor</t>
  </si>
  <si>
    <t>A500101-00</t>
  </si>
  <si>
    <t>Chg in Case Reserve - Dir</t>
  </si>
  <si>
    <t>A500101-01</t>
  </si>
  <si>
    <t>Chg in Case Rsv - HD offset - Dir</t>
  </si>
  <si>
    <t>A500101-05</t>
  </si>
  <si>
    <t>Chg in Case Rsv - CAT- Dir</t>
  </si>
  <si>
    <t>A500101-06</t>
  </si>
  <si>
    <t>Chg in Case Rsv - CAT offset - Dir</t>
  </si>
  <si>
    <t>A500102-00</t>
  </si>
  <si>
    <t>Change in IBNR Reserve - Dir</t>
  </si>
  <si>
    <t>A500103-00</t>
  </si>
  <si>
    <t>Salvage &amp; Subrogation - Dir</t>
  </si>
  <si>
    <t>A500103-01</t>
  </si>
  <si>
    <t>Salvage Recovery - Dir</t>
  </si>
  <si>
    <t>A500103-02</t>
  </si>
  <si>
    <t>Subrogation Recovery - Dir</t>
  </si>
  <si>
    <t>A500105-00</t>
  </si>
  <si>
    <t>A500106-00</t>
  </si>
  <si>
    <t>A500110-00</t>
  </si>
  <si>
    <t>Claims Paid -Dir Affil</t>
  </si>
  <si>
    <t>A500115-00</t>
  </si>
  <si>
    <t>Chg in AH ALR SD - Dir</t>
  </si>
  <si>
    <t>A500117-00</t>
  </si>
  <si>
    <t>Chg in AH Cycle Lag Rsv - Dir</t>
  </si>
  <si>
    <t>A500200-00</t>
  </si>
  <si>
    <t>Claims  Paid - Asm Non-Affil</t>
  </si>
  <si>
    <t>A500201-00</t>
  </si>
  <si>
    <t>Chg in Case Reserve - Asm Non-Affil</t>
  </si>
  <si>
    <t>A500202-00</t>
  </si>
  <si>
    <t>Change in IBNR Reserve - Asm Non-Affil</t>
  </si>
  <si>
    <t>A500203-00</t>
  </si>
  <si>
    <t>Salvage &amp; Subrogation - Asmd Non-Affil</t>
  </si>
  <si>
    <t>A500300-00</t>
  </si>
  <si>
    <t>Claims Paid - Ced Non-Affil</t>
  </si>
  <si>
    <t>A500300-01</t>
  </si>
  <si>
    <t>Claims Paid - Funds Held - Ced Non-Affil</t>
  </si>
  <si>
    <t>A500301-00</t>
  </si>
  <si>
    <t>Chg in Case Reserve - Ced Non-Affil</t>
  </si>
  <si>
    <t>A500301-01</t>
  </si>
  <si>
    <t>Chg in Case Rsv - FH - Ced Non-Affil</t>
  </si>
  <si>
    <t>A500302-00</t>
  </si>
  <si>
    <t>Change in IBNR Reserve - Ced Non-Affil</t>
  </si>
  <si>
    <t>A500302-01</t>
  </si>
  <si>
    <t>Chg in IBNR Reserve - FH - Ced Non-Affil</t>
  </si>
  <si>
    <t>A500303-00</t>
  </si>
  <si>
    <t>Salvage &amp; Subrogation - Ced Non-Affil</t>
  </si>
  <si>
    <t>A500400-00</t>
  </si>
  <si>
    <t>Claims Paid - Asm Affil</t>
  </si>
  <si>
    <t>A500401-00</t>
  </si>
  <si>
    <t>Chg in Case Reserve - Asm Affil</t>
  </si>
  <si>
    <t>A500402-00</t>
  </si>
  <si>
    <t>Change in IBNR Reserve - Asm Affil</t>
  </si>
  <si>
    <t>A500403-00</t>
  </si>
  <si>
    <t>Salvage &amp; Subrogation - Asmd Affil</t>
  </si>
  <si>
    <t>A500500-00</t>
  </si>
  <si>
    <t>Claims Paid - Ced Affil</t>
  </si>
  <si>
    <t>A500501-00</t>
  </si>
  <si>
    <t>Chg in Case Reserve - Ced Affil</t>
  </si>
  <si>
    <t>A500502-00</t>
  </si>
  <si>
    <t>Change in IBNR Reserve - Ced Affil</t>
  </si>
  <si>
    <t>A500503-00</t>
  </si>
  <si>
    <t>Salvage &amp; Subrogation - Ced Affil</t>
  </si>
  <si>
    <t>A501100-00</t>
  </si>
  <si>
    <t>Claims Dir</t>
  </si>
  <si>
    <t>Life Claims</t>
  </si>
  <si>
    <t>A501101-00</t>
  </si>
  <si>
    <t>Claims Life - Dir</t>
  </si>
  <si>
    <t>A501101-21</t>
  </si>
  <si>
    <t>Claims Life - FY - Dir</t>
  </si>
  <si>
    <t>A501101-31</t>
  </si>
  <si>
    <t>Claims Life - Renewal - Dir</t>
  </si>
  <si>
    <t>A501101-41</t>
  </si>
  <si>
    <t>Claims Life - Single - Dir</t>
  </si>
  <si>
    <t>A501102-00</t>
  </si>
  <si>
    <t>Claims - Suppl w/o Life Cont - Dir</t>
  </si>
  <si>
    <t>A501103-00</t>
  </si>
  <si>
    <t>Claims - Suppl with Life Cont - Dir</t>
  </si>
  <si>
    <t>A501107-00</t>
  </si>
  <si>
    <t>Chg Rsv Life Plcy Mortality LD - Dir</t>
  </si>
  <si>
    <t>A501110-00</t>
  </si>
  <si>
    <t>Chg in IBNR - Dir</t>
  </si>
  <si>
    <t>A501110-01</t>
  </si>
  <si>
    <t>Chg in IBNR - Future Plcy Ben - Dir</t>
  </si>
  <si>
    <t>A501110-02</t>
  </si>
  <si>
    <t>Chg in IBNR - Addl Cnt Chg -  Dir</t>
  </si>
  <si>
    <t>A501120-00</t>
  </si>
  <si>
    <t>Chg in Life ICOS - Dir</t>
  </si>
  <si>
    <t>A501121-00</t>
  </si>
  <si>
    <t>Chg in ICOS Reserve - Dir - Other</t>
  </si>
  <si>
    <t>A501121-01</t>
  </si>
  <si>
    <t>Chg in ICOS Reserve - Dir - Life</t>
  </si>
  <si>
    <t>A501121-02</t>
  </si>
  <si>
    <t>Chg in ICOS Reserve - Dir - A and H</t>
  </si>
  <si>
    <t>A501122-00</t>
  </si>
  <si>
    <t>Chg in Reserve - Suppl w/o Life Cont - Dir</t>
  </si>
  <si>
    <t>A501123-00</t>
  </si>
  <si>
    <t>Chg in IBNR - Dir - Other</t>
  </si>
  <si>
    <t>A501123-01</t>
  </si>
  <si>
    <t>Chg in IBNR - Dir - Other - Life</t>
  </si>
  <si>
    <t>A501123-02</t>
  </si>
  <si>
    <t>Chg in IBNR - Dir - Other - A and H</t>
  </si>
  <si>
    <t>A501125-00</t>
  </si>
  <si>
    <t>Chg in Risk Adjustment Life - Dir</t>
  </si>
  <si>
    <t>A501130-00</t>
  </si>
  <si>
    <t>Surrenders - Dir</t>
  </si>
  <si>
    <t>A501133-00</t>
  </si>
  <si>
    <t>LDTI Remeasurement - Dir</t>
  </si>
  <si>
    <t>A501150-00</t>
  </si>
  <si>
    <t>Interest on Benefits</t>
  </si>
  <si>
    <t>A501151-00</t>
  </si>
  <si>
    <t>Dividends to Policy Holders</t>
  </si>
  <si>
    <t>A501151-01</t>
  </si>
  <si>
    <t>Divds Applied To PUA Dir</t>
  </si>
  <si>
    <t>A501151-02</t>
  </si>
  <si>
    <t>Divds Left On Deposit Dir</t>
  </si>
  <si>
    <t>A501200-00</t>
  </si>
  <si>
    <t>Claims Asmd NonAffil</t>
  </si>
  <si>
    <t>A501200-31</t>
  </si>
  <si>
    <t>Claims - Renewal - Asmd NonAffil</t>
  </si>
  <si>
    <t>A501201-00</t>
  </si>
  <si>
    <t>Claims - Waiver of Premium - Asmd NonAffil</t>
  </si>
  <si>
    <t>A501201-21</t>
  </si>
  <si>
    <t>Claims Life - FY - Asmd NonAffil</t>
  </si>
  <si>
    <t>A501201-31</t>
  </si>
  <si>
    <t>Claims Life - Renewal - Asmd NonAffil</t>
  </si>
  <si>
    <t>A501201-41</t>
  </si>
  <si>
    <t>Claims Life - Single - Asmd NonAffil</t>
  </si>
  <si>
    <t>A501207-00</t>
  </si>
  <si>
    <t>Chg Rsv Life Plcy Mortality LD - Asm NonAffil</t>
  </si>
  <si>
    <t>A501210-00</t>
  </si>
  <si>
    <t>Chg in IBNR - Asmd NonAffil</t>
  </si>
  <si>
    <t>A501215-00</t>
  </si>
  <si>
    <t>Chg in IBNR - Addl Cnt Chg -  Asm NonAffil</t>
  </si>
  <si>
    <t>A501220-00</t>
  </si>
  <si>
    <t>Chg in ICOS Reserve - Asmd NonAffil</t>
  </si>
  <si>
    <t>A501230-00</t>
  </si>
  <si>
    <t>Surrenders - Asmd NonAffil</t>
  </si>
  <si>
    <t>A501233-00</t>
  </si>
  <si>
    <t>LDTI Remeasurement - Ced NonAffil</t>
  </si>
  <si>
    <t>A501234-00</t>
  </si>
  <si>
    <t>Assumed High Deductible Claims Rec</t>
  </si>
  <si>
    <t>A501300-00</t>
  </si>
  <si>
    <t>Claims Ced NonAffil</t>
  </si>
  <si>
    <t>A501300-21</t>
  </si>
  <si>
    <t>Claims - FY - Ced NonAffil</t>
  </si>
  <si>
    <t>A501301-00</t>
  </si>
  <si>
    <t>Ceded Change in Risk Adjustment</t>
  </si>
  <si>
    <t>Claims - Waiver of Premium - Ced NonAffil</t>
  </si>
  <si>
    <t>A501301-21</t>
  </si>
  <si>
    <t>Claims Life - FY - Ced NonAffil</t>
  </si>
  <si>
    <t>A501301-31</t>
  </si>
  <si>
    <t>Claims Life - Renewal - Ced NonAffil</t>
  </si>
  <si>
    <t>A501301-41</t>
  </si>
  <si>
    <t>Claims Life - Single - Ced NonAffil</t>
  </si>
  <si>
    <t>A501302-00</t>
  </si>
  <si>
    <t>Chg in Risk Adj Life Ced - Non Affil</t>
  </si>
  <si>
    <t>A501303-00</t>
  </si>
  <si>
    <t>Reserve Adj on modco reins NonAffil</t>
  </si>
  <si>
    <t>A501307-00</t>
  </si>
  <si>
    <t>Chg Rsv Life Plcy Mortality LD - Ced Non Affil</t>
  </si>
  <si>
    <t>A501310-00</t>
  </si>
  <si>
    <t>Chg in IBNR - Ced NonAffil</t>
  </si>
  <si>
    <t>A501311-00</t>
  </si>
  <si>
    <t>Chg in IBNR - Ced NonAffil - Other</t>
  </si>
  <si>
    <t>A501311-01</t>
  </si>
  <si>
    <t xml:space="preserve">Chg in IBNR - Ced NonAffil - Future Plcy Ben </t>
  </si>
  <si>
    <t>A501311-02</t>
  </si>
  <si>
    <t>Chg in IBNR  - Ced NonAffil - Addl Cnt Chg</t>
  </si>
  <si>
    <t>A501312-00</t>
  </si>
  <si>
    <t>Clms Suppl w o Life Cont - Ced NonAffil</t>
  </si>
  <si>
    <t>A501320-00</t>
  </si>
  <si>
    <t>Chg in ICOS Reserve - Ced NonAffil</t>
  </si>
  <si>
    <t>A501321-00</t>
  </si>
  <si>
    <t>Rsv Chg In Course of Settlement Cd</t>
  </si>
  <si>
    <t>A501325-00</t>
  </si>
  <si>
    <t>Chg in AH ALR SD Ced - NonAffil</t>
  </si>
  <si>
    <t>A501327-00</t>
  </si>
  <si>
    <t>Chg Rsv Sup Cnt WO Life - Ced NonAffil</t>
  </si>
  <si>
    <t>A501330-00</t>
  </si>
  <si>
    <t>Surrenders - Ced NonAffil</t>
  </si>
  <si>
    <t>A501331-00</t>
  </si>
  <si>
    <t>Dividends to Policy Holders - Ced NonAffil</t>
  </si>
  <si>
    <t>A501331-01</t>
  </si>
  <si>
    <t>Divds Applied To PUA - Ced NonAffil</t>
  </si>
  <si>
    <t>A501331-02</t>
  </si>
  <si>
    <t>Divds Left On Deposit - Ced NonAffil</t>
  </si>
  <si>
    <t>A501335-00</t>
  </si>
  <si>
    <t>Chg Liab AH Due Cycle Lag - Cd NonAffil</t>
  </si>
  <si>
    <t>A501340-00</t>
  </si>
  <si>
    <t>Rsv adj on modco reinsurance investment</t>
  </si>
  <si>
    <t>A501400-00</t>
  </si>
  <si>
    <t>Claims Asmd Affil</t>
  </si>
  <si>
    <t>A501400-21</t>
  </si>
  <si>
    <t>Claims - FY - Asmd Affil</t>
  </si>
  <si>
    <t>A501400-31</t>
  </si>
  <si>
    <t>Claims - Renewal - Asmd Affil</t>
  </si>
  <si>
    <t>A501400-41</t>
  </si>
  <si>
    <t>Claims - Single - Asmd Affil</t>
  </si>
  <si>
    <t>A501401-00</t>
  </si>
  <si>
    <t>Claims - Waiver of Premium - Asmd Affil</t>
  </si>
  <si>
    <t>A501410-00</t>
  </si>
  <si>
    <t>Chg in IBNR - Asmd Affil</t>
  </si>
  <si>
    <t>A501420-00</t>
  </si>
  <si>
    <t>Chg in ICOS Reserve - Asmd Affil</t>
  </si>
  <si>
    <t>A501430-00</t>
  </si>
  <si>
    <t>Surrenders - Asmd Affil</t>
  </si>
  <si>
    <t>A501500-00</t>
  </si>
  <si>
    <t>Claims Ced Affil</t>
  </si>
  <si>
    <t>A501500-21</t>
  </si>
  <si>
    <t>Claims - FY - Ced Affil</t>
  </si>
  <si>
    <t>A501500-31</t>
  </si>
  <si>
    <t>Claims - Renewal - Ced Affil</t>
  </si>
  <si>
    <t>A501500-41</t>
  </si>
  <si>
    <t>Claims - Single - Ced Affil</t>
  </si>
  <si>
    <t>A501501-00</t>
  </si>
  <si>
    <t>Claims - Waiver of Premium - Ced Affil</t>
  </si>
  <si>
    <t>A501501-21</t>
  </si>
  <si>
    <t>Claims Life - FY - Ced Affil</t>
  </si>
  <si>
    <t>A501501-31</t>
  </si>
  <si>
    <t>Claims Life - Renewal - Ced Affil</t>
  </si>
  <si>
    <t>A501501-41</t>
  </si>
  <si>
    <t>Claims Life - Single - Ced Affil</t>
  </si>
  <si>
    <t>A501503-00</t>
  </si>
  <si>
    <t>Reserve Adj on modco reins Affil</t>
  </si>
  <si>
    <t>A501510-00</t>
  </si>
  <si>
    <t>Chg in IBNR - Ced Affil</t>
  </si>
  <si>
    <t>A501512-00</t>
  </si>
  <si>
    <t>Clms Suppl w o Life Cont - Ced Affil</t>
  </si>
  <si>
    <t>A501520-00</t>
  </si>
  <si>
    <t>Chg in ICOS Reserve - Ced Affil</t>
  </si>
  <si>
    <t>A501530-00</t>
  </si>
  <si>
    <t>Surrenders - Ced Affil</t>
  </si>
  <si>
    <t>A501531-00</t>
  </si>
  <si>
    <t>Dividends to Policy Holders - Ced Affil</t>
  </si>
  <si>
    <t>A501531-01</t>
  </si>
  <si>
    <t>Divds Applied To PUA - Ced Affil</t>
  </si>
  <si>
    <t>A501531-02</t>
  </si>
  <si>
    <t>Divds Left On Deposit - Ced Affil</t>
  </si>
  <si>
    <t>A502101-00</t>
  </si>
  <si>
    <t>Claims Paid ALAE - Dir</t>
  </si>
  <si>
    <t>A502101-02</t>
  </si>
  <si>
    <t>Claims Paid ALAE - Dir - DCC</t>
  </si>
  <si>
    <t>A502101-03</t>
  </si>
  <si>
    <t>Claims Paid ALAE - Dir - AAO</t>
  </si>
  <si>
    <t>A502101-04</t>
  </si>
  <si>
    <t>Cliams Paid ALAE Recovery HD - DIR</t>
  </si>
  <si>
    <t>A502101-05</t>
  </si>
  <si>
    <t>Claims Paid ALAE CAT - Dir</t>
  </si>
  <si>
    <t>A502101-06</t>
  </si>
  <si>
    <t>Claims Paid ALAE CAT offset - Dir</t>
  </si>
  <si>
    <t>A502102-00</t>
  </si>
  <si>
    <t>Claims Paid ULAE - Dir</t>
  </si>
  <si>
    <t>A502102-05</t>
  </si>
  <si>
    <t>Claims Paid ULAE CAT - Dir</t>
  </si>
  <si>
    <t>A502102-06</t>
  </si>
  <si>
    <t>Claims Paid ULAE CAT offset- Dir</t>
  </si>
  <si>
    <t>A502103-00</t>
  </si>
  <si>
    <t>Change in Case Rsv ALAE - Dir</t>
  </si>
  <si>
    <t>A502103-02</t>
  </si>
  <si>
    <t>Change in Case Rsv ALAE - Dir - DCC</t>
  </si>
  <si>
    <t>A502103-03</t>
  </si>
  <si>
    <t>Change in Case Rsv ALAE - Dir - AAO</t>
  </si>
  <si>
    <t>A502104-00</t>
  </si>
  <si>
    <t>Change in Case Rsv ULAE - Dir</t>
  </si>
  <si>
    <t>A502105-00</t>
  </si>
  <si>
    <t>Change in IBNR ALAE - Dir</t>
  </si>
  <si>
    <t>A502105-02</t>
  </si>
  <si>
    <t>Change in IBNR ALAE - Dir - DCC</t>
  </si>
  <si>
    <t>A502105-03</t>
  </si>
  <si>
    <t>Change in IBNR ALAE - Dir - AAO</t>
  </si>
  <si>
    <t>A502106-00</t>
  </si>
  <si>
    <t>Change in IBNR ULAE - Dir</t>
  </si>
  <si>
    <t>A502107-00</t>
  </si>
  <si>
    <t>Alloc LAE exp from Unearn Income - Dir</t>
  </si>
  <si>
    <t>A502108-00</t>
  </si>
  <si>
    <t>Claim Investigation General Expense</t>
  </si>
  <si>
    <t>A502200-00</t>
  </si>
  <si>
    <t>Claims Paid ALAE - Asm Non-Affil</t>
  </si>
  <si>
    <t>A502201-00</t>
  </si>
  <si>
    <t>Claims Paid ULAE - Asm Non-Affil</t>
  </si>
  <si>
    <t>A502202-00</t>
  </si>
  <si>
    <t>Change in Case Rsv ALAE - Asm Non-Affil</t>
  </si>
  <si>
    <t>A502203-00</t>
  </si>
  <si>
    <t>Change in Case Rsv ULAE - Asm Non-Affil</t>
  </si>
  <si>
    <t>A502204-00</t>
  </si>
  <si>
    <t>Change in IBNR ALAE - Asm Non-Affil</t>
  </si>
  <si>
    <t>A502205-00</t>
  </si>
  <si>
    <t>Change in IBNR ULAE - Asm Non-Affil</t>
  </si>
  <si>
    <t>A502230-00</t>
  </si>
  <si>
    <t>Assumed High Deductible Paid LAE Rec</t>
  </si>
  <si>
    <t>A502231-00</t>
  </si>
  <si>
    <t>HD Paid LAE Rec - Ced NonAffil</t>
  </si>
  <si>
    <t>A502232-00</t>
  </si>
  <si>
    <t>HD Claims Rec - Ced NonAffil</t>
  </si>
  <si>
    <t>A502300-00</t>
  </si>
  <si>
    <t>Claims Paid ALAE - Ced Non-Affil</t>
  </si>
  <si>
    <t>A502301-00</t>
  </si>
  <si>
    <t>Claims Paid ULAE - Ced Non-Affil</t>
  </si>
  <si>
    <t>A502302-00</t>
  </si>
  <si>
    <t>Change in Case Rsv ALAE - Ced Non-Affil</t>
  </si>
  <si>
    <t>A502303-00</t>
  </si>
  <si>
    <t>Change in Case Rsv ULAE - Ced Non-Affil</t>
  </si>
  <si>
    <t>A502304-00</t>
  </si>
  <si>
    <t>Change in IBNR ALAE - Ced Non-Affil</t>
  </si>
  <si>
    <t>A502305-00</t>
  </si>
  <si>
    <t>Change in IBNR ULAE - Ced Non-Affil</t>
  </si>
  <si>
    <t>A502400-00</t>
  </si>
  <si>
    <t>Claims Paid ALAE - Asm Affil</t>
  </si>
  <si>
    <t>A502401-00</t>
  </si>
  <si>
    <t>Claims Paid ULAE - Asm Affil</t>
  </si>
  <si>
    <t>A502402-00</t>
  </si>
  <si>
    <t>Change in Case Rsv ALAE - Asm Affil</t>
  </si>
  <si>
    <t>A502403-00</t>
  </si>
  <si>
    <t>Change in Case Rsv ULAE - Asm Affil</t>
  </si>
  <si>
    <t>A502404-00</t>
  </si>
  <si>
    <t>Change in IBNR ALAE - Asm Affil</t>
  </si>
  <si>
    <t>A502405-00</t>
  </si>
  <si>
    <t>Change in IBNR ULAE - Asm Affil</t>
  </si>
  <si>
    <t>A502500-00</t>
  </si>
  <si>
    <t>Claims Paid ALAE - Ced Affil</t>
  </si>
  <si>
    <t>A502501-00</t>
  </si>
  <si>
    <t>Claims Paid ULAE - Ced Affil</t>
  </si>
  <si>
    <t>A502502-00</t>
  </si>
  <si>
    <t>Change in Case Rsv ALAE - Ced Affil</t>
  </si>
  <si>
    <t>A502503-00</t>
  </si>
  <si>
    <t>Change in Case Rsv ULAE - Ced Affil</t>
  </si>
  <si>
    <t>A502504-00</t>
  </si>
  <si>
    <t>Change in IBNR ALAE - Ced Affil</t>
  </si>
  <si>
    <t>A502505-00</t>
  </si>
  <si>
    <t>Change in IBNR ULAE - Ced Affil</t>
  </si>
  <si>
    <t>A505110-00</t>
  </si>
  <si>
    <t>Chg in IBNR Life - Dir</t>
  </si>
  <si>
    <t>A505120-00</t>
  </si>
  <si>
    <t>A505210-00</t>
  </si>
  <si>
    <t>Chg in IBNR Life - Asmd NonAffil</t>
  </si>
  <si>
    <t>A505220-00</t>
  </si>
  <si>
    <t>Chg in Life ICOS - Asm NonAffil</t>
  </si>
  <si>
    <t>A505310-00</t>
  </si>
  <si>
    <t>A505320-00</t>
  </si>
  <si>
    <t>Chg in Life ICOS - Ced NonAffil</t>
  </si>
  <si>
    <t>A505410-00</t>
  </si>
  <si>
    <t>Chg in IBNR Life - Asmd Affil</t>
  </si>
  <si>
    <t>A505420-00</t>
  </si>
  <si>
    <t>Chg in Life ICOS - Asm Affil</t>
  </si>
  <si>
    <t>A505510-00</t>
  </si>
  <si>
    <t>Chg in IBNR Life - Ced Affil</t>
  </si>
  <si>
    <t>A505520-00</t>
  </si>
  <si>
    <t>Chg in Life ICOS - Ced Affil</t>
  </si>
  <si>
    <t>A600100-00</t>
  </si>
  <si>
    <t>Commissions - Dir</t>
  </si>
  <si>
    <t>Commissions</t>
  </si>
  <si>
    <t>A600100-01</t>
  </si>
  <si>
    <t>Commissions - Advance - Dir</t>
  </si>
  <si>
    <t>A600100-02</t>
  </si>
  <si>
    <t>Commissions - Override - Dir</t>
  </si>
  <si>
    <t>A600100-03</t>
  </si>
  <si>
    <t>Commissions - Retail Gross-up Dir</t>
  </si>
  <si>
    <t>for CAS system - specific rule</t>
  </si>
  <si>
    <t>A600100-04</t>
  </si>
  <si>
    <t>Commissions - Admin Costs Dir</t>
  </si>
  <si>
    <t>A600100-05</t>
  </si>
  <si>
    <t>Commissions -Reimb Costs Dir</t>
  </si>
  <si>
    <t>A600100-06</t>
  </si>
  <si>
    <t>Commissions - Endorsement Fees Dir</t>
  </si>
  <si>
    <t>A600100-07</t>
  </si>
  <si>
    <t>Comm - Dealer Cost Gross-up Dir</t>
  </si>
  <si>
    <t>A600101-00</t>
  </si>
  <si>
    <t>Commissions Cust WO Cancellations - DIR</t>
  </si>
  <si>
    <t>A600105-00</t>
  </si>
  <si>
    <t>Commissions Other Comp - Dir</t>
  </si>
  <si>
    <t>A600105-01</t>
  </si>
  <si>
    <t>Contingt Commission - Dir</t>
  </si>
  <si>
    <t>A600105-02</t>
  </si>
  <si>
    <t>Profit Share Commission - Dir</t>
  </si>
  <si>
    <t>A600105-05</t>
  </si>
  <si>
    <t>Commission Storm Rev</t>
  </si>
  <si>
    <t>A600105-06</t>
  </si>
  <si>
    <t>Comm Oth Inv Inc Offset</t>
  </si>
  <si>
    <t>A600105-07</t>
  </si>
  <si>
    <t>Comm Othr Misc Adj Offset</t>
  </si>
  <si>
    <t>change pointing of ss account</t>
  </si>
  <si>
    <t>A600105-09</t>
  </si>
  <si>
    <t>Comm Other - Membership Override - Dir</t>
  </si>
  <si>
    <t>A600105-10</t>
  </si>
  <si>
    <t>Commission - Contingent CAT</t>
  </si>
  <si>
    <t>A600106-00</t>
  </si>
  <si>
    <t>Comm Othr Inv Inc Allocated</t>
  </si>
  <si>
    <t>A600107-00</t>
  </si>
  <si>
    <t>Desposit Accounting</t>
  </si>
  <si>
    <t>A600107-01</t>
  </si>
  <si>
    <t>Deposit Accounting Premiums</t>
  </si>
  <si>
    <t>A600107-02</t>
  </si>
  <si>
    <t>Deposit Accounting Chg in UPR</t>
  </si>
  <si>
    <t>A600107-03</t>
  </si>
  <si>
    <t>Deposit Accounting Losses Paid</t>
  </si>
  <si>
    <t>A600107-04</t>
  </si>
  <si>
    <t>Deposit Accounting Chg Loss Reserves - IBNR</t>
  </si>
  <si>
    <t>A600107-05</t>
  </si>
  <si>
    <t>Deposit Accounting in Loss Reserves - CASE</t>
  </si>
  <si>
    <t>A600107-06</t>
  </si>
  <si>
    <t>Deposit Accounting Ceding Fee</t>
  </si>
  <si>
    <t>A600108-00</t>
  </si>
  <si>
    <t>Interest Cred Exp - Dir</t>
  </si>
  <si>
    <t>A600108-01</t>
  </si>
  <si>
    <t>Interest Cred Exp - Profit Share - Dir</t>
  </si>
  <si>
    <t>A600108-02</t>
  </si>
  <si>
    <t>Interest Cred Exp - Funds Held - Dir</t>
  </si>
  <si>
    <t>A600109-00</t>
  </si>
  <si>
    <t>Commission Other Warehouse Acc</t>
  </si>
  <si>
    <t>A600110-00</t>
  </si>
  <si>
    <t>Comm Clip Expense - Dir Affil</t>
  </si>
  <si>
    <t>for Warranty Clip</t>
  </si>
  <si>
    <t>A600110-01</t>
  </si>
  <si>
    <t>Comm Clip Exp Loss Fund - Dir Affil</t>
  </si>
  <si>
    <t>A600110-02</t>
  </si>
  <si>
    <t>Comm Clip Exp Rfee PTax- Dir Affil</t>
  </si>
  <si>
    <t>A600200-00</t>
  </si>
  <si>
    <t>Commissions - Asm Non-Affil</t>
  </si>
  <si>
    <t>A600200-01</t>
  </si>
  <si>
    <t>Commissions - Reimb - Asm Non-Affil</t>
  </si>
  <si>
    <t>A600200-02</t>
  </si>
  <si>
    <t>Commissions - Override - Asm Non-Affil</t>
  </si>
  <si>
    <t>A600205-00</t>
  </si>
  <si>
    <t>Commissions Other Comp - Asm Non-Affil</t>
  </si>
  <si>
    <t>A600205-01</t>
  </si>
  <si>
    <t>Contingt Commission - Asm Non-Affil</t>
  </si>
  <si>
    <t>A600205-02</t>
  </si>
  <si>
    <t>Profit Share Commission - Asm Non-Affil</t>
  </si>
  <si>
    <t>A600205-03</t>
  </si>
  <si>
    <t>Prem Tax Recovery - Asm Non-Affil</t>
  </si>
  <si>
    <t>A600205-04</t>
  </si>
  <si>
    <t>Interest Cred Exp - Profit Share - Asm Non-Affil</t>
  </si>
  <si>
    <t>A600205-05</t>
  </si>
  <si>
    <t>Interest Cred Exp - Funds Held - Asm Non-Affil</t>
  </si>
  <si>
    <t>A600300-00</t>
  </si>
  <si>
    <t>Commissions - Ced Non-Affil</t>
  </si>
  <si>
    <t>A600300-01</t>
  </si>
  <si>
    <t>Commissions - Reimb - Ced Non-Affil</t>
  </si>
  <si>
    <t>A600300-02</t>
  </si>
  <si>
    <t>Commissions - Override - Ced Non-Affil</t>
  </si>
  <si>
    <t>A600305-00</t>
  </si>
  <si>
    <t>Commissions Other Comp - Ced Non-Affil</t>
  </si>
  <si>
    <t>A600305-01</t>
  </si>
  <si>
    <t>Contingt Commission - Ced Non-Affil</t>
  </si>
  <si>
    <t>A600305-02</t>
  </si>
  <si>
    <t>Profit Share Commission - Ced Non-Affil</t>
  </si>
  <si>
    <t>A600305-03</t>
  </si>
  <si>
    <t>Prem Tax Recovery - Ced Non-Affil</t>
  </si>
  <si>
    <t>A600305-04</t>
  </si>
  <si>
    <t>Interest Cred Exp - Profit Share - Ced Non-Affil</t>
  </si>
  <si>
    <t>A600305-05</t>
  </si>
  <si>
    <t>Interest Cred Exp - Funds Held - Ced Non-Affil</t>
  </si>
  <si>
    <t>A600305-07</t>
  </si>
  <si>
    <t>Profit Share Comm - FH - Ced Non-Affil</t>
  </si>
  <si>
    <t>A600307-00</t>
  </si>
  <si>
    <t>Commissions Expense Allow - Ced Non-Affil</t>
  </si>
  <si>
    <t>A600400-00</t>
  </si>
  <si>
    <t>Commissions - Asm Affil</t>
  </si>
  <si>
    <t>A600400-01</t>
  </si>
  <si>
    <t>Commissions - Reimb - Asm Affil</t>
  </si>
  <si>
    <t>A600400-02</t>
  </si>
  <si>
    <t>Commissions - Override - Asm Affil</t>
  </si>
  <si>
    <t>A600405-00</t>
  </si>
  <si>
    <t>Commissions Other Comp - Asm Affil</t>
  </si>
  <si>
    <t>A600405-01</t>
  </si>
  <si>
    <t>Contingt Commission - Asm Affil</t>
  </si>
  <si>
    <t>A600405-02</t>
  </si>
  <si>
    <t>Profit Share Commission - Asm Affil</t>
  </si>
  <si>
    <t>A600405-03</t>
  </si>
  <si>
    <t>Prem Tax Recovery - Asm Affil</t>
  </si>
  <si>
    <t>A600500-00</t>
  </si>
  <si>
    <t>Commissions - Ced Affil</t>
  </si>
  <si>
    <t>A600500-01</t>
  </si>
  <si>
    <t>Commissions - Reimb - Ced Affil</t>
  </si>
  <si>
    <t>A600500-02</t>
  </si>
  <si>
    <t>Commissions - Override - Ced Affil</t>
  </si>
  <si>
    <t>A600505-00</t>
  </si>
  <si>
    <t>Commissions Other Comp - Ced Affil</t>
  </si>
  <si>
    <t>A600505-01</t>
  </si>
  <si>
    <t>Contingt Commission - Ced Affil</t>
  </si>
  <si>
    <t>A600505-02</t>
  </si>
  <si>
    <t>Profit Share Commission - Ced Affil</t>
  </si>
  <si>
    <t>A600505-03</t>
  </si>
  <si>
    <t>Prem Tax Recovery - Ced Affil</t>
  </si>
  <si>
    <t>A600505-04</t>
  </si>
  <si>
    <t>Interest Cred Exp - Profit Share - Ced Affil</t>
  </si>
  <si>
    <t>A600505-05</t>
  </si>
  <si>
    <t>Interest Cred Exp - Funds Held - Ced Affil</t>
  </si>
  <si>
    <t>A601100-00</t>
  </si>
  <si>
    <t>Commissions Life - Dir</t>
  </si>
  <si>
    <t>08641 - T4A comm</t>
  </si>
  <si>
    <t>A601100-21</t>
  </si>
  <si>
    <t>Commissions - FY - Dir</t>
  </si>
  <si>
    <t>A601100-22</t>
  </si>
  <si>
    <t>Commissions - FY Override - Dir</t>
  </si>
  <si>
    <t>A601100-31</t>
  </si>
  <si>
    <t>Commissions - Renewal - Dir</t>
  </si>
  <si>
    <t>A601100-32</t>
  </si>
  <si>
    <t>Commissions - Renewal Override - Dir</t>
  </si>
  <si>
    <t>A601100-41</t>
  </si>
  <si>
    <t>Commissions - Single Premium - Dir</t>
  </si>
  <si>
    <t>A601100-42</t>
  </si>
  <si>
    <t>Commissions Life - Single Override - Dir</t>
  </si>
  <si>
    <t>A601100-71</t>
  </si>
  <si>
    <t>Commissions - Fees - Dir</t>
  </si>
  <si>
    <t>A601200-00</t>
  </si>
  <si>
    <t>Commissions Life - Asmd NonAffil</t>
  </si>
  <si>
    <t>A601200-21</t>
  </si>
  <si>
    <t>Commissions - FY - Asmd NonAffil</t>
  </si>
  <si>
    <t>A601200-31</t>
  </si>
  <si>
    <t>Commissions - Renewal - Asmd NonAffil</t>
  </si>
  <si>
    <t>A601200-41</t>
  </si>
  <si>
    <t>Commissions - Single Premium - Asmd NonAffil</t>
  </si>
  <si>
    <t>A601200-71</t>
  </si>
  <si>
    <t>Commissions - Fees - Asmd NonAffil</t>
  </si>
  <si>
    <t>A601300-00</t>
  </si>
  <si>
    <t>Commissions Life - Ced NonAffil</t>
  </si>
  <si>
    <t>A601300-21</t>
  </si>
  <si>
    <t>Commissions Life - FY - Ced NonAffil</t>
  </si>
  <si>
    <t>A601300-31</t>
  </si>
  <si>
    <t>Commissions Life - Renewal - Ced NonAffil</t>
  </si>
  <si>
    <t>A601300-41</t>
  </si>
  <si>
    <t>Commissions Life - Single Premium - Ced NonAffil</t>
  </si>
  <si>
    <t>A601300-71</t>
  </si>
  <si>
    <t>Commissions Life - Fees - Ced NonAffil</t>
  </si>
  <si>
    <t>A601400-00</t>
  </si>
  <si>
    <t>Commissions Life - Asmd Affil</t>
  </si>
  <si>
    <t>A601400-21</t>
  </si>
  <si>
    <t>Commissions Life - FY - Asmd Affil</t>
  </si>
  <si>
    <t>A601400-31</t>
  </si>
  <si>
    <t>Commissions Life - Renewal - Asmd Affil</t>
  </si>
  <si>
    <t>A601400-41</t>
  </si>
  <si>
    <t>Commissions Life - Single Premium - Asmd Affil</t>
  </si>
  <si>
    <t>A601400-71</t>
  </si>
  <si>
    <t>Commissions Life - Fees - Asmd Affil</t>
  </si>
  <si>
    <t>A601500-00</t>
  </si>
  <si>
    <t>Commissions Life - Ced Affil</t>
  </si>
  <si>
    <t>A601500-21</t>
  </si>
  <si>
    <t>Commissions Life - FY - Ced Affil</t>
  </si>
  <si>
    <t>A601500-31</t>
  </si>
  <si>
    <t>Commissions Life - Renewal - Ced Affil</t>
  </si>
  <si>
    <t>A601500-41</t>
  </si>
  <si>
    <t>Commissions Life - Single Premium - Ced Affil</t>
  </si>
  <si>
    <t>A601500-71</t>
  </si>
  <si>
    <t>Commissions Life - Fees - Ced Affil</t>
  </si>
  <si>
    <t>A604300-00</t>
  </si>
  <si>
    <t>Comm Ceding Fees - Ced NonAffil</t>
  </si>
  <si>
    <t>A604300-01</t>
  </si>
  <si>
    <t>Comm Ceding Fees Override - Ced NonAffil</t>
  </si>
  <si>
    <t>A604300-03</t>
  </si>
  <si>
    <t>Comm Ceding Fees  - FH - Ced NonAffil</t>
  </si>
  <si>
    <t>A604301-00</t>
  </si>
  <si>
    <t>Comm Chg in UE Ceding Fees - Ced NonAffil</t>
  </si>
  <si>
    <t>A604500-00</t>
  </si>
  <si>
    <t>Comm Ceding Fees - Ced Affil</t>
  </si>
  <si>
    <t>A604500-01</t>
  </si>
  <si>
    <t>Comm Ceding Fees Override - Ced Affil</t>
  </si>
  <si>
    <t>A604501-00</t>
  </si>
  <si>
    <t>Comm Chg in UE Ceding Fees - Ced Affil</t>
  </si>
  <si>
    <t>A605100-00</t>
  </si>
  <si>
    <t>Chg in DAC - Commissions - Dir</t>
  </si>
  <si>
    <t>A605100-01</t>
  </si>
  <si>
    <t>Chg in DAC - Comm - Adv - Dir</t>
  </si>
  <si>
    <t>for TWG not Retail gross-up</t>
  </si>
  <si>
    <t>A605100-02</t>
  </si>
  <si>
    <t>Chg in DAC - Retail Gross-up Dir</t>
  </si>
  <si>
    <t>CAS sys uses for Retail Gross-up</t>
  </si>
  <si>
    <t>A605100-03</t>
  </si>
  <si>
    <t>Chg in DAC - Comm - Override - Dir</t>
  </si>
  <si>
    <t>A605100-04</t>
  </si>
  <si>
    <t>Chg in DAC - Other - Dir</t>
  </si>
  <si>
    <t>A605100-05</t>
  </si>
  <si>
    <t>Chg in DAC - Dealer Cost Gross-up Dir</t>
  </si>
  <si>
    <t>A605100-06</t>
  </si>
  <si>
    <t>Chg in DAC - Reins Fees Gross - Dir</t>
  </si>
  <si>
    <t>to be deleted</t>
  </si>
  <si>
    <t>A605100-20</t>
  </si>
  <si>
    <t>Chg in DAC - Capitalization</t>
  </si>
  <si>
    <t>A605101-00</t>
  </si>
  <si>
    <t>Chg in DAC - Prem Tax Direct</t>
  </si>
  <si>
    <t>A605102-00</t>
  </si>
  <si>
    <t>Chg in DAC - Amortization</t>
  </si>
  <si>
    <t>A605103-00</t>
  </si>
  <si>
    <t>Chg in DAC - Amort FX- Dir</t>
  </si>
  <si>
    <t>A605105-00</t>
  </si>
  <si>
    <t>Chg in DAC - VOBA</t>
  </si>
  <si>
    <t>A605105-01</t>
  </si>
  <si>
    <t>Chg in DAC - VOBA Inforce Asset</t>
  </si>
  <si>
    <t>A605110-00</t>
  </si>
  <si>
    <t>Chg in DAC - Clip Expense - Dir Affil</t>
  </si>
  <si>
    <t>A605110-01</t>
  </si>
  <si>
    <t>Chg in DAC - Clip Exp Loss Fund - Dir Affil</t>
  </si>
  <si>
    <t>A605110-02</t>
  </si>
  <si>
    <t>Chg in DAC - Clip Exp Rfee PTax- Dir Affil</t>
  </si>
  <si>
    <t>A605200-00</t>
  </si>
  <si>
    <t>Chg in DAC - Comm - Asm Non-Affil</t>
  </si>
  <si>
    <t>A605200-01</t>
  </si>
  <si>
    <t>Chg in DAC - Comm - Adv - Asm Non-Affil</t>
  </si>
  <si>
    <t>A605200-02</t>
  </si>
  <si>
    <t>Chg in DAC - Comm - Override - Asm Non-Affil</t>
  </si>
  <si>
    <t>A605200-03</t>
  </si>
  <si>
    <t>Chg in DAC - Other - Asm Non-Affil</t>
  </si>
  <si>
    <t>A605200-90</t>
  </si>
  <si>
    <t>Chg in DAC Comm Rollfwd - Asm Non-Affil</t>
  </si>
  <si>
    <t>A605201-00</t>
  </si>
  <si>
    <t>Chg in DAC - Prem Tax Asm Non-Affil</t>
  </si>
  <si>
    <t>A605300-00</t>
  </si>
  <si>
    <t>Chg in DAC - Comm - Ced Non-Affil</t>
  </si>
  <si>
    <t>A605300-01</t>
  </si>
  <si>
    <t>Chg in DAC - Comm - Adv - Ced Non-Affil</t>
  </si>
  <si>
    <t>A605300-02</t>
  </si>
  <si>
    <t>Chg in DAC - Comm - Override - Ced Non-Affil</t>
  </si>
  <si>
    <t>A605300-03</t>
  </si>
  <si>
    <t>Chg in DAC - Other - Ced Non-Affil</t>
  </si>
  <si>
    <t>A605301-00</t>
  </si>
  <si>
    <t>Chg in DAC - Prem Tax Ced Non-Affil</t>
  </si>
  <si>
    <t>A605302-00</t>
  </si>
  <si>
    <t>Chg in DAC Rein Fees - Ced NonAffil</t>
  </si>
  <si>
    <t>A605400-00</t>
  </si>
  <si>
    <t>Chg in DAC - Comm - Asm Affil</t>
  </si>
  <si>
    <t>A605400-01</t>
  </si>
  <si>
    <t>Chg in DAC - Comm - Adv - Asm Affil</t>
  </si>
  <si>
    <t>A605400-02</t>
  </si>
  <si>
    <t>Chg in DAC - Comm - Override - Asm Affil</t>
  </si>
  <si>
    <t>A605400-03</t>
  </si>
  <si>
    <t>Chg in DAC - Other - Asm Affil</t>
  </si>
  <si>
    <t>A605401-00</t>
  </si>
  <si>
    <t>Chg in DAC - Prem Tax Asm Affil</t>
  </si>
  <si>
    <t>A605500-00</t>
  </si>
  <si>
    <t>Chg in DAC - Comm - Ced Affil</t>
  </si>
  <si>
    <t>A605500-01</t>
  </si>
  <si>
    <t>Chg in DAC - Comm - Adv - Ced Affil</t>
  </si>
  <si>
    <t>A605500-02</t>
  </si>
  <si>
    <t>Chg in DAC - Comm - Override - Ced Affil</t>
  </si>
  <si>
    <t>A605500-03</t>
  </si>
  <si>
    <t>Chg in DAC - Other - Ced Affil</t>
  </si>
  <si>
    <t>A605501-00</t>
  </si>
  <si>
    <t>Chg in DAC - Prem Tax Ced Affil</t>
  </si>
  <si>
    <t>A605502-00</t>
  </si>
  <si>
    <t>A700001-00</t>
  </si>
  <si>
    <t>Salaries and Wages</t>
  </si>
  <si>
    <t>A700001-01</t>
  </si>
  <si>
    <t>Salaries - Regular</t>
  </si>
  <si>
    <t>A700001-02</t>
  </si>
  <si>
    <t>Salaries - Overtime</t>
  </si>
  <si>
    <t>A700001-03</t>
  </si>
  <si>
    <t>Accrued PTO</t>
  </si>
  <si>
    <t>A700001-04</t>
  </si>
  <si>
    <t>Accrued Payroll - other</t>
  </si>
  <si>
    <t>A700001-05</t>
  </si>
  <si>
    <t>Manager Employee Overrides</t>
  </si>
  <si>
    <t>A700053-00</t>
  </si>
  <si>
    <t>Salaries Offset Expense Account</t>
  </si>
  <si>
    <t>A700005-00</t>
  </si>
  <si>
    <t>Bonuses</t>
  </si>
  <si>
    <t>A700005-01</t>
  </si>
  <si>
    <t>Bonus - Incentive</t>
  </si>
  <si>
    <t>A700005-02</t>
  </si>
  <si>
    <t>Bonus - Sales Employees</t>
  </si>
  <si>
    <t>A700005-03</t>
  </si>
  <si>
    <t>Bonus - CRM</t>
  </si>
  <si>
    <t>A700005-05</t>
  </si>
  <si>
    <t>Bonus - Other</t>
  </si>
  <si>
    <t>A700005-06</t>
  </si>
  <si>
    <t>Bonus - Non STIP</t>
  </si>
  <si>
    <t>A700006-00</t>
  </si>
  <si>
    <t>NChng Dfrd Acq Costs Emp Bonus Salary</t>
  </si>
  <si>
    <t>A700007-00</t>
  </si>
  <si>
    <t>Acq Csts Amortization Emp Bonus Salary</t>
  </si>
  <si>
    <t>A700008-00</t>
  </si>
  <si>
    <t>Bonus - ALTIEP</t>
  </si>
  <si>
    <t>check?</t>
  </si>
  <si>
    <t>TEMP HELP</t>
  </si>
  <si>
    <t>Temporary help</t>
  </si>
  <si>
    <t>A700010-00</t>
  </si>
  <si>
    <t>A700010-02</t>
  </si>
  <si>
    <t>Temporary Help</t>
  </si>
  <si>
    <t>EMPL BENEFIT</t>
  </si>
  <si>
    <t>Employee benefits</t>
  </si>
  <si>
    <t>A700014-00</t>
  </si>
  <si>
    <t>Tuition Reimbursement and Exam Fees</t>
  </si>
  <si>
    <t>A700015-00</t>
  </si>
  <si>
    <t>Executive Stock Option Plan</t>
  </si>
  <si>
    <t>A700016-00</t>
  </si>
  <si>
    <t>Benefit Charges</t>
  </si>
  <si>
    <t>A700017-00</t>
  </si>
  <si>
    <t>International Benefits</t>
  </si>
  <si>
    <t>A700018-00</t>
  </si>
  <si>
    <t>A700019-00</t>
  </si>
  <si>
    <t>Employee Leave Mgmt Expense</t>
  </si>
  <si>
    <t>A700020-00</t>
  </si>
  <si>
    <t>Employee Insurance Credits</t>
  </si>
  <si>
    <t>A700021-00</t>
  </si>
  <si>
    <t>Other Employee Insurance</t>
  </si>
  <si>
    <t>A700022-00</t>
  </si>
  <si>
    <t>International Pension Expense</t>
  </si>
  <si>
    <t>A700023-00</t>
  </si>
  <si>
    <t>A700024-00</t>
  </si>
  <si>
    <t>Retirement Accounts</t>
  </si>
  <si>
    <t>A700024-01</t>
  </si>
  <si>
    <t>401k Employee Match</t>
  </si>
  <si>
    <t>A700024-02</t>
  </si>
  <si>
    <t>401k Executive Plan</t>
  </si>
  <si>
    <t>A700025-00</t>
  </si>
  <si>
    <t>Employee Stock Purchase Plan (ESPP)</t>
  </si>
  <si>
    <t>A700026-00</t>
  </si>
  <si>
    <t>Payroll Tax Exp SUTA</t>
  </si>
  <si>
    <t>A700027-00</t>
  </si>
  <si>
    <t>Other Benefits</t>
  </si>
  <si>
    <t>A700028-00</t>
  </si>
  <si>
    <t>Payroll Tax Exp FICA</t>
  </si>
  <si>
    <t>A700029-00</t>
  </si>
  <si>
    <t>Payroll Tax Exp FUTA</t>
  </si>
  <si>
    <t>A700036-00</t>
  </si>
  <si>
    <t>Payroll Tax Gross Up Expense</t>
  </si>
  <si>
    <t>A700030-00</t>
  </si>
  <si>
    <t>Severance</t>
  </si>
  <si>
    <t>A700030-01</t>
  </si>
  <si>
    <t>Severance Paid</t>
  </si>
  <si>
    <t>A700030-20</t>
  </si>
  <si>
    <t>Pyrll Accrual - Severance M and A</t>
  </si>
  <si>
    <t>A700030-21</t>
  </si>
  <si>
    <t>Pyrll Accrual - Severance</t>
  </si>
  <si>
    <t>A700030-22</t>
  </si>
  <si>
    <t>Pyrll Accrual - Severance Transform</t>
  </si>
  <si>
    <t>A700031-00</t>
  </si>
  <si>
    <t>Recruitment Expense</t>
  </si>
  <si>
    <t>A700032-00</t>
  </si>
  <si>
    <t>Placement Fees</t>
  </si>
  <si>
    <t>A700033-00</t>
  </si>
  <si>
    <t>Employee Activities</t>
  </si>
  <si>
    <t>A700033-01</t>
  </si>
  <si>
    <t>Employee Activities Meetings</t>
  </si>
  <si>
    <t>A700033-02</t>
  </si>
  <si>
    <t>Employee Activities Vanpool Admin</t>
  </si>
  <si>
    <t>A700034-00</t>
  </si>
  <si>
    <t>Employee Recognition</t>
  </si>
  <si>
    <t>A700034-01</t>
  </si>
  <si>
    <t>Employee Appreciation Event</t>
  </si>
  <si>
    <t>A700035-00</t>
  </si>
  <si>
    <t>Relocation Exp</t>
  </si>
  <si>
    <t>A700038-00</t>
  </si>
  <si>
    <t>EE Training and Education</t>
  </si>
  <si>
    <t>A700038-02</t>
  </si>
  <si>
    <t>Exec MBA PHD Reimbursement</t>
  </si>
  <si>
    <t>A700038-03</t>
  </si>
  <si>
    <t>Industry or Company Training</t>
  </si>
  <si>
    <t>A700039-00</t>
  </si>
  <si>
    <t>Employee Physical Exams</t>
  </si>
  <si>
    <t>A700040-00</t>
  </si>
  <si>
    <t>Other Employee Welfare</t>
  </si>
  <si>
    <t>A700041-00</t>
  </si>
  <si>
    <t>Health Club Income</t>
  </si>
  <si>
    <t>A700042-00</t>
  </si>
  <si>
    <t>Employee Professional and Trade Dues</t>
  </si>
  <si>
    <t>A700043-00</t>
  </si>
  <si>
    <t>Gift Cards - Employees</t>
  </si>
  <si>
    <t>A700045-00</t>
  </si>
  <si>
    <t>Social Club Membership</t>
  </si>
  <si>
    <t>A720014-00</t>
  </si>
  <si>
    <t>Cafeteria Costs</t>
  </si>
  <si>
    <t>CAP LABOR</t>
  </si>
  <si>
    <t>Capitalized Internal Labor</t>
  </si>
  <si>
    <t>A700050-00</t>
  </si>
  <si>
    <t>Capitalized Labor - Salaries Offset</t>
  </si>
  <si>
    <t>A700051-00</t>
  </si>
  <si>
    <t>Resource Absorption</t>
  </si>
  <si>
    <t>A700052-00</t>
  </si>
  <si>
    <t>Overhead Absorption</t>
  </si>
  <si>
    <t>TRAVEL ENT</t>
  </si>
  <si>
    <t>Travel and entertainment</t>
  </si>
  <si>
    <t>MEALS &amp; ENT</t>
  </si>
  <si>
    <t>Meals and Entertainment</t>
  </si>
  <si>
    <t>A700055-00</t>
  </si>
  <si>
    <t>Employee Meals - In House</t>
  </si>
  <si>
    <t>A700057-00</t>
  </si>
  <si>
    <t>Meals</t>
  </si>
  <si>
    <t>A700058-00</t>
  </si>
  <si>
    <t>Entertainment</t>
  </si>
  <si>
    <t>AIRLINE</t>
  </si>
  <si>
    <t>Airline and Lodging</t>
  </si>
  <si>
    <t>A700059-00</t>
  </si>
  <si>
    <t>Airline Tickets</t>
  </si>
  <si>
    <t>A700060-00</t>
  </si>
  <si>
    <t>Lodging</t>
  </si>
  <si>
    <t>A700061-00</t>
  </si>
  <si>
    <t>Company Leased Vehicle Maintenance</t>
  </si>
  <si>
    <t>A700062-00</t>
  </si>
  <si>
    <t>Rental of Auto</t>
  </si>
  <si>
    <t>A700063-00</t>
  </si>
  <si>
    <t>Company Leased Vehicle Gas Reimb</t>
  </si>
  <si>
    <t>A700064-00</t>
  </si>
  <si>
    <t>Company Leased Vehicle Exp Other</t>
  </si>
  <si>
    <t>A702994-00</t>
  </si>
  <si>
    <t>Travel Agency Fees - Allocations</t>
  </si>
  <si>
    <t>OTHER TRAVEL</t>
  </si>
  <si>
    <t>Other Travel</t>
  </si>
  <si>
    <t>A700065-00</t>
  </si>
  <si>
    <t>Other Transportation</t>
  </si>
  <si>
    <t>A700066-00</t>
  </si>
  <si>
    <t>Travel Incidentals</t>
  </si>
  <si>
    <t>A700067-00</t>
  </si>
  <si>
    <t>Non-Employee Travel</t>
  </si>
  <si>
    <t>A700068-00</t>
  </si>
  <si>
    <t>ERA Accrual</t>
  </si>
  <si>
    <t>A700069-00</t>
  </si>
  <si>
    <t>Travel Agency Fees</t>
  </si>
  <si>
    <t>A700070-00</t>
  </si>
  <si>
    <t>Foreign Exchange Fees</t>
  </si>
  <si>
    <t>OCC EXP</t>
  </si>
  <si>
    <t>Occupancy expenses</t>
  </si>
  <si>
    <t>RENT MAINT</t>
  </si>
  <si>
    <t>Rent and maintenance</t>
  </si>
  <si>
    <t>A720000-00</t>
  </si>
  <si>
    <t>Real Estate Expense - Land</t>
  </si>
  <si>
    <t>A720001-00</t>
  </si>
  <si>
    <t>Real Estate Expense  - Land Improvement</t>
  </si>
  <si>
    <t>A721000-00</t>
  </si>
  <si>
    <t>Real Estate Expense - Building</t>
  </si>
  <si>
    <t>A721001-00</t>
  </si>
  <si>
    <t>Real Estate Expense - Building Improvement</t>
  </si>
  <si>
    <t>A720002-00</t>
  </si>
  <si>
    <t>Rent - Occupied Premises</t>
  </si>
  <si>
    <t>A720003-00</t>
  </si>
  <si>
    <t>Lease Impairment</t>
  </si>
  <si>
    <t>A720004-00</t>
  </si>
  <si>
    <t>Rent Chargeback</t>
  </si>
  <si>
    <t>A720005-00</t>
  </si>
  <si>
    <t>Rent - Operating Expense</t>
  </si>
  <si>
    <t>A720006-00</t>
  </si>
  <si>
    <t>Rent - Storage Offsite</t>
  </si>
  <si>
    <t>A720028-00</t>
  </si>
  <si>
    <t>Rent - Self Charged</t>
  </si>
  <si>
    <t>A720030-00</t>
  </si>
  <si>
    <t>Rent-Taxes Temp</t>
  </si>
  <si>
    <t>RE PROP TAX</t>
  </si>
  <si>
    <t>Real Estate and Property Taxes</t>
  </si>
  <si>
    <t>A720007-00</t>
  </si>
  <si>
    <t>Real Estate Taxes</t>
  </si>
  <si>
    <t>A720008-00</t>
  </si>
  <si>
    <t>Personal Property Tax</t>
  </si>
  <si>
    <t>A720009-00</t>
  </si>
  <si>
    <t>Rent - Utilities and Services</t>
  </si>
  <si>
    <t>A720010-00</t>
  </si>
  <si>
    <t>Building Utilities - Other</t>
  </si>
  <si>
    <t>A720011-00</t>
  </si>
  <si>
    <t>Building Electricity</t>
  </si>
  <si>
    <t>A720012-00</t>
  </si>
  <si>
    <t>Building Water and Sewer</t>
  </si>
  <si>
    <t>A720013-00</t>
  </si>
  <si>
    <t>Building Natural Gas</t>
  </si>
  <si>
    <t>A720015-00</t>
  </si>
  <si>
    <t>Building Repairs and Maintenance</t>
  </si>
  <si>
    <t>A720016-00</t>
  </si>
  <si>
    <t>Building Maintenance Contracts</t>
  </si>
  <si>
    <t>A720017-00</t>
  </si>
  <si>
    <t>Building Services</t>
  </si>
  <si>
    <t>A720018-00</t>
  </si>
  <si>
    <t>Landscaping and Grounds</t>
  </si>
  <si>
    <t>A720019-00</t>
  </si>
  <si>
    <t>Janitorial Services</t>
  </si>
  <si>
    <t>A720020-00</t>
  </si>
  <si>
    <t>Building Srvcs Janitorial Supplies</t>
  </si>
  <si>
    <t>A720021-00</t>
  </si>
  <si>
    <t>Building Srvcs Waste and Recycle</t>
  </si>
  <si>
    <t>A720022-00</t>
  </si>
  <si>
    <t>Building Services - Security</t>
  </si>
  <si>
    <t>A720023-00</t>
  </si>
  <si>
    <t>HVAC and Plumbing Repairs and Maint</t>
  </si>
  <si>
    <t>A720024-00</t>
  </si>
  <si>
    <t>Electrical Repairs and Maint</t>
  </si>
  <si>
    <t>A720025-00</t>
  </si>
  <si>
    <t>Elevator Repairs and Maint</t>
  </si>
  <si>
    <t>A720026-00</t>
  </si>
  <si>
    <t>Building Parking</t>
  </si>
  <si>
    <t>A720027-00</t>
  </si>
  <si>
    <t>Building General Expense</t>
  </si>
  <si>
    <t>A722000-00</t>
  </si>
  <si>
    <t>Furniture Expense</t>
  </si>
  <si>
    <t>A722001-00</t>
  </si>
  <si>
    <t>IT Hardware Expense</t>
  </si>
  <si>
    <t>A722002-00</t>
  </si>
  <si>
    <t>Equipment (non IT) Expense</t>
  </si>
  <si>
    <t>A722010-00</t>
  </si>
  <si>
    <t>Leased Equipment - Furn and Equip</t>
  </si>
  <si>
    <t>A722011-00</t>
  </si>
  <si>
    <t>Equipment Maintenance and Repair</t>
  </si>
  <si>
    <t>A722100-00</t>
  </si>
  <si>
    <t>Gain (Loss) on Fixed Assets</t>
  </si>
  <si>
    <t>A722103-00</t>
  </si>
  <si>
    <t>Artwork Expense</t>
  </si>
  <si>
    <t>A710000-00</t>
  </si>
  <si>
    <t>Accounting Consulting Services</t>
  </si>
  <si>
    <t>A710001-00</t>
  </si>
  <si>
    <t>Actuarial Consulting Services</t>
  </si>
  <si>
    <t>A710002-00</t>
  </si>
  <si>
    <t>IT Consulting</t>
  </si>
  <si>
    <t>A710003-00</t>
  </si>
  <si>
    <t>Business and Strategic Consulting</t>
  </si>
  <si>
    <t>A710004-00</t>
  </si>
  <si>
    <t>Consulting Services - Trvl Lodg Meals</t>
  </si>
  <si>
    <t>A710005-00</t>
  </si>
  <si>
    <t>Prepaid Professional Services</t>
  </si>
  <si>
    <t>A710010-00</t>
  </si>
  <si>
    <t>IT App Maint and Support Services</t>
  </si>
  <si>
    <t>A710011-00</t>
  </si>
  <si>
    <t>Offshore Resources</t>
  </si>
  <si>
    <t>A710012-00</t>
  </si>
  <si>
    <t>IT App Dev Contracted Services</t>
  </si>
  <si>
    <t>A710013-00</t>
  </si>
  <si>
    <t>Vendor Installation Assistance</t>
  </si>
  <si>
    <t>A710014-00</t>
  </si>
  <si>
    <t>IT App Maint and Support  IT Outsourcing</t>
  </si>
  <si>
    <t>A710015-00</t>
  </si>
  <si>
    <t>IT Infrastructure Outsourcing</t>
  </si>
  <si>
    <t>A710016-00</t>
  </si>
  <si>
    <t>Outside Services - Other</t>
  </si>
  <si>
    <t>A710017-00</t>
  </si>
  <si>
    <t>Cloud Services</t>
  </si>
  <si>
    <t>A710018-00</t>
  </si>
  <si>
    <t>Customer Service Outsourcing Fees</t>
  </si>
  <si>
    <t>A710019-00</t>
  </si>
  <si>
    <t>IT Temporary Help Backfill</t>
  </si>
  <si>
    <t>A710020-00</t>
  </si>
  <si>
    <t>BPO Services Operations</t>
  </si>
  <si>
    <t>A710021-00</t>
  </si>
  <si>
    <t>BPO Services GA</t>
  </si>
  <si>
    <t>A710022-00</t>
  </si>
  <si>
    <t>BPO Services PAS</t>
  </si>
  <si>
    <t>A710023-00</t>
  </si>
  <si>
    <t>IT Application Development IT Support Outsourcing</t>
  </si>
  <si>
    <t>A710025-00</t>
  </si>
  <si>
    <t>Data Processing Outsourcing</t>
  </si>
  <si>
    <t>A710026-00</t>
  </si>
  <si>
    <t>A710027-00</t>
  </si>
  <si>
    <t>Group Admin Fees Paid</t>
  </si>
  <si>
    <t>A710028-00</t>
  </si>
  <si>
    <t>Distribution Expense</t>
  </si>
  <si>
    <t>A710029-00</t>
  </si>
  <si>
    <t>Miscellaneous Service Fees</t>
  </si>
  <si>
    <t>A710030-00</t>
  </si>
  <si>
    <t>Service and Admin Fees Other</t>
  </si>
  <si>
    <t>A710031-00</t>
  </si>
  <si>
    <t>Collection Fees</t>
  </si>
  <si>
    <t>A7TA030-00</t>
  </si>
  <si>
    <t>Service and Admin Fees Other - Allocated</t>
  </si>
  <si>
    <t>A710035-00</t>
  </si>
  <si>
    <t>Outside Law Services</t>
  </si>
  <si>
    <t>A710036-00</t>
  </si>
  <si>
    <t>Non Claim Litigation Settlements</t>
  </si>
  <si>
    <t>A710037-00</t>
  </si>
  <si>
    <t>Litigation Accrual</t>
  </si>
  <si>
    <t>A710038-00</t>
  </si>
  <si>
    <t>Receivables Mgmt Legal Fees Exp</t>
  </si>
  <si>
    <t>A7T0366-00</t>
  </si>
  <si>
    <t>Integration Expenses</t>
  </si>
  <si>
    <t>A722060-00</t>
  </si>
  <si>
    <t>IT Hardware and Supplies</t>
  </si>
  <si>
    <t>A722061-00</t>
  </si>
  <si>
    <t>IT Equipment Non-Capitalized</t>
  </si>
  <si>
    <t>A722063-00</t>
  </si>
  <si>
    <t>IT Equipment Rental</t>
  </si>
  <si>
    <t>A722064-00</t>
  </si>
  <si>
    <t>Leased Equipment</t>
  </si>
  <si>
    <t>A722065-00</t>
  </si>
  <si>
    <t>Prepaid HW Maintenance</t>
  </si>
  <si>
    <t>A722066-00</t>
  </si>
  <si>
    <t>Expensed Hardware Maintenance</t>
  </si>
  <si>
    <t>A722025-00</t>
  </si>
  <si>
    <t>Computer Services - Other</t>
  </si>
  <si>
    <t>A722026-00</t>
  </si>
  <si>
    <t>Prepaid SW Maintenance</t>
  </si>
  <si>
    <t>A722027-00</t>
  </si>
  <si>
    <t>Expensed SW Maintenance</t>
  </si>
  <si>
    <t>A722028-00</t>
  </si>
  <si>
    <t>Software Leases</t>
  </si>
  <si>
    <t>A722029-00</t>
  </si>
  <si>
    <t>Software Programs Expensed</t>
  </si>
  <si>
    <t>A722030-00</t>
  </si>
  <si>
    <t>Application Software - License</t>
  </si>
  <si>
    <t>A722032-00</t>
  </si>
  <si>
    <t>ACT Enterprise Tools and Apps</t>
  </si>
  <si>
    <t>A7T0323-00</t>
  </si>
  <si>
    <t>Asset Chargeback</t>
  </si>
  <si>
    <t>A722035-00</t>
  </si>
  <si>
    <t>IT Labor Deferral Internal</t>
  </si>
  <si>
    <t>A722036-00</t>
  </si>
  <si>
    <t>IT Labor Deferral External</t>
  </si>
  <si>
    <t>A740001-00</t>
  </si>
  <si>
    <t>Sales Promotion Items</t>
  </si>
  <si>
    <t>A740002-00</t>
  </si>
  <si>
    <t>General Advertising</t>
  </si>
  <si>
    <t>A740003-00</t>
  </si>
  <si>
    <t>Other Media Advertising</t>
  </si>
  <si>
    <t>A740004-00</t>
  </si>
  <si>
    <t>Trade Magazine Publications</t>
  </si>
  <si>
    <t>A740005-00</t>
  </si>
  <si>
    <t>Public Relation Fees</t>
  </si>
  <si>
    <t>A740006-00</t>
  </si>
  <si>
    <t>Referral Fees</t>
  </si>
  <si>
    <t>A740007-00</t>
  </si>
  <si>
    <t>Agency Entertainment</t>
  </si>
  <si>
    <t>A740008-00</t>
  </si>
  <si>
    <t>Contests and Awards</t>
  </si>
  <si>
    <t>A740009-00</t>
  </si>
  <si>
    <t>Gift Cards - Non-Employees and Agents</t>
  </si>
  <si>
    <t>A740010-00</t>
  </si>
  <si>
    <t>Agency Training</t>
  </si>
  <si>
    <t>A740011-00</t>
  </si>
  <si>
    <t>Sales Conferences</t>
  </si>
  <si>
    <t>A740012-00</t>
  </si>
  <si>
    <t>Sales Management Meetings</t>
  </si>
  <si>
    <t>A740013-00</t>
  </si>
  <si>
    <t>Marketing Allowance</t>
  </si>
  <si>
    <t>A740014-00</t>
  </si>
  <si>
    <t>Prepaid Advertising Depreciation</t>
  </si>
  <si>
    <t>A740015-00</t>
  </si>
  <si>
    <t>NChng Dfrd Acq Csts Direct Mail</t>
  </si>
  <si>
    <t>A740016-00</t>
  </si>
  <si>
    <t>Acq Cst Telemarketing and Direct Mail - Capitalization</t>
  </si>
  <si>
    <t>A740017-00</t>
  </si>
  <si>
    <t>Acq Cst Telemktg and Direct Mail - Amort</t>
  </si>
  <si>
    <t>A740018-00</t>
  </si>
  <si>
    <t>Telemarketing Outsourcing Fees</t>
  </si>
  <si>
    <t>A740019-00</t>
  </si>
  <si>
    <t>Direct Mail Advertising</t>
  </si>
  <si>
    <t>A740020-00</t>
  </si>
  <si>
    <t>Direct Mail and Telemarketing Expenses - 2 year deferral</t>
  </si>
  <si>
    <t>A740021-00</t>
  </si>
  <si>
    <t>Solicitation Paper and Printing</t>
  </si>
  <si>
    <t>A740022-00</t>
  </si>
  <si>
    <t>Solicitation Sales Postage</t>
  </si>
  <si>
    <t>A740023-00</t>
  </si>
  <si>
    <t>Solicitation Leads - 4 Yrs</t>
  </si>
  <si>
    <t>A740024-00</t>
  </si>
  <si>
    <t>Telemarketing Fee Expense</t>
  </si>
  <si>
    <t>A724201-00</t>
  </si>
  <si>
    <t>Freight Outbound</t>
  </si>
  <si>
    <t>A740025-00</t>
  </si>
  <si>
    <t>A740026-00</t>
  </si>
  <si>
    <t>PO Box Rent</t>
  </si>
  <si>
    <t>A740027-00</t>
  </si>
  <si>
    <t>Postage Machine Maintenance</t>
  </si>
  <si>
    <t>A740028-00</t>
  </si>
  <si>
    <t>Express and Freight</t>
  </si>
  <si>
    <t>A740029-00</t>
  </si>
  <si>
    <t>Freight Chargeback</t>
  </si>
  <si>
    <t>A740030-00</t>
  </si>
  <si>
    <t>Printing</t>
  </si>
  <si>
    <t>A740031-00</t>
  </si>
  <si>
    <t>WSP Enrollment Brochures Deferred</t>
  </si>
  <si>
    <t>A740032-00</t>
  </si>
  <si>
    <t>Paper Costs</t>
  </si>
  <si>
    <t>A740033-00</t>
  </si>
  <si>
    <t>Printing Expense Reimbursement</t>
  </si>
  <si>
    <t>A740034-00</t>
  </si>
  <si>
    <t>General Supplies</t>
  </si>
  <si>
    <t>A740035-00</t>
  </si>
  <si>
    <t>Copy Machine Maintenance and Supplies</t>
  </si>
  <si>
    <t>A740036-00</t>
  </si>
  <si>
    <t>Graphic Arts</t>
  </si>
  <si>
    <t>A740037-00</t>
  </si>
  <si>
    <t>Books and Periodicals Audio Materials</t>
  </si>
  <si>
    <t>A742985-00</t>
  </si>
  <si>
    <t>A700044-00</t>
  </si>
  <si>
    <t>Wireless Expense Company subsidy</t>
  </si>
  <si>
    <t>A740040-00</t>
  </si>
  <si>
    <t>Telephone - Local Services</t>
  </si>
  <si>
    <t>A740041-00</t>
  </si>
  <si>
    <t>Telephone - Cellular</t>
  </si>
  <si>
    <t>A740042-00</t>
  </si>
  <si>
    <t>Segment Telephone Chargeback</t>
  </si>
  <si>
    <t>A740044-00</t>
  </si>
  <si>
    <t>Telephone - Long Distance</t>
  </si>
  <si>
    <t>A740045-00</t>
  </si>
  <si>
    <t>Teleconferencing and Webmeeting Exp</t>
  </si>
  <si>
    <t>A740046-00</t>
  </si>
  <si>
    <t>Telephone - Long Distance Outbound</t>
  </si>
  <si>
    <t>A740047-00</t>
  </si>
  <si>
    <t>Telephone - Long Distance Inbound</t>
  </si>
  <si>
    <t>A740048-00</t>
  </si>
  <si>
    <t>Telephone - Other</t>
  </si>
  <si>
    <t>A740049-00</t>
  </si>
  <si>
    <t>Network - Business Private Network Chgs</t>
  </si>
  <si>
    <t>A740050-00</t>
  </si>
  <si>
    <t>Internet Fees</t>
  </si>
  <si>
    <t>A7TA166-00</t>
  </si>
  <si>
    <t>Telephone - Local Services - Allocation</t>
  </si>
  <si>
    <t>A730027-00</t>
  </si>
  <si>
    <t>Overpayment Recovery Fees</t>
  </si>
  <si>
    <t>A730028-00</t>
  </si>
  <si>
    <t>BPO Technology Operations</t>
  </si>
  <si>
    <t>A730029-00</t>
  </si>
  <si>
    <t>BPO Technology PAS</t>
  </si>
  <si>
    <t>A730030-00</t>
  </si>
  <si>
    <t>BPO PPM Cost</t>
  </si>
  <si>
    <t>A730031-00</t>
  </si>
  <si>
    <t>BPO Technology PPM</t>
  </si>
  <si>
    <t>A740038-00</t>
  </si>
  <si>
    <t>Payment Outsourcing Fees</t>
  </si>
  <si>
    <t>A740055-00</t>
  </si>
  <si>
    <t>Directors Fees</t>
  </si>
  <si>
    <t>A740056-00</t>
  </si>
  <si>
    <t>Lobbying Services</t>
  </si>
  <si>
    <t>A740057-00</t>
  </si>
  <si>
    <t>Auditing Fees</t>
  </si>
  <si>
    <t>A740058-00</t>
  </si>
  <si>
    <t>Research Database Services</t>
  </si>
  <si>
    <t>A740059-00</t>
  </si>
  <si>
    <t>Insurance not Real Estate Owned</t>
  </si>
  <si>
    <t>A740060-00</t>
  </si>
  <si>
    <t>Work Comp and Employers Liability</t>
  </si>
  <si>
    <t>A740061-00</t>
  </si>
  <si>
    <t>Professional Liability Ins (E and O)</t>
  </si>
  <si>
    <t>A740062-00</t>
  </si>
  <si>
    <t>Employment Practices Liability Ins</t>
  </si>
  <si>
    <t>A740063-00</t>
  </si>
  <si>
    <t>Auto Insurance for Company Cars</t>
  </si>
  <si>
    <t>A740064-00</t>
  </si>
  <si>
    <t>Property Insurance Incl Inventory</t>
  </si>
  <si>
    <t>A740065-00</t>
  </si>
  <si>
    <t>Cyber Insurance</t>
  </si>
  <si>
    <t>A740066-00</t>
  </si>
  <si>
    <t>D and O Fiduciary Liability Ins</t>
  </si>
  <si>
    <t>A740067-00</t>
  </si>
  <si>
    <t>Other Insurance</t>
  </si>
  <si>
    <t>A740068-00</t>
  </si>
  <si>
    <t>Global Insurance Processing</t>
  </si>
  <si>
    <t>A740069-00</t>
  </si>
  <si>
    <t>Fidelity Bond Crime Ins</t>
  </si>
  <si>
    <t>A740070-00</t>
  </si>
  <si>
    <t>Bank Service Charges</t>
  </si>
  <si>
    <t>A740071-00</t>
  </si>
  <si>
    <t>Credit Card Rebates</t>
  </si>
  <si>
    <t>A740214-00</t>
  </si>
  <si>
    <t>NYSE Listing Fee</t>
  </si>
  <si>
    <t>A740075-00</t>
  </si>
  <si>
    <t>Charitable Donations and Contributions</t>
  </si>
  <si>
    <t>A740076-00</t>
  </si>
  <si>
    <t>Non-Federal Political Contributions</t>
  </si>
  <si>
    <t>A740080-00</t>
  </si>
  <si>
    <t>Medical Exam Fees Ins</t>
  </si>
  <si>
    <t>A740081-00</t>
  </si>
  <si>
    <t>Inspect and Underwriting Rpt</t>
  </si>
  <si>
    <t>A740082-00</t>
  </si>
  <si>
    <t>Claim Investigation General</t>
  </si>
  <si>
    <t>A740085-00</t>
  </si>
  <si>
    <t>Records Center</t>
  </si>
  <si>
    <t>A740086-00</t>
  </si>
  <si>
    <t>Gain (Loss) on Disposal of Fixed Asset</t>
  </si>
  <si>
    <t>A740087-00</t>
  </si>
  <si>
    <t>Corporate Membership Assoc Dues</t>
  </si>
  <si>
    <t>A740088-00</t>
  </si>
  <si>
    <t>Boards Bureaus and Associations</t>
  </si>
  <si>
    <t>A740089-00</t>
  </si>
  <si>
    <t>Miscellaneous Losses</t>
  </si>
  <si>
    <t>A740090-00</t>
  </si>
  <si>
    <t>Other Misc Expenses</t>
  </si>
  <si>
    <t>A740091-00</t>
  </si>
  <si>
    <t>FV Adj Contingent Liability</t>
  </si>
  <si>
    <t>A740092-00</t>
  </si>
  <si>
    <t>Minority Ownership Expense</t>
  </si>
  <si>
    <t>A740093-00</t>
  </si>
  <si>
    <t>Disaster Recovery</t>
  </si>
  <si>
    <t>A740094-00</t>
  </si>
  <si>
    <t>Misc General Expense Offset Acct</t>
  </si>
  <si>
    <t>A740095-00</t>
  </si>
  <si>
    <t>Logistic Supplies Tooling and Equipment</t>
  </si>
  <si>
    <t>A740096-00</t>
  </si>
  <si>
    <t>Cert of Authority and Corp License</t>
  </si>
  <si>
    <t>A740097-00</t>
  </si>
  <si>
    <t>Membership Expenses</t>
  </si>
  <si>
    <t>A740098-00</t>
  </si>
  <si>
    <t>Directly Attributable to LIC</t>
  </si>
  <si>
    <t>A740099-00</t>
  </si>
  <si>
    <t>Prepaid Corp Membership</t>
  </si>
  <si>
    <t>A740110-00</t>
  </si>
  <si>
    <t>Bank Custodial Fees</t>
  </si>
  <si>
    <t>A740111-00</t>
  </si>
  <si>
    <t>Other Portfolio Expenses</t>
  </si>
  <si>
    <t>A740112-00</t>
  </si>
  <si>
    <t>Mortgage Service Fees</t>
  </si>
  <si>
    <t>A740113-00</t>
  </si>
  <si>
    <t>Misc Investment Exp</t>
  </si>
  <si>
    <t>A740114-00</t>
  </si>
  <si>
    <t>Investment Mgmt Fees</t>
  </si>
  <si>
    <t>A740115-00</t>
  </si>
  <si>
    <t>Bank Loan Settlement Fees</t>
  </si>
  <si>
    <t>A740116-00</t>
  </si>
  <si>
    <t>Stock Exchange Fee</t>
  </si>
  <si>
    <t>A740117-00</t>
  </si>
  <si>
    <t>Foreclosed Properties Exp</t>
  </si>
  <si>
    <t>A740118-00</t>
  </si>
  <si>
    <t>Alloc Inv Exp From UEI</t>
  </si>
  <si>
    <t>A740119-00</t>
  </si>
  <si>
    <t>Investment Expenses Offset Acct</t>
  </si>
  <si>
    <t>A740120-00</t>
  </si>
  <si>
    <t>PCAOB Accounting Support Fee</t>
  </si>
  <si>
    <t>A740121-00</t>
  </si>
  <si>
    <t>Int Exp consolidated invstmt entities</t>
  </si>
  <si>
    <t>A740122-00</t>
  </si>
  <si>
    <t>Oth Exp consolidated invstmt entities</t>
  </si>
  <si>
    <t>A740123-00</t>
  </si>
  <si>
    <t>Owned Building Expenses</t>
  </si>
  <si>
    <t>A741100-00</t>
  </si>
  <si>
    <t>Claim LAE Credit - history only</t>
  </si>
  <si>
    <t>A722210-00</t>
  </si>
  <si>
    <t>Discount Expense</t>
  </si>
  <si>
    <t>A722211-00</t>
  </si>
  <si>
    <t>Gain (Loss) Price Variances</t>
  </si>
  <si>
    <t>A730000-00</t>
  </si>
  <si>
    <t>Revenue Net Basis Devices</t>
  </si>
  <si>
    <t>A730001-00</t>
  </si>
  <si>
    <t>Revenue Net Basis Service</t>
  </si>
  <si>
    <t>A730002-00</t>
  </si>
  <si>
    <t>Revenue Eliminating Net Basis Devices</t>
  </si>
  <si>
    <t>A730003-00</t>
  </si>
  <si>
    <t>Cost of Sales</t>
  </si>
  <si>
    <t>A730004-00</t>
  </si>
  <si>
    <t>Sellers Fees</t>
  </si>
  <si>
    <t>A730005-00</t>
  </si>
  <si>
    <t>Subscriber Based Fees</t>
  </si>
  <si>
    <t>A730006-00</t>
  </si>
  <si>
    <t>Cost Of DRP Program</t>
  </si>
  <si>
    <t>A730007-00</t>
  </si>
  <si>
    <t>Cost of Gain Share</t>
  </si>
  <si>
    <t>A730008-00</t>
  </si>
  <si>
    <t>Cost of Program</t>
  </si>
  <si>
    <t>A730009-00</t>
  </si>
  <si>
    <t>COGS Parts and All Other</t>
  </si>
  <si>
    <t>A730010-00</t>
  </si>
  <si>
    <t>COGS - Cost of Labor</t>
  </si>
  <si>
    <t>A730011-00</t>
  </si>
  <si>
    <t>Material Variance</t>
  </si>
  <si>
    <t>A730012-00</t>
  </si>
  <si>
    <t>Resource Variance</t>
  </si>
  <si>
    <t>A730013-00</t>
  </si>
  <si>
    <t>Overhead Variance</t>
  </si>
  <si>
    <t>A730014-00</t>
  </si>
  <si>
    <t>Standard Cost Variance</t>
  </si>
  <si>
    <t>A730015-00</t>
  </si>
  <si>
    <t>Cycle count adjustments - Parts</t>
  </si>
  <si>
    <t>A730016-00</t>
  </si>
  <si>
    <t>Non Eliminating Freight Cost of Sales</t>
  </si>
  <si>
    <t>A730016-01</t>
  </si>
  <si>
    <t>Non Eliminating Freight COGS - Inbound Freight</t>
  </si>
  <si>
    <t>A730017-00</t>
  </si>
  <si>
    <t>Cost of Sales Net Basis Freight</t>
  </si>
  <si>
    <t>A730018-00</t>
  </si>
  <si>
    <t>Deferred COGS</t>
  </si>
  <si>
    <t>A730019-00</t>
  </si>
  <si>
    <t>Commissions Gross Fee Business</t>
  </si>
  <si>
    <t>A730020-00</t>
  </si>
  <si>
    <t>Commissions DAC Fee Business</t>
  </si>
  <si>
    <t>A730021-00</t>
  </si>
  <si>
    <t>Inventory Reserves</t>
  </si>
  <si>
    <t>A730022-00</t>
  </si>
  <si>
    <t>Inventory Write-offs</t>
  </si>
  <si>
    <t>A730023-00</t>
  </si>
  <si>
    <t>Purchase Price Variance</t>
  </si>
  <si>
    <t>A730024-00</t>
  </si>
  <si>
    <t>COS Net Presentation Adjustment</t>
  </si>
  <si>
    <t>A730025-00</t>
  </si>
  <si>
    <t>Merchant Fees</t>
  </si>
  <si>
    <t>A730026-00</t>
  </si>
  <si>
    <t>Processing Fees</t>
  </si>
  <si>
    <t>A740051-00</t>
  </si>
  <si>
    <t>Solicitation Telemarketing Expenses</t>
  </si>
  <si>
    <t>A740000-01</t>
  </si>
  <si>
    <t>Surcharge Payments</t>
  </si>
  <si>
    <t>A740000-02</t>
  </si>
  <si>
    <t>Surcharge Collected</t>
  </si>
  <si>
    <t>A740100-00</t>
  </si>
  <si>
    <t>State Premium Tax-Current Year</t>
  </si>
  <si>
    <t>A740100-01</t>
  </si>
  <si>
    <t>State Premium Tax-Allocation</t>
  </si>
  <si>
    <t>A740101-00</t>
  </si>
  <si>
    <t>Muni Premium Tax Collected</t>
  </si>
  <si>
    <t>A740101-01</t>
  </si>
  <si>
    <t>Municipal/County Tax-PY</t>
  </si>
  <si>
    <t>A750000-00</t>
  </si>
  <si>
    <t>License Fees - Agents and Producers</t>
  </si>
  <si>
    <t>A750001-00</t>
  </si>
  <si>
    <t>License Fees - Administration</t>
  </si>
  <si>
    <t>A750002-00</t>
  </si>
  <si>
    <t>State Ins Dep - Annl Filing Fees</t>
  </si>
  <si>
    <t>A750003-00</t>
  </si>
  <si>
    <t>State Ins Dept - Other Misc</t>
  </si>
  <si>
    <t>A750004-00</t>
  </si>
  <si>
    <t>Ins Dept Exams</t>
  </si>
  <si>
    <t>A750005-00</t>
  </si>
  <si>
    <t>Penalties</t>
  </si>
  <si>
    <t>A750006-00</t>
  </si>
  <si>
    <t>State Income Tax</t>
  </si>
  <si>
    <t>A750007-00</t>
  </si>
  <si>
    <t>State Franchise and Excise Tax</t>
  </si>
  <si>
    <t>A750008-00</t>
  </si>
  <si>
    <t>State Value Added Tax</t>
  </si>
  <si>
    <t>A750009-00</t>
  </si>
  <si>
    <t>Other State Taxes</t>
  </si>
  <si>
    <t>A750010-00</t>
  </si>
  <si>
    <t>Guaranty Funds</t>
  </si>
  <si>
    <t>A750011-00</t>
  </si>
  <si>
    <t>Non-Guaranty Assessment and Fees</t>
  </si>
  <si>
    <t>A750012-00</t>
  </si>
  <si>
    <t>Recoupment of Non-Guar Assess</t>
  </si>
  <si>
    <t>A750013-00</t>
  </si>
  <si>
    <t>Assessment Related Boards - Bureau and Assoc</t>
  </si>
  <si>
    <t>A750014-00</t>
  </si>
  <si>
    <t>Recoupment of Guaranty Fund Assessments</t>
  </si>
  <si>
    <t>A750015-00</t>
  </si>
  <si>
    <t>Guaranty Fund Assessments - LT</t>
  </si>
  <si>
    <t>A750016-00</t>
  </si>
  <si>
    <t>Taxes on Fee Income Business</t>
  </si>
  <si>
    <t>A750017-00</t>
  </si>
  <si>
    <t>All Other Non FIT Taxes Offset Acct</t>
  </si>
  <si>
    <t>A750018-00</t>
  </si>
  <si>
    <t>Global Service TP</t>
  </si>
  <si>
    <t>A750019-00</t>
  </si>
  <si>
    <t>Global Service TP Markup</t>
  </si>
  <si>
    <t>A750020-00</t>
  </si>
  <si>
    <t>VAT Payable</t>
  </si>
  <si>
    <t>A750021-00</t>
  </si>
  <si>
    <t>A750022-00</t>
  </si>
  <si>
    <t>Good and Service Tax (GST)</t>
  </si>
  <si>
    <t>A750023-00</t>
  </si>
  <si>
    <t>Interest On Taxes</t>
  </si>
  <si>
    <t>A750024-00</t>
  </si>
  <si>
    <t>NChng Dfrd Acq Csts TLF Capitalization</t>
  </si>
  <si>
    <t>A750031-00</t>
  </si>
  <si>
    <t>Compliance Desk Reviews</t>
  </si>
  <si>
    <t>A750032-00</t>
  </si>
  <si>
    <t>Global Capabilities Center OH</t>
  </si>
  <si>
    <t>A750025-00</t>
  </si>
  <si>
    <t>Customer Account Write-offs</t>
  </si>
  <si>
    <t>A750026-00</t>
  </si>
  <si>
    <t>Chg in Allow for Doubtful Acc CECL</t>
  </si>
  <si>
    <t>A750027-00</t>
  </si>
  <si>
    <t>Change in CECL reserve - Prem and AR</t>
  </si>
  <si>
    <t>A750028-00</t>
  </si>
  <si>
    <t>Change in CECL reserve - Reins</t>
  </si>
  <si>
    <t>A750029-00</t>
  </si>
  <si>
    <t>Change in CECL reserve - Dealer</t>
  </si>
  <si>
    <t>A750030-00</t>
  </si>
  <si>
    <t>Agent Balances Charged-Off CECL</t>
  </si>
  <si>
    <t>A722207-00</t>
  </si>
  <si>
    <t>Loss on Extinguishment of Debt Swap</t>
  </si>
  <si>
    <t>A722208-00</t>
  </si>
  <si>
    <t>Assurant Inc Interest Expense</t>
  </si>
  <si>
    <t>A722209-00</t>
  </si>
  <si>
    <t>Loss on Extinguishment of Debt</t>
  </si>
  <si>
    <t>A750036-00</t>
  </si>
  <si>
    <t>Interest Expense</t>
  </si>
  <si>
    <t>A750037-00</t>
  </si>
  <si>
    <t>Interest Expense Other</t>
  </si>
  <si>
    <t>A750040-00</t>
  </si>
  <si>
    <t>Pension Plan</t>
  </si>
  <si>
    <t>A750041-00</t>
  </si>
  <si>
    <t>Pension - Suppl Ex Retire (SERP)</t>
  </si>
  <si>
    <t>A750042-00</t>
  </si>
  <si>
    <t>Loss on Sale of Franchise</t>
  </si>
  <si>
    <t>A750043-00</t>
  </si>
  <si>
    <t>Goodwill Impairments</t>
  </si>
  <si>
    <t>A725000-00</t>
  </si>
  <si>
    <t>Foreign Exchange Gain (Loss) Operating</t>
  </si>
  <si>
    <t>A725001-00</t>
  </si>
  <si>
    <t>Foreign Exchange Gain (Loss) Highly Inflationary</t>
  </si>
  <si>
    <t>A725002-00</t>
  </si>
  <si>
    <t>Foreign Exchange Gain or Loss Hedge</t>
  </si>
  <si>
    <t>DEPR AMORT</t>
  </si>
  <si>
    <t>Depreciation and Amortization Expense</t>
  </si>
  <si>
    <t>DEPRECIATION</t>
  </si>
  <si>
    <t>Depreciation Expense</t>
  </si>
  <si>
    <t>A720801-00</t>
  </si>
  <si>
    <t>Depn Exp - Real Estate Land Improvement</t>
  </si>
  <si>
    <t>A721800-00</t>
  </si>
  <si>
    <t>Depn Exp - Real Estate Building</t>
  </si>
  <si>
    <t>A721801-00</t>
  </si>
  <si>
    <t>Depn Exp - Real Estate Building Improvement</t>
  </si>
  <si>
    <t>A722800-00</t>
  </si>
  <si>
    <t>Depn Exp - Furniture</t>
  </si>
  <si>
    <t>A722801-00</t>
  </si>
  <si>
    <t>Depn Exp - IT Hardware</t>
  </si>
  <si>
    <t>A722802-00</t>
  </si>
  <si>
    <t>Depn Exp - Equipment (non IT)</t>
  </si>
  <si>
    <t>A722803-00</t>
  </si>
  <si>
    <t>Depn Exp - Leasehold Improvements</t>
  </si>
  <si>
    <t>A722804-00</t>
  </si>
  <si>
    <t>Depn Exp - Automobile</t>
  </si>
  <si>
    <t>A722805-00</t>
  </si>
  <si>
    <t>Depn Exp - Purchased Software</t>
  </si>
  <si>
    <t>A722806-00</t>
  </si>
  <si>
    <t>Depn Exp - Customer and Investments Internally Developed Software</t>
  </si>
  <si>
    <t>A722810-00</t>
  </si>
  <si>
    <t>Depn Exp - Heavy Equipment</t>
  </si>
  <si>
    <t>A722811-00</t>
  </si>
  <si>
    <t>Depn Exp - Decor</t>
  </si>
  <si>
    <t>A720826-00</t>
  </si>
  <si>
    <t>Indirect Management Fee Depr</t>
  </si>
  <si>
    <t>A720827-00</t>
  </si>
  <si>
    <t>Indirect IT Chgbk Depreciation</t>
  </si>
  <si>
    <t>A720827-01</t>
  </si>
  <si>
    <t>Indirect Exp - IT App Supp &amp; Dev Corp Depr</t>
  </si>
  <si>
    <t>A720827-02</t>
  </si>
  <si>
    <t>Indirect Exp - IT App Supp &amp; Dev Lifestyle Depr</t>
  </si>
  <si>
    <t>A720827-03</t>
  </si>
  <si>
    <t>Indirect Exp - IT App Supp &amp; Dev Housing Depr</t>
  </si>
  <si>
    <t>A720827-04</t>
  </si>
  <si>
    <t>Indirect Exp - IT Digital Depr</t>
  </si>
  <si>
    <t>A720827-05</t>
  </si>
  <si>
    <t>Indirect Exp - IT Infrast and Cloud Depr</t>
  </si>
  <si>
    <t>A720827-06</t>
  </si>
  <si>
    <t>Indirect Exp - IT Security Depr</t>
  </si>
  <si>
    <t>A720827-07</t>
  </si>
  <si>
    <t>Indirect Exp - IT Transformation &amp; Supp Depr</t>
  </si>
  <si>
    <t>A720827-08</t>
  </si>
  <si>
    <t>Indirect Exp - IT Telecom Depr</t>
  </si>
  <si>
    <t>A617000-00</t>
  </si>
  <si>
    <t>Amortization Of Contract Based Intangibles</t>
  </si>
  <si>
    <t>A617100-00</t>
  </si>
  <si>
    <t>Amortization Of Customer Related Intangibles</t>
  </si>
  <si>
    <t>A617200-00</t>
  </si>
  <si>
    <t>Amortization Of Marketing Related Intangibles</t>
  </si>
  <si>
    <t>A617300-00</t>
  </si>
  <si>
    <t>Amortization Of Technology Related Intangibles</t>
  </si>
  <si>
    <t>A617301-00</t>
  </si>
  <si>
    <t>Intangible Amortization</t>
  </si>
  <si>
    <t>A617302-00</t>
  </si>
  <si>
    <t>Intangible Amortization - Purchase</t>
  </si>
  <si>
    <t>A617303-00</t>
  </si>
  <si>
    <t>Intangible Amortization M and A</t>
  </si>
  <si>
    <t>CHGBK MGT FEE</t>
  </si>
  <si>
    <t>Chargebacks and management fees</t>
  </si>
  <si>
    <t>A760000-00</t>
  </si>
  <si>
    <t>Indirect Exp - Management Fees</t>
  </si>
  <si>
    <t>A760000-01</t>
  </si>
  <si>
    <t>Indirect Management Fee Depr Offset</t>
  </si>
  <si>
    <t>A760100-00</t>
  </si>
  <si>
    <t>Salary Inv Mgmt Fee Offset</t>
  </si>
  <si>
    <t>A760110-00</t>
  </si>
  <si>
    <t>Technology Call Center IT Chargeback</t>
  </si>
  <si>
    <t>A7T0766-00</t>
  </si>
  <si>
    <t>Global Capabilities Center Overhead Temp</t>
  </si>
  <si>
    <t>IND IT EXP</t>
  </si>
  <si>
    <t>Information technology chargebacks</t>
  </si>
  <si>
    <t>A722031-00</t>
  </si>
  <si>
    <t>Indirect Exp - Tech Software - history</t>
  </si>
  <si>
    <t>A722031-01</t>
  </si>
  <si>
    <t>Indirect Exp - IT App Supp &amp; Dev Corp Chgbk</t>
  </si>
  <si>
    <t>A722031-02</t>
  </si>
  <si>
    <t>Indirect Exp - IT App Supp &amp; Dev Lifestyle Chgbk</t>
  </si>
  <si>
    <t>A722031-03</t>
  </si>
  <si>
    <t>Indirect Exp - IT App Supp &amp; Dev Housing Chgbk</t>
  </si>
  <si>
    <t>A722031-04</t>
  </si>
  <si>
    <t>Indirect Exp - IT Digital Chgbk</t>
  </si>
  <si>
    <t>A722033-00</t>
  </si>
  <si>
    <t>Indirect Exp - Tech Software Web hosting- history</t>
  </si>
  <si>
    <t>A722050-00</t>
  </si>
  <si>
    <t>Indirect Exp - IT Chgbk</t>
  </si>
  <si>
    <t>A722050-01</t>
  </si>
  <si>
    <t>Indirect Exp - IT Infrast and Cloud Chgbk</t>
  </si>
  <si>
    <t>A722050-03</t>
  </si>
  <si>
    <t>Indirect Exp - IT User and support - history</t>
  </si>
  <si>
    <t>A722050-04</t>
  </si>
  <si>
    <t>Indirect Exp - IT Security Chgbk</t>
  </si>
  <si>
    <t>A722050-05</t>
  </si>
  <si>
    <t>Indirect Exp - IT Transformation &amp; Supp Chgbk</t>
  </si>
  <si>
    <t>A722050-08</t>
  </si>
  <si>
    <t>Indirect Exp - IT Telecom Chgbk</t>
  </si>
  <si>
    <t>A722050-09</t>
  </si>
  <si>
    <t>Indirect Exp - IT Telecom Depr Offset</t>
  </si>
  <si>
    <t>A722051-00</t>
  </si>
  <si>
    <t>Indirect Exp - IT EBITDA</t>
  </si>
  <si>
    <t>A722051-01</t>
  </si>
  <si>
    <t>Indirect Exp - IT Infrast and Cloud Depr Offset</t>
  </si>
  <si>
    <t>A722051-02</t>
  </si>
  <si>
    <t>Indirect Exp - IT Security Depr Offset</t>
  </si>
  <si>
    <t>A722051-03</t>
  </si>
  <si>
    <t>Indirect Exp - IT Transformation &amp; Supp Depr Offset</t>
  </si>
  <si>
    <t>A722051-04</t>
  </si>
  <si>
    <t>Indirect Exp - IT App Supp &amp; Dev Corp Depr Offset</t>
  </si>
  <si>
    <t>A722051-05</t>
  </si>
  <si>
    <t>Indirect Exp - IT App Supp &amp; Dev Lifestyle Depr Offset</t>
  </si>
  <si>
    <t>A722051-06</t>
  </si>
  <si>
    <t>Indirect Exp - IT App Supp &amp; Dev Housing Depr Offset</t>
  </si>
  <si>
    <t>A722051-07</t>
  </si>
  <si>
    <t>Indirect Exp - IT Digital Depr Offset</t>
  </si>
  <si>
    <t>A722052-00</t>
  </si>
  <si>
    <t>Indirect Exp - Telecom EBITDA</t>
  </si>
  <si>
    <t>A722053-00</t>
  </si>
  <si>
    <t>ACT Webhosting</t>
  </si>
  <si>
    <t>A722054-00</t>
  </si>
  <si>
    <t>A732880-00</t>
  </si>
  <si>
    <t>Indirect Exp - Telecom EBITDA - Offset</t>
  </si>
  <si>
    <t>A732881-00</t>
  </si>
  <si>
    <t>ACT Enterprise Tools and Apps - Offset</t>
  </si>
  <si>
    <t>A732882-00</t>
  </si>
  <si>
    <t>ACT Webhosting - Offset</t>
  </si>
  <si>
    <t>A732890-00</t>
  </si>
  <si>
    <t>Indirect Exp - Telecom EBITDA - Alloc</t>
  </si>
  <si>
    <t>A732891-00</t>
  </si>
  <si>
    <t>ACT Enterprise Tools and  - Alloc</t>
  </si>
  <si>
    <t>A732892-00</t>
  </si>
  <si>
    <t>ACT Webhosting - Allocations</t>
  </si>
  <si>
    <t>A760001-00</t>
  </si>
  <si>
    <t>Intercompany Charges - history only</t>
  </si>
  <si>
    <t>A760001-01</t>
  </si>
  <si>
    <t>IC Charges - history only</t>
  </si>
  <si>
    <t>A760001-02</t>
  </si>
  <si>
    <t>A760001-03</t>
  </si>
  <si>
    <t>A760001-10</t>
  </si>
  <si>
    <t>A760001-15</t>
  </si>
  <si>
    <t>IC Charges Royalties - history only</t>
  </si>
  <si>
    <t>A760001-16</t>
  </si>
  <si>
    <t>A760005-00</t>
  </si>
  <si>
    <t>Intercompany Charges - GFS Manual</t>
  </si>
  <si>
    <t>A760005-01</t>
  </si>
  <si>
    <t>InterCompany Charges To</t>
  </si>
  <si>
    <t>non EPA allocation</t>
  </si>
  <si>
    <t>A760005-02</t>
  </si>
  <si>
    <t>Inter Company Charges From</t>
  </si>
  <si>
    <t>A760002-00</t>
  </si>
  <si>
    <t>Transfer Pricing</t>
  </si>
  <si>
    <t>A760002-01</t>
  </si>
  <si>
    <t>TP - Entity Global Services</t>
  </si>
  <si>
    <t>A760002-02</t>
  </si>
  <si>
    <t>TP - Entity Global Services Markup</t>
  </si>
  <si>
    <t>A760002-03</t>
  </si>
  <si>
    <t>TP - Global Capabilities Center</t>
  </si>
  <si>
    <t>A760002-04</t>
  </si>
  <si>
    <t>TP - Global Capabilities Center Markup</t>
  </si>
  <si>
    <t>A760002-05</t>
  </si>
  <si>
    <t>TP - Global Capabilities Center India</t>
  </si>
  <si>
    <t>A760002-06</t>
  </si>
  <si>
    <t>TP - Global Capabilities Center Markup India</t>
  </si>
  <si>
    <t>A760002-07</t>
  </si>
  <si>
    <t>TP - Inter-entity</t>
  </si>
  <si>
    <t>A760002-08</t>
  </si>
  <si>
    <t>TP - Inter-entity - Markup</t>
  </si>
  <si>
    <t>A760002-09</t>
  </si>
  <si>
    <t>TP - Inter-Regional</t>
  </si>
  <si>
    <t>A760002-10</t>
  </si>
  <si>
    <t>TP - Inter-Regional Markup</t>
  </si>
  <si>
    <t>A770000-00</t>
  </si>
  <si>
    <t>State Income Tax - Current</t>
  </si>
  <si>
    <t>A770001-00</t>
  </si>
  <si>
    <t>State Income Tax - Deferred</t>
  </si>
  <si>
    <t>A770002-00</t>
  </si>
  <si>
    <t>A770100-00</t>
  </si>
  <si>
    <t>Federal Income Tax Prior Year</t>
  </si>
  <si>
    <t>A770101-00</t>
  </si>
  <si>
    <t>Foreign Tax Expense</t>
  </si>
  <si>
    <t>A770102-00</t>
  </si>
  <si>
    <t>Federal Income Tax-Ordinary</t>
  </si>
  <si>
    <t>A770103-00</t>
  </si>
  <si>
    <t>Federal Income Tax - IMR</t>
  </si>
  <si>
    <t>A770104-00</t>
  </si>
  <si>
    <t>Federal Income Tax-Cap Gains</t>
  </si>
  <si>
    <t>A770105-00</t>
  </si>
  <si>
    <t>Allocated Federal Income Tax</t>
  </si>
  <si>
    <t>A770106-00</t>
  </si>
  <si>
    <t>Deferred Federal Inc Tax  - Ordinary</t>
  </si>
  <si>
    <t>A770107-00</t>
  </si>
  <si>
    <t>A770108-00</t>
  </si>
  <si>
    <t>A900001-00</t>
  </si>
  <si>
    <t>Employee Full Time Equivalents</t>
  </si>
  <si>
    <t>A900001-01</t>
  </si>
  <si>
    <t>Employee FTE Existing</t>
  </si>
  <si>
    <t>A900001-02</t>
  </si>
  <si>
    <t>Employee FTE New</t>
  </si>
  <si>
    <t>A900001-03</t>
  </si>
  <si>
    <t>Employee FTE Replacement</t>
  </si>
  <si>
    <t>A900001-04</t>
  </si>
  <si>
    <t>Employee FTE Attrition</t>
  </si>
  <si>
    <t>A900002-00</t>
  </si>
  <si>
    <t>Employee Head Count</t>
  </si>
  <si>
    <t>A900002-01</t>
  </si>
  <si>
    <t>Employee HC Existing</t>
  </si>
  <si>
    <t>A900002-02</t>
  </si>
  <si>
    <t>Employee HC New</t>
  </si>
  <si>
    <t>A900002-03</t>
  </si>
  <si>
    <t>Employee HC Replacement</t>
  </si>
  <si>
    <t>A900002-04</t>
  </si>
  <si>
    <t>Employee HC Attrition</t>
  </si>
  <si>
    <t>A900003-00</t>
  </si>
  <si>
    <t>Temporary Help Full Time Equivalents</t>
  </si>
  <si>
    <t>A900004-00</t>
  </si>
  <si>
    <t>Temporary Help Head Count</t>
  </si>
  <si>
    <t>A900005-00</t>
  </si>
  <si>
    <t>Tech Contractor Full Time Equivalents</t>
  </si>
  <si>
    <t>A900005-01</t>
  </si>
  <si>
    <t>Tech Contractor Support FTE</t>
  </si>
  <si>
    <t>A900005-02</t>
  </si>
  <si>
    <t>Tech Contractor Dev FTE</t>
  </si>
  <si>
    <t>A900006-00</t>
  </si>
  <si>
    <t>Tech Contractor Head Count</t>
  </si>
  <si>
    <t>A900006-01</t>
  </si>
  <si>
    <t>Tech Contractor Support HC</t>
  </si>
  <si>
    <t>A900006-02</t>
  </si>
  <si>
    <t>Tech Contractor Dev HC</t>
  </si>
  <si>
    <t>A900007-00</t>
  </si>
  <si>
    <t>Mobile Devices Serviced</t>
  </si>
  <si>
    <t>A900007-01</t>
  </si>
  <si>
    <t>Mobile Dev Serv TIU</t>
  </si>
  <si>
    <t>A900007-02</t>
  </si>
  <si>
    <t>Mobile Dev Serv Tech</t>
  </si>
  <si>
    <t>A900007-03</t>
  </si>
  <si>
    <t>Mobile Dev Serv Claims Fulfillment</t>
  </si>
  <si>
    <t>A900007-04</t>
  </si>
  <si>
    <t>Mobile Dev Serv Repair Capabilities</t>
  </si>
  <si>
    <t>A900007-05</t>
  </si>
  <si>
    <t>Mobile Dev Serv Logistics</t>
  </si>
  <si>
    <t>A900007-06</t>
  </si>
  <si>
    <t>Mobile Dev Serv Asset Disposition</t>
  </si>
  <si>
    <t>A900146-00</t>
  </si>
  <si>
    <t>Commission Assessment Chargeback</t>
  </si>
  <si>
    <t>A900150-00</t>
  </si>
  <si>
    <t>Premium Tax Rate</t>
  </si>
  <si>
    <t>A900155-00</t>
  </si>
  <si>
    <t>Foreign Exchange - Balance Sheet Rate</t>
  </si>
  <si>
    <t>A900156-00</t>
  </si>
  <si>
    <t>Foreign Exchange - P&amp;L MTD Rate</t>
  </si>
  <si>
    <t>A900157-00</t>
  </si>
  <si>
    <t>Foreign Exchange - P&amp;L YTD Rate</t>
  </si>
  <si>
    <t>A900158-00</t>
  </si>
  <si>
    <t>Foreign Exchange - P&amp;L QRTLY Rate</t>
  </si>
  <si>
    <t>A900160-00</t>
  </si>
  <si>
    <t>Source Lag Factor</t>
  </si>
  <si>
    <t>A900165-00</t>
  </si>
  <si>
    <t>Reins Pay vs Net AR</t>
  </si>
  <si>
    <t>A900170-00</t>
  </si>
  <si>
    <t>Retail Lag Markup</t>
  </si>
  <si>
    <t>A900988-00</t>
  </si>
  <si>
    <t>Employee FTE - Offset</t>
  </si>
  <si>
    <t>A900989-00</t>
  </si>
  <si>
    <t>Employee HC - Offset</t>
  </si>
  <si>
    <t>A999998-99</t>
  </si>
  <si>
    <t>Statistical - Closed</t>
  </si>
  <si>
    <t>A700990-00</t>
  </si>
  <si>
    <t>Salaries - Allocations</t>
  </si>
  <si>
    <t>A700991-00</t>
  </si>
  <si>
    <t>Bonus - Allocations</t>
  </si>
  <si>
    <t>A700992-00</t>
  </si>
  <si>
    <t>Temp Help - Allocations</t>
  </si>
  <si>
    <t>A700993-00</t>
  </si>
  <si>
    <t>Employee Benefits - Allocations</t>
  </si>
  <si>
    <t>A700994-00</t>
  </si>
  <si>
    <t>Other Employee Costs - Allocations</t>
  </si>
  <si>
    <t>A700995-00</t>
  </si>
  <si>
    <t>Capitalized Labor - Allocations</t>
  </si>
  <si>
    <t>A701990-00</t>
  </si>
  <si>
    <t>Wellness, Activities, and Other - Allocations</t>
  </si>
  <si>
    <t>A701991-00</t>
  </si>
  <si>
    <t>Wireless Subsidy - Allocations</t>
  </si>
  <si>
    <t>A701992-00</t>
  </si>
  <si>
    <t>Ee Prof and Trade Dues - Allocations</t>
  </si>
  <si>
    <t>A701998-00</t>
  </si>
  <si>
    <t>Tuition Reimbursement - Allocations</t>
  </si>
  <si>
    <t>A701999-00</t>
  </si>
  <si>
    <t>Training - Allocations</t>
  </si>
  <si>
    <t>A702990-00</t>
  </si>
  <si>
    <t>Pension and Retirement - Allocations</t>
  </si>
  <si>
    <t>A702991-00</t>
  </si>
  <si>
    <t>Resource OH Absorption - Allocations</t>
  </si>
  <si>
    <t>A702992-00</t>
  </si>
  <si>
    <t>Bonus - ALTIEP - Allocations</t>
  </si>
  <si>
    <t>A703991-00</t>
  </si>
  <si>
    <t>Severance - Allocations</t>
  </si>
  <si>
    <t>A711995-00</t>
  </si>
  <si>
    <t>IT Temp Help Backfill - Allocations</t>
  </si>
  <si>
    <t>A743999-00</t>
  </si>
  <si>
    <t>Employee Ins Exp - Allocations</t>
  </si>
  <si>
    <t>ALLOC TRAV</t>
  </si>
  <si>
    <t>Travel and Entertainment Allocations</t>
  </si>
  <si>
    <t>A700996-00</t>
  </si>
  <si>
    <t>Meals and Entertainment - Allocations</t>
  </si>
  <si>
    <t>A700997-00</t>
  </si>
  <si>
    <t>Airline and Lodging - Allocations</t>
  </si>
  <si>
    <t>A700998-00</t>
  </si>
  <si>
    <t>Auto - Allocations</t>
  </si>
  <si>
    <t>A700999-00</t>
  </si>
  <si>
    <t>Other Travel - Allocations</t>
  </si>
  <si>
    <t>A701993-00</t>
  </si>
  <si>
    <t>Ee Meals - In House - Allocations</t>
  </si>
  <si>
    <t>A701994-00</t>
  </si>
  <si>
    <t>Rental of Auto - Allocations</t>
  </si>
  <si>
    <t>A741995-00</t>
  </si>
  <si>
    <t>Sales Conferences - Allocations</t>
  </si>
  <si>
    <t>ALLOC OC</t>
  </si>
  <si>
    <t>Occupancy Allocations</t>
  </si>
  <si>
    <t>A720995-00</t>
  </si>
  <si>
    <t>Rent - Allocations</t>
  </si>
  <si>
    <t>A720996-00</t>
  </si>
  <si>
    <t>Real Estate Tax - Allocations</t>
  </si>
  <si>
    <t>A720997-00</t>
  </si>
  <si>
    <t>Utilities - Allocations</t>
  </si>
  <si>
    <t>A720998-00</t>
  </si>
  <si>
    <t>Repair and Maintenance - Allocations</t>
  </si>
  <si>
    <t>A721991-00</t>
  </si>
  <si>
    <t>Rent - Operating Expense - Allocations</t>
  </si>
  <si>
    <t>A721992-00</t>
  </si>
  <si>
    <t>Building Utilities - Allocations</t>
  </si>
  <si>
    <t>A721994-00</t>
  </si>
  <si>
    <t>Rent Chargeback - Allocations</t>
  </si>
  <si>
    <t>A721999-00</t>
  </si>
  <si>
    <t>Other Employment Costs - Allocations</t>
  </si>
  <si>
    <t>A722994-00</t>
  </si>
  <si>
    <t>Furniture and Equipment - Allocations</t>
  </si>
  <si>
    <t>A710990-00</t>
  </si>
  <si>
    <t>International Pension Expense - Alloc</t>
  </si>
  <si>
    <t>A710991-00</t>
  </si>
  <si>
    <t>Payroll Tax Gross Up Expense Allocations</t>
  </si>
  <si>
    <t>A710992-00</t>
  </si>
  <si>
    <t>Employee Leave Mgmt Expense Allocations</t>
  </si>
  <si>
    <t>A710993-00</t>
  </si>
  <si>
    <t>IT Applic Contracted Services - Alloc</t>
  </si>
  <si>
    <t>A710994-00</t>
  </si>
  <si>
    <t>Offshore Resources - Allocations</t>
  </si>
  <si>
    <t>A710995-00</t>
  </si>
  <si>
    <t>Consulting - Allocations</t>
  </si>
  <si>
    <t>A710996-00</t>
  </si>
  <si>
    <t>Outsourced Services - Allocations</t>
  </si>
  <si>
    <t>A710997-00</t>
  </si>
  <si>
    <t>Service Fees - Allocations</t>
  </si>
  <si>
    <t>A710998-00</t>
  </si>
  <si>
    <t>External Legal - Allocations</t>
  </si>
  <si>
    <t>A710999-00</t>
  </si>
  <si>
    <t>Penalty and Interest - Allocations</t>
  </si>
  <si>
    <t>A711990-00</t>
  </si>
  <si>
    <t>Consulting Services Other  - Allocations</t>
  </si>
  <si>
    <t>A711991-00</t>
  </si>
  <si>
    <t>Bus &amp; Strategic Consulting - Allocations</t>
  </si>
  <si>
    <t>A711992-00</t>
  </si>
  <si>
    <t>Vendor Install Assistance - Allocations</t>
  </si>
  <si>
    <t>A711993-00</t>
  </si>
  <si>
    <t>Other Service Fees - Allocations</t>
  </si>
  <si>
    <t>A711994-00</t>
  </si>
  <si>
    <t>Legal Fees Exp - Allocations</t>
  </si>
  <si>
    <t>A720990-00</t>
  </si>
  <si>
    <t>Property Tax - Allocations</t>
  </si>
  <si>
    <t>A720991-00</t>
  </si>
  <si>
    <t>Actuarial Consulting - Allocations</t>
  </si>
  <si>
    <t>A720992-00</t>
  </si>
  <si>
    <t>Consulting Services Travel - Allocation</t>
  </si>
  <si>
    <t>A730990-00</t>
  </si>
  <si>
    <t>OS Service and Admin Fees - Allocations</t>
  </si>
  <si>
    <t>A742990-00</t>
  </si>
  <si>
    <t>Auditing Fees - Allocations</t>
  </si>
  <si>
    <t>A742998-00</t>
  </si>
  <si>
    <t>Research Database Services - Allocations</t>
  </si>
  <si>
    <t>A721995-00</t>
  </si>
  <si>
    <t>External Software Depn - Allocations</t>
  </si>
  <si>
    <t>A722995-00</t>
  </si>
  <si>
    <t>Other Employee Insurance - Allocations</t>
  </si>
  <si>
    <t>A722996-00</t>
  </si>
  <si>
    <t>Hardware Maintenance - Alloc</t>
  </si>
  <si>
    <t>A722997-00</t>
  </si>
  <si>
    <t>IT Software - Allocations</t>
  </si>
  <si>
    <t>A722998-00</t>
  </si>
  <si>
    <t>IT Capitalization Internal - Allocations</t>
  </si>
  <si>
    <t>A723992-00</t>
  </si>
  <si>
    <t>IT Equipment Rental - Alloc</t>
  </si>
  <si>
    <t>A723993-00</t>
  </si>
  <si>
    <t>SW Maintenance - Alloc</t>
  </si>
  <si>
    <t>A723994-00</t>
  </si>
  <si>
    <t>IT Capitalization External - Allocations</t>
  </si>
  <si>
    <t>A723997-00</t>
  </si>
  <si>
    <t>Software - Allocations</t>
  </si>
  <si>
    <t>A732991-00</t>
  </si>
  <si>
    <t>IT Hardware &amp; Supplies - Alloc</t>
  </si>
  <si>
    <t>A702993-00</t>
  </si>
  <si>
    <t>Leased Vehicle Gas - Allocations</t>
  </si>
  <si>
    <t>A712090-00</t>
  </si>
  <si>
    <t>Gain Loss on Disposal of FA - Alloc</t>
  </si>
  <si>
    <t>A721990-00</t>
  </si>
  <si>
    <t>GL Furn and Improv - Allocations</t>
  </si>
  <si>
    <t>A721993-00</t>
  </si>
  <si>
    <t>Lease Impairment - Allocations</t>
  </si>
  <si>
    <t>A722990-00</t>
  </si>
  <si>
    <t>Leasehold Improv - Allocations</t>
  </si>
  <si>
    <t>A723990-00</t>
  </si>
  <si>
    <t>Leased Equipment - Allocations</t>
  </si>
  <si>
    <t>A740990-00</t>
  </si>
  <si>
    <t>Promotions - Allocations</t>
  </si>
  <si>
    <t>A740991-00</t>
  </si>
  <si>
    <t>401k - Allocations</t>
  </si>
  <si>
    <t>A740992-00</t>
  </si>
  <si>
    <t>Postage - Allocations</t>
  </si>
  <si>
    <t>A740993-00</t>
  </si>
  <si>
    <t>Telecommunications - Allocations</t>
  </si>
  <si>
    <t>A740994-00</t>
  </si>
  <si>
    <t>Lobbying Services - Allocations</t>
  </si>
  <si>
    <t>A740995-00</t>
  </si>
  <si>
    <t>Donations and Contributions - Allocations</t>
  </si>
  <si>
    <t>A740996-00</t>
  </si>
  <si>
    <t>Medical Exam Fees Ins - Allocations</t>
  </si>
  <si>
    <t>A740997-00</t>
  </si>
  <si>
    <t>Disaster Recovery - Allocations</t>
  </si>
  <si>
    <t>A740998-00</t>
  </si>
  <si>
    <t>Printing - Allocations</t>
  </si>
  <si>
    <t>A740999-00</t>
  </si>
  <si>
    <t>Supplies - Allocations</t>
  </si>
  <si>
    <t>A741991-00</t>
  </si>
  <si>
    <t>Ins Misc Expense - Allocations</t>
  </si>
  <si>
    <t>A741993-00</t>
  </si>
  <si>
    <t>Agency Expense - Allocations</t>
  </si>
  <si>
    <t>A741996-00</t>
  </si>
  <si>
    <t>Internet Fees - Allocations</t>
  </si>
  <si>
    <t>A741997-00</t>
  </si>
  <si>
    <t>Records Center - Allocations</t>
  </si>
  <si>
    <t>A741998-00</t>
  </si>
  <si>
    <t>Association Dues - Allocations</t>
  </si>
  <si>
    <t>A741999-00</t>
  </si>
  <si>
    <t>Miscellaneous Losses  - Allocations</t>
  </si>
  <si>
    <t>A742991-00</t>
  </si>
  <si>
    <t>Advertising - Allocations</t>
  </si>
  <si>
    <t>A742992-00</t>
  </si>
  <si>
    <t>Contests and Awards - Allocations</t>
  </si>
  <si>
    <t>A742993-00</t>
  </si>
  <si>
    <t>PO Box Rent - Allocations</t>
  </si>
  <si>
    <t>A742994-00</t>
  </si>
  <si>
    <t>Insurance Expense - Allocations</t>
  </si>
  <si>
    <t>A742995-00</t>
  </si>
  <si>
    <t>Freight Chargeback - Allocations</t>
  </si>
  <si>
    <t>A742996-00</t>
  </si>
  <si>
    <t>Segment Telephone Chargeback - Alloc</t>
  </si>
  <si>
    <t>A742997-00</t>
  </si>
  <si>
    <t>Business Private Network Chgs - Alloc</t>
  </si>
  <si>
    <t>A742999-00</t>
  </si>
  <si>
    <t>Inspec and Underwriting Rpt - Alloc</t>
  </si>
  <si>
    <t>A743990-00</t>
  </si>
  <si>
    <t>Prepaid Corp Membership - Allocations</t>
  </si>
  <si>
    <t>A743992-00</t>
  </si>
  <si>
    <t>Misc General Expense - Allocations</t>
  </si>
  <si>
    <t>A743994-00</t>
  </si>
  <si>
    <t>Bank Service Charges - Allocations</t>
  </si>
  <si>
    <t>A743995-00</t>
  </si>
  <si>
    <t>Indirect Exp - IT Chgbks - Allocations</t>
  </si>
  <si>
    <t>A743996-00</t>
  </si>
  <si>
    <t>Cyber Insurance - Allocations</t>
  </si>
  <si>
    <t>A743997-00</t>
  </si>
  <si>
    <t>All Other Operating Exp - Allocations</t>
  </si>
  <si>
    <t>A743998-00</t>
  </si>
  <si>
    <t>Global Insurance Processing - Alloc</t>
  </si>
  <si>
    <t>A744991-00</t>
  </si>
  <si>
    <t>Credit Card Rebates - Allocations</t>
  </si>
  <si>
    <t>A743991-00</t>
  </si>
  <si>
    <t>Foreign Exchange Fees - Allocations</t>
  </si>
  <si>
    <t>A743993-00</t>
  </si>
  <si>
    <t>Good &amp; Service Tax - Allocations</t>
  </si>
  <si>
    <t>A750991-00</t>
  </si>
  <si>
    <t>State Tax - Allocations</t>
  </si>
  <si>
    <t>A750998-00</t>
  </si>
  <si>
    <t>Licenses and Fees - Allocations</t>
  </si>
  <si>
    <t>A750999-00</t>
  </si>
  <si>
    <t>Reg G Exp - Allocations</t>
  </si>
  <si>
    <t>A751990-00</t>
  </si>
  <si>
    <t>Ins Dept Fees  - Allocations</t>
  </si>
  <si>
    <t>A751991-00</t>
  </si>
  <si>
    <t>All Other Non FIT Taxes - Allocations</t>
  </si>
  <si>
    <t>A751992-00</t>
  </si>
  <si>
    <t>VAT PAYABLE - Allocations</t>
  </si>
  <si>
    <t>A751993-00</t>
  </si>
  <si>
    <t>Other State Taxes - Allocations</t>
  </si>
  <si>
    <t>A751994-00</t>
  </si>
  <si>
    <t>Taxes on Fee Income Business - Alloc</t>
  </si>
  <si>
    <t>A701995-00</t>
  </si>
  <si>
    <t>Automobile Depn - Allocations</t>
  </si>
  <si>
    <t>A701996-00</t>
  </si>
  <si>
    <t>Furn and Non IT Eqp Depn - Allocations</t>
  </si>
  <si>
    <t>A701997-00</t>
  </si>
  <si>
    <t>Allocated IT Depreciation - Allocations</t>
  </si>
  <si>
    <t>A720999-00</t>
  </si>
  <si>
    <t>Land and Bldg Depreciation - Allocations</t>
  </si>
  <si>
    <t>A721996-00</t>
  </si>
  <si>
    <t>Int Dev Software Depn - Allocations</t>
  </si>
  <si>
    <t>A728090-00</t>
  </si>
  <si>
    <t>Building and Improv Depr - Allocations</t>
  </si>
  <si>
    <t>A741990-00</t>
  </si>
  <si>
    <t>Claim LAE Credit - history Allocations</t>
  </si>
  <si>
    <t>A741100-00 (Claim LAE Credit)</t>
  </si>
  <si>
    <t>ALLOC IND</t>
  </si>
  <si>
    <t>Indirect Chargeback Allocations</t>
  </si>
  <si>
    <t>A722999-00</t>
  </si>
  <si>
    <t>Indirect Exp - IT EBITDA - Allocations</t>
  </si>
  <si>
    <t>A760998-00</t>
  </si>
  <si>
    <t>Transfer Pricing - Manual - Allocations</t>
  </si>
  <si>
    <t>A760999-00</t>
  </si>
  <si>
    <t>Indirect Exp - Management Fees - Allocations</t>
  </si>
  <si>
    <t>A700980-00</t>
  </si>
  <si>
    <t>Salaries - Offset</t>
  </si>
  <si>
    <t>A700981-00</t>
  </si>
  <si>
    <t>Bonus - Offset</t>
  </si>
  <si>
    <t>A700982-00</t>
  </si>
  <si>
    <t>Temp Help - Offset</t>
  </si>
  <si>
    <t>A700983-00</t>
  </si>
  <si>
    <t>Employee Benefits - Offset</t>
  </si>
  <si>
    <t>A700984-00</t>
  </si>
  <si>
    <t>Other Employee Costs - Offset</t>
  </si>
  <si>
    <t>A700985-00</t>
  </si>
  <si>
    <t>Capitalized Labor - Offset</t>
  </si>
  <si>
    <t>A700986-00</t>
  </si>
  <si>
    <t>Meals and Entertainment - Offset</t>
  </si>
  <si>
    <t>A700987-00</t>
  </si>
  <si>
    <t>Airline and Lodging - Offset</t>
  </si>
  <si>
    <t>A700988-00</t>
  </si>
  <si>
    <t>Auto - Offset</t>
  </si>
  <si>
    <t>A700989-00</t>
  </si>
  <si>
    <t>Other Travel - Offset</t>
  </si>
  <si>
    <t>A701980-00</t>
  </si>
  <si>
    <t>Wellness, Activities, and Other - Offset</t>
  </si>
  <si>
    <t>A701981-00</t>
  </si>
  <si>
    <t>Ee Benefit - Wireless - Offset</t>
  </si>
  <si>
    <t>A701982-00</t>
  </si>
  <si>
    <t>Ee Prof and Trade Dues - Offset</t>
  </si>
  <si>
    <t>A701983-00</t>
  </si>
  <si>
    <t>Ee Meals - In House - Offset</t>
  </si>
  <si>
    <t>A701984-00</t>
  </si>
  <si>
    <t>Rental of Auto - Offset</t>
  </si>
  <si>
    <t>A701985-00</t>
  </si>
  <si>
    <t>Automobile Depn - Offset</t>
  </si>
  <si>
    <t>A701986-00</t>
  </si>
  <si>
    <t>Furn and Non IT Eqp Depn - Offset</t>
  </si>
  <si>
    <t>A701987-00</t>
  </si>
  <si>
    <t>Allocated IT Depreciation - Offset</t>
  </si>
  <si>
    <t>A701988-00</t>
  </si>
  <si>
    <t>Tuition Reimbursement - Offset</t>
  </si>
  <si>
    <t>A701989-00</t>
  </si>
  <si>
    <t>Training - Offset</t>
  </si>
  <si>
    <t>A702980-00</t>
  </si>
  <si>
    <t>Pension and Retirement - Offset</t>
  </si>
  <si>
    <t>A702981-00</t>
  </si>
  <si>
    <t>Resource OH Absorption - Offset</t>
  </si>
  <si>
    <t>A702982-00</t>
  </si>
  <si>
    <t>Bonus - ALTIEP - Offset</t>
  </si>
  <si>
    <t>A702983-00</t>
  </si>
  <si>
    <t>Leased Vehicle Gas - Offset</t>
  </si>
  <si>
    <t>A702984-00</t>
  </si>
  <si>
    <t>Travel Agency Fees - Offset</t>
  </si>
  <si>
    <t>A703981-00</t>
  </si>
  <si>
    <t>Severance - Offset</t>
  </si>
  <si>
    <t>A710980-00</t>
  </si>
  <si>
    <t>International Pension Expense - Offset</t>
  </si>
  <si>
    <t>A710981-00</t>
  </si>
  <si>
    <t>Payroll Tax Gross Up Expense Offset</t>
  </si>
  <si>
    <t>A710982-00</t>
  </si>
  <si>
    <t>Employee Leave Mgmt Expense Offset</t>
  </si>
  <si>
    <t>A710983-00</t>
  </si>
  <si>
    <t>IT Applic Contracted Services -  Offset</t>
  </si>
  <si>
    <t>A710984-00</t>
  </si>
  <si>
    <t>Offshore Resources - Offset</t>
  </si>
  <si>
    <t>A710985-00</t>
  </si>
  <si>
    <t>Consulting - Offset</t>
  </si>
  <si>
    <t>A710986-00</t>
  </si>
  <si>
    <t>Outsourced Services - Offset</t>
  </si>
  <si>
    <t>A710987-00</t>
  </si>
  <si>
    <t>Service Fees - Offset</t>
  </si>
  <si>
    <t>A710988-00</t>
  </si>
  <si>
    <t>External Legal - Offset</t>
  </si>
  <si>
    <t>A710989-00</t>
  </si>
  <si>
    <t>Penalty and Interest - Offset</t>
  </si>
  <si>
    <t>A711980-00</t>
  </si>
  <si>
    <t>Consulting Services Other - Offset</t>
  </si>
  <si>
    <t>A711981-00</t>
  </si>
  <si>
    <t>Bus &amp; Strategic Consulting - Offset</t>
  </si>
  <si>
    <t>A711982-00</t>
  </si>
  <si>
    <t>Vendor Install Assistance - Offset</t>
  </si>
  <si>
    <t>A711983-00</t>
  </si>
  <si>
    <t>Other Service Fees - Offset</t>
  </si>
  <si>
    <t>A711984-00</t>
  </si>
  <si>
    <t>Legal Fees Exp - Offset</t>
  </si>
  <si>
    <t>A711985-00</t>
  </si>
  <si>
    <t>IT Temp Help Backfill - Offset</t>
  </si>
  <si>
    <t>A712080-00</t>
  </si>
  <si>
    <t>Gain Loss on Disposal of FA - Offset</t>
  </si>
  <si>
    <t>A720980-00</t>
  </si>
  <si>
    <t>Property Tax - Offset</t>
  </si>
  <si>
    <t>A720981-00</t>
  </si>
  <si>
    <t>Actuarial Consulting - Offset</t>
  </si>
  <si>
    <t>A720982-00</t>
  </si>
  <si>
    <t>Consulting Services Travel - Offset</t>
  </si>
  <si>
    <t>A720985-00</t>
  </si>
  <si>
    <t>Rent - Offset</t>
  </si>
  <si>
    <t>A720986-00</t>
  </si>
  <si>
    <t>Real Estate Tax - Offset</t>
  </si>
  <si>
    <t>A720987-00</t>
  </si>
  <si>
    <t>Utilities - Offset</t>
  </si>
  <si>
    <t>A720988-00</t>
  </si>
  <si>
    <t>Repair and Maintenance  - Offset</t>
  </si>
  <si>
    <t>A720989-00</t>
  </si>
  <si>
    <t>Land and Bldg Depreciation - Offset</t>
  </si>
  <si>
    <t>A721980-00</t>
  </si>
  <si>
    <t>GL Furn and Improv - Offset</t>
  </si>
  <si>
    <t>A721981-00</t>
  </si>
  <si>
    <t>Rent - Operating Expense - Offset</t>
  </si>
  <si>
    <t>A721982-00</t>
  </si>
  <si>
    <t>Building Utilities - Offset</t>
  </si>
  <si>
    <t>A721983-00</t>
  </si>
  <si>
    <t>Lease Impairment - Offset</t>
  </si>
  <si>
    <t>A721984-00</t>
  </si>
  <si>
    <t>Rent Chargeback - Offset</t>
  </si>
  <si>
    <t>A721985-00</t>
  </si>
  <si>
    <t>External Software Depn - Offset</t>
  </si>
  <si>
    <t>A721986-00</t>
  </si>
  <si>
    <t>Int Dev Software Depn - Offset</t>
  </si>
  <si>
    <t>A721989-00</t>
  </si>
  <si>
    <t>Other Employment Costs - Offset</t>
  </si>
  <si>
    <t>A722980-00</t>
  </si>
  <si>
    <t>Leased Equipment - Offset</t>
  </si>
  <si>
    <t>A722984-00</t>
  </si>
  <si>
    <t>Furniture and Equipment  - Offset</t>
  </si>
  <si>
    <t>A722985-00</t>
  </si>
  <si>
    <t>Other Employee Insurance - Offset</t>
  </si>
  <si>
    <t>A722986-00</t>
  </si>
  <si>
    <t>Hardware Maintenance - Offset</t>
  </si>
  <si>
    <t>A722987-00</t>
  </si>
  <si>
    <t>Software - Offset</t>
  </si>
  <si>
    <t>A722988-00</t>
  </si>
  <si>
    <t>IT Capitalization - Offset</t>
  </si>
  <si>
    <t>A722989-00</t>
  </si>
  <si>
    <t>Indirect Exp - IT EBITDA - Offset</t>
  </si>
  <si>
    <t>A723982-00</t>
  </si>
  <si>
    <t>IT Equipment Rental - Offset</t>
  </si>
  <si>
    <t>A723983-00</t>
  </si>
  <si>
    <t>SW Maintenance - Offset</t>
  </si>
  <si>
    <t>A723984-00</t>
  </si>
  <si>
    <t>IT Capitalization External - Offset</t>
  </si>
  <si>
    <t>A723987-00</t>
  </si>
  <si>
    <t>A730980-00</t>
  </si>
  <si>
    <t>OS Service and Admin Fees - Offset</t>
  </si>
  <si>
    <t>A732980-00</t>
  </si>
  <si>
    <t>IT Equipment Non-Capitalized - Offset</t>
  </si>
  <si>
    <t>A732981-00</t>
  </si>
  <si>
    <t>IT Hardware &amp; Supplies - Offset</t>
  </si>
  <si>
    <t>A732990-00</t>
  </si>
  <si>
    <t>IT Equipment Non-Capitalized - Alloc</t>
  </si>
  <si>
    <t>A740980-00</t>
  </si>
  <si>
    <t>Promotions - Offset</t>
  </si>
  <si>
    <t>A740981-00</t>
  </si>
  <si>
    <t>Direct Mkt - Offset</t>
  </si>
  <si>
    <t>A740982-00</t>
  </si>
  <si>
    <t>Postage - Offset</t>
  </si>
  <si>
    <t>A740983-00</t>
  </si>
  <si>
    <t>Telecommunications - Offset</t>
  </si>
  <si>
    <t>A740984-00</t>
  </si>
  <si>
    <t>Lobbying Services - Offset</t>
  </si>
  <si>
    <t>A740985-00</t>
  </si>
  <si>
    <t>Donations and Contributions - Offset</t>
  </si>
  <si>
    <t>A740986-00</t>
  </si>
  <si>
    <t>Medical Exam Fees Ins - Offset</t>
  </si>
  <si>
    <t>A740987-00</t>
  </si>
  <si>
    <t>Disaster Recovery - Offset</t>
  </si>
  <si>
    <t>A740988-00</t>
  </si>
  <si>
    <t>Printing - Offset</t>
  </si>
  <si>
    <t>A740989-00</t>
  </si>
  <si>
    <t>Supplies - Offset</t>
  </si>
  <si>
    <t>A741980-00</t>
  </si>
  <si>
    <t>Claim LAE Credit - history Offset</t>
  </si>
  <si>
    <t>A741981-00</t>
  </si>
  <si>
    <t>Ins Misc Expense - Offset</t>
  </si>
  <si>
    <t>A741983-00</t>
  </si>
  <si>
    <t>Agency Expense - Offset</t>
  </si>
  <si>
    <t>A741985-00</t>
  </si>
  <si>
    <t>Sales Conferences - Offset</t>
  </si>
  <si>
    <t>A741986-00</t>
  </si>
  <si>
    <t>Internet Fees - Offset</t>
  </si>
  <si>
    <t>A741987-00</t>
  </si>
  <si>
    <t>Records Center - Offset</t>
  </si>
  <si>
    <t>A741988-00</t>
  </si>
  <si>
    <t>Association Dues - Offset</t>
  </si>
  <si>
    <t>A741989-00</t>
  </si>
  <si>
    <t>Miscellaneous Losses  - Offset</t>
  </si>
  <si>
    <t>A742980-00</t>
  </si>
  <si>
    <t>Auditing Fees - Offset</t>
  </si>
  <si>
    <t>A742981-00</t>
  </si>
  <si>
    <t>Advertising - Offset</t>
  </si>
  <si>
    <t>A742982-00</t>
  </si>
  <si>
    <t>Contests and Awards - Offset</t>
  </si>
  <si>
    <t>A742983-00</t>
  </si>
  <si>
    <t>PO Box Rent - Offset</t>
  </si>
  <si>
    <t>A742984-00</t>
  </si>
  <si>
    <t>Insurance Expense - Offset</t>
  </si>
  <si>
    <t>A742986-00</t>
  </si>
  <si>
    <t>Segment Telephone Chargeback - Offset</t>
  </si>
  <si>
    <t>A742987-00</t>
  </si>
  <si>
    <t>Business Private Network Chgs - Offset</t>
  </si>
  <si>
    <t>A742988-00</t>
  </si>
  <si>
    <t>Research Database Services - Offset</t>
  </si>
  <si>
    <t>A742989-00</t>
  </si>
  <si>
    <t>Inspec and Underwriting Rpt - Offset</t>
  </si>
  <si>
    <t>A743980-00</t>
  </si>
  <si>
    <t>Prepaid Corp Membership - Offset</t>
  </si>
  <si>
    <t>A743981-00</t>
  </si>
  <si>
    <t>Foreign Exchange Fees - Offset</t>
  </si>
  <si>
    <t>A743982-00</t>
  </si>
  <si>
    <t>Misc General Expense - Offset</t>
  </si>
  <si>
    <t>A743983-00</t>
  </si>
  <si>
    <t>Good &amp; Service Tax - Offset</t>
  </si>
  <si>
    <t>A743984-00</t>
  </si>
  <si>
    <t>Bank Service Charges - Offset</t>
  </si>
  <si>
    <t>A743985-00</t>
  </si>
  <si>
    <t>Indirect Exp - IT Chgbks - Offset</t>
  </si>
  <si>
    <t>A743986-00</t>
  </si>
  <si>
    <t>Cyber Insurance - Offset</t>
  </si>
  <si>
    <t>A743987-00</t>
  </si>
  <si>
    <t>All Other Operating Exp - Offset</t>
  </si>
  <si>
    <t>A743988-00</t>
  </si>
  <si>
    <t>Global Insurance Processing - Offset</t>
  </si>
  <si>
    <t>A743989-00</t>
  </si>
  <si>
    <t>Employee Ins Exp - Offset</t>
  </si>
  <si>
    <t>A744981-00</t>
  </si>
  <si>
    <t>Credit Card Rebates - Offset</t>
  </si>
  <si>
    <t>A750981-00</t>
  </si>
  <si>
    <t>State Tax - Offset</t>
  </si>
  <si>
    <t>A750988-00</t>
  </si>
  <si>
    <t>Licenses and Fees - Offset</t>
  </si>
  <si>
    <t>A750989-00</t>
  </si>
  <si>
    <t>Reg G Exp - Offset</t>
  </si>
  <si>
    <t>A751980-00</t>
  </si>
  <si>
    <t>Ins Dept Fees - Offset</t>
  </si>
  <si>
    <t>A751981-00</t>
  </si>
  <si>
    <t>All Other Non FIT Taxes - Offset</t>
  </si>
  <si>
    <t>A751982-00</t>
  </si>
  <si>
    <t>VAT PAYABLE - Offset</t>
  </si>
  <si>
    <t>A751983-00</t>
  </si>
  <si>
    <t>Other State Taxes - Offset</t>
  </si>
  <si>
    <t>A751984-00</t>
  </si>
  <si>
    <t>Taxes on Fee Income Business - Offset</t>
  </si>
  <si>
    <t>A760988-00</t>
  </si>
  <si>
    <t>Transfer Pricing - Manual - Offset</t>
  </si>
  <si>
    <t>A760989-00</t>
  </si>
  <si>
    <t>Indirect Exp - Management Fees - Offset</t>
  </si>
  <si>
    <t>GFS CC</t>
  </si>
  <si>
    <t>Entity_Code</t>
  </si>
  <si>
    <t>Center_Code</t>
  </si>
  <si>
    <t>C040411</t>
  </si>
  <si>
    <t>C040413</t>
  </si>
  <si>
    <t>C040414</t>
  </si>
  <si>
    <t>C040416</t>
  </si>
  <si>
    <t>C040412</t>
  </si>
  <si>
    <t>C040415</t>
  </si>
  <si>
    <t>C040417</t>
  </si>
  <si>
    <t>C040418</t>
  </si>
  <si>
    <t>C040420</t>
  </si>
  <si>
    <t>C040425</t>
  </si>
  <si>
    <t>C250631</t>
  </si>
  <si>
    <t>C252089</t>
  </si>
  <si>
    <t>C253722</t>
  </si>
  <si>
    <t>C253723</t>
  </si>
  <si>
    <t>C302110</t>
  </si>
  <si>
    <t>C303058</t>
  </si>
  <si>
    <t>C350691</t>
  </si>
  <si>
    <t>C500361</t>
  </si>
  <si>
    <t>C500364</t>
  </si>
  <si>
    <t>C500365</t>
  </si>
  <si>
    <t>C503058</t>
  </si>
  <si>
    <t>C610401</t>
  </si>
  <si>
    <t>Vlookup</t>
  </si>
  <si>
    <t>Ledger*</t>
  </si>
  <si>
    <t>Amount Class*</t>
  </si>
  <si>
    <t>Entity*</t>
  </si>
  <si>
    <t>Account
Sub - Account*</t>
  </si>
  <si>
    <t>Center*</t>
  </si>
  <si>
    <t>Office Location*</t>
  </si>
  <si>
    <t>Product
Sub - Product*</t>
  </si>
  <si>
    <t>Affiliate*</t>
  </si>
  <si>
    <t>Txn ccy</t>
  </si>
  <si>
    <t>Trans Amount</t>
  </si>
  <si>
    <t>Func ccy</t>
  </si>
  <si>
    <t>Func Amount</t>
  </si>
  <si>
    <t>Rep ccy</t>
  </si>
  <si>
    <t>Rep Amount</t>
  </si>
  <si>
    <t>FX Rate (TXN2FUNC)</t>
  </si>
  <si>
    <t>FX Rate (TXN2REP)</t>
  </si>
  <si>
    <t>SL Journal Line Description</t>
  </si>
  <si>
    <t>Statistical Amount</t>
  </si>
  <si>
    <t>Block-of-Business</t>
  </si>
  <si>
    <t>Reinsurer</t>
  </si>
  <si>
    <t>Risk Location</t>
  </si>
  <si>
    <t>Obligor</t>
  </si>
  <si>
    <t>Accident Year</t>
  </si>
  <si>
    <t>Agreement</t>
  </si>
  <si>
    <t>Catastrophe Loss Indicator</t>
  </si>
  <si>
    <t>Catastrophe Code</t>
  </si>
  <si>
    <t>Marketing Channel</t>
  </si>
  <si>
    <t>Program Code</t>
  </si>
  <si>
    <t>Pay Code</t>
  </si>
  <si>
    <t>Code Type</t>
  </si>
  <si>
    <t>Covered Equipment</t>
  </si>
  <si>
    <t>Underwriting Year</t>
  </si>
  <si>
    <t>Dealer Group Number</t>
  </si>
  <si>
    <t>Dealer Number</t>
  </si>
  <si>
    <t>Dealer State</t>
  </si>
  <si>
    <t>Insured State</t>
  </si>
  <si>
    <t>Policy Number</t>
  </si>
  <si>
    <t>USD Functional</t>
  </si>
  <si>
    <t xml:space="preserve">               L0001</t>
  </si>
  <si>
    <t>P0000-000</t>
  </si>
  <si>
    <t>E00000</t>
  </si>
  <si>
    <t>Hier_Consol Sub Account Code Desc</t>
  </si>
  <si>
    <t>All</t>
  </si>
  <si>
    <t>Ledger Name</t>
  </si>
  <si>
    <t>(Multiple Items)</t>
  </si>
  <si>
    <t>GFSDM Last Updated</t>
  </si>
  <si>
    <t>Dataset Last Refreshed</t>
  </si>
  <si>
    <t>Func Cur YTD</t>
  </si>
  <si>
    <t>USD Cur YTD</t>
  </si>
  <si>
    <t>E01300:American Bankers Insurance Company of Florida</t>
  </si>
  <si>
    <t>A700018-00:Group Ins - Emp Company Cost</t>
  </si>
  <si>
    <t>C200593:Group Insurance</t>
  </si>
  <si>
    <t>B000</t>
  </si>
  <si>
    <t>B100</t>
  </si>
  <si>
    <t>113040</t>
  </si>
  <si>
    <t>2005</t>
  </si>
  <si>
    <t>11112</t>
  </si>
  <si>
    <t>2015</t>
  </si>
  <si>
    <t>2035</t>
  </si>
  <si>
    <t>1013402</t>
  </si>
  <si>
    <t>113230</t>
  </si>
  <si>
    <t>2075</t>
  </si>
  <si>
    <t>3015</t>
  </si>
  <si>
    <t>113049</t>
  </si>
  <si>
    <t>5002</t>
  </si>
  <si>
    <t>5003</t>
  </si>
  <si>
    <t>5007</t>
  </si>
  <si>
    <t>5012</t>
  </si>
  <si>
    <t>5013</t>
  </si>
  <si>
    <t>5014</t>
  </si>
  <si>
    <t>5015</t>
  </si>
  <si>
    <t>5016</t>
  </si>
  <si>
    <t>5017</t>
  </si>
  <si>
    <t>10200</t>
  </si>
  <si>
    <t>10202</t>
  </si>
  <si>
    <t>6019</t>
  </si>
  <si>
    <t>10271</t>
  </si>
  <si>
    <t>10228</t>
  </si>
  <si>
    <t>5019</t>
  </si>
  <si>
    <t>10272</t>
  </si>
  <si>
    <t>10273</t>
  </si>
  <si>
    <t>5020</t>
  </si>
  <si>
    <t>5021</t>
  </si>
  <si>
    <t>10274</t>
  </si>
  <si>
    <t>10223</t>
  </si>
  <si>
    <t>5022</t>
  </si>
  <si>
    <t>5024</t>
  </si>
  <si>
    <t>5026</t>
  </si>
  <si>
    <t>10232</t>
  </si>
  <si>
    <t>10264</t>
  </si>
  <si>
    <t>5027</t>
  </si>
  <si>
    <t>5029</t>
  </si>
  <si>
    <t>5030</t>
  </si>
  <si>
    <t>5031</t>
  </si>
  <si>
    <t>113233</t>
  </si>
  <si>
    <t>113100</t>
  </si>
  <si>
    <t>113232</t>
  </si>
  <si>
    <t>5032</t>
  </si>
  <si>
    <t>13100</t>
  </si>
  <si>
    <t>39701</t>
  </si>
  <si>
    <t>39702</t>
  </si>
  <si>
    <t>46201</t>
  </si>
  <si>
    <t>5033</t>
  </si>
  <si>
    <t>5039</t>
  </si>
  <si>
    <t>5040</t>
  </si>
  <si>
    <t>113220</t>
  </si>
  <si>
    <t>6010</t>
  </si>
  <si>
    <t>5041</t>
  </si>
  <si>
    <t>5042</t>
  </si>
  <si>
    <t>113224</t>
  </si>
  <si>
    <t>6100</t>
  </si>
  <si>
    <t>17000</t>
  </si>
  <si>
    <t>5043</t>
  </si>
  <si>
    <t>5044</t>
  </si>
  <si>
    <t>5045</t>
  </si>
  <si>
    <t>8000040</t>
  </si>
  <si>
    <t>113240</t>
  </si>
  <si>
    <t>113020</t>
  </si>
  <si>
    <t>122000</t>
  </si>
  <si>
    <t>5046</t>
  </si>
  <si>
    <t>5047</t>
  </si>
  <si>
    <t>113002</t>
  </si>
  <si>
    <t>5048</t>
  </si>
  <si>
    <t>113060</t>
  </si>
  <si>
    <t>5049</t>
  </si>
  <si>
    <t>5050</t>
  </si>
  <si>
    <t>5056</t>
  </si>
  <si>
    <t>7487</t>
  </si>
  <si>
    <t>5058</t>
  </si>
  <si>
    <t>5061</t>
  </si>
  <si>
    <t>113290</t>
  </si>
  <si>
    <t>93031</t>
  </si>
  <si>
    <t>5062</t>
  </si>
  <si>
    <t>93032</t>
  </si>
  <si>
    <t>113291</t>
  </si>
  <si>
    <t>113030</t>
  </si>
  <si>
    <t>21101</t>
  </si>
  <si>
    <t>5064</t>
  </si>
  <si>
    <t>10070</t>
  </si>
  <si>
    <t>6005</t>
  </si>
  <si>
    <t>6015</t>
  </si>
  <si>
    <t>93709</t>
  </si>
  <si>
    <t>6051</t>
  </si>
  <si>
    <t>6053</t>
  </si>
  <si>
    <t>6054</t>
  </si>
  <si>
    <t>113010</t>
  </si>
  <si>
    <t>113000</t>
  </si>
  <si>
    <t>113800</t>
  </si>
  <si>
    <t>113080</t>
  </si>
  <si>
    <t>6151</t>
  </si>
  <si>
    <t>113600</t>
  </si>
  <si>
    <t>113070</t>
  </si>
  <si>
    <t>113270</t>
  </si>
  <si>
    <t>1111000</t>
  </si>
  <si>
    <t>1112000</t>
  </si>
  <si>
    <t>113260</t>
  </si>
  <si>
    <t>10100</t>
  </si>
  <si>
    <t>10600</t>
  </si>
  <si>
    <t>112002</t>
  </si>
  <si>
    <t>11983</t>
  </si>
  <si>
    <t>6573</t>
  </si>
  <si>
    <t>113710</t>
  </si>
  <si>
    <t>113322</t>
  </si>
  <si>
    <t>113323</t>
  </si>
  <si>
    <t>113324</t>
  </si>
  <si>
    <t>6575</t>
  </si>
  <si>
    <t>7005</t>
  </si>
  <si>
    <t>99990</t>
  </si>
  <si>
    <t>190120</t>
  </si>
  <si>
    <t>110019</t>
  </si>
  <si>
    <t>110020</t>
  </si>
  <si>
    <t>10162</t>
  </si>
  <si>
    <t>42373</t>
  </si>
  <si>
    <t>7025</t>
  </si>
  <si>
    <t>7035</t>
  </si>
  <si>
    <t>113810</t>
  </si>
  <si>
    <t>190300</t>
  </si>
  <si>
    <t>113830</t>
  </si>
  <si>
    <t>7045</t>
  </si>
  <si>
    <t>113820</t>
  </si>
  <si>
    <t>7050</t>
  </si>
  <si>
    <t>101837</t>
  </si>
  <si>
    <t>101839</t>
  </si>
  <si>
    <t>101838</t>
  </si>
  <si>
    <t>7051</t>
  </si>
  <si>
    <t>7052</t>
  </si>
  <si>
    <t>42636</t>
  </si>
  <si>
    <t>72004</t>
  </si>
  <si>
    <t>7053</t>
  </si>
  <si>
    <t>10167</t>
  </si>
  <si>
    <t>7054</t>
  </si>
  <si>
    <t>7055</t>
  </si>
  <si>
    <t>10809</t>
  </si>
  <si>
    <t>7056</t>
  </si>
  <si>
    <t>10164</t>
  </si>
  <si>
    <t>72839</t>
  </si>
  <si>
    <t>7057</t>
  </si>
  <si>
    <t>113200</t>
  </si>
  <si>
    <t>113032</t>
  </si>
  <si>
    <t>113601</t>
  </si>
  <si>
    <t>113602</t>
  </si>
  <si>
    <t>113604</t>
  </si>
  <si>
    <t>7058</t>
  </si>
  <si>
    <t>113607</t>
  </si>
  <si>
    <t>113001</t>
  </si>
  <si>
    <t>7059</t>
  </si>
  <si>
    <t>121010</t>
  </si>
  <si>
    <t>121020</t>
  </si>
  <si>
    <t>121030</t>
  </si>
  <si>
    <t>190020</t>
  </si>
  <si>
    <t>190110</t>
  </si>
  <si>
    <t>190200</t>
  </si>
  <si>
    <t>190400</t>
  </si>
  <si>
    <t>7075</t>
  </si>
  <si>
    <t>7085</t>
  </si>
  <si>
    <t>7095</t>
  </si>
  <si>
    <t>7145</t>
  </si>
  <si>
    <t>7150</t>
  </si>
  <si>
    <t>7151</t>
  </si>
  <si>
    <t>7152</t>
  </si>
  <si>
    <t>7215</t>
  </si>
  <si>
    <t>7441</t>
  </si>
  <si>
    <t>7225</t>
  </si>
  <si>
    <t>7235</t>
  </si>
  <si>
    <t>7245</t>
  </si>
  <si>
    <t>7251</t>
  </si>
  <si>
    <t>7252</t>
  </si>
  <si>
    <t>111300</t>
  </si>
  <si>
    <t>111301</t>
  </si>
  <si>
    <t>111302</t>
  </si>
  <si>
    <t>111303</t>
  </si>
  <si>
    <t>111304</t>
  </si>
  <si>
    <t>7405</t>
  </si>
  <si>
    <t>111306</t>
  </si>
  <si>
    <t>111307</t>
  </si>
  <si>
    <t>111308</t>
  </si>
  <si>
    <t>111309</t>
  </si>
  <si>
    <t>7445</t>
  </si>
  <si>
    <t>111310</t>
  </si>
  <si>
    <t>111311</t>
  </si>
  <si>
    <t>111312</t>
  </si>
  <si>
    <t>111313</t>
  </si>
  <si>
    <t>111314</t>
  </si>
  <si>
    <t>111316</t>
  </si>
  <si>
    <t>111317</t>
  </si>
  <si>
    <t>111318</t>
  </si>
  <si>
    <t>111319</t>
  </si>
  <si>
    <t>7465</t>
  </si>
  <si>
    <t>7475</t>
  </si>
  <si>
    <t>7485</t>
  </si>
  <si>
    <t>7500</t>
  </si>
  <si>
    <t>7501</t>
  </si>
  <si>
    <t>10222</t>
  </si>
  <si>
    <t>10241</t>
  </si>
  <si>
    <t>10246</t>
  </si>
  <si>
    <t>7502</t>
  </si>
  <si>
    <t>7503</t>
  </si>
  <si>
    <t>7504</t>
  </si>
  <si>
    <t>7505</t>
  </si>
  <si>
    <t>7507</t>
  </si>
  <si>
    <t>7508</t>
  </si>
  <si>
    <t>7509</t>
  </si>
  <si>
    <t>7510</t>
  </si>
  <si>
    <t>7511</t>
  </si>
  <si>
    <t>42727</t>
  </si>
  <si>
    <t>7512</t>
  </si>
  <si>
    <t>7513</t>
  </si>
  <si>
    <t>93311</t>
  </si>
  <si>
    <t>7514</t>
  </si>
  <si>
    <t>7515</t>
  </si>
  <si>
    <t>7516</t>
  </si>
  <si>
    <t>7517</t>
  </si>
  <si>
    <t>7518</t>
  </si>
  <si>
    <t>7520</t>
  </si>
  <si>
    <t>7521</t>
  </si>
  <si>
    <t>7522</t>
  </si>
  <si>
    <t>7523</t>
  </si>
  <si>
    <t>7524</t>
  </si>
  <si>
    <t>7525</t>
  </si>
  <si>
    <t>7526</t>
  </si>
  <si>
    <t>7527</t>
  </si>
  <si>
    <t>7805</t>
  </si>
  <si>
    <t>8115</t>
  </si>
  <si>
    <t>9105</t>
  </si>
  <si>
    <t>10045</t>
  </si>
  <si>
    <t>10050</t>
  </si>
  <si>
    <t>10152</t>
  </si>
  <si>
    <t>10158</t>
  </si>
  <si>
    <t>10159</t>
  </si>
  <si>
    <t>10165</t>
  </si>
  <si>
    <t>10175</t>
  </si>
  <si>
    <t>10225</t>
  </si>
  <si>
    <t>10252</t>
  </si>
  <si>
    <t>10253</t>
  </si>
  <si>
    <t>10255</t>
  </si>
  <si>
    <t>10256</t>
  </si>
  <si>
    <t>10257</t>
  </si>
  <si>
    <t>10258</t>
  </si>
  <si>
    <t>10259</t>
  </si>
  <si>
    <t>10265</t>
  </si>
  <si>
    <t>10305</t>
  </si>
  <si>
    <t>10325</t>
  </si>
  <si>
    <t>10335</t>
  </si>
  <si>
    <t>10510</t>
  </si>
  <si>
    <t>10525</t>
  </si>
  <si>
    <t>10526</t>
  </si>
  <si>
    <t>10528</t>
  </si>
  <si>
    <t>10529</t>
  </si>
  <si>
    <t>10534</t>
  </si>
  <si>
    <t>10540</t>
  </si>
  <si>
    <t>10560</t>
  </si>
  <si>
    <t>10570</t>
  </si>
  <si>
    <t>10575</t>
  </si>
  <si>
    <t>10580</t>
  </si>
  <si>
    <t>10582</t>
  </si>
  <si>
    <t>10715</t>
  </si>
  <si>
    <t>10750</t>
  </si>
  <si>
    <t>10756</t>
  </si>
  <si>
    <t>10815</t>
  </si>
  <si>
    <t>11115</t>
  </si>
  <si>
    <t>11225</t>
  </si>
  <si>
    <t>11915</t>
  </si>
  <si>
    <t>12525</t>
  </si>
  <si>
    <t>13150</t>
  </si>
  <si>
    <t>13235</t>
  </si>
  <si>
    <t>15000</t>
  </si>
  <si>
    <t>15010</t>
  </si>
  <si>
    <t>17015</t>
  </si>
  <si>
    <t>17050</t>
  </si>
  <si>
    <t>17065</t>
  </si>
  <si>
    <t>17500</t>
  </si>
  <si>
    <t>17905</t>
  </si>
  <si>
    <t>17915</t>
  </si>
  <si>
    <t>93014</t>
  </si>
  <si>
    <t>19065</t>
  </si>
  <si>
    <t>20250</t>
  </si>
  <si>
    <t>20251</t>
  </si>
  <si>
    <t>20252</t>
  </si>
  <si>
    <t>20253</t>
  </si>
  <si>
    <t>93272</t>
  </si>
  <si>
    <t>17202</t>
  </si>
  <si>
    <t>20254</t>
  </si>
  <si>
    <t>10036</t>
  </si>
  <si>
    <t>10037</t>
  </si>
  <si>
    <t>113840</t>
  </si>
  <si>
    <t>118600</t>
  </si>
  <si>
    <t>121000</t>
  </si>
  <si>
    <t>7162</t>
  </si>
  <si>
    <t>20255</t>
  </si>
  <si>
    <t>124000</t>
  </si>
  <si>
    <t>123000</t>
  </si>
  <si>
    <t>20256</t>
  </si>
  <si>
    <t>20257</t>
  </si>
  <si>
    <t>20258</t>
  </si>
  <si>
    <t>10768</t>
  </si>
  <si>
    <t>10774</t>
  </si>
  <si>
    <t>113606</t>
  </si>
  <si>
    <t>7040</t>
  </si>
  <si>
    <t>20950</t>
  </si>
  <si>
    <t>7217</t>
  </si>
  <si>
    <t>7041</t>
  </si>
  <si>
    <t>20951</t>
  </si>
  <si>
    <t>21500</t>
  </si>
  <si>
    <t>7043</t>
  </si>
  <si>
    <t>7044</t>
  </si>
  <si>
    <t>21540</t>
  </si>
  <si>
    <t>21585</t>
  </si>
  <si>
    <t>21590</t>
  </si>
  <si>
    <t>22205</t>
  </si>
  <si>
    <t>114400</t>
  </si>
  <si>
    <t>22235</t>
  </si>
  <si>
    <t>8310310</t>
  </si>
  <si>
    <t>22350</t>
  </si>
  <si>
    <t>110000</t>
  </si>
  <si>
    <t>110003</t>
  </si>
  <si>
    <t>22351</t>
  </si>
  <si>
    <t>113210</t>
  </si>
  <si>
    <t>32140</t>
  </si>
  <si>
    <t>22353</t>
  </si>
  <si>
    <t>113041</t>
  </si>
  <si>
    <t>113042</t>
  </si>
  <si>
    <t>113046</t>
  </si>
  <si>
    <t>113047</t>
  </si>
  <si>
    <t>113048</t>
  </si>
  <si>
    <t>90666</t>
  </si>
  <si>
    <t>39112</t>
  </si>
  <si>
    <t>114040</t>
  </si>
  <si>
    <t>39114</t>
  </si>
  <si>
    <t>39111</t>
  </si>
  <si>
    <t>22356</t>
  </si>
  <si>
    <t>114000</t>
  </si>
  <si>
    <t>22357</t>
  </si>
  <si>
    <t>114060</t>
  </si>
  <si>
    <t>114010</t>
  </si>
  <si>
    <t>22359</t>
  </si>
  <si>
    <t>114090</t>
  </si>
  <si>
    <t>114100</t>
  </si>
  <si>
    <t>32135</t>
  </si>
  <si>
    <t>32145</t>
  </si>
  <si>
    <t>32150</t>
  </si>
  <si>
    <t>114041</t>
  </si>
  <si>
    <t>114030</t>
  </si>
  <si>
    <t>38254</t>
  </si>
  <si>
    <t>38255</t>
  </si>
  <si>
    <t>38259</t>
  </si>
  <si>
    <t>10601</t>
  </si>
  <si>
    <t>93013</t>
  </si>
  <si>
    <t>10170</t>
  </si>
  <si>
    <t>7074</t>
  </si>
  <si>
    <t>38575</t>
  </si>
  <si>
    <t>3100438</t>
  </si>
  <si>
    <t>39125</t>
  </si>
  <si>
    <t>104021</t>
  </si>
  <si>
    <t>3100437</t>
  </si>
  <si>
    <t>39150</t>
  </si>
  <si>
    <t>104310</t>
  </si>
  <si>
    <t>104302</t>
  </si>
  <si>
    <t>104303</t>
  </si>
  <si>
    <t>104304</t>
  </si>
  <si>
    <t>39155</t>
  </si>
  <si>
    <t>42405</t>
  </si>
  <si>
    <t>42435</t>
  </si>
  <si>
    <t>42450</t>
  </si>
  <si>
    <t>10321</t>
  </si>
  <si>
    <t>38261</t>
  </si>
  <si>
    <t>3100428</t>
  </si>
  <si>
    <t>3100467</t>
  </si>
  <si>
    <t>3100468</t>
  </si>
  <si>
    <t>3100600</t>
  </si>
  <si>
    <t>104034</t>
  </si>
  <si>
    <t>104032</t>
  </si>
  <si>
    <t>104031</t>
  </si>
  <si>
    <t>104037</t>
  </si>
  <si>
    <t>104040</t>
  </si>
  <si>
    <t>104041</t>
  </si>
  <si>
    <t>104026</t>
  </si>
  <si>
    <t>104033</t>
  </si>
  <si>
    <t>104027</t>
  </si>
  <si>
    <t>104023</t>
  </si>
  <si>
    <t>104036</t>
  </si>
  <si>
    <t>104030</t>
  </si>
  <si>
    <t>104028</t>
  </si>
  <si>
    <t>104029</t>
  </si>
  <si>
    <t>104039</t>
  </si>
  <si>
    <t>104020</t>
  </si>
  <si>
    <t>3110389</t>
  </si>
  <si>
    <t>42456</t>
  </si>
  <si>
    <t>42458</t>
  </si>
  <si>
    <t>10331</t>
  </si>
  <si>
    <t>10333</t>
  </si>
  <si>
    <t>10337</t>
  </si>
  <si>
    <t>1013406</t>
  </si>
  <si>
    <t>1013416</t>
  </si>
  <si>
    <t>42459</t>
  </si>
  <si>
    <t>42475</t>
  </si>
  <si>
    <t>3000408</t>
  </si>
  <si>
    <t>787480</t>
  </si>
  <si>
    <t>600003</t>
  </si>
  <si>
    <t>42501</t>
  </si>
  <si>
    <t>104001</t>
  </si>
  <si>
    <t>42502</t>
  </si>
  <si>
    <t>104009</t>
  </si>
  <si>
    <t>104012</t>
  </si>
  <si>
    <t>10336</t>
  </si>
  <si>
    <t>42503</t>
  </si>
  <si>
    <t>600002</t>
  </si>
  <si>
    <t>104002</t>
  </si>
  <si>
    <t>1013412</t>
  </si>
  <si>
    <t>104010</t>
  </si>
  <si>
    <t>787800</t>
  </si>
  <si>
    <t>8211134</t>
  </si>
  <si>
    <t>104004</t>
  </si>
  <si>
    <t>104008</t>
  </si>
  <si>
    <t>600000</t>
  </si>
  <si>
    <t>104022</t>
  </si>
  <si>
    <t>3200449</t>
  </si>
  <si>
    <t>42504</t>
  </si>
  <si>
    <t>102190</t>
  </si>
  <si>
    <t>42528</t>
  </si>
  <si>
    <t>102170</t>
  </si>
  <si>
    <t>42539</t>
  </si>
  <si>
    <t>42556</t>
  </si>
  <si>
    <t>8210329</t>
  </si>
  <si>
    <t>42575</t>
  </si>
  <si>
    <t>42576</t>
  </si>
  <si>
    <t>42577</t>
  </si>
  <si>
    <t>102410</t>
  </si>
  <si>
    <t>102160</t>
  </si>
  <si>
    <t>102280</t>
  </si>
  <si>
    <t>104321</t>
  </si>
  <si>
    <t>42578</t>
  </si>
  <si>
    <t>102260</t>
  </si>
  <si>
    <t>102140</t>
  </si>
  <si>
    <t>102211</t>
  </si>
  <si>
    <t>102212</t>
  </si>
  <si>
    <t>102213</t>
  </si>
  <si>
    <t>8210328</t>
  </si>
  <si>
    <t>104308</t>
  </si>
  <si>
    <t>104307</t>
  </si>
  <si>
    <t>102210</t>
  </si>
  <si>
    <t>102130</t>
  </si>
  <si>
    <t>42579</t>
  </si>
  <si>
    <t>383007</t>
  </si>
  <si>
    <t>42645</t>
  </si>
  <si>
    <t>104017</t>
  </si>
  <si>
    <t>10301</t>
  </si>
  <si>
    <t>1030300</t>
  </si>
  <si>
    <t>42650</t>
  </si>
  <si>
    <t>10312</t>
  </si>
  <si>
    <t>10318</t>
  </si>
  <si>
    <t>10322</t>
  </si>
  <si>
    <t>42651</t>
  </si>
  <si>
    <t>10326</t>
  </si>
  <si>
    <t>10327</t>
  </si>
  <si>
    <t>10328</t>
  </si>
  <si>
    <t>10329</t>
  </si>
  <si>
    <t>42652</t>
  </si>
  <si>
    <t>42655</t>
  </si>
  <si>
    <t>42657</t>
  </si>
  <si>
    <t>42658</t>
  </si>
  <si>
    <t>42659</t>
  </si>
  <si>
    <t>42945</t>
  </si>
  <si>
    <t>45302</t>
  </si>
  <si>
    <t>3100403</t>
  </si>
  <si>
    <t>3100404</t>
  </si>
  <si>
    <t>3100408</t>
  </si>
  <si>
    <t>3100409</t>
  </si>
  <si>
    <t>45303</t>
  </si>
  <si>
    <t>3100426</t>
  </si>
  <si>
    <t>3100443</t>
  </si>
  <si>
    <t>45306</t>
  </si>
  <si>
    <t>3100448</t>
  </si>
  <si>
    <t>46205</t>
  </si>
  <si>
    <t>46215</t>
  </si>
  <si>
    <t>46252</t>
  </si>
  <si>
    <t>3110371</t>
  </si>
  <si>
    <t>3200420</t>
  </si>
  <si>
    <t>46258</t>
  </si>
  <si>
    <t>46295</t>
  </si>
  <si>
    <t>3200463</t>
  </si>
  <si>
    <t>3200471</t>
  </si>
  <si>
    <t>3200473</t>
  </si>
  <si>
    <t>3200481</t>
  </si>
  <si>
    <t>38100</t>
  </si>
  <si>
    <t>38101</t>
  </si>
  <si>
    <t>38213</t>
  </si>
  <si>
    <t>38214</t>
  </si>
  <si>
    <t>50031</t>
  </si>
  <si>
    <t>38280</t>
  </si>
  <si>
    <t>6121</t>
  </si>
  <si>
    <t>50033</t>
  </si>
  <si>
    <t>50034</t>
  </si>
  <si>
    <t>72767</t>
  </si>
  <si>
    <t>8000116</t>
  </si>
  <si>
    <t>8310306</t>
  </si>
  <si>
    <t>50035</t>
  </si>
  <si>
    <t>50036</t>
  </si>
  <si>
    <t>50037</t>
  </si>
  <si>
    <t>50038</t>
  </si>
  <si>
    <t>50100</t>
  </si>
  <si>
    <t>50525</t>
  </si>
  <si>
    <t>50641</t>
  </si>
  <si>
    <t>50951</t>
  </si>
  <si>
    <t>50952</t>
  </si>
  <si>
    <t>50953</t>
  </si>
  <si>
    <t>50954</t>
  </si>
  <si>
    <t>51200</t>
  </si>
  <si>
    <t>51502</t>
  </si>
  <si>
    <t>51700</t>
  </si>
  <si>
    <t>51701</t>
  </si>
  <si>
    <t>51702</t>
  </si>
  <si>
    <t>51705</t>
  </si>
  <si>
    <t>51708</t>
  </si>
  <si>
    <t>51709</t>
  </si>
  <si>
    <t>51711</t>
  </si>
  <si>
    <t>51723</t>
  </si>
  <si>
    <t>51724</t>
  </si>
  <si>
    <t>51725</t>
  </si>
  <si>
    <t>51740</t>
  </si>
  <si>
    <t>51775</t>
  </si>
  <si>
    <t>51776</t>
  </si>
  <si>
    <t>51800</t>
  </si>
  <si>
    <t>51900</t>
  </si>
  <si>
    <t>51903</t>
  </si>
  <si>
    <t>51905</t>
  </si>
  <si>
    <t>51906</t>
  </si>
  <si>
    <t>51910</t>
  </si>
  <si>
    <t>51911</t>
  </si>
  <si>
    <t>22000</t>
  </si>
  <si>
    <t>3100401</t>
  </si>
  <si>
    <t>51913</t>
  </si>
  <si>
    <t>51915</t>
  </si>
  <si>
    <t>51917</t>
  </si>
  <si>
    <t>10307</t>
  </si>
  <si>
    <t>10316</t>
  </si>
  <si>
    <t>3000406</t>
  </si>
  <si>
    <t>51919</t>
  </si>
  <si>
    <t>898301</t>
  </si>
  <si>
    <t>383009</t>
  </si>
  <si>
    <t>51921</t>
  </si>
  <si>
    <t>898300</t>
  </si>
  <si>
    <t>383001</t>
  </si>
  <si>
    <t>51923</t>
  </si>
  <si>
    <t>51950</t>
  </si>
  <si>
    <t>383000</t>
  </si>
  <si>
    <t>429001</t>
  </si>
  <si>
    <t>429006</t>
  </si>
  <si>
    <t>389002</t>
  </si>
  <si>
    <t>389007</t>
  </si>
  <si>
    <t>389000</t>
  </si>
  <si>
    <t>429003</t>
  </si>
  <si>
    <t>51980</t>
  </si>
  <si>
    <t>52261</t>
  </si>
  <si>
    <t>389010</t>
  </si>
  <si>
    <t>389009</t>
  </si>
  <si>
    <t>389011</t>
  </si>
  <si>
    <t>204002</t>
  </si>
  <si>
    <t>389013</t>
  </si>
  <si>
    <t>52262</t>
  </si>
  <si>
    <t>389003</t>
  </si>
  <si>
    <t>52263</t>
  </si>
  <si>
    <t>52908</t>
  </si>
  <si>
    <t>389012</t>
  </si>
  <si>
    <t>383003</t>
  </si>
  <si>
    <t>204003</t>
  </si>
  <si>
    <t>204004</t>
  </si>
  <si>
    <t>52950</t>
  </si>
  <si>
    <t>53500</t>
  </si>
  <si>
    <t>389008</t>
  </si>
  <si>
    <t>383006</t>
  </si>
  <si>
    <t>53501</t>
  </si>
  <si>
    <t>53750</t>
  </si>
  <si>
    <t>53801</t>
  </si>
  <si>
    <t>600006</t>
  </si>
  <si>
    <t>389001</t>
  </si>
  <si>
    <t>429000</t>
  </si>
  <si>
    <t>383004</t>
  </si>
  <si>
    <t>204001</t>
  </si>
  <si>
    <t>53802</t>
  </si>
  <si>
    <t>53803</t>
  </si>
  <si>
    <t>787010</t>
  </si>
  <si>
    <t>787820</t>
  </si>
  <si>
    <t>787060</t>
  </si>
  <si>
    <t>787760</t>
  </si>
  <si>
    <t>787270</t>
  </si>
  <si>
    <t>787180</t>
  </si>
  <si>
    <t>53804</t>
  </si>
  <si>
    <t>104202</t>
  </si>
  <si>
    <t>53850</t>
  </si>
  <si>
    <t>104206</t>
  </si>
  <si>
    <t>798040</t>
  </si>
  <si>
    <t>787140</t>
  </si>
  <si>
    <t>53851</t>
  </si>
  <si>
    <t>787840</t>
  </si>
  <si>
    <t>787210</t>
  </si>
  <si>
    <t>787160</t>
  </si>
  <si>
    <t>787280</t>
  </si>
  <si>
    <t>787710</t>
  </si>
  <si>
    <t>104204</t>
  </si>
  <si>
    <t>104203</t>
  </si>
  <si>
    <t>787430</t>
  </si>
  <si>
    <t>53904</t>
  </si>
  <si>
    <t>787220</t>
  </si>
  <si>
    <t>787830</t>
  </si>
  <si>
    <t>787630</t>
  </si>
  <si>
    <t>104100</t>
  </si>
  <si>
    <t>787090</t>
  </si>
  <si>
    <t>104207</t>
  </si>
  <si>
    <t>53940</t>
  </si>
  <si>
    <t>787730</t>
  </si>
  <si>
    <t>787030</t>
  </si>
  <si>
    <t>787310</t>
  </si>
  <si>
    <t>53950</t>
  </si>
  <si>
    <t>787740</t>
  </si>
  <si>
    <t>787640</t>
  </si>
  <si>
    <t>787641</t>
  </si>
  <si>
    <t>787660</t>
  </si>
  <si>
    <t>53951</t>
  </si>
  <si>
    <t>787120</t>
  </si>
  <si>
    <t>53970</t>
  </si>
  <si>
    <t>53980</t>
  </si>
  <si>
    <t>53982</t>
  </si>
  <si>
    <t>53983</t>
  </si>
  <si>
    <t>103301</t>
  </si>
  <si>
    <t>787130</t>
  </si>
  <si>
    <t>787300</t>
  </si>
  <si>
    <t>104212</t>
  </si>
  <si>
    <t>104211</t>
  </si>
  <si>
    <t>104208</t>
  </si>
  <si>
    <t>104209</t>
  </si>
  <si>
    <t>787380</t>
  </si>
  <si>
    <t>60003</t>
  </si>
  <si>
    <t>60004</t>
  </si>
  <si>
    <t>60006</t>
  </si>
  <si>
    <t>53984</t>
  </si>
  <si>
    <t>60001</t>
  </si>
  <si>
    <t>787610</t>
  </si>
  <si>
    <t>60007</t>
  </si>
  <si>
    <t>787490</t>
  </si>
  <si>
    <t>787810</t>
  </si>
  <si>
    <t>104322</t>
  </si>
  <si>
    <t>104323</t>
  </si>
  <si>
    <t>787772</t>
  </si>
  <si>
    <t>787771</t>
  </si>
  <si>
    <t>787773</t>
  </si>
  <si>
    <t>53985</t>
  </si>
  <si>
    <t>53986</t>
  </si>
  <si>
    <t>53987</t>
  </si>
  <si>
    <t>53988</t>
  </si>
  <si>
    <t>53989</t>
  </si>
  <si>
    <t>53990</t>
  </si>
  <si>
    <t>53993</t>
  </si>
  <si>
    <t>53994</t>
  </si>
  <si>
    <t>53995</t>
  </si>
  <si>
    <t>53996</t>
  </si>
  <si>
    <t>54001</t>
  </si>
  <si>
    <t>54003</t>
  </si>
  <si>
    <t>54016</t>
  </si>
  <si>
    <t>54025</t>
  </si>
  <si>
    <t>54026</t>
  </si>
  <si>
    <t>54101</t>
  </si>
  <si>
    <t>54300</t>
  </si>
  <si>
    <t>54310</t>
  </si>
  <si>
    <t>54320</t>
  </si>
  <si>
    <t>7047</t>
  </si>
  <si>
    <t>54330</t>
  </si>
  <si>
    <t>7203</t>
  </si>
  <si>
    <t>113901</t>
  </si>
  <si>
    <t>787230</t>
  </si>
  <si>
    <t>204006</t>
  </si>
  <si>
    <t>8000101</t>
  </si>
  <si>
    <t>8000102</t>
  </si>
  <si>
    <t>8000103</t>
  </si>
  <si>
    <t>8000104</t>
  </si>
  <si>
    <t>8000109</t>
  </si>
  <si>
    <t>8000110</t>
  </si>
  <si>
    <t>8000111</t>
  </si>
  <si>
    <t>8000112</t>
  </si>
  <si>
    <t>8000113</t>
  </si>
  <si>
    <t>8000114</t>
  </si>
  <si>
    <t>54333</t>
  </si>
  <si>
    <t>54334</t>
  </si>
  <si>
    <t>54871</t>
  </si>
  <si>
    <t>54878</t>
  </si>
  <si>
    <t>54880</t>
  </si>
  <si>
    <t>54886</t>
  </si>
  <si>
    <t>54887</t>
  </si>
  <si>
    <t>54890</t>
  </si>
  <si>
    <t>54891</t>
  </si>
  <si>
    <t>54894</t>
  </si>
  <si>
    <t>46269</t>
  </si>
  <si>
    <t>93241</t>
  </si>
  <si>
    <t>93242</t>
  </si>
  <si>
    <t>93243</t>
  </si>
  <si>
    <t>14100</t>
  </si>
  <si>
    <t>12000</t>
  </si>
  <si>
    <t>46210</t>
  </si>
  <si>
    <t>46206</t>
  </si>
  <si>
    <t>54901</t>
  </si>
  <si>
    <t>42634</t>
  </si>
  <si>
    <t>42638</t>
  </si>
  <si>
    <t>72764</t>
  </si>
  <si>
    <t>56000</t>
  </si>
  <si>
    <t>46213</t>
  </si>
  <si>
    <t>46216</t>
  </si>
  <si>
    <t>46290</t>
  </si>
  <si>
    <t>46202</t>
  </si>
  <si>
    <t>46214</t>
  </si>
  <si>
    <t>46217</t>
  </si>
  <si>
    <t>46218</t>
  </si>
  <si>
    <t>72763</t>
  </si>
  <si>
    <t>72766</t>
  </si>
  <si>
    <t>72773</t>
  </si>
  <si>
    <t>72810</t>
  </si>
  <si>
    <t>93300</t>
  </si>
  <si>
    <t>93309</t>
  </si>
  <si>
    <t>93319</t>
  </si>
  <si>
    <t>93380</t>
  </si>
  <si>
    <t>93240</t>
  </si>
  <si>
    <t>93206</t>
  </si>
  <si>
    <t>56100</t>
  </si>
  <si>
    <t>93270</t>
  </si>
  <si>
    <t>93220</t>
  </si>
  <si>
    <t>93221</t>
  </si>
  <si>
    <t>93222</t>
  </si>
  <si>
    <t>93227</t>
  </si>
  <si>
    <t>93231</t>
  </si>
  <si>
    <t>93223</t>
  </si>
  <si>
    <t>56101</t>
  </si>
  <si>
    <t>93244</t>
  </si>
  <si>
    <t>93271</t>
  </si>
  <si>
    <t>93232</t>
  </si>
  <si>
    <t>46203</t>
  </si>
  <si>
    <t>46204</t>
  </si>
  <si>
    <t>56102</t>
  </si>
  <si>
    <t>72793</t>
  </si>
  <si>
    <t>93200</t>
  </si>
  <si>
    <t>93202</t>
  </si>
  <si>
    <t>56103</t>
  </si>
  <si>
    <t>56200</t>
  </si>
  <si>
    <t>56201</t>
  </si>
  <si>
    <t>93201</t>
  </si>
  <si>
    <t>93212</t>
  </si>
  <si>
    <t>56500</t>
  </si>
  <si>
    <t>46237</t>
  </si>
  <si>
    <t>93209</t>
  </si>
  <si>
    <t>56501</t>
  </si>
  <si>
    <t>56502</t>
  </si>
  <si>
    <t>56505</t>
  </si>
  <si>
    <t>56506</t>
  </si>
  <si>
    <t>56509</t>
  </si>
  <si>
    <t>56510</t>
  </si>
  <si>
    <t>57101</t>
  </si>
  <si>
    <t>57313</t>
  </si>
  <si>
    <t>60005</t>
  </si>
  <si>
    <t>46291</t>
  </si>
  <si>
    <t>72125</t>
  </si>
  <si>
    <t>72250</t>
  </si>
  <si>
    <t>72251</t>
  </si>
  <si>
    <t>72375</t>
  </si>
  <si>
    <t>72425</t>
  </si>
  <si>
    <t>22362</t>
  </si>
  <si>
    <t>72551</t>
  </si>
  <si>
    <t>46230</t>
  </si>
  <si>
    <t>72552</t>
  </si>
  <si>
    <t>72775</t>
  </si>
  <si>
    <t>46266</t>
  </si>
  <si>
    <t>46317</t>
  </si>
  <si>
    <t>11119</t>
  </si>
  <si>
    <t>72825</t>
  </si>
  <si>
    <t>72852</t>
  </si>
  <si>
    <t>72995</t>
  </si>
  <si>
    <t>22361</t>
  </si>
  <si>
    <t>85711</t>
  </si>
  <si>
    <t>93005</t>
  </si>
  <si>
    <t>93015</t>
  </si>
  <si>
    <t>93025</t>
  </si>
  <si>
    <t>93035</t>
  </si>
  <si>
    <t>93225</t>
  </si>
  <si>
    <t>93250</t>
  </si>
  <si>
    <t>93251</t>
  </si>
  <si>
    <t>93500</t>
  </si>
  <si>
    <t>93501</t>
  </si>
  <si>
    <t>11117</t>
  </si>
  <si>
    <t>93509</t>
  </si>
  <si>
    <t>101250</t>
  </si>
  <si>
    <t>42401</t>
  </si>
  <si>
    <t>42403</t>
  </si>
  <si>
    <t>102150</t>
  </si>
  <si>
    <t>42421</t>
  </si>
  <si>
    <t>102151</t>
  </si>
  <si>
    <t>42446</t>
  </si>
  <si>
    <t>102152</t>
  </si>
  <si>
    <t>102153</t>
  </si>
  <si>
    <t>42460</t>
  </si>
  <si>
    <t>42471</t>
  </si>
  <si>
    <t>42473</t>
  </si>
  <si>
    <t>42474</t>
  </si>
  <si>
    <t>102154</t>
  </si>
  <si>
    <t>42476</t>
  </si>
  <si>
    <t>42491</t>
  </si>
  <si>
    <t>42498</t>
  </si>
  <si>
    <t>102155</t>
  </si>
  <si>
    <t>102156</t>
  </si>
  <si>
    <t>104005</t>
  </si>
  <si>
    <t>104035</t>
  </si>
  <si>
    <t>104205</t>
  </si>
  <si>
    <t>104305</t>
  </si>
  <si>
    <t>110015</t>
  </si>
  <si>
    <t>111305</t>
  </si>
  <si>
    <t>111315</t>
  </si>
  <si>
    <t>113005</t>
  </si>
  <si>
    <t>113015</t>
  </si>
  <si>
    <t>42616</t>
  </si>
  <si>
    <t>42618</t>
  </si>
  <si>
    <t>42621</t>
  </si>
  <si>
    <t>42623</t>
  </si>
  <si>
    <t>42626</t>
  </si>
  <si>
    <t>42628</t>
  </si>
  <si>
    <t>42631</t>
  </si>
  <si>
    <t>42637</t>
  </si>
  <si>
    <t>42642</t>
  </si>
  <si>
    <t>42644</t>
  </si>
  <si>
    <t>113035</t>
  </si>
  <si>
    <t>42646</t>
  </si>
  <si>
    <t>42647</t>
  </si>
  <si>
    <t>42648</t>
  </si>
  <si>
    <t>113045</t>
  </si>
  <si>
    <t>113051</t>
  </si>
  <si>
    <t>113052</t>
  </si>
  <si>
    <t>113053</t>
  </si>
  <si>
    <t>113054</t>
  </si>
  <si>
    <t>42660</t>
  </si>
  <si>
    <t>42661</t>
  </si>
  <si>
    <t>42662</t>
  </si>
  <si>
    <t>42663</t>
  </si>
  <si>
    <t>42791</t>
  </si>
  <si>
    <t>43000</t>
  </si>
  <si>
    <t>113055</t>
  </si>
  <si>
    <t>113056</t>
  </si>
  <si>
    <t>46211</t>
  </si>
  <si>
    <t>46340</t>
  </si>
  <si>
    <t>113057</t>
  </si>
  <si>
    <t>113058</t>
  </si>
  <si>
    <t>113215</t>
  </si>
  <si>
    <t>113250</t>
  </si>
  <si>
    <t>113255</t>
  </si>
  <si>
    <t>113285</t>
  </si>
  <si>
    <t>113295</t>
  </si>
  <si>
    <t>113325</t>
  </si>
  <si>
    <t>113355</t>
  </si>
  <si>
    <t>113500</t>
  </si>
  <si>
    <t>113510</t>
  </si>
  <si>
    <t>113520</t>
  </si>
  <si>
    <t>113605</t>
  </si>
  <si>
    <t>113850</t>
  </si>
  <si>
    <t>114005</t>
  </si>
  <si>
    <t>114015</t>
  </si>
  <si>
    <t>114045</t>
  </si>
  <si>
    <t>114065</t>
  </si>
  <si>
    <t>114225</t>
  </si>
  <si>
    <t>114425</t>
  </si>
  <si>
    <t>114450</t>
  </si>
  <si>
    <t>115000</t>
  </si>
  <si>
    <t>115001</t>
  </si>
  <si>
    <t>115002</t>
  </si>
  <si>
    <t>115005</t>
  </si>
  <si>
    <t>69320</t>
  </si>
  <si>
    <t>72006</t>
  </si>
  <si>
    <t>72018</t>
  </si>
  <si>
    <t>72020</t>
  </si>
  <si>
    <t>72110</t>
  </si>
  <si>
    <t>72374</t>
  </si>
  <si>
    <t>72376</t>
  </si>
  <si>
    <t>72377</t>
  </si>
  <si>
    <t>72379</t>
  </si>
  <si>
    <t>72380</t>
  </si>
  <si>
    <t>72382</t>
  </si>
  <si>
    <t>72401</t>
  </si>
  <si>
    <t>72403</t>
  </si>
  <si>
    <t>72404</t>
  </si>
  <si>
    <t>72416</t>
  </si>
  <si>
    <t>72429</t>
  </si>
  <si>
    <t>118500</t>
  </si>
  <si>
    <t>118530</t>
  </si>
  <si>
    <t>72737</t>
  </si>
  <si>
    <t>72784</t>
  </si>
  <si>
    <t>72806</t>
  </si>
  <si>
    <t>72841</t>
  </si>
  <si>
    <t>72846</t>
  </si>
  <si>
    <t>118535</t>
  </si>
  <si>
    <t>72901</t>
  </si>
  <si>
    <t>72907</t>
  </si>
  <si>
    <t>72911</t>
  </si>
  <si>
    <t>72912</t>
  </si>
  <si>
    <t>72916</t>
  </si>
  <si>
    <t>72931</t>
  </si>
  <si>
    <t>72932</t>
  </si>
  <si>
    <t>72940</t>
  </si>
  <si>
    <t>72943</t>
  </si>
  <si>
    <t>72972</t>
  </si>
  <si>
    <t>72973</t>
  </si>
  <si>
    <t>72974</t>
  </si>
  <si>
    <t>72979</t>
  </si>
  <si>
    <t>72984</t>
  </si>
  <si>
    <t>72986</t>
  </si>
  <si>
    <t>72987</t>
  </si>
  <si>
    <t>72988</t>
  </si>
  <si>
    <t>72989</t>
  </si>
  <si>
    <t>72990</t>
  </si>
  <si>
    <t>72991</t>
  </si>
  <si>
    <t>72992</t>
  </si>
  <si>
    <t>72993</t>
  </si>
  <si>
    <t>72994</t>
  </si>
  <si>
    <t>140535</t>
  </si>
  <si>
    <t>72997</t>
  </si>
  <si>
    <t>73001</t>
  </si>
  <si>
    <t>73010</t>
  </si>
  <si>
    <t>84429</t>
  </si>
  <si>
    <t>140536</t>
  </si>
  <si>
    <t>93207</t>
  </si>
  <si>
    <t>93260</t>
  </si>
  <si>
    <t>140537</t>
  </si>
  <si>
    <t>150300</t>
  </si>
  <si>
    <t>10031</t>
  </si>
  <si>
    <t>41928</t>
  </si>
  <si>
    <t>42422</t>
  </si>
  <si>
    <t>42426</t>
  </si>
  <si>
    <t>42447</t>
  </si>
  <si>
    <t>150350</t>
  </si>
  <si>
    <t>42463</t>
  </si>
  <si>
    <t>42466</t>
  </si>
  <si>
    <t>42472</t>
  </si>
  <si>
    <t>42641</t>
  </si>
  <si>
    <t>42649</t>
  </si>
  <si>
    <t>42700</t>
  </si>
  <si>
    <t>42722</t>
  </si>
  <si>
    <t>42723</t>
  </si>
  <si>
    <t>42724</t>
  </si>
  <si>
    <t>42726</t>
  </si>
  <si>
    <t>46294</t>
  </si>
  <si>
    <t>150356</t>
  </si>
  <si>
    <t>150357</t>
  </si>
  <si>
    <t>150358</t>
  </si>
  <si>
    <t>150361</t>
  </si>
  <si>
    <t>72001</t>
  </si>
  <si>
    <t>150362</t>
  </si>
  <si>
    <t>150363</t>
  </si>
  <si>
    <t>72378</t>
  </si>
  <si>
    <t>72843</t>
  </si>
  <si>
    <t>72874</t>
  </si>
  <si>
    <t>72996</t>
  </si>
  <si>
    <t>72998</t>
  </si>
  <si>
    <t>73000</t>
  </si>
  <si>
    <t>150364</t>
  </si>
  <si>
    <t>150365</t>
  </si>
  <si>
    <t>150366</t>
  </si>
  <si>
    <t>150367</t>
  </si>
  <si>
    <t>17910</t>
  </si>
  <si>
    <t>2000</t>
  </si>
  <si>
    <t>2001</t>
  </si>
  <si>
    <t>2002</t>
  </si>
  <si>
    <t>2004</t>
  </si>
  <si>
    <t>2008</t>
  </si>
  <si>
    <t>150368</t>
  </si>
  <si>
    <t>150369</t>
  </si>
  <si>
    <t>150370</t>
  </si>
  <si>
    <t>150400</t>
  </si>
  <si>
    <t>150700</t>
  </si>
  <si>
    <t>150800</t>
  </si>
  <si>
    <t>150950</t>
  </si>
  <si>
    <t>190500</t>
  </si>
  <si>
    <t>204005</t>
  </si>
  <si>
    <t>8101</t>
  </si>
  <si>
    <t>389005</t>
  </si>
  <si>
    <t>528901</t>
  </si>
  <si>
    <t>10178</t>
  </si>
  <si>
    <t>10742</t>
  </si>
  <si>
    <t>10148</t>
  </si>
  <si>
    <t>10821</t>
  </si>
  <si>
    <t>11900</t>
  </si>
  <si>
    <t>11980</t>
  </si>
  <si>
    <t>3021</t>
  </si>
  <si>
    <t>3028</t>
  </si>
  <si>
    <t>529000</t>
  </si>
  <si>
    <t>529001</t>
  </si>
  <si>
    <t>529002</t>
  </si>
  <si>
    <t>529003</t>
  </si>
  <si>
    <t>6000</t>
  </si>
  <si>
    <t>6001</t>
  </si>
  <si>
    <t>6004</t>
  </si>
  <si>
    <t>529004</t>
  </si>
  <si>
    <t>6006</t>
  </si>
  <si>
    <t>6007</t>
  </si>
  <si>
    <t>6008</t>
  </si>
  <si>
    <t>6011</t>
  </si>
  <si>
    <t>6014</t>
  </si>
  <si>
    <t>529005</t>
  </si>
  <si>
    <t>6016</t>
  </si>
  <si>
    <t>6017</t>
  </si>
  <si>
    <t>6018</t>
  </si>
  <si>
    <t>6020</t>
  </si>
  <si>
    <t>6021</t>
  </si>
  <si>
    <t>6022</t>
  </si>
  <si>
    <t>6024</t>
  </si>
  <si>
    <t>6026</t>
  </si>
  <si>
    <t>529006</t>
  </si>
  <si>
    <t>529007</t>
  </si>
  <si>
    <t>529008</t>
  </si>
  <si>
    <t>529027</t>
  </si>
  <si>
    <t>6200</t>
  </si>
  <si>
    <t>6400</t>
  </si>
  <si>
    <t>6600</t>
  </si>
  <si>
    <t>8107</t>
  </si>
  <si>
    <t>9001</t>
  </si>
  <si>
    <t>9100</t>
  </si>
  <si>
    <t>529028</t>
  </si>
  <si>
    <t>9110</t>
  </si>
  <si>
    <t>93019</t>
  </si>
  <si>
    <t>93020</t>
  </si>
  <si>
    <t>93021</t>
  </si>
  <si>
    <t>9989</t>
  </si>
  <si>
    <t>9999</t>
  </si>
  <si>
    <t>529042</t>
  </si>
  <si>
    <t>93312</t>
  </si>
  <si>
    <t>529043</t>
  </si>
  <si>
    <t>529044</t>
  </si>
  <si>
    <t>11981</t>
  </si>
  <si>
    <t>10214</t>
  </si>
  <si>
    <t>17903</t>
  </si>
  <si>
    <t>17916</t>
  </si>
  <si>
    <t>2011</t>
  </si>
  <si>
    <t>787050</t>
  </si>
  <si>
    <t>2016</t>
  </si>
  <si>
    <t>2020</t>
  </si>
  <si>
    <t>2080</t>
  </si>
  <si>
    <t>2100</t>
  </si>
  <si>
    <t>787450</t>
  </si>
  <si>
    <t>787510</t>
  </si>
  <si>
    <t>8000</t>
  </si>
  <si>
    <t>8100</t>
  </si>
  <si>
    <t>787550</t>
  </si>
  <si>
    <t>8123</t>
  </si>
  <si>
    <t>787560</t>
  </si>
  <si>
    <t>2006</t>
  </si>
  <si>
    <t>2009</t>
  </si>
  <si>
    <t>2010</t>
  </si>
  <si>
    <t>2033</t>
  </si>
  <si>
    <t>6003</t>
  </si>
  <si>
    <t>8117</t>
  </si>
  <si>
    <t>93203</t>
  </si>
  <si>
    <t>2007</t>
  </si>
  <si>
    <t>93602</t>
  </si>
  <si>
    <t>787570</t>
  </si>
  <si>
    <t>2014</t>
  </si>
  <si>
    <t>2003</t>
  </si>
  <si>
    <t>2012</t>
  </si>
  <si>
    <t>2013</t>
  </si>
  <si>
    <t>2032</t>
  </si>
  <si>
    <t>787650</t>
  </si>
  <si>
    <t>2036</t>
  </si>
  <si>
    <t>2037</t>
  </si>
  <si>
    <t>2038</t>
  </si>
  <si>
    <t>2039</t>
  </si>
  <si>
    <t>2040</t>
  </si>
  <si>
    <t>2042</t>
  </si>
  <si>
    <t>2070</t>
  </si>
  <si>
    <t>2071</t>
  </si>
  <si>
    <t>2034</t>
  </si>
  <si>
    <t>787750</t>
  </si>
  <si>
    <t>1013415</t>
  </si>
  <si>
    <t>1013435</t>
  </si>
  <si>
    <t>1013500</t>
  </si>
  <si>
    <t>1052700</t>
  </si>
  <si>
    <t>73011</t>
  </si>
  <si>
    <t>7000</t>
  </si>
  <si>
    <t>7002</t>
  </si>
  <si>
    <t>1052702</t>
  </si>
  <si>
    <t>93609</t>
  </si>
  <si>
    <t>1053500</t>
  </si>
  <si>
    <t>1053501</t>
  </si>
  <si>
    <t>1087503</t>
  </si>
  <si>
    <t>1087513</t>
  </si>
  <si>
    <t>32173</t>
  </si>
  <si>
    <t>114300</t>
  </si>
  <si>
    <t>17011</t>
  </si>
  <si>
    <t>3100425</t>
  </si>
  <si>
    <t>17016</t>
  </si>
  <si>
    <t>3100445</t>
  </si>
  <si>
    <t>17060</t>
  </si>
  <si>
    <t>3100501</t>
  </si>
  <si>
    <t>3100510</t>
  </si>
  <si>
    <t>3100545</t>
  </si>
  <si>
    <t>3110345</t>
  </si>
  <si>
    <t>3200445</t>
  </si>
  <si>
    <t>3200452</t>
  </si>
  <si>
    <t>32100</t>
  </si>
  <si>
    <t>32110</t>
  </si>
  <si>
    <t>32120</t>
  </si>
  <si>
    <t>32130</t>
  </si>
  <si>
    <t>3200475</t>
  </si>
  <si>
    <t>8000115</t>
  </si>
  <si>
    <t>8020725</t>
  </si>
  <si>
    <t>10741</t>
  </si>
  <si>
    <t>8320625</t>
  </si>
  <si>
    <t>32170</t>
  </si>
  <si>
    <t>33301</t>
  </si>
  <si>
    <t>8520351</t>
  </si>
  <si>
    <t>32146</t>
  </si>
  <si>
    <t>32148</t>
  </si>
  <si>
    <t>93211</t>
  </si>
  <si>
    <t>32144</t>
  </si>
  <si>
    <t>8520418</t>
  </si>
  <si>
    <t>72611</t>
  </si>
  <si>
    <t>32160</t>
  </si>
  <si>
    <t>72948</t>
  </si>
  <si>
    <t>8520419</t>
  </si>
  <si>
    <t>8520503</t>
  </si>
  <si>
    <t>8520601</t>
  </si>
  <si>
    <t>8520745</t>
  </si>
  <si>
    <t>8530401</t>
  </si>
  <si>
    <t>32171</t>
  </si>
  <si>
    <t>32172</t>
  </si>
  <si>
    <t>6300</t>
  </si>
  <si>
    <t>6301</t>
  </si>
  <si>
    <t>6302</t>
  </si>
  <si>
    <t>8530406</t>
  </si>
  <si>
    <t>8530418</t>
  </si>
  <si>
    <t>3200493</t>
  </si>
  <si>
    <t>8530419</t>
  </si>
  <si>
    <t>21760</t>
  </si>
  <si>
    <t>21770</t>
  </si>
  <si>
    <t>8530424</t>
  </si>
  <si>
    <t>8530505</t>
  </si>
  <si>
    <t>8530525</t>
  </si>
  <si>
    <t>8530530</t>
  </si>
  <si>
    <t>8535512</t>
  </si>
  <si>
    <t>8535555</t>
  </si>
  <si>
    <t>7029</t>
  </si>
  <si>
    <t>8540512</t>
  </si>
  <si>
    <t>8540700</t>
  </si>
  <si>
    <t>8545650</t>
  </si>
  <si>
    <t>8550304</t>
  </si>
  <si>
    <t>8550323</t>
  </si>
  <si>
    <t>8550401</t>
  </si>
  <si>
    <t>8550406</t>
  </si>
  <si>
    <t>8550418</t>
  </si>
  <si>
    <t>11910</t>
  </si>
  <si>
    <t>8550424</t>
  </si>
  <si>
    <t>8550508</t>
  </si>
  <si>
    <t>8550509</t>
  </si>
  <si>
    <t>8550510</t>
  </si>
  <si>
    <t>8550511</t>
  </si>
  <si>
    <t>8550525</t>
  </si>
  <si>
    <t>8551020</t>
  </si>
  <si>
    <t>8551043</t>
  </si>
  <si>
    <t>8560160</t>
  </si>
  <si>
    <t>8560360</t>
  </si>
  <si>
    <t>93809</t>
  </si>
  <si>
    <t>8560401</t>
  </si>
  <si>
    <t>8560418</t>
  </si>
  <si>
    <t>8560420</t>
  </si>
  <si>
    <t>8560423</t>
  </si>
  <si>
    <t>8560433</t>
  </si>
  <si>
    <t>8560460</t>
  </si>
  <si>
    <t>8560461</t>
  </si>
  <si>
    <t>8560524</t>
  </si>
  <si>
    <t>8560534</t>
  </si>
  <si>
    <t>8560560</t>
  </si>
  <si>
    <t>8560564</t>
  </si>
  <si>
    <t>8560660</t>
  </si>
  <si>
    <t>8560661</t>
  </si>
  <si>
    <t>8560760</t>
  </si>
  <si>
    <t>8560860</t>
  </si>
  <si>
    <t>8560960</t>
  </si>
  <si>
    <t>8565020</t>
  </si>
  <si>
    <t>8565060</t>
  </si>
  <si>
    <t>8565061</t>
  </si>
  <si>
    <t>8565130</t>
  </si>
  <si>
    <t>8565131</t>
  </si>
  <si>
    <t>504000</t>
  </si>
  <si>
    <t>7481</t>
  </si>
  <si>
    <t>7479</t>
  </si>
  <si>
    <t>7491</t>
  </si>
  <si>
    <t>7493</t>
  </si>
  <si>
    <t>7800</t>
  </si>
  <si>
    <t>7801</t>
  </si>
  <si>
    <t>7802</t>
  </si>
  <si>
    <t>7803</t>
  </si>
  <si>
    <t>7804</t>
  </si>
  <si>
    <t>20100</t>
  </si>
  <si>
    <t>20101</t>
  </si>
  <si>
    <t>20642</t>
  </si>
  <si>
    <t>93310</t>
  </si>
  <si>
    <t>10211</t>
  </si>
  <si>
    <t>93103</t>
  </si>
  <si>
    <t>93208</t>
  </si>
  <si>
    <t>10224</t>
  </si>
  <si>
    <t>17901</t>
  </si>
  <si>
    <t>17904</t>
  </si>
  <si>
    <t>17907</t>
  </si>
  <si>
    <t>3006</t>
  </si>
  <si>
    <t>3008</t>
  </si>
  <si>
    <t>3022</t>
  </si>
  <si>
    <t>10213</t>
  </si>
  <si>
    <t>22237</t>
  </si>
  <si>
    <t>22238</t>
  </si>
  <si>
    <t>93100</t>
  </si>
  <si>
    <t>11121</t>
  </si>
  <si>
    <t>6009</t>
  </si>
  <si>
    <t>19060</t>
  </si>
  <si>
    <t>19010</t>
  </si>
  <si>
    <t>10811</t>
  </si>
  <si>
    <t>11113</t>
  </si>
  <si>
    <t>17906</t>
  </si>
  <si>
    <t>17902</t>
  </si>
  <si>
    <t>93109</t>
  </si>
  <si>
    <t>7219</t>
  </si>
  <si>
    <t>11132</t>
  </si>
  <si>
    <t>19064</t>
  </si>
  <si>
    <t>11107</t>
  </si>
  <si>
    <t>11108</t>
  </si>
  <si>
    <t>11110</t>
  </si>
  <si>
    <t>11111</t>
  </si>
  <si>
    <t>11114</t>
  </si>
  <si>
    <t>19061</t>
  </si>
  <si>
    <t>20610</t>
  </si>
  <si>
    <t>3002</t>
  </si>
  <si>
    <t>93320</t>
  </si>
  <si>
    <t>7212</t>
  </si>
  <si>
    <t>7220</t>
  </si>
  <si>
    <t>7401</t>
  </si>
  <si>
    <t>7244</t>
  </si>
  <si>
    <t>7403</t>
  </si>
  <si>
    <t>7042</t>
  </si>
  <si>
    <t>7226</t>
  </si>
  <si>
    <t>7171</t>
  </si>
  <si>
    <t>7007</t>
  </si>
  <si>
    <t>12010</t>
  </si>
  <si>
    <t>7011</t>
  </si>
  <si>
    <t>7024</t>
  </si>
  <si>
    <t>7033</t>
  </si>
  <si>
    <t>7034</t>
  </si>
  <si>
    <t>7036</t>
  </si>
  <si>
    <t>7463</t>
  </si>
  <si>
    <t>7084</t>
  </si>
  <si>
    <t>7443</t>
  </si>
  <si>
    <t>7088</t>
  </si>
  <si>
    <t>7092</t>
  </si>
  <si>
    <t>7093</t>
  </si>
  <si>
    <t>7100</t>
  </si>
  <si>
    <t>7111</t>
  </si>
  <si>
    <t>7112</t>
  </si>
  <si>
    <t>7113</t>
  </si>
  <si>
    <t>7122</t>
  </si>
  <si>
    <t>7130</t>
  </si>
  <si>
    <t>7142</t>
  </si>
  <si>
    <t>7164</t>
  </si>
  <si>
    <t>7023</t>
  </si>
  <si>
    <t>7026</t>
  </si>
  <si>
    <t>7484</t>
  </si>
  <si>
    <t>7489</t>
  </si>
  <si>
    <t>7490</t>
  </si>
  <si>
    <t>93700</t>
  </si>
  <si>
    <t>7190</t>
  </si>
  <si>
    <t>7191</t>
  </si>
  <si>
    <t>7213</t>
  </si>
  <si>
    <t>10236</t>
  </si>
  <si>
    <t>10801</t>
  </si>
  <si>
    <t>7180</t>
  </si>
  <si>
    <t>7174</t>
  </si>
  <si>
    <t>7483</t>
  </si>
  <si>
    <t>7701</t>
  </si>
  <si>
    <t>7702</t>
  </si>
  <si>
    <t>7444</t>
  </si>
  <si>
    <t>7464</t>
  </si>
  <si>
    <t>7700</t>
  </si>
  <si>
    <t>7170</t>
  </si>
  <si>
    <t>7001</t>
  </si>
  <si>
    <t>7003</t>
  </si>
  <si>
    <t>7004</t>
  </si>
  <si>
    <t>7006</t>
  </si>
  <si>
    <t>7022</t>
  </si>
  <si>
    <t>7032</t>
  </si>
  <si>
    <t>17911</t>
  </si>
  <si>
    <t>17912</t>
  </si>
  <si>
    <t>17913</t>
  </si>
  <si>
    <t>17914</t>
  </si>
  <si>
    <t>7227</t>
  </si>
  <si>
    <t>10143</t>
  </si>
  <si>
    <t>11602</t>
  </si>
  <si>
    <t>11904</t>
  </si>
  <si>
    <t>11912</t>
  </si>
  <si>
    <t>11913</t>
  </si>
  <si>
    <t>11914</t>
  </si>
  <si>
    <t>11916</t>
  </si>
  <si>
    <t>11917</t>
  </si>
  <si>
    <t>11918</t>
  </si>
  <si>
    <t>11919</t>
  </si>
  <si>
    <t>11921</t>
  </si>
  <si>
    <t>11922</t>
  </si>
  <si>
    <t>93003</t>
  </si>
  <si>
    <t>93004</t>
  </si>
  <si>
    <t>93007</t>
  </si>
  <si>
    <t>93009</t>
  </si>
  <si>
    <t>93024</t>
  </si>
  <si>
    <t>93034</t>
  </si>
  <si>
    <t>93036</t>
  </si>
  <si>
    <t>93037</t>
  </si>
  <si>
    <t>93038</t>
  </si>
  <si>
    <t>93039</t>
  </si>
  <si>
    <t>93041</t>
  </si>
  <si>
    <t>93042</t>
  </si>
  <si>
    <t>93043</t>
  </si>
  <si>
    <t>2030</t>
  </si>
  <si>
    <t>3020</t>
  </si>
  <si>
    <t>93022</t>
  </si>
  <si>
    <t>10263</t>
  </si>
  <si>
    <t>113700</t>
  </si>
  <si>
    <t>2018</t>
  </si>
  <si>
    <t>110010</t>
  </si>
  <si>
    <t>110011</t>
  </si>
  <si>
    <t>110012</t>
  </si>
  <si>
    <t>110013</t>
  </si>
  <si>
    <t>110014</t>
  </si>
  <si>
    <t>110016</t>
  </si>
  <si>
    <t>110017</t>
  </si>
  <si>
    <t>110018</t>
  </si>
  <si>
    <t>10487</t>
  </si>
  <si>
    <t>113297</t>
  </si>
  <si>
    <t>113298</t>
  </si>
  <si>
    <t>113302</t>
  </si>
  <si>
    <t>4160</t>
  </si>
  <si>
    <t>93900</t>
  </si>
  <si>
    <t>117000</t>
  </si>
  <si>
    <t>7027</t>
  </si>
  <si>
    <t>7406</t>
  </si>
  <si>
    <t>7446</t>
  </si>
  <si>
    <t>7486</t>
  </si>
  <si>
    <t>7218</t>
  </si>
  <si>
    <t>7232</t>
  </si>
  <si>
    <t>7242</t>
  </si>
  <si>
    <t>7161</t>
  </si>
  <si>
    <t>7211</t>
  </si>
  <si>
    <t>7048</t>
  </si>
  <si>
    <t>7072</t>
  </si>
  <si>
    <t>7231</t>
  </si>
  <si>
    <t>7466</t>
  </si>
  <si>
    <t>7200</t>
  </si>
  <si>
    <t>7083</t>
  </si>
  <si>
    <t>7241</t>
  </si>
  <si>
    <t>7140</t>
  </si>
  <si>
    <t>7141</t>
  </si>
  <si>
    <t>7143</t>
  </si>
  <si>
    <t>7096</t>
  </si>
  <si>
    <t>7097</t>
  </si>
  <si>
    <t>6013</t>
  </si>
  <si>
    <t>7078</t>
  </si>
  <si>
    <t>10231</t>
  </si>
  <si>
    <t>7224</t>
  </si>
  <si>
    <t>113234</t>
  </si>
  <si>
    <t>113223</t>
  </si>
  <si>
    <t>118120</t>
  </si>
  <si>
    <t>13400</t>
  </si>
  <si>
    <t>7070</t>
  </si>
  <si>
    <t>7449</t>
  </si>
  <si>
    <t>7460</t>
  </si>
  <si>
    <t>7080</t>
  </si>
  <si>
    <t>7480</t>
  </si>
  <si>
    <t>7470</t>
  </si>
  <si>
    <t>7071</t>
  </si>
  <si>
    <t>7076</t>
  </si>
  <si>
    <t>7448</t>
  </si>
  <si>
    <t>7081</t>
  </si>
  <si>
    <t>7461</t>
  </si>
  <si>
    <t>7222</t>
  </si>
  <si>
    <t>7230</t>
  </si>
  <si>
    <t>7090</t>
  </si>
  <si>
    <t>7216</t>
  </si>
  <si>
    <t>7240</t>
  </si>
  <si>
    <t>113044</t>
  </si>
  <si>
    <t>112001</t>
  </si>
  <si>
    <t>7019</t>
  </si>
  <si>
    <t>7049</t>
  </si>
  <si>
    <t>7079</t>
  </si>
  <si>
    <t>7467</t>
  </si>
  <si>
    <t>7089</t>
  </si>
  <si>
    <t>7221</t>
  </si>
  <si>
    <t>21100</t>
  </si>
  <si>
    <t>113292</t>
  </si>
  <si>
    <t>93033</t>
  </si>
  <si>
    <t>7046</t>
  </si>
  <si>
    <t>7077</t>
  </si>
  <si>
    <t>7447</t>
  </si>
  <si>
    <t>7087</t>
  </si>
  <si>
    <t>7094</t>
  </si>
  <si>
    <t>7192</t>
  </si>
  <si>
    <t>7468</t>
  </si>
  <si>
    <t>7488</t>
  </si>
  <si>
    <t>7462</t>
  </si>
  <si>
    <t>7214</t>
  </si>
  <si>
    <t>7233</t>
  </si>
  <si>
    <t>7082</t>
  </si>
  <si>
    <t>7243</t>
  </si>
  <si>
    <t>7482</t>
  </si>
  <si>
    <t>7073</t>
  </si>
  <si>
    <t>72121</t>
  </si>
  <si>
    <t>72212</t>
  </si>
  <si>
    <t>72774</t>
  </si>
  <si>
    <t>72002</t>
  </si>
  <si>
    <t>42372</t>
  </si>
  <si>
    <t>42374</t>
  </si>
  <si>
    <t>42469</t>
  </si>
  <si>
    <t>42622</t>
  </si>
  <si>
    <t>7013</t>
  </si>
  <si>
    <t>7016</t>
  </si>
  <si>
    <t>7012</t>
  </si>
  <si>
    <t>7009</t>
  </si>
  <si>
    <t>7010</t>
  </si>
  <si>
    <t>7014</t>
  </si>
  <si>
    <t>7020</t>
  </si>
  <si>
    <t>7021</t>
  </si>
  <si>
    <t>7039</t>
  </si>
  <si>
    <t>7442</t>
  </si>
  <si>
    <t>7404</t>
  </si>
  <si>
    <t>104306</t>
  </si>
  <si>
    <t>7234</t>
  </si>
  <si>
    <t>7402</t>
  </si>
  <si>
    <t>7163</t>
  </si>
  <si>
    <t>7086</t>
  </si>
  <si>
    <t>7223</t>
  </si>
  <si>
    <t>7091</t>
  </si>
  <si>
    <t>787720</t>
  </si>
  <si>
    <t>30000</t>
  </si>
  <si>
    <t>93000</t>
  </si>
  <si>
    <t>93600</t>
  </si>
  <si>
    <t>50000</t>
  </si>
  <si>
    <t>GA GCL CC TECH</t>
  </si>
  <si>
    <t>DA - GA GCL CC Tech</t>
  </si>
  <si>
    <t>10193</t>
  </si>
  <si>
    <t>CC REPORTING</t>
  </si>
  <si>
    <t>DA - CC Reporting</t>
  </si>
  <si>
    <t>10194</t>
  </si>
  <si>
    <t>GH VOIP ANALYSTS</t>
  </si>
  <si>
    <t>DA - GH VOIP Analysts</t>
  </si>
  <si>
    <t>10196</t>
  </si>
  <si>
    <t>GH WORKFORCE PLANNING</t>
  </si>
  <si>
    <t>DA - GH Workforce Planning</t>
  </si>
  <si>
    <t>10184</t>
  </si>
  <si>
    <t>FS BA OPERATIONAL SYSTEMS GFS ERP SUITE</t>
  </si>
  <si>
    <t>GT-Strat Tran Gov-FS BA Oper Systems GFS ERP Suite</t>
  </si>
  <si>
    <t>10339</t>
  </si>
  <si>
    <t>GA GCL WORKFORCE PLANNING</t>
  </si>
  <si>
    <t>DA - GA GCL Workforce Planning</t>
  </si>
  <si>
    <t>10169</t>
  </si>
  <si>
    <t>WFM COMMAND CENTER</t>
  </si>
  <si>
    <t>DA - WFM Command Center</t>
  </si>
  <si>
    <t>10190</t>
  </si>
  <si>
    <t>VOIP ANALYSTS</t>
  </si>
  <si>
    <t>DA - VOIP Analysts</t>
  </si>
  <si>
    <t>10188</t>
  </si>
  <si>
    <t>OPS PRODUCTIVITY ANALYSIS</t>
  </si>
  <si>
    <t>DA - Ops Productivity Analysis</t>
  </si>
  <si>
    <t>10192</t>
  </si>
  <si>
    <t>MFH BPM</t>
  </si>
  <si>
    <t>Housing Ops - MFH BPM</t>
  </si>
  <si>
    <t>73012</t>
  </si>
  <si>
    <t>SPECIAL INVESTIGATIONS UNIT</t>
  </si>
  <si>
    <t>Special Investigations Unit</t>
  </si>
  <si>
    <t>51965</t>
  </si>
  <si>
    <t>WS714</t>
  </si>
  <si>
    <t>YORK WILLOW SPRINGS FACILITY EMPLOYEES</t>
  </si>
  <si>
    <t>York - Willow Spring Facility Employees</t>
  </si>
  <si>
    <t>WS103</t>
  </si>
  <si>
    <t>LEWISVILLE FACILITY EMPLOYEES</t>
  </si>
  <si>
    <t>Lewisville Facility Employees</t>
  </si>
  <si>
    <t>WH403</t>
  </si>
  <si>
    <t>NASHVILLE FACILITY EMPLOYEES</t>
  </si>
  <si>
    <t>Nashville Facility Employees</t>
  </si>
  <si>
    <t>WFM MGMT</t>
  </si>
  <si>
    <t>DA - WFM Management</t>
  </si>
  <si>
    <t>WH201</t>
  </si>
  <si>
    <t>TRADE IN ANALYTICS PRODUCTS</t>
  </si>
  <si>
    <t>CL - Mobile - Trade-In Analytics Products</t>
  </si>
  <si>
    <t>EPRISM PRODUCT</t>
  </si>
  <si>
    <t>GT - LS INTL -  ePrism Product</t>
  </si>
  <si>
    <t>ELITA PRODUCT</t>
  </si>
  <si>
    <t>GT - LS INTL -  ELITA Product</t>
  </si>
  <si>
    <t>FS4000</t>
  </si>
  <si>
    <t>AFS NEW BUSINESS OPS</t>
  </si>
  <si>
    <t>C590031</t>
  </si>
  <si>
    <t>AFS Ops - New Business</t>
  </si>
  <si>
    <t>FS4001</t>
  </si>
  <si>
    <t>CHASE CALL CENTER</t>
  </si>
  <si>
    <t>C610400</t>
  </si>
  <si>
    <t>Chase - Call Center</t>
  </si>
  <si>
    <t>FS4002</t>
  </si>
  <si>
    <t>CHASE OPM</t>
  </si>
  <si>
    <t>Chase - OPM</t>
  </si>
  <si>
    <t>FS4003</t>
  </si>
  <si>
    <t>CHASE QUALITY</t>
  </si>
  <si>
    <t>C610402</t>
  </si>
  <si>
    <t>Chase - Quality</t>
  </si>
  <si>
    <t>FS4004</t>
  </si>
  <si>
    <t>CHASE ESCALATIONS</t>
  </si>
  <si>
    <t>C610403</t>
  </si>
  <si>
    <t>Chase - Escalations</t>
  </si>
  <si>
    <t>FS4005</t>
  </si>
  <si>
    <t>CHASE FRAUD SIU SUBRO</t>
  </si>
  <si>
    <t>C610404</t>
  </si>
  <si>
    <t>Chase - Fraud SIU Subrogration</t>
  </si>
  <si>
    <t>FS4006</t>
  </si>
  <si>
    <t>CHASE CALL CENTER OUTSOURCE</t>
  </si>
  <si>
    <t>C610406</t>
  </si>
  <si>
    <t>Chase - Call Center Outsourcing</t>
  </si>
  <si>
    <t>GT-GH-Global Specialty Sales and Marketing</t>
  </si>
  <si>
    <t>RS DIRECT SALES</t>
  </si>
  <si>
    <t>GH - RS - Direct Sales</t>
  </si>
  <si>
    <t>MH &amp; ANTIQUE AUTO UNDERWRITING</t>
  </si>
  <si>
    <t>MH &amp; Antique Auto Underwring</t>
  </si>
  <si>
    <t>C505062</t>
  </si>
  <si>
    <t>CL - Mobile - TN - Other Direct Support</t>
  </si>
  <si>
    <t>MH-AA-VOLUNTARY PROCESSING</t>
  </si>
  <si>
    <t>C350690</t>
  </si>
  <si>
    <t>Housing Ops - MH-AA-Voluntary Processing</t>
  </si>
  <si>
    <t>WS841</t>
  </si>
  <si>
    <t>SALES OPTIMIZATION PANDORA</t>
  </si>
  <si>
    <t>C506033</t>
  </si>
  <si>
    <t>CL - Mobile - Sales Optimization - Pandora</t>
  </si>
  <si>
    <t>10191</t>
  </si>
  <si>
    <t>104325</t>
  </si>
  <si>
    <t>104324</t>
  </si>
  <si>
    <t>93204</t>
  </si>
  <si>
    <t>93228</t>
  </si>
  <si>
    <t>53991</t>
  </si>
  <si>
    <t>53890</t>
  </si>
  <si>
    <t/>
  </si>
  <si>
    <t>1013600</t>
  </si>
  <si>
    <t>304000</t>
  </si>
  <si>
    <t>150600</t>
  </si>
  <si>
    <t>150952</t>
  </si>
  <si>
    <t>10230</t>
  </si>
  <si>
    <t>115003</t>
  </si>
  <si>
    <t>115027</t>
  </si>
  <si>
    <t>10300</t>
  </si>
  <si>
    <t>115051</t>
  </si>
  <si>
    <t>113043</t>
  </si>
  <si>
    <t>115008</t>
  </si>
  <si>
    <t>113289</t>
  </si>
  <si>
    <t>113293</t>
  </si>
  <si>
    <t>113294</t>
  </si>
  <si>
    <t>51105</t>
  </si>
  <si>
    <t>51953</t>
  </si>
  <si>
    <t>10166</t>
  </si>
  <si>
    <t>41926</t>
  </si>
  <si>
    <t>113608</t>
  </si>
  <si>
    <t>141000</t>
  </si>
  <si>
    <t>787020</t>
  </si>
  <si>
    <t>529030</t>
  </si>
  <si>
    <t>529031</t>
  </si>
  <si>
    <t>529032</t>
  </si>
  <si>
    <t>529033</t>
  </si>
  <si>
    <t>529034</t>
  </si>
  <si>
    <t>529035</t>
  </si>
  <si>
    <t>529036</t>
  </si>
  <si>
    <t>529040</t>
  </si>
  <si>
    <t>529041</t>
  </si>
  <si>
    <t>529045</t>
  </si>
  <si>
    <t>529046</t>
  </si>
  <si>
    <t>529047</t>
  </si>
  <si>
    <t>529048</t>
  </si>
  <si>
    <t>529049</t>
  </si>
  <si>
    <t>1060101</t>
  </si>
  <si>
    <t>529020</t>
  </si>
  <si>
    <t>529021</t>
  </si>
  <si>
    <t>529022</t>
  </si>
  <si>
    <t>529023</t>
  </si>
  <si>
    <t>529024</t>
  </si>
  <si>
    <t>529025</t>
  </si>
  <si>
    <t>529026</t>
  </si>
  <si>
    <t>10375</t>
  </si>
  <si>
    <t>383008</t>
  </si>
  <si>
    <t>429002</t>
  </si>
  <si>
    <t>429005</t>
  </si>
  <si>
    <t>429007</t>
  </si>
  <si>
    <t>429008</t>
  </si>
  <si>
    <t>383002</t>
  </si>
  <si>
    <t>383005</t>
  </si>
  <si>
    <t>383590</t>
  </si>
  <si>
    <t>389004</t>
  </si>
  <si>
    <t>600004</t>
  </si>
  <si>
    <t>8560561</t>
  </si>
  <si>
    <t>104201</t>
  </si>
  <si>
    <t>104210</t>
  </si>
  <si>
    <t>104213</t>
  </si>
  <si>
    <t>104214</t>
  </si>
  <si>
    <t>104215</t>
  </si>
  <si>
    <t>104216</t>
  </si>
  <si>
    <t>104217</t>
  </si>
  <si>
    <t>104218</t>
  </si>
  <si>
    <t>1060102</t>
  </si>
  <si>
    <t>787620</t>
  </si>
  <si>
    <t>787250</t>
  </si>
  <si>
    <t>798010</t>
  </si>
  <si>
    <t>104024</t>
  </si>
  <si>
    <t>60002</t>
  </si>
  <si>
    <t>787320</t>
  </si>
  <si>
    <t>798060</t>
  </si>
  <si>
    <t>787530</t>
  </si>
  <si>
    <t>787580</t>
  </si>
  <si>
    <t>104110</t>
  </si>
  <si>
    <t>798020</t>
  </si>
  <si>
    <t>787200</t>
  </si>
  <si>
    <t>78735</t>
  </si>
  <si>
    <t>787460</t>
  </si>
  <si>
    <t>787150</t>
  </si>
  <si>
    <t>104025</t>
  </si>
  <si>
    <t>787070</t>
  </si>
  <si>
    <t>1013413</t>
  </si>
  <si>
    <t>1013414</t>
  </si>
  <si>
    <t>10812</t>
  </si>
  <si>
    <t>3000403</t>
  </si>
  <si>
    <t>3100427</t>
  </si>
  <si>
    <t>3100466</t>
  </si>
  <si>
    <t>3100502</t>
  </si>
  <si>
    <t>8560761</t>
  </si>
  <si>
    <t>1013420</t>
  </si>
  <si>
    <t>102270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</si>
  <si>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</si>
  <si>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</si>
  <si>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</si>
  <si>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</si>
  <si>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</si>
  <si>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</si>
  <si>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</si>
  <si>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</si>
  <si>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1060104</t>
  </si>
  <si>
    <t>787420</t>
  </si>
  <si>
    <t>8560861</t>
  </si>
  <si>
    <t>113900</t>
  </si>
  <si>
    <t>1053502</t>
  </si>
  <si>
    <t>1053503</t>
  </si>
  <si>
    <t>1053505</t>
  </si>
  <si>
    <t>1053506</t>
  </si>
  <si>
    <t>1053508</t>
  </si>
  <si>
    <t>1053509</t>
  </si>
  <si>
    <t>8410726</t>
  </si>
  <si>
    <t>8530123</t>
  </si>
  <si>
    <t>8530421</t>
  </si>
  <si>
    <t>8530522</t>
  </si>
  <si>
    <t>8550222</t>
  </si>
  <si>
    <t>8540131</t>
  </si>
  <si>
    <t>8540531</t>
  </si>
  <si>
    <t>8550123</t>
  </si>
  <si>
    <t>8550124</t>
  </si>
  <si>
    <t>8550125</t>
  </si>
  <si>
    <t>8550127</t>
  </si>
  <si>
    <t>8550415</t>
  </si>
  <si>
    <t>8550419</t>
  </si>
  <si>
    <t>8550505</t>
  </si>
  <si>
    <t>38212</t>
  </si>
  <si>
    <t>48900</t>
  </si>
  <si>
    <t>8520220</t>
  </si>
  <si>
    <t>1060107</t>
  </si>
  <si>
    <t>8551030</t>
  </si>
  <si>
    <t>8565062</t>
  </si>
  <si>
    <t>3110378</t>
  </si>
  <si>
    <t>3200417</t>
  </si>
  <si>
    <t>3110340</t>
  </si>
  <si>
    <t>3200435</t>
  </si>
  <si>
    <t>3200468</t>
  </si>
  <si>
    <t>8530102</t>
  </si>
  <si>
    <t>8530511</t>
  </si>
  <si>
    <t>8530540</t>
  </si>
  <si>
    <t>10303</t>
  </si>
  <si>
    <t>10527</t>
  </si>
  <si>
    <t>1052701</t>
  </si>
  <si>
    <t>1052703</t>
  </si>
  <si>
    <t>1052704</t>
  </si>
  <si>
    <t>1052705</t>
  </si>
  <si>
    <t>1052707</t>
  </si>
  <si>
    <t>1052708</t>
  </si>
  <si>
    <t>1052709</t>
  </si>
  <si>
    <t>38265</t>
  </si>
  <si>
    <t>72759</t>
  </si>
  <si>
    <t>8560121</t>
  </si>
  <si>
    <t>8560544</t>
  </si>
  <si>
    <t>8560222</t>
  </si>
  <si>
    <t>8560233</t>
  </si>
  <si>
    <t>8600102</t>
  </si>
  <si>
    <t>8600509</t>
  </si>
  <si>
    <t>10304</t>
  </si>
  <si>
    <t>10306</t>
  </si>
  <si>
    <t>8540114</t>
  </si>
  <si>
    <t>8540315</t>
  </si>
  <si>
    <t>8540411</t>
  </si>
  <si>
    <t>8560124</t>
  </si>
  <si>
    <t>8560131</t>
  </si>
  <si>
    <t>8560232</t>
  </si>
  <si>
    <t>1030301</t>
  </si>
  <si>
    <t>1030302</t>
  </si>
  <si>
    <t>1030305</t>
  </si>
  <si>
    <t>1030308</t>
  </si>
  <si>
    <t>1030309</t>
  </si>
  <si>
    <t>3100407</t>
  </si>
  <si>
    <t>3100424</t>
  </si>
  <si>
    <t>3100447</t>
  </si>
  <si>
    <t>10038</t>
  </si>
  <si>
    <t>10311</t>
  </si>
  <si>
    <t>8310112</t>
  </si>
  <si>
    <t>8310623</t>
  </si>
  <si>
    <t>3100406</t>
  </si>
  <si>
    <t>3100417</t>
  </si>
  <si>
    <t>3100421</t>
  </si>
  <si>
    <t>3100422</t>
  </si>
  <si>
    <t>3100423</t>
  </si>
  <si>
    <t>8414011</t>
  </si>
  <si>
    <t>8000105</t>
  </si>
  <si>
    <t>8000106</t>
  </si>
  <si>
    <t>8000107</t>
  </si>
  <si>
    <t>8000108</t>
  </si>
  <si>
    <t>5004</t>
  </si>
  <si>
    <t>5011</t>
  </si>
  <si>
    <t>103314</t>
  </si>
  <si>
    <t>1060106</t>
  </si>
  <si>
    <t>8560361</t>
  </si>
  <si>
    <t>1060105</t>
  </si>
  <si>
    <t>787700</t>
  </si>
  <si>
    <t>8545600</t>
  </si>
  <si>
    <t>104003</t>
  </si>
  <si>
    <t>104006</t>
  </si>
  <si>
    <t>104007</t>
  </si>
  <si>
    <t>104011</t>
  </si>
  <si>
    <t>104013</t>
  </si>
  <si>
    <t>104014</t>
  </si>
  <si>
    <t>104015</t>
  </si>
  <si>
    <t>104038</t>
  </si>
  <si>
    <t>104309</t>
  </si>
  <si>
    <t>104311</t>
  </si>
  <si>
    <t>104312</t>
  </si>
  <si>
    <t>104313</t>
  </si>
  <si>
    <t>104314</t>
  </si>
  <si>
    <t>104315</t>
  </si>
  <si>
    <t>104316</t>
  </si>
  <si>
    <t>104317</t>
  </si>
  <si>
    <t>104318</t>
  </si>
  <si>
    <t>104319</t>
  </si>
  <si>
    <t>104320</t>
  </si>
  <si>
    <t>1060103</t>
  </si>
  <si>
    <t>8560161</t>
  </si>
  <si>
    <t>3200494</t>
  </si>
  <si>
    <t>104050</t>
  </si>
  <si>
    <t>1060108</t>
  </si>
  <si>
    <t>8560260</t>
  </si>
  <si>
    <t>8560261</t>
  </si>
  <si>
    <t>8560961</t>
  </si>
  <si>
    <t>113299</t>
  </si>
  <si>
    <t>150352</t>
  </si>
  <si>
    <t>150360</t>
  </si>
  <si>
    <t>110008</t>
  </si>
  <si>
    <t>113061</t>
  </si>
  <si>
    <t>39900</t>
  </si>
  <si>
    <t>39903</t>
  </si>
  <si>
    <t>57910</t>
  </si>
  <si>
    <t>58900</t>
  </si>
  <si>
    <t>75500</t>
  </si>
  <si>
    <t>76910</t>
  </si>
  <si>
    <t>76920</t>
  </si>
  <si>
    <t>99017</t>
  </si>
  <si>
    <t>1003020</t>
  </si>
  <si>
    <t>150351</t>
  </si>
  <si>
    <t>150353</t>
  </si>
  <si>
    <t>150354</t>
  </si>
  <si>
    <t>150355</t>
  </si>
  <si>
    <t>150359</t>
  </si>
  <si>
    <t>37421</t>
  </si>
  <si>
    <t>48005</t>
  </si>
  <si>
    <t>54895</t>
  </si>
  <si>
    <t>54896</t>
  </si>
  <si>
    <t>72885</t>
  </si>
  <si>
    <t>93323</t>
  </si>
  <si>
    <t>46267</t>
  </si>
  <si>
    <t>56503</t>
  </si>
  <si>
    <t>56504</t>
  </si>
  <si>
    <t>93205</t>
  </si>
  <si>
    <t>93236</t>
  </si>
  <si>
    <t>93245</t>
  </si>
  <si>
    <t>42406</t>
  </si>
  <si>
    <t>42462</t>
  </si>
  <si>
    <t>42624</t>
  </si>
  <si>
    <t>42630</t>
  </si>
  <si>
    <t>42639</t>
  </si>
  <si>
    <t>42640</t>
  </si>
  <si>
    <t>42653</t>
  </si>
  <si>
    <t>42656</t>
  </si>
  <si>
    <t>42725</t>
  </si>
  <si>
    <t>42728</t>
  </si>
  <si>
    <t>50032</t>
  </si>
  <si>
    <t>52260</t>
  </si>
  <si>
    <t>54872</t>
  </si>
  <si>
    <t>72008</t>
  </si>
  <si>
    <t>72138</t>
  </si>
  <si>
    <t>72201</t>
  </si>
  <si>
    <t>72321</t>
  </si>
  <si>
    <t>72426</t>
  </si>
  <si>
    <t>72740</t>
  </si>
  <si>
    <t>72985</t>
  </si>
  <si>
    <t>73015</t>
  </si>
  <si>
    <t>73016</t>
  </si>
  <si>
    <t>42210</t>
  </si>
  <si>
    <t>54325</t>
  </si>
  <si>
    <t>93017</t>
  </si>
  <si>
    <t>53992</t>
  </si>
  <si>
    <t>32147</t>
  </si>
  <si>
    <t>93002</t>
  </si>
  <si>
    <t>93008</t>
  </si>
  <si>
    <t>93027</t>
  </si>
  <si>
    <t>113007</t>
  </si>
  <si>
    <t>93016</t>
  </si>
  <si>
    <t>93060</t>
  </si>
  <si>
    <t>22358</t>
  </si>
  <si>
    <t>22360</t>
  </si>
  <si>
    <t>22363</t>
  </si>
  <si>
    <t>22365</t>
  </si>
  <si>
    <t>51731</t>
  </si>
  <si>
    <t>51732</t>
  </si>
  <si>
    <t>51734</t>
  </si>
  <si>
    <t>51741</t>
  </si>
  <si>
    <t>51750</t>
  </si>
  <si>
    <t>51777</t>
  </si>
  <si>
    <t>10242</t>
  </si>
  <si>
    <t>10248</t>
  </si>
  <si>
    <t>50526</t>
  </si>
  <si>
    <t>54005</t>
  </si>
  <si>
    <t>54020</t>
  </si>
  <si>
    <t>10249</t>
  </si>
  <si>
    <t>42534</t>
  </si>
  <si>
    <t>22236</t>
  </si>
  <si>
    <t>54893</t>
  </si>
  <si>
    <t>2052</t>
  </si>
  <si>
    <t>7471</t>
  </si>
  <si>
    <t>10814</t>
  </si>
  <si>
    <t>11101</t>
  </si>
  <si>
    <t>11102</t>
  </si>
  <si>
    <t>11118</t>
  </si>
  <si>
    <t>19011</t>
  </si>
  <si>
    <t>19013</t>
  </si>
  <si>
    <t>19014</t>
  </si>
  <si>
    <t>19015</t>
  </si>
  <si>
    <t>19016</t>
  </si>
  <si>
    <t>20640</t>
  </si>
  <si>
    <t>20643</t>
  </si>
  <si>
    <t>20644</t>
  </si>
  <si>
    <t>22260</t>
  </si>
  <si>
    <t>22261</t>
  </si>
  <si>
    <t>22263</t>
  </si>
  <si>
    <t>22264</t>
  </si>
  <si>
    <t>22267</t>
  </si>
  <si>
    <t>22269</t>
  </si>
  <si>
    <t>22271</t>
  </si>
  <si>
    <t>50611</t>
  </si>
  <si>
    <t>50640</t>
  </si>
  <si>
    <t>51710</t>
  </si>
  <si>
    <t>51713</t>
  </si>
  <si>
    <t>51715</t>
  </si>
  <si>
    <t>51716</t>
  </si>
  <si>
    <t>52000</t>
  </si>
  <si>
    <t>10233</t>
  </si>
  <si>
    <t>19063</t>
  </si>
  <si>
    <t>38520</t>
  </si>
  <si>
    <t>10105</t>
  </si>
  <si>
    <t>10209</t>
  </si>
  <si>
    <t>10226</t>
  </si>
  <si>
    <t>10235</t>
  </si>
  <si>
    <t>11982</t>
  </si>
  <si>
    <t>93006</t>
  </si>
  <si>
    <t>93800</t>
  </si>
  <si>
    <t>10204</t>
  </si>
  <si>
    <t>11911</t>
  </si>
  <si>
    <t>93023</t>
  </si>
  <si>
    <t>9101</t>
  </si>
  <si>
    <t>6025</t>
  </si>
  <si>
    <t>10141</t>
  </si>
  <si>
    <t>10142</t>
  </si>
  <si>
    <t>10144</t>
  </si>
  <si>
    <t>10145</t>
  </si>
  <si>
    <t>10146</t>
  </si>
  <si>
    <t>10149</t>
  </si>
  <si>
    <t>93026</t>
  </si>
  <si>
    <t>C040419</t>
  </si>
  <si>
    <t>C040421</t>
  </si>
  <si>
    <t>C042050</t>
  </si>
  <si>
    <t>C503057</t>
  </si>
  <si>
    <t>C010112</t>
  </si>
  <si>
    <t>C253728</t>
  </si>
  <si>
    <t>C253729</t>
  </si>
  <si>
    <t>Global Accounting - SOX</t>
  </si>
  <si>
    <t>113880</t>
  </si>
  <si>
    <t>SC Technical Solutions</t>
  </si>
  <si>
    <t>End to End Quality Engineering</t>
  </si>
  <si>
    <t>C040111</t>
  </si>
  <si>
    <t>C505063</t>
  </si>
  <si>
    <t>C505099</t>
  </si>
  <si>
    <t>CX - Strategic Planning</t>
  </si>
  <si>
    <t>CL - Mobile - TN - Supply Chain - Systems Engineering</t>
  </si>
  <si>
    <t xml:space="preserve">WS956 </t>
  </si>
  <si>
    <t>CL - Mobile - TN - Project Pioneer</t>
  </si>
  <si>
    <t>WH699</t>
  </si>
  <si>
    <t>C252042</t>
  </si>
  <si>
    <t>GT-GH-Assure+ Management</t>
  </si>
  <si>
    <t>2025</t>
  </si>
  <si>
    <t>C010113</t>
  </si>
  <si>
    <t>C044002</t>
  </si>
  <si>
    <t>C505101</t>
  </si>
  <si>
    <t>C505102</t>
  </si>
  <si>
    <t>Global Accounting - Finance Transformation</t>
  </si>
  <si>
    <t>CIO - Dynamic Fulfillment</t>
  </si>
  <si>
    <t>CL - Mobile - DFW Insurance - IL</t>
  </si>
  <si>
    <t>CL - Mobile - DFW Insurance - G&amp;A</t>
  </si>
  <si>
    <t>C010114</t>
  </si>
  <si>
    <t>C044004</t>
  </si>
  <si>
    <t>C515214</t>
  </si>
  <si>
    <t>C515215</t>
  </si>
  <si>
    <t>APAC FINANCE LEADERSHIP</t>
  </si>
  <si>
    <t xml:space="preserve">CIO - Home Warranty </t>
  </si>
  <si>
    <t>W20765</t>
  </si>
  <si>
    <t>W20764</t>
  </si>
  <si>
    <t>W20762</t>
  </si>
  <si>
    <t>WS522</t>
  </si>
  <si>
    <t>C515211</t>
  </si>
  <si>
    <t>C515212</t>
  </si>
  <si>
    <t>C515213</t>
  </si>
  <si>
    <t>New Sales-Summit Racing</t>
  </si>
  <si>
    <t>CL - HRO - Direct DMTM</t>
  </si>
  <si>
    <t>CL - HRO - Best Buy</t>
  </si>
  <si>
    <t>CL - HRO - Home Solutions MSO AEs</t>
  </si>
  <si>
    <t>CL - HRO - Home Solutions National Retail AEs</t>
  </si>
  <si>
    <t>C044001</t>
  </si>
  <si>
    <t>C090054</t>
  </si>
  <si>
    <t>C252044</t>
  </si>
  <si>
    <t>C385006</t>
  </si>
  <si>
    <t>C385007</t>
  </si>
  <si>
    <t>C385008</t>
  </si>
  <si>
    <t>C385009</t>
  </si>
  <si>
    <t>C503061</t>
  </si>
  <si>
    <t>C505104</t>
  </si>
  <si>
    <t>C505109</t>
  </si>
  <si>
    <t>C506034</t>
  </si>
  <si>
    <t>CIO - Home Warranty Marketing</t>
  </si>
  <si>
    <t>GT-GH-Assure+ Production Support</t>
  </si>
  <si>
    <t>CL - Mobile - Value Added Services</t>
  </si>
  <si>
    <t>CL - Mobile - DFW Logistics - IL</t>
  </si>
  <si>
    <t>CL - Mobile - Sales Optimization - Verizon</t>
  </si>
  <si>
    <t>WS955</t>
  </si>
  <si>
    <t>WS111</t>
  </si>
  <si>
    <t>C044003</t>
  </si>
  <si>
    <t>C090055</t>
  </si>
  <si>
    <t>C505103</t>
  </si>
  <si>
    <t>C505105</t>
  </si>
  <si>
    <t>Project Skyline - Ops Related Expenses</t>
  </si>
  <si>
    <t>104388</t>
  </si>
  <si>
    <t>Project Skyline - Product Related Expenses</t>
  </si>
  <si>
    <t>104389</t>
  </si>
  <si>
    <t>VPS Ops - Auto Claims - Carmax</t>
  </si>
  <si>
    <t>104391</t>
  </si>
  <si>
    <t>VPS Ops - Auto Claims - AutoNation Trustage Enterprise</t>
  </si>
  <si>
    <t>VPS Ops - RV Claims</t>
  </si>
  <si>
    <t>VPS Ops - GAP Claims</t>
  </si>
  <si>
    <t>104392</t>
  </si>
  <si>
    <t>104393</t>
  </si>
  <si>
    <t>104394</t>
  </si>
  <si>
    <t>WS110</t>
  </si>
  <si>
    <t>WS112</t>
  </si>
  <si>
    <t>WH700</t>
  </si>
  <si>
    <t>CL - Mobile - DFW Logistics - DL</t>
  </si>
  <si>
    <t>CL - Mobile - DFW Logistics - G&amp;A</t>
  </si>
  <si>
    <t>CL - Mobile - TN - Repair Operations</t>
  </si>
  <si>
    <t>CIO - Home Warranty Technology</t>
  </si>
  <si>
    <t>C505100</t>
  </si>
  <si>
    <t>CL - Mobile - DFW Insurance - DL</t>
  </si>
  <si>
    <t>WS107</t>
  </si>
  <si>
    <t>C500369</t>
  </si>
  <si>
    <t>C506072</t>
  </si>
  <si>
    <t>C506073</t>
  </si>
  <si>
    <t>C515046</t>
  </si>
  <si>
    <t>W20760</t>
  </si>
  <si>
    <t>CL - HRO - Louiville Management</t>
  </si>
  <si>
    <t>WS958</t>
  </si>
  <si>
    <t>CL - Mobile - TN - VAS Direct</t>
  </si>
  <si>
    <t>WS961</t>
  </si>
  <si>
    <t>CL - Mobile - Lewisville - VAS Direct</t>
  </si>
  <si>
    <t>WS962</t>
  </si>
  <si>
    <t>CL - Mobile - Lewisville - VAS Indirect</t>
  </si>
  <si>
    <t>C350120</t>
  </si>
  <si>
    <t>C500370</t>
  </si>
  <si>
    <t>WS959</t>
  </si>
  <si>
    <t>CL - Mobile - TN - VAS Indirect</t>
  </si>
  <si>
    <t>104422</t>
  </si>
  <si>
    <t>Housing Claims - HO3</t>
  </si>
  <si>
    <t>Salary posted to the default CC C200591 is excluded from the allocation process</t>
  </si>
  <si>
    <t>Cash</t>
  </si>
  <si>
    <t>C090056</t>
  </si>
  <si>
    <t>C500371</t>
  </si>
  <si>
    <t>104390</t>
  </si>
  <si>
    <t>Project Skyline - Claims Related Expenses</t>
  </si>
  <si>
    <t>WS960</t>
  </si>
  <si>
    <t>CL - Mobile - TN - VAS G&amp;A</t>
  </si>
  <si>
    <t>C044005</t>
  </si>
  <si>
    <t>C055215</t>
  </si>
  <si>
    <t>C350686</t>
  </si>
  <si>
    <t>C400306</t>
  </si>
  <si>
    <t>C400307</t>
  </si>
  <si>
    <t>C400308</t>
  </si>
  <si>
    <t>C400309</t>
  </si>
  <si>
    <t>C400310</t>
  </si>
  <si>
    <t>C400311</t>
  </si>
  <si>
    <t>C400312</t>
  </si>
  <si>
    <t>C400313</t>
  </si>
  <si>
    <t>C500366</t>
  </si>
  <si>
    <t xml:space="preserve">104416 </t>
  </si>
  <si>
    <t xml:space="preserve">CIO - Home Warranty Service Delivery </t>
  </si>
  <si>
    <t>GT - Sec Identity Management</t>
  </si>
  <si>
    <t xml:space="preserve">Renters Solutions Ops Support </t>
  </si>
  <si>
    <t>Global Auto - HE - CNH Leadership</t>
  </si>
  <si>
    <t>Global Auto - HE - Allied ESC Inbound Sales</t>
  </si>
  <si>
    <t>Global Auto - HE - Allied ESC Claims</t>
  </si>
  <si>
    <t>Global Auto - HE - AUSPL</t>
  </si>
  <si>
    <t>Global Auto - HE - Allied Sales</t>
  </si>
  <si>
    <t>Global Auto - HE - Allied PDI</t>
  </si>
  <si>
    <t>Global Auto - HE - CNH PDI</t>
  </si>
  <si>
    <t>Global Auto - HE - CNH ESC Inbound Sales</t>
  </si>
  <si>
    <t>WS232</t>
  </si>
  <si>
    <t>FACILITY SUMMIT PEAK</t>
  </si>
  <si>
    <t>Oct-2025</t>
  </si>
  <si>
    <t>Spread Group Ins. By FTE 10/2025</t>
  </si>
  <si>
    <t>October 2025  Salaries per Cost Center</t>
  </si>
  <si>
    <t>C350726</t>
  </si>
  <si>
    <t>Housing Claims - Virtual Estimating</t>
  </si>
  <si>
    <t>Rate</t>
  </si>
  <si>
    <t>October 2025  FTE per Cost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</si>
</sst>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m/dd/yyyy"/>
  </numFmts>
  <fonts count="13">
    <font>
      <sz val="10"/>
      <color theme="1"/>
      <name val="Trebuchet"/>
      <family val="2"/>
    </font>
    <font>
      <sz val="10"/>
      <color theme="1"/>
      <name val="Trebuchet"/>
      <family val="2"/>
    </font>
    <font>
      <b/>
      <sz val="10"/>
      <color theme="1"/>
      <name val="Trebuchet"/>
    </font>
    <font>
      <sz val="8"/>
      <name val="Trebuchet"/>
      <family val="2"/>
    </font>
    <font>
      <b/>
      <sz val="16"/>
      <color theme="1"/>
      <name val="Trebuchet"/>
    </font>
    <font>
      <b/>
      <sz val="11"/>
      <color theme="1"/>
      <name val="Trebuchet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Trebuche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9" fillId="0" borderId="0"/>
    <xf numFmtId="43" fontId="9" fillId="0" borderId="0" applyFont="0" applyFill="0" applyBorder="0" applyAlignment="0" applyProtection="0"/>
    <xf numFmtId="0" fontId="10" fillId="0" borderId="0"/>
    <xf numFmtId="0" fontId="1" fillId="0" borderId="0"/>
  </cellStyleXfs>
  <cellXfs count="5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43" fontId="0" fillId="0" borderId="0" xfId="1" applyFont="1"/>
    <xf numFmtId="0" fontId="5" fillId="0" borderId="0" xfId="0" applyFont="1"/>
    <xf numFmtId="43" fontId="5" fillId="0" borderId="0" xfId="1" applyFont="1"/>
    <xf numFmtId="49" fontId="7" fillId="0" borderId="0" xfId="3" applyNumberFormat="1" applyFont="1"/>
    <xf numFmtId="0" fontId="7" fillId="0" borderId="0" xfId="3" applyFont="1"/>
    <xf numFmtId="4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 wrapText="1"/>
    </xf>
    <xf numFmtId="164" fontId="0" fillId="0" borderId="0" xfId="1" applyNumberFormat="1" applyFont="1"/>
    <xf numFmtId="165" fontId="0" fillId="0" borderId="0" xfId="2" applyNumberFormat="1" applyFont="1"/>
    <xf numFmtId="10" fontId="0" fillId="0" borderId="0" xfId="2" applyNumberFormat="1" applyFont="1"/>
    <xf numFmtId="165" fontId="2" fillId="0" borderId="0" xfId="2" applyNumberFormat="1" applyFont="1"/>
    <xf numFmtId="43" fontId="2" fillId="0" borderId="0" xfId="1" applyFont="1"/>
    <xf numFmtId="43" fontId="0" fillId="2" borderId="0" xfId="1" applyFont="1" applyFill="1"/>
    <xf numFmtId="0" fontId="0" fillId="0" borderId="0" xfId="0" applyAlignment="1">
      <alignment horizontal="center"/>
    </xf>
    <xf numFmtId="0" fontId="0" fillId="0" borderId="0" xfId="1" applyNumberFormat="1" applyFont="1"/>
    <xf numFmtId="43" fontId="2" fillId="0" borderId="0" xfId="0" applyNumberFormat="1" applyFont="1"/>
    <xf numFmtId="165" fontId="2" fillId="0" borderId="2" xfId="2" applyNumberFormat="1" applyFont="1" applyBorder="1" applyAlignment="1">
      <alignment horizontal="center"/>
    </xf>
    <xf numFmtId="10" fontId="2" fillId="0" borderId="2" xfId="2" applyNumberFormat="1" applyFont="1" applyBorder="1" applyAlignment="1">
      <alignment horizontal="center"/>
    </xf>
    <xf numFmtId="0" fontId="2" fillId="0" borderId="2" xfId="0" applyFont="1" applyBorder="1"/>
    <xf numFmtId="43" fontId="0" fillId="3" borderId="0" xfId="0" applyNumberFormat="1" applyFill="1"/>
    <xf numFmtId="43" fontId="0" fillId="3" borderId="0" xfId="1" applyFon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8" fillId="0" borderId="0" xfId="0" applyFont="1"/>
    <xf numFmtId="43" fontId="0" fillId="4" borderId="0" xfId="1" applyFont="1" applyFill="1"/>
    <xf numFmtId="165" fontId="0" fillId="4" borderId="0" xfId="2" applyNumberFormat="1" applyFont="1" applyFill="1"/>
    <xf numFmtId="43" fontId="0" fillId="0" borderId="0" xfId="1" applyFont="1" applyFill="1"/>
    <xf numFmtId="165" fontId="0" fillId="0" borderId="0" xfId="2" applyNumberFormat="1" applyFont="1" applyFill="1"/>
    <xf numFmtId="166" fontId="0" fillId="0" borderId="0" xfId="0" applyNumberFormat="1" applyAlignment="1">
      <alignment horizontal="left"/>
    </xf>
    <xf numFmtId="43" fontId="0" fillId="0" borderId="1" xfId="1" applyFont="1" applyBorder="1"/>
    <xf numFmtId="0" fontId="0" fillId="2" borderId="0" xfId="0" applyFill="1"/>
    <xf numFmtId="0" fontId="0" fillId="2" borderId="0" xfId="0" applyFill="1" applyAlignment="1">
      <alignment horizontal="center"/>
    </xf>
    <xf numFmtId="43" fontId="2" fillId="0" borderId="2" xfId="1" applyFont="1" applyBorder="1"/>
    <xf numFmtId="0" fontId="0" fillId="0" borderId="0" xfId="0" quotePrefix="1"/>
    <xf numFmtId="0" fontId="0" fillId="2" borderId="0" xfId="1" applyNumberFormat="1" applyFont="1" applyFill="1"/>
    <xf numFmtId="0" fontId="0" fillId="3" borderId="0" xfId="0" applyFill="1"/>
    <xf numFmtId="0" fontId="0" fillId="0" borderId="0" xfId="1" applyNumberFormat="1" applyFont="1" applyFill="1"/>
    <xf numFmtId="0" fontId="11" fillId="0" borderId="0" xfId="6" applyFont="1"/>
    <xf numFmtId="0" fontId="11" fillId="2" borderId="0" xfId="6" applyFont="1" applyFill="1"/>
    <xf numFmtId="43" fontId="11" fillId="2" borderId="0" xfId="1" applyFont="1" applyFill="1"/>
    <xf numFmtId="0" fontId="0" fillId="5" borderId="0" xfId="0" applyFill="1" applyAlignment="1">
      <alignment horizontal="left"/>
    </xf>
    <xf numFmtId="0" fontId="0" fillId="0" borderId="0" xfId="0" applyAlignment="1">
      <alignment horizontal="left" indent="3"/>
    </xf>
    <xf numFmtId="0" fontId="6" fillId="0" borderId="0" xfId="3"/>
    <xf numFmtId="0" fontId="1" fillId="0" borderId="0" xfId="7"/>
    <xf numFmtId="0" fontId="12" fillId="0" borderId="0" xfId="0" applyFont="1"/>
    <xf numFmtId="0" fontId="0" fillId="6" borderId="0" xfId="0" applyFill="1"/>
    <xf numFmtId="9" fontId="0" fillId="0" borderId="0" xfId="2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8">
    <cellStyle name="Comma" xfId="1" builtinId="3"/>
    <cellStyle name="Comma 2" xfId="5" xr:uid="{76983DC5-E585-4859-8A48-4B60167142F8}"/>
    <cellStyle name="Normal" xfId="0" builtinId="0"/>
    <cellStyle name="Normal 2" xfId="3" xr:uid="{57CCA1E8-5C32-4E94-8126-2E3B8145638A}"/>
    <cellStyle name="Normal 3" xfId="4" xr:uid="{D0492930-393D-4948-B2E4-6BF42974FC4C}"/>
    <cellStyle name="Normal 3 3" xfId="7" xr:uid="{9BCB8380-3965-48E1-814F-092C5FBD08DD}"/>
    <cellStyle name="Normal 4 2" xfId="6" xr:uid="{87DA2886-49BB-4E36-9827-D226D6F0862D}"/>
    <cellStyle name="Percent" xfId="2" builtinId="5"/>
  </cellStyles>
  <dxfs count="39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5" formatCode="_(* #,##0.00_);_(* \(#,##0.00\);_(* &quot;-&quot;??_);_(@_)"/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579733</xdr:colOff>
      <xdr:row>51</xdr:row>
      <xdr:rowOff>141825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2F6CB1-F131-4F3B-8762-6D4381DD9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33333" cy="8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293943</xdr:colOff>
      <xdr:row>44</xdr:row>
      <xdr:rowOff>103871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EF9B37-4D78-A4EB-0CB7-7D861CCC2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57143" cy="7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17</xdr:col>
      <xdr:colOff>255848</xdr:colOff>
      <xdr:row>82</xdr:row>
      <xdr:rowOff>75442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4AC0AB-536F-40FE-C86D-90B95A0FE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86625"/>
          <a:ext cx="10619048" cy="60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17</xdr:col>
      <xdr:colOff>208228</xdr:colOff>
      <xdr:row>121</xdr:row>
      <xdr:rowOff>103993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217CB9-BC1D-55CC-4D09-80B41706B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439775"/>
          <a:ext cx="10571428" cy="6257143"/>
        </a:xfrm>
        <a:prstGeom prst="rect">
          <a:avLst/>
        </a:prstGeom>
      </xdr:spPr>
    </xdr:pic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Okello" refreshedDate="45954.518257175929" backgroundQuery="1" createdVersion="8" refreshedVersion="8" minRefreshableVersion="3" recordCount="0" supportSubquery="1" supportAdvancedDrill="1" xr:uid="{C5D6578A-892C-4CA9-9085-34F98C27F15F}">
  <cacheSource type="external" connectionId="1"/>
  <cacheFields count="32">
    <cacheField name="[Accounting_Period].[Accounting Period - YM].[Year Name]" caption="Year Name" numFmtId="0" hierarchy="2" level="1">
      <sharedItems count="2">
        <s v="[Accounting_Period].[Accounting Period - YM].[Year Name].&amp;[2025]" c="2025"/>
        <s v="[Accounting_Period].[Accounting Period - YM].[Year Name].&amp;[2024]" u="1" c="2024"/>
      </sharedItems>
    </cacheField>
    <cacheField name="[Accounting_Period].[Accounting Period - YM].[Month Name]" caption="Month Name" numFmtId="0" hierarchy="2" level="2">
      <sharedItems count="2">
        <s v="[Accounting_Period].[Accounting Period - YM].[Month Name].&amp;[Oct-2025]" c="Oct-2025"/>
        <s v="[Accounting_Period].[Accounting Period - YM].[Month Name].&amp;[Mar-2024]" u="1" c="Mar-2024"/>
      </sharedItems>
    </cacheField>
    <cacheField name="[Acct_Sub_Account_Consolidated].[Hier_Consol Sub Account Code Desc].[SL_Account_Hier_Name]" caption="SL_Account_Hier_Name" numFmtId="0" hierarchy="17" level="1">
      <sharedItems containsSemiMixedTypes="0" containsString="0"/>
    </cacheField>
    <cacheField name="[Acct_Sub_Account_Consolidated].[Hier_Consol Sub Account Code Desc].[Level20]" caption="Level20" numFmtId="0" hierarchy="17" level="2">
      <sharedItems containsSemiMixedTypes="0" containsString="0"/>
    </cacheField>
    <cacheField name="[Acct_Sub_Account_Consolidated].[Hier_Consol Sub Account Code Desc].[Level19]" caption="Level19" numFmtId="0" hierarchy="17" level="3">
      <sharedItems containsSemiMixedTypes="0" containsString="0"/>
    </cacheField>
    <cacheField name="[Acct_Sub_Account_Consolidated].[Hier_Consol Sub Account Code Desc].[Level18]" caption="Level18" numFmtId="0" hierarchy="17" level="4">
      <sharedItems containsSemiMixedTypes="0" containsString="0"/>
    </cacheField>
    <cacheField name="[Acct_Sub_Account_Consolidated].[Hier_Consol Sub Account Code Desc].[Level17]" caption="Level17" numFmtId="0" hierarchy="17" level="5">
      <sharedItems containsSemiMixedTypes="0" containsString="0"/>
    </cacheField>
    <cacheField name="[Acct_Sub_Account_Consolidated].[Hier_Consol Sub Account Code Desc].[Level16]" caption="Level16" numFmtId="0" hierarchy="17" level="6">
      <sharedItems containsSemiMixedTypes="0" containsString="0"/>
    </cacheField>
    <cacheField name="[Acct_Sub_Account_Consolidated].[Hier_Consol Sub Account Code Desc].[Level15]" caption="Level15" numFmtId="0" hierarchy="17" level="7">
      <sharedItems containsSemiMixedTypes="0" containsString="0"/>
    </cacheField>
    <cacheField name="[Acct_Sub_Account_Consolidated].[Hier_Consol Sub Account Code Desc].[Level14]" caption="Level14" numFmtId="0" hierarchy="17" level="8">
      <sharedItems containsSemiMixedTypes="0" containsString="0"/>
    </cacheField>
    <cacheField name="[Acct_Sub_Account_Consolidated].[Hier_Consol Sub Account Code Desc].[Level13]" caption="Level13" numFmtId="0" hierarchy="17" level="9">
      <sharedItems containsSemiMixedTypes="0" containsString="0"/>
    </cacheField>
    <cacheField name="[Acct_Sub_Account_Consolidated].[Hier_Consol Sub Account Code Desc].[Level12]" caption="Level12" numFmtId="0" hierarchy="17" level="10">
      <sharedItems containsSemiMixedTypes="0" containsString="0"/>
    </cacheField>
    <cacheField name="[Acct_Sub_Account_Consolidated].[Hier_Consol Sub Account Code Desc].[Level11]" caption="Level11" numFmtId="0" hierarchy="17" level="11">
      <sharedItems containsSemiMixedTypes="0" containsString="0"/>
    </cacheField>
    <cacheField name="[Acct_Sub_Account_Consolidated].[Hier_Consol Sub Account Code Desc].[Level10]" caption="Level10" numFmtId="0" hierarchy="17" level="12">
      <sharedItems containsSemiMixedTypes="0" containsString="0"/>
    </cacheField>
    <cacheField name="[Acct_Sub_Account_Consolidated].[Hier_Consol Sub Account Code Desc].[Level09]" caption="Level09" numFmtId="0" hierarchy="17" level="13">
      <sharedItems containsSemiMixedTypes="0" containsString="0"/>
    </cacheField>
    <cacheField name="[Acct_Sub_Account_Consolidated].[Hier_Consol Sub Account Code Desc].[Level08]" caption="Level08" numFmtId="0" hierarchy="17" level="14">
      <sharedItems containsSemiMixedTypes="0" containsString="0"/>
    </cacheField>
    <cacheField name="[Acct_Sub_Account_Consolidated].[Hier_Consol Sub Account Code Desc].[Level07]" caption="Level07" numFmtId="0" hierarchy="17" level="15">
      <sharedItems containsSemiMixedTypes="0" containsString="0"/>
    </cacheField>
    <cacheField name="[Acct_Sub_Account_Consolidated].[Hier_Consol Sub Account Code Desc].[Level06]" caption="Level06" numFmtId="0" hierarchy="17" level="16">
      <sharedItems containsSemiMixedTypes="0" containsString="0"/>
    </cacheField>
    <cacheField name="[Acct_Sub_Account_Consolidated].[Hier_Consol Sub Account Code Desc].[Level05]" caption="Level05" numFmtId="0" hierarchy="17" level="17">
      <sharedItems containsSemiMixedTypes="0" containsString="0"/>
    </cacheField>
    <cacheField name="[Acct_Sub_Account_Consolidated].[Hier_Consol Sub Account Code Desc].[Level04]" caption="Level04" numFmtId="0" hierarchy="17" level="18">
      <sharedItems containsSemiMixedTypes="0" containsString="0"/>
    </cacheField>
    <cacheField name="[Acct_Sub_Account_Consolidated].[Hier_Consol Sub Account Code Desc].[Level03]" caption="Level03" numFmtId="0" hierarchy="17" level="19">
      <sharedItems containsSemiMixedTypes="0" containsString="0"/>
    </cacheField>
    <cacheField name="[Acct_Sub_Account_Consolidated].[Hier_Consol Sub Account Code Desc].[Level02]" caption="Level02" numFmtId="0" hierarchy="17" level="20">
      <sharedItems containsSemiMixedTypes="0" containsString="0"/>
    </cacheField>
    <cacheField name="[Acct_Sub_Account_Consolidated].[Hier_Consol Sub Account Code Desc].[Level01]" caption="Level01" numFmtId="0" hierarchy="17" level="21">
      <sharedItems containsSemiMixedTypes="0" containsString="0"/>
    </cacheField>
    <cacheField name="[Acct_Sub_Account_Consolidated].[Consol Sub Account Code Desc].[SL_Account_Code_Desc]" caption="SL_Account_Code_Desc" numFmtId="0" hierarchy="13" level="1">
      <sharedItems count="5">
        <s v="[Acct_Sub_Account_Consolidated].[Consol Sub Account Code Desc].[SL_Account_Code_Desc].&amp;[A700018-00:Group Ins - Emp Company Cost]" c="A700018-00:Group Ins - Emp Company Cost"/>
        <s v="[Acct_Sub_Account_Consolidated].[Consol Sub Account Code Desc].[SL_Account_Code_Desc].&amp;[A260520-00:Payroll Accrual Severance]" u="1" c="A260520-00:Payroll Accrual Severance"/>
        <s v="[Acct_Sub_Account_Consolidated].[Consol Sub Account Code Desc].[SL_Account_Code_Desc].&amp;[A260520-22:Pyrll Accrual - Sevr 2022 Transform]" u="1" c="A260520-22:Pyrll Accrual - Sevr 2022 Transform"/>
        <s v="[Acct_Sub_Account_Consolidated].[Consol Sub Account Code Desc].[SL_Account_Code_Desc].&amp;[A260520-23:Pyrll Accrual - Sevr Statesman]" u="1" c="A260520-23:Pyrll Accrual - Sevr Statesman"/>
        <s v="[Acct_Sub_Account_Consolidated].[Consol Sub Account Code Desc].[SL_Account_Code_Desc].&amp;[A260500-24:Pyrll Accrual - Sevr 2023 Transform]" u="1" c="A260500-24:Pyrll Accrual - Sevr 2023 Transform"/>
      </sharedItems>
    </cacheField>
    <cacheField name="[Measures].[Func Cur YTD]" caption="Func Cur YTD" numFmtId="0" hierarchy="2415" level="32767"/>
    <cacheField name="[Measures].[USD Cur YTD]" caption="USD Cur YTD" numFmtId="0" hierarchy="2418" level="32767"/>
    <cacheField name="[Ledger].[Ledger Name].[Ledger_Name]" caption="Ledger_Name" numFmtId="0" hierarchy="1317" level="1">
      <sharedItems containsSemiMixedTypes="0" containsString="0"/>
    </cacheField>
    <cacheField name="[Entity_GAAP].[GAAP Entity Code Desc].[Entity_Code_Desc]" caption="Entity_Code_Desc" numFmtId="0" hierarchy="1004" level="1">
      <sharedItems count="8">
        <s v="[Entity_GAAP].[GAAP Entity Code Desc].[Entity_Code_Desc].&amp;[E01300:American Bankers Insurance Company of Florida]" c="E01300:American Bankers Insurance Company of Florida"/>
        <s v="[Entity_GAAP].[GAAP Entity Code Desc].[Entity_Code_Desc].&amp;[E00001:Assurant, Inc.]" u="1" c="E00001:Assurant, Inc."/>
        <s v="[Entity_GAAP].[GAAP Entity Code Desc].[Entity_Code_Desc].&amp;[E00330:American Security Insurance Company]" u="1" c="E00330:American Security Insurance Company"/>
        <s v="[Entity_GAAP].[GAAP Entity Code Desc].[Entity_Code_Desc].&amp;[E00941:Cwork Solutions, LP]" u="1" c="E00941:Cwork Solutions, LP"/>
        <s v="[Entity_GAAP].[GAAP Entity Code Desc].[Entity_Code_Desc].&amp;[E01510:United Service Protection Corporation]" u="1" c="E01510:United Service Protection Corporation"/>
        <s v="[Entity_GAAP].[GAAP Entity Code Desc].[Entity_Code_Desc].&amp;[E00300:Interfinancial, Inc.]" u="1" c="E00300:Interfinancial, Inc."/>
        <s v="[Entity_GAAP].[GAAP Entity Code Desc].[Entity_Code_Desc].&amp;[E00920:Privowny, Inc.]" u="1" c="E00920:Privowny, Inc."/>
        <s v="[Entity_GAAP].[GAAP Entity Code Desc].[Entity_Code_Desc].&amp;[E00944:Broadtech, LLC]" u="1" c="E00944:Broadtech, LLC"/>
      </sharedItems>
    </cacheField>
    <cacheField name="[Center_Global].[Center Global Code Desc].[Center_Code_Desc]" caption="Center_Code_Desc" numFmtId="0" hierarchy="639" level="1">
      <sharedItems count="1">
        <s v="[Center_Global].[Center Global Code Desc].[Center_Code_Desc].&amp;[C200593:Group Insurance]" c="C200593:Group Insurance"/>
      </sharedItems>
    </cacheField>
    <cacheField name="[Dataset_Information].[GFSDM Last Updated].[GFSDM Last Updated]" caption="GFSDM Last Updated" numFmtId="0" hierarchy="926" level="1">
      <sharedItems containsSemiMixedTypes="0" containsString="0"/>
    </cacheField>
    <cacheField name="[Dataset_Information].[Dataset Last Refreshed].[Dataset Last Refreshed]" caption="Dataset Last Refreshed" numFmtId="0" hierarchy="924" level="1">
      <sharedItems containsSemiMixedTypes="0" containsString="0"/>
    </cacheField>
    <cacheField name="[Amount_Class_All].[Amount Class Code].[Amount_Class_Code]" caption="Amount_Class_Code" numFmtId="0" hierarchy="532" level="1">
      <sharedItems count="2">
        <s v="[Amount_Class_All].[Amount Class Code].[Amount_Class_Code].&amp;[B000]" c="B000"/>
        <s v="[Amount_Class_All].[Amount Class Code].[Amount_Class_Code].&amp;[B100]" c="B100"/>
      </sharedItems>
    </cacheField>
  </cacheFields>
  <cacheHierarchies count="2559">
    <cacheHierarchy uniqueName="[Accounting_Period].[Accounting Period]" caption="Accounting Period" attribute="1" time="1" defaultMemberUniqueName="[Accounting_Period].[Accounting Period].[All]" allUniqueName="[Accounting_Period].[Accounting Period].[All]" dimensionUniqueName="[Accounting_Period]" displayFolder="" count="0" memberValueDatatype="7" unbalanced="0"/>
    <cacheHierarchy uniqueName="[Accounting_Period].[Accounting Period - M]" caption="Accounting Period - M" time="1" defaultMemberUniqueName="[Accounting_Period].[Accounting Period - M].[All]" allUniqueName="[Accounting_Period].[Accounting Period - M].[All]" dimensionUniqueName="[Accounting_Period]" displayFolder="" count="0" unbalanced="0"/>
    <cacheHierarchy uniqueName="[Accounting_Period].[Accounting Period - YM]" caption="Accounting Period - YM" time="1" defaultMemberUniqueName="[Accounting_Period].[Accounting Period - YM].[All]" allUniqueName="[Accounting_Period].[Accounting Period - YM].[All]" dimensionUniqueName="[Accounting_Period]" displayFolder="" count="3" unbalanced="0">
      <fieldsUsage count="3">
        <fieldUsage x="-1"/>
        <fieldUsage x="0"/>
        <fieldUsage x="1"/>
      </fieldsUsage>
    </cacheHierarchy>
    <cacheHierarchy uniqueName="[Accounting_Period].[Accounting Period - YQM]" caption="Accounting Period - YQM" time="1" defaultMemberUniqueName="[Accounting_Period].[Accounting Period - YQM].[All]" allUniqueName="[Accounting_Period].[Accounting Period - YQM].[All]" dimensionUniqueName="[Accounting_Period]" displayFolder="" count="0" unbalanced="0"/>
    <cacheHierarchy uniqueName="[Accounting_Period].[Day Number]" caption="Day Number" attribute="1" time="1" defaultMemberUniqueName="[Accounting_Period].[Day Number].[All]" allUniqueName="[Accounting_Period].[Day Number].[All]" dimensionUniqueName="[Accounting_Period]" displayFolder="" count="0" memberValueDatatype="5" unbalanced="0"/>
    <cacheHierarchy uniqueName="[Accounting_Period].[Month Name]" caption="Month Name" attribute="1" time="1" defaultMemberUniqueName="[Accounting_Period].[Month Name].[All]" allUniqueName="[Accounting_Period].[Month Name].[All]" dimensionUniqueName="[Accounting_Period]" displayFolder="" count="0" memberValueDatatype="130" unbalanced="0"/>
    <cacheHierarchy uniqueName="[Accounting_Period].[Month Number]" caption="Month Number" attribute="1" time="1" defaultMemberUniqueName="[Accounting_Period].[Month Number].[All]" allUniqueName="[Accounting_Period].[Month Number].[All]" dimensionUniqueName="[Accounting_Period]" displayFolder="" count="0" memberValueDatatype="5" unbalanced="0"/>
    <cacheHierarchy uniqueName="[Accounting_Period].[Quarter Name]" caption="Quarter Name" attribute="1" time="1" defaultMemberUniqueName="[Accounting_Period].[Quarter Name].[All]" allUniqueName="[Accounting_Period].[Quarter Name].[All]" dimensionUniqueName="[Accounting_Period]" displayFolder="" count="0" memberValueDatatype="130" unbalanced="0"/>
    <cacheHierarchy uniqueName="[Accounting_Period].[Quarter Number]" caption="Quarter Number" attribute="1" time="1" defaultMemberUniqueName="[Accounting_Period].[Quarter Number].[All]" allUniqueName="[Accounting_Period].[Quarter Number].[All]" dimensionUniqueName="[Accounting_Period]" displayFolder="" count="0" memberValueDatatype="5" unbalanced="0"/>
    <cacheHierarchy uniqueName="[Accounting_Period].[Year Name]" caption="Year Name" attribute="1" time="1" defaultMemberUniqueName="[Accounting_Period].[Year Name].[All]" allUniqueName="[Accounting_Period].[Year Name].[All]" dimensionUniqueName="[Accounting_Period]" displayFolder="" count="0" memberValueDatatype="130" unbalanced="0"/>
    <cacheHierarchy uniqueName="[Accounting_Period].[Year Number]" caption="Year Number" attribute="1" time="1" defaultMemberUniqueName="[Accounting_Period].[Year Number].[All]" allUniqueName="[Accounting_Period].[Year Number].[All]" dimensionUniqueName="[Accounting_Period]" displayFolder="" count="0" memberValueDatatype="5" unbalanced="0"/>
    <cacheHierarchy uniqueName="[Acct_Sub_Account_Consolidated].[Account_Type]" caption="Account_Type" attribute="1" defaultMemberUniqueName="[Acct_Sub_Account_Consolidated].[Account_Type].[All]" allUniqueName="[Acct_Sub_Account_Consolidated].[Account_Type].[All]" dimensionUniqueName="[Acct_Sub_Account_Consolidated]" displayFolder="" count="0" memberValueDatatype="130" unbalanced="0"/>
    <cacheHierarchy uniqueName="[Acct_Sub_Account_Consolidated].[Consol Sub Account Code]" caption="Consol Sub Account Code" defaultMemberUniqueName="[Acct_Sub_Account_Consolidated].[Consol Sub Account Code].[All]" allUniqueName="[Acct_Sub_Account_Consolidated].[Consol Sub Account Code].[All]" dimensionUniqueName="[Acct_Sub_Account_Consolidated]" displayFolder="" count="0" unbalanced="0"/>
    <cacheHierarchy uniqueName="[Acct_Sub_Account_Consolidated].[Consol Sub Account Code Desc]" caption="Consol Sub Account Code Desc" defaultMemberUniqueName="[Acct_Sub_Account_Consolidated].[Consol Sub Account Code Desc].[All]" allUniqueName="[Acct_Sub_Account_Consolidated].[Consol Sub Account Code Desc].[All]" dimensionUniqueName="[Acct_Sub_Account_Consolidated]" displayFolder="" count="2" unbalanced="0">
      <fieldsUsage count="2">
        <fieldUsage x="-1"/>
        <fieldUsage x="23"/>
      </fieldsUsage>
    </cacheHierarchy>
    <cacheHierarchy uniqueName="[Acct_Sub_Account_Consolidated].[Consol Sub Account Desc]" caption="Consol Sub Account Desc" defaultMemberUniqueName="[Acct_Sub_Account_Consolidated].[Consol Sub Account Desc].[All]" allUniqueName="[Acct_Sub_Account_Consolidated].[Consol Sub Account Desc].[All]" dimensionUniqueName="[Acct_Sub_Account_Consolidated]" displayFolder="" count="0" unbalanced="0"/>
    <cacheHierarchy uniqueName="[Acct_Sub_Account_Consolidated].[GL_Account_Code]" caption="GL_Account_Code" attribute="1" defaultMemberUniqueName="[Acct_Sub_Account_Consolidated].[GL_Account_Code].[All]" allUniqueName="[Acct_Sub_Account_Consolidated].[GL_Account_Code].[All]" dimensionUniqueName="[Acct_Sub_Account_Consolidated]" displayFolder="" count="0" memberValueDatatype="130" unbalanced="0"/>
    <cacheHierarchy uniqueName="[Acct_Sub_Account_Consolidated].[Hier_Consol Sub Account Code]" caption="Hier_Consol Sub Account Code" defaultMemberUniqueName="[Acct_Sub_Account_Consolidated].[Hier_Consol Sub Account Code].[All]" allUniqueName="[Acct_Sub_Account_Consolidated].[Hier_Consol Sub Account Code].[All]" dimensionUniqueName="[Acct_Sub_Account_Consolidated]" displayFolder="" count="0" unbalanced="0"/>
    <cacheHierarchy uniqueName="[Acct_Sub_Account_Consolidated].[Hier_Consol Sub Account Code Desc]" caption="Hier_Consol Sub Account Code Desc" defaultMemberUniqueName="[Acct_Sub_Account_Consolidated].[Hier_Consol Sub Account Code Desc].[All]" allUniqueName="[Acct_Sub_Account_Consolidated].[Hier_Consol Sub Account Code Desc].[All]" dimensionUniqueName="[Acct_Sub_Account_Consolidated]" displayFolder="" count="22" unbalanced="0">
      <fieldsUsage count="22">
        <fieldUsage x="-1"/>
        <fieldUsage x="2"/>
        <fieldUsage x="3"/>
        <fieldUsage x="4"/>
        <fieldUsage x="5"/>
        <fieldUsage x="6"/>
        <fieldUsage x="7"/>
        <fieldUsage x="8"/>
        <fieldUsage x="9"/>
        <fieldUsage x="10"/>
        <fieldUsage x="11"/>
        <fieldUsage x="12"/>
        <fieldUsage x="13"/>
        <fieldUsage x="14"/>
        <fieldUsage x="15"/>
        <fieldUsage x="16"/>
        <fieldUsage x="17"/>
        <fieldUsage x="18"/>
        <fieldUsage x="19"/>
        <fieldUsage x="20"/>
        <fieldUsage x="21"/>
        <fieldUsage x="22"/>
      </fieldsUsage>
    </cacheHierarchy>
    <cacheHierarchy uniqueName="[Acct_Sub_Account_Consolidated].[Hier_Consol Sub Account Desc]" caption="Hier_Consol Sub Account Desc" defaultMemberUniqueName="[Acct_Sub_Account_Consolidated].[Hier_Consol Sub Account Desc].[All]" allUniqueName="[Acct_Sub_Account_Consolidated].[Hier_Consol Sub Account Desc].[All]" dimensionUniqueName="[Acct_Sub_Account_Consolidated]" displayFolder="" count="0" unbalanced="0"/>
    <cacheHierarchy uniqueName="[Acct_Sub_Account_Consolidated].[Hold_at_Historic_Rate]" caption="Hold_at_Historic_Rate" attribute="1" defaultMemberUniqueName="[Acct_Sub_Account_Consolidated].[Hold_at_Historic_Rate].[All]" allUniqueName="[Acct_Sub_Account_Consolidated].[Hold_at_Historic_Rate].[All]" dimensionUniqueName="[Acct_Sub_Account_Consolidated]" displayFolder="" count="0" memberValueDatatype="130" unbalanced="0"/>
    <cacheHierarchy uniqueName="[Acct_Sub_Account_Consolidated].[Include_in_Revaluation]" caption="Include_in_Revaluation" attribute="1" defaultMemberUniqueName="[Acct_Sub_Account_Consolidated].[Include_in_Revaluation].[All]" allUniqueName="[Acct_Sub_Account_Consolidated].[Include_in_Revaluation].[All]" dimensionUniqueName="[Acct_Sub_Account_Consolidated]" displayFolder="" count="0" memberValueDatatype="130" unbalanced="0"/>
    <cacheHierarchy uniqueName="[Acct_Sub_Account_Consolidated].[Include_in_Translation]" caption="Include_in_Translation" attribute="1" defaultMemberUniqueName="[Acct_Sub_Account_Consolidated].[Include_in_Translation].[All]" allUniqueName="[Acct_Sub_Account_Consolidated].[Include_in_Translation].[All]" dimensionUniqueName="[Acct_Sub_Account_Consolidated]" displayFolder="" count="0" memberValueDatatype="130" unbalanced="0"/>
    <cacheHierarchy uniqueName="[Acct_Sub_Account_Consolidated].[Level01]" caption="Level01" attribute="1" defaultMemberUniqueName="[Acct_Sub_Account_Consolidated].[Level01].[All]" allUniqueName="[Acct_Sub_Account_Consolidated].[Level01].[All]" dimensionUniqueName="[Acct_Sub_Account_Consolidated]" displayFolder="" count="0" memberValueDatatype="130" unbalanced="0"/>
    <cacheHierarchy uniqueName="[Acct_Sub_Account_Consolidated].[Level01_Code]" caption="Level01_Code" attribute="1" defaultMemberUniqueName="[Acct_Sub_Account_Consolidated].[Level01_Code].[All]" allUniqueName="[Acct_Sub_Account_Consolidated].[Level01_Code].[All]" dimensionUniqueName="[Acct_Sub_Account_Consolidated]" displayFolder="" count="0" memberValueDatatype="130" unbalanced="0"/>
    <cacheHierarchy uniqueName="[Acct_Sub_Account_Consolidated].[Level01_Desc]" caption="Level01_Desc" attribute="1" defaultMemberUniqueName="[Acct_Sub_Account_Consolidated].[Level01_Desc].[All]" allUniqueName="[Acct_Sub_Account_Consolidated].[Level01_Desc].[All]" dimensionUniqueName="[Acct_Sub_Account_Consolidated]" displayFolder="" count="0" memberValueDatatype="130" unbalanced="0"/>
    <cacheHierarchy uniqueName="[Acct_Sub_Account_Consolidated].[Level02]" caption="Level02" attribute="1" defaultMemberUniqueName="[Acct_Sub_Account_Consolidated].[Level02].[All]" allUniqueName="[Acct_Sub_Account_Consolidated].[Level02].[All]" dimensionUniqueName="[Acct_Sub_Account_Consolidated]" displayFolder="" count="0" memberValueDatatype="130" unbalanced="0"/>
    <cacheHierarchy uniqueName="[Acct_Sub_Account_Consolidated].[Level02_Code]" caption="Level02_Code" attribute="1" defaultMemberUniqueName="[Acct_Sub_Account_Consolidated].[Level02_Code].[All]" allUniqueName="[Acct_Sub_Account_Consolidated].[Level02_Code].[All]" dimensionUniqueName="[Acct_Sub_Account_Consolidated]" displayFolder="" count="0" memberValueDatatype="130" unbalanced="0"/>
    <cacheHierarchy uniqueName="[Acct_Sub_Account_Consolidated].[Level02_Desc]" caption="Level02_Desc" attribute="1" defaultMemberUniqueName="[Acct_Sub_Account_Consolidated].[Level02_Desc].[All]" allUniqueName="[Acct_Sub_Account_Consolidated].[Level02_Desc].[All]" dimensionUniqueName="[Acct_Sub_Account_Consolidated]" displayFolder="" count="0" memberValueDatatype="130" unbalanced="0"/>
    <cacheHierarchy uniqueName="[Acct_Sub_Account_Consolidated].[Level03]" caption="Level03" attribute="1" defaultMemberUniqueName="[Acct_Sub_Account_Consolidated].[Level03].[All]" allUniqueName="[Acct_Sub_Account_Consolidated].[Level03].[All]" dimensionUniqueName="[Acct_Sub_Account_Consolidated]" displayFolder="" count="0" memberValueDatatype="130" unbalanced="0"/>
    <cacheHierarchy uniqueName="[Acct_Sub_Account_Consolidated].[Level03_Code]" caption="Level03_Code" attribute="1" defaultMemberUniqueName="[Acct_Sub_Account_Consolidated].[Level03_Code].[All]" allUniqueName="[Acct_Sub_Account_Consolidated].[Level03_Code].[All]" dimensionUniqueName="[Acct_Sub_Account_Consolidated]" displayFolder="" count="0" memberValueDatatype="130" unbalanced="0"/>
    <cacheHierarchy uniqueName="[Acct_Sub_Account_Consolidated].[Level03_Desc]" caption="Level03_Desc" attribute="1" defaultMemberUniqueName="[Acct_Sub_Account_Consolidated].[Level03_Desc].[All]" allUniqueName="[Acct_Sub_Account_Consolidated].[Level03_Desc].[All]" dimensionUniqueName="[Acct_Sub_Account_Consolidated]" displayFolder="" count="0" memberValueDatatype="130" unbalanced="0"/>
    <cacheHierarchy uniqueName="[Acct_Sub_Account_Consolidated].[Level04]" caption="Level04" attribute="1" defaultMemberUniqueName="[Acct_Sub_Account_Consolidated].[Level04].[All]" allUniqueName="[Acct_Sub_Account_Consolidated].[Level04].[All]" dimensionUniqueName="[Acct_Sub_Account_Consolidated]" displayFolder="" count="0" memberValueDatatype="130" unbalanced="0"/>
    <cacheHierarchy uniqueName="[Acct_Sub_Account_Consolidated].[Level04_Code]" caption="Level04_Code" attribute="1" defaultMemberUniqueName="[Acct_Sub_Account_Consolidated].[Level04_Code].[All]" allUniqueName="[Acct_Sub_Account_Consolidated].[Level04_Code].[All]" dimensionUniqueName="[Acct_Sub_Account_Consolidated]" displayFolder="" count="0" memberValueDatatype="130" unbalanced="0"/>
    <cacheHierarchy uniqueName="[Acct_Sub_Account_Consolidated].[Level04_Desc]" caption="Level04_Desc" attribute="1" defaultMemberUniqueName="[Acct_Sub_Account_Consolidated].[Level04_Desc].[All]" allUniqueName="[Acct_Sub_Account_Consolidated].[Level04_Desc].[All]" dimensionUniqueName="[Acct_Sub_Account_Consolidated]" displayFolder="" count="0" memberValueDatatype="130" unbalanced="0"/>
    <cacheHierarchy uniqueName="[Acct_Sub_Account_Consolidated].[Level05]" caption="Level05" attribute="1" defaultMemberUniqueName="[Acct_Sub_Account_Consolidated].[Level05].[All]" allUniqueName="[Acct_Sub_Account_Consolidated].[Level05].[All]" dimensionUniqueName="[Acct_Sub_Account_Consolidated]" displayFolder="" count="0" memberValueDatatype="130" unbalanced="0"/>
    <cacheHierarchy uniqueName="[Acct_Sub_Account_Consolidated].[Level05_Code]" caption="Level05_Code" attribute="1" defaultMemberUniqueName="[Acct_Sub_Account_Consolidated].[Level05_Code].[All]" allUniqueName="[Acct_Sub_Account_Consolidated].[Level05_Code].[All]" dimensionUniqueName="[Acct_Sub_Account_Consolidated]" displayFolder="" count="0" memberValueDatatype="130" unbalanced="0"/>
    <cacheHierarchy uniqueName="[Acct_Sub_Account_Consolidated].[Level05_Desc]" caption="Level05_Desc" attribute="1" defaultMemberUniqueName="[Acct_Sub_Account_Consolidated].[Level05_Desc].[All]" allUniqueName="[Acct_Sub_Account_Consolidated].[Level05_Desc].[All]" dimensionUniqueName="[Acct_Sub_Account_Consolidated]" displayFolder="" count="0" memberValueDatatype="130" unbalanced="0"/>
    <cacheHierarchy uniqueName="[Acct_Sub_Account_Consolidated].[Level06]" caption="Level06" attribute="1" defaultMemberUniqueName="[Acct_Sub_Account_Consolidated].[Level06].[All]" allUniqueName="[Acct_Sub_Account_Consolidated].[Level06].[All]" dimensionUniqueName="[Acct_Sub_Account_Consolidated]" displayFolder="" count="0" memberValueDatatype="130" unbalanced="0"/>
    <cacheHierarchy uniqueName="[Acct_Sub_Account_Consolidated].[Level06_Code]" caption="Level06_Code" attribute="1" defaultMemberUniqueName="[Acct_Sub_Account_Consolidated].[Level06_Code].[All]" allUniqueName="[Acct_Sub_Account_Consolidated].[Level06_Code].[All]" dimensionUniqueName="[Acct_Sub_Account_Consolidated]" displayFolder="" count="0" memberValueDatatype="130" unbalanced="0"/>
    <cacheHierarchy uniqueName="[Acct_Sub_Account_Consolidated].[Level06_Desc]" caption="Level06_Desc" attribute="1" defaultMemberUniqueName="[Acct_Sub_Account_Consolidated].[Level06_Desc].[All]" allUniqueName="[Acct_Sub_Account_Consolidated].[Level06_Desc].[All]" dimensionUniqueName="[Acct_Sub_Account_Consolidated]" displayFolder="" count="0" memberValueDatatype="130" unbalanced="0"/>
    <cacheHierarchy uniqueName="[Acct_Sub_Account_Consolidated].[Level07]" caption="Level07" attribute="1" defaultMemberUniqueName="[Acct_Sub_Account_Consolidated].[Level07].[All]" allUniqueName="[Acct_Sub_Account_Consolidated].[Level07].[All]" dimensionUniqueName="[Acct_Sub_Account_Consolidated]" displayFolder="" count="0" memberValueDatatype="130" unbalanced="0"/>
    <cacheHierarchy uniqueName="[Acct_Sub_Account_Consolidated].[Level07_Code]" caption="Level07_Code" attribute="1" defaultMemberUniqueName="[Acct_Sub_Account_Consolidated].[Level07_Code].[All]" allUniqueName="[Acct_Sub_Account_Consolidated].[Level07_Code].[All]" dimensionUniqueName="[Acct_Sub_Account_Consolidated]" displayFolder="" count="0" memberValueDatatype="130" unbalanced="0"/>
    <cacheHierarchy uniqueName="[Acct_Sub_Account_Consolidated].[Level07_Desc]" caption="Level07_Desc" attribute="1" defaultMemberUniqueName="[Acct_Sub_Account_Consolidated].[Level07_Desc].[All]" allUniqueName="[Acct_Sub_Account_Consolidated].[Level07_Desc].[All]" dimensionUniqueName="[Acct_Sub_Account_Consolidated]" displayFolder="" count="0" memberValueDatatype="130" unbalanced="0"/>
    <cacheHierarchy uniqueName="[Acct_Sub_Account_Consolidated].[Level08]" caption="Level08" attribute="1" defaultMemberUniqueName="[Acct_Sub_Account_Consolidated].[Level08].[All]" allUniqueName="[Acct_Sub_Account_Consolidated].[Level08].[All]" dimensionUniqueName="[Acct_Sub_Account_Consolidated]" displayFolder="" count="0" memberValueDatatype="130" unbalanced="0"/>
    <cacheHierarchy uniqueName="[Acct_Sub_Account_Consolidated].[Level08_Code]" caption="Level08_Code" attribute="1" defaultMemberUniqueName="[Acct_Sub_Account_Consolidated].[Level08_Code].[All]" allUniqueName="[Acct_Sub_Account_Consolidated].[Level08_Code].[All]" dimensionUniqueName="[Acct_Sub_Account_Consolidated]" displayFolder="" count="0" memberValueDatatype="130" unbalanced="0"/>
    <cacheHierarchy uniqueName="[Acct_Sub_Account_Consolidated].[Level08_Desc]" caption="Level08_Desc" attribute="1" defaultMemberUniqueName="[Acct_Sub_Account_Consolidated].[Level08_Desc].[All]" allUniqueName="[Acct_Sub_Account_Consolidated].[Level08_Desc].[All]" dimensionUniqueName="[Acct_Sub_Account_Consolidated]" displayFolder="" count="0" memberValueDatatype="130" unbalanced="0"/>
    <cacheHierarchy uniqueName="[Acct_Sub_Account_Consolidated].[Level09]" caption="Level09" attribute="1" defaultMemberUniqueName="[Acct_Sub_Account_Consolidated].[Level09].[All]" allUniqueName="[Acct_Sub_Account_Consolidated].[Level09].[All]" dimensionUniqueName="[Acct_Sub_Account_Consolidated]" displayFolder="" count="0" memberValueDatatype="130" unbalanced="0"/>
    <cacheHierarchy uniqueName="[Acct_Sub_Account_Consolidated].[Level09_Code]" caption="Level09_Code" attribute="1" defaultMemberUniqueName="[Acct_Sub_Account_Consolidated].[Level09_Code].[All]" allUniqueName="[Acct_Sub_Account_Consolidated].[Level09_Code].[All]" dimensionUniqueName="[Acct_Sub_Account_Consolidated]" displayFolder="" count="0" memberValueDatatype="130" unbalanced="0"/>
    <cacheHierarchy uniqueName="[Acct_Sub_Account_Consolidated].[Level09_Desc]" caption="Level09_Desc" attribute="1" defaultMemberUniqueName="[Acct_Sub_Account_Consolidated].[Level09_Desc].[All]" allUniqueName="[Acct_Sub_Account_Consolidated].[Level09_Desc].[All]" dimensionUniqueName="[Acct_Sub_Account_Consolidated]" displayFolder="" count="0" memberValueDatatype="130" unbalanced="0"/>
    <cacheHierarchy uniqueName="[Acct_Sub_Account_Consolidated].[Level10]" caption="Level10" attribute="1" defaultMemberUniqueName="[Acct_Sub_Account_Consolidated].[Level10].[All]" allUniqueName="[Acct_Sub_Account_Consolidated].[Level10].[All]" dimensionUniqueName="[Acct_Sub_Account_Consolidated]" displayFolder="" count="0" memberValueDatatype="130" unbalanced="0"/>
    <cacheHierarchy uniqueName="[Acct_Sub_Account_Consolidated].[Level10_Code]" caption="Level10_Code" attribute="1" defaultMemberUniqueName="[Acct_Sub_Account_Consolidated].[Level10_Code].[All]" allUniqueName="[Acct_Sub_Account_Consolidated].[Level10_Code].[All]" dimensionUniqueName="[Acct_Sub_Account_Consolidated]" displayFolder="" count="0" memberValueDatatype="130" unbalanced="0"/>
    <cacheHierarchy uniqueName="[Acct_Sub_Account_Consolidated].[Level10_Desc]" caption="Level10_Desc" attribute="1" defaultMemberUniqueName="[Acct_Sub_Account_Consolidated].[Level10_Desc].[All]" allUniqueName="[Acct_Sub_Account_Consolidated].[Level10_Desc].[All]" dimensionUniqueName="[Acct_Sub_Account_Consolidated]" displayFolder="" count="0" memberValueDatatype="130" unbalanced="0"/>
    <cacheHierarchy uniqueName="[Acct_Sub_Account_Consolidated].[Level11]" caption="Level11" attribute="1" defaultMemberUniqueName="[Acct_Sub_Account_Consolidated].[Level11].[All]" allUniqueName="[Acct_Sub_Account_Consolidated].[Level11].[All]" dimensionUniqueName="[Acct_Sub_Account_Consolidated]" displayFolder="" count="0" memberValueDatatype="130" unbalanced="0"/>
    <cacheHierarchy uniqueName="[Acct_Sub_Account_Consolidated].[Level11_Code]" caption="Level11_Code" attribute="1" defaultMemberUniqueName="[Acct_Sub_Account_Consolidated].[Level11_Code].[All]" allUniqueName="[Acct_Sub_Account_Consolidated].[Level11_Code].[All]" dimensionUniqueName="[Acct_Sub_Account_Consolidated]" displayFolder="" count="0" memberValueDatatype="130" unbalanced="0"/>
    <cacheHierarchy uniqueName="[Acct_Sub_Account_Consolidated].[Level11_Desc]" caption="Level11_Desc" attribute="1" defaultMemberUniqueName="[Acct_Sub_Account_Consolidated].[Level11_Desc].[All]" allUniqueName="[Acct_Sub_Account_Consolidated].[Level11_Desc].[All]" dimensionUniqueName="[Acct_Sub_Account_Consolidated]" displayFolder="" count="0" memberValueDatatype="130" unbalanced="0"/>
    <cacheHierarchy uniqueName="[Acct_Sub_Account_Consolidated].[Level12]" caption="Level12" attribute="1" defaultMemberUniqueName="[Acct_Sub_Account_Consolidated].[Level12].[All]" allUniqueName="[Acct_Sub_Account_Consolidated].[Level12].[All]" dimensionUniqueName="[Acct_Sub_Account_Consolidated]" displayFolder="" count="0" memberValueDatatype="130" unbalanced="0"/>
    <cacheHierarchy uniqueName="[Acct_Sub_Account_Consolidated].[Level12_Code]" caption="Level12_Code" attribute="1" defaultMemberUniqueName="[Acct_Sub_Account_Consolidated].[Level12_Code].[All]" allUniqueName="[Acct_Sub_Account_Consolidated].[Level12_Code].[All]" dimensionUniqueName="[Acct_Sub_Account_Consolidated]" displayFolder="" count="0" memberValueDatatype="130" unbalanced="0"/>
    <cacheHierarchy uniqueName="[Acct_Sub_Account_Consolidated].[Level12_Desc]" caption="Level12_Desc" attribute="1" defaultMemberUniqueName="[Acct_Sub_Account_Consolidated].[Level12_Desc].[All]" allUniqueName="[Acct_Sub_Account_Consolidated].[Level12_Desc].[All]" dimensionUniqueName="[Acct_Sub_Account_Consolidated]" displayFolder="" count="0" memberValueDatatype="130" unbalanced="0"/>
    <cacheHierarchy uniqueName="[Acct_Sub_Account_Consolidated].[Level13]" caption="Level13" attribute="1" defaultMemberUniqueName="[Acct_Sub_Account_Consolidated].[Level13].[All]" allUniqueName="[Acct_Sub_Account_Consolidated].[Level13].[All]" dimensionUniqueName="[Acct_Sub_Account_Consolidated]" displayFolder="" count="0" memberValueDatatype="130" unbalanced="0"/>
    <cacheHierarchy uniqueName="[Acct_Sub_Account_Consolidated].[Level13_Code]" caption="Level13_Code" attribute="1" defaultMemberUniqueName="[Acct_Sub_Account_Consolidated].[Level13_Code].[All]" allUniqueName="[Acct_Sub_Account_Consolidated].[Level13_Code].[All]" dimensionUniqueName="[Acct_Sub_Account_Consolidated]" displayFolder="" count="0" memberValueDatatype="130" unbalanced="0"/>
    <cacheHierarchy uniqueName="[Acct_Sub_Account_Consolidated].[Level13_Desc]" caption="Level13_Desc" attribute="1" defaultMemberUniqueName="[Acct_Sub_Account_Consolidated].[Level13_Desc].[All]" allUniqueName="[Acct_Sub_Account_Consolidated].[Level13_Desc].[All]" dimensionUniqueName="[Acct_Sub_Account_Consolidated]" displayFolder="" count="0" memberValueDatatype="130" unbalanced="0"/>
    <cacheHierarchy uniqueName="[Acct_Sub_Account_Consolidated].[Level14]" caption="Level14" attribute="1" defaultMemberUniqueName="[Acct_Sub_Account_Consolidated].[Level14].[All]" allUniqueName="[Acct_Sub_Account_Consolidated].[Level14].[All]" dimensionUniqueName="[Acct_Sub_Account_Consolidated]" displayFolder="" count="0" memberValueDatatype="130" unbalanced="0"/>
    <cacheHierarchy uniqueName="[Acct_Sub_Account_Consolidated].[Level14_Code]" caption="Level14_Code" attribute="1" defaultMemberUniqueName="[Acct_Sub_Account_Consolidated].[Level14_Code].[All]" allUniqueName="[Acct_Sub_Account_Consolidated].[Level14_Code].[All]" dimensionUniqueName="[Acct_Sub_Account_Consolidated]" displayFolder="" count="0" memberValueDatatype="130" unbalanced="0"/>
    <cacheHierarchy uniqueName="[Acct_Sub_Account_Consolidated].[Level14_Desc]" caption="Level14_Desc" attribute="1" defaultMemberUniqueName="[Acct_Sub_Account_Consolidated].[Level14_Desc].[All]" allUniqueName="[Acct_Sub_Account_Consolidated].[Level14_Desc].[All]" dimensionUniqueName="[Acct_Sub_Account_Consolidated]" displayFolder="" count="0" memberValueDatatype="130" unbalanced="0"/>
    <cacheHierarchy uniqueName="[Acct_Sub_Account_Consolidated].[Level15]" caption="Level15" attribute="1" defaultMemberUniqueName="[Acct_Sub_Account_Consolidated].[Level15].[All]" allUniqueName="[Acct_Sub_Account_Consolidated].[Level15].[All]" dimensionUniqueName="[Acct_Sub_Account_Consolidated]" displayFolder="" count="0" memberValueDatatype="130" unbalanced="0"/>
    <cacheHierarchy uniqueName="[Acct_Sub_Account_Consolidated].[Level15_Code]" caption="Level15_Code" attribute="1" defaultMemberUniqueName="[Acct_Sub_Account_Consolidated].[Level15_Code].[All]" allUniqueName="[Acct_Sub_Account_Consolidated].[Level15_Code].[All]" dimensionUniqueName="[Acct_Sub_Account_Consolidated]" displayFolder="" count="0" memberValueDatatype="130" unbalanced="0"/>
    <cacheHierarchy uniqueName="[Acct_Sub_Account_Consolidated].[Level15_Desc]" caption="Level15_Desc" attribute="1" defaultMemberUniqueName="[Acct_Sub_Account_Consolidated].[Level15_Desc].[All]" allUniqueName="[Acct_Sub_Account_Consolidated].[Level15_Desc].[All]" dimensionUniqueName="[Acct_Sub_Account_Consolidated]" displayFolder="" count="0" memberValueDatatype="130" unbalanced="0"/>
    <cacheHierarchy uniqueName="[Acct_Sub_Account_Consolidated].[Level16]" caption="Level16" attribute="1" defaultMemberUniqueName="[Acct_Sub_Account_Consolidated].[Level16].[All]" allUniqueName="[Acct_Sub_Account_Consolidated].[Level16].[All]" dimensionUniqueName="[Acct_Sub_Account_Consolidated]" displayFolder="" count="0" memberValueDatatype="130" unbalanced="0"/>
    <cacheHierarchy uniqueName="[Acct_Sub_Account_Consolidated].[Level16_Code]" caption="Level16_Code" attribute="1" defaultMemberUniqueName="[Acct_Sub_Account_Consolidated].[Level16_Code].[All]" allUniqueName="[Acct_Sub_Account_Consolidated].[Level16_Code].[All]" dimensionUniqueName="[Acct_Sub_Account_Consolidated]" displayFolder="" count="0" memberValueDatatype="130" unbalanced="0"/>
    <cacheHierarchy uniqueName="[Acct_Sub_Account_Consolidated].[Level16_Desc]" caption="Level16_Desc" attribute="1" defaultMemberUniqueName="[Acct_Sub_Account_Consolidated].[Level16_Desc].[All]" allUniqueName="[Acct_Sub_Account_Consolidated].[Level16_Desc].[All]" dimensionUniqueName="[Acct_Sub_Account_Consolidated]" displayFolder="" count="0" memberValueDatatype="130" unbalanced="0"/>
    <cacheHierarchy uniqueName="[Acct_Sub_Account_Consolidated].[Level17]" caption="Level17" attribute="1" defaultMemberUniqueName="[Acct_Sub_Account_Consolidated].[Level17].[All]" allUniqueName="[Acct_Sub_Account_Consolidated].[Level17].[All]" dimensionUniqueName="[Acct_Sub_Account_Consolidated]" displayFolder="" count="0" memberValueDatatype="130" unbalanced="0"/>
    <cacheHierarchy uniqueName="[Acct_Sub_Account_Consolidated].[Level17_Code]" caption="Level17_Code" attribute="1" defaultMemberUniqueName="[Acct_Sub_Account_Consolidated].[Level17_Code].[All]" allUniqueName="[Acct_Sub_Account_Consolidated].[Level17_Code].[All]" dimensionUniqueName="[Acct_Sub_Account_Consolidated]" displayFolder="" count="0" memberValueDatatype="130" unbalanced="0"/>
    <cacheHierarchy uniqueName="[Acct_Sub_Account_Consolidated].[Level17_Desc]" caption="Level17_Desc" attribute="1" defaultMemberUniqueName="[Acct_Sub_Account_Consolidated].[Level17_Desc].[All]" allUniqueName="[Acct_Sub_Account_Consolidated].[Level17_Desc].[All]" dimensionUniqueName="[Acct_Sub_Account_Consolidated]" displayFolder="" count="0" memberValueDatatype="130" unbalanced="0"/>
    <cacheHierarchy uniqueName="[Acct_Sub_Account_Consolidated].[Level18]" caption="Level18" attribute="1" defaultMemberUniqueName="[Acct_Sub_Account_Consolidated].[Level18].[All]" allUniqueName="[Acct_Sub_Account_Consolidated].[Level18].[All]" dimensionUniqueName="[Acct_Sub_Account_Consolidated]" displayFolder="" count="0" memberValueDatatype="130" unbalanced="0"/>
    <cacheHierarchy uniqueName="[Acct_Sub_Account_Consolidated].[Level18_Code]" caption="Level18_Code" attribute="1" defaultMemberUniqueName="[Acct_Sub_Account_Consolidated].[Level18_Code].[All]" allUniqueName="[Acct_Sub_Account_Consolidated].[Level18_Code].[All]" dimensionUniqueName="[Acct_Sub_Account_Consolidated]" displayFolder="" count="0" memberValueDatatype="130" unbalanced="0"/>
    <cacheHierarchy uniqueName="[Acct_Sub_Account_Consolidated].[Level18_Desc]" caption="Level18_Desc" attribute="1" defaultMemberUniqueName="[Acct_Sub_Account_Consolidated].[Level18_Desc].[All]" allUniqueName="[Acct_Sub_Account_Consolidated].[Level18_Desc].[All]" dimensionUniqueName="[Acct_Sub_Account_Consolidated]" displayFolder="" count="0" memberValueDatatype="130" unbalanced="0"/>
    <cacheHierarchy uniqueName="[Acct_Sub_Account_Consolidated].[Level19]" caption="Level19" attribute="1" defaultMemberUniqueName="[Acct_Sub_Account_Consolidated].[Level19].[All]" allUniqueName="[Acct_Sub_Account_Consolidated].[Level19].[All]" dimensionUniqueName="[Acct_Sub_Account_Consolidated]" displayFolder="" count="0" memberValueDatatype="130" unbalanced="0"/>
    <cacheHierarchy uniqueName="[Acct_Sub_Account_Consolidated].[Level19_Code]" caption="Level19_Code" attribute="1" defaultMemberUniqueName="[Acct_Sub_Account_Consolidated].[Level19_Code].[All]" allUniqueName="[Acct_Sub_Account_Consolidated].[Level19_Code].[All]" dimensionUniqueName="[Acct_Sub_Account_Consolidated]" displayFolder="" count="0" memberValueDatatype="130" unbalanced="0"/>
    <cacheHierarchy uniqueName="[Acct_Sub_Account_Consolidated].[Level19_Desc]" caption="Level19_Desc" attribute="1" defaultMemberUniqueName="[Acct_Sub_Account_Consolidated].[Level19_Desc].[All]" allUniqueName="[Acct_Sub_Account_Consolidated].[Level19_Desc].[All]" dimensionUniqueName="[Acct_Sub_Account_Consolidated]" displayFolder="" count="0" memberValueDatatype="130" unbalanced="0"/>
    <cacheHierarchy uniqueName="[Acct_Sub_Account_Consolidated].[Level20]" caption="Level20" attribute="1" defaultMemberUniqueName="[Acct_Sub_Account_Consolidated].[Level20].[All]" allUniqueName="[Acct_Sub_Account_Consolidated].[Level20].[All]" dimensionUniqueName="[Acct_Sub_Account_Consolidated]" displayFolder="" count="0" memberValueDatatype="130" unbalanced="0"/>
    <cacheHierarchy uniqueName="[Acct_Sub_Account_Consolidated].[Level20_Code]" caption="Level20_Code" attribute="1" defaultMemberUniqueName="[Acct_Sub_Account_Consolidated].[Level20_Code].[All]" allUniqueName="[Acct_Sub_Account_Consolidated].[Level20_Code].[All]" dimensionUniqueName="[Acct_Sub_Account_Consolidated]" displayFolder="" count="0" memberValueDatatype="130" unbalanced="0"/>
    <cacheHierarchy uniqueName="[Acct_Sub_Account_Consolidated].[Level20_Desc]" caption="Level20_Desc" attribute="1" defaultMemberUniqueName="[Acct_Sub_Account_Consolidated].[Level20_Desc].[All]" allUniqueName="[Acct_Sub_Account_Consolidated].[Level20_Desc].[All]" dimensionUniqueName="[Acct_Sub_Account_Consolidated]" displayFolder="" count="0" memberValueDatatype="130" unbalanced="0"/>
    <cacheHierarchy uniqueName="[Acct_Sub_Account_Consolidated].[Pam_Account_Flag]" caption="Pam_Account_Flag" attribute="1" defaultMemberUniqueName="[Acct_Sub_Account_Consolidated].[Pam_Account_Flag].[All]" allUniqueName="[Acct_Sub_Account_Consolidated].[Pam_Account_Flag].[All]" dimensionUniqueName="[Acct_Sub_Account_Consolidated]" displayFolder="" count="0" memberValueDatatype="130" unbalanced="0"/>
    <cacheHierarchy uniqueName="[Acct_Sub_Account_Consolidated].[SL_Account_Code]" caption="SL_Account_Code" attribute="1" defaultMemberUniqueName="[Acct_Sub_Account_Consolidated].[SL_Account_Code].[All]" allUniqueName="[Acct_Sub_Account_Consolidated].[SL_Account_Code].[All]" dimensionUniqueName="[Acct_Sub_Account_Consolidated]" displayFolder="" count="0" memberValueDatatype="130" unbalanced="0"/>
    <cacheHierarchy uniqueName="[Acct_Sub_Account_Consolidated].[SL_Account_Code_Desc]" caption="SL_Account_Code_Desc" attribute="1" defaultMemberUniqueName="[Acct_Sub_Account_Consolidated].[SL_Account_Code_Desc].[All]" allUniqueName="[Acct_Sub_Account_Consolidated].[SL_Account_Code_Desc].[All]" dimensionUniqueName="[Acct_Sub_Account_Consolidated]" displayFolder="" count="0" memberValueDatatype="130" unbalanced="0"/>
    <cacheHierarchy uniqueName="[Acct_Sub_Account_Consolidated].[SL_Account_Desc]" caption="SL_Account_Desc" attribute="1" defaultMemberUniqueName="[Acct_Sub_Account_Consolidated].[SL_Account_Desc].[All]" allUniqueName="[Acct_Sub_Account_Consolidated].[SL_Account_Desc].[All]" dimensionUniqueName="[Acct_Sub_Account_Consolidated]" displayFolder="" count="0" memberValueDatatype="130" unbalanced="0"/>
    <cacheHierarchy uniqueName="[Acct_Sub_Account_Consolidated].[SL_Account_Hier_Name]" caption="SL_Account_Hier_Name" attribute="1" defaultMemberUniqueName="[Acct_Sub_Account_Consolidated].[SL_Account_Hier_Name].[All]" allUniqueName="[Acct_Sub_Account_Consolidated].[SL_Account_Hier_Name].[All]" dimensionUniqueName="[Acct_Sub_Account_Consolidated]" displayFolder="" count="0" memberValueDatatype="130" unbalanced="0"/>
    <cacheHierarchy uniqueName="[Acct_Sub_Account_Consolidated].[Tax_Adj_Code]" caption="Tax_Adj_Code" attribute="1" defaultMemberUniqueName="[Acct_Sub_Account_Consolidated].[Tax_Adj_Code].[All]" allUniqueName="[Acct_Sub_Account_Consolidated].[Tax_Adj_Code].[All]" dimensionUniqueName="[Acct_Sub_Account_Consolidated]" displayFolder="" count="0" memberValueDatatype="130" unbalanced="0"/>
    <cacheHierarchy uniqueName="[Acct_Sub_Account_GAAP].[Account_Type]" caption="Account_Type" attribute="1" defaultMemberUniqueName="[Acct_Sub_Account_GAAP].[Account_Type].[All]" allUniqueName="[Acct_Sub_Account_GAAP].[Account_Type].[All]" dimensionUniqueName="[Acct_Sub_Account_GAAP]" displayFolder="" count="0" memberValueDatatype="130" unbalanced="0"/>
    <cacheHierarchy uniqueName="[Acct_Sub_Account_GAAP].[GAAP Sub Account Code]" caption="GAAP Sub Account Code" defaultMemberUniqueName="[Acct_Sub_Account_GAAP].[GAAP Sub Account Code].[All]" allUniqueName="[Acct_Sub_Account_GAAP].[GAAP Sub Account Code].[All]" dimensionUniqueName="[Acct_Sub_Account_GAAP]" displayFolder="" count="0" unbalanced="0"/>
    <cacheHierarchy uniqueName="[Acct_Sub_Account_GAAP].[GAAP Sub Account Code Desc]" caption="GAAP Sub Account Code Desc" defaultMemberUniqueName="[Acct_Sub_Account_GAAP].[GAAP Sub Account Code Desc].[All]" allUniqueName="[Acct_Sub_Account_GAAP].[GAAP Sub Account Code Desc].[All]" dimensionUniqueName="[Acct_Sub_Account_GAAP]" displayFolder="" count="0" unbalanced="0"/>
    <cacheHierarchy uniqueName="[Acct_Sub_Account_GAAP].[GAAP Sub Account Desc]" caption="GAAP Sub Account Desc" defaultMemberUniqueName="[Acct_Sub_Account_GAAP].[GAAP Sub Account Desc].[All]" allUniqueName="[Acct_Sub_Account_GAAP].[GAAP Sub Account Desc].[All]" dimensionUniqueName="[Acct_Sub_Account_GAAP]" displayFolder="" count="0" unbalanced="0"/>
    <cacheHierarchy uniqueName="[Acct_Sub_Account_GAAP].[GL_Account_Code]" caption="GL_Account_Code" attribute="1" defaultMemberUniqueName="[Acct_Sub_Account_GAAP].[GL_Account_Code].[All]" allUniqueName="[Acct_Sub_Account_GAAP].[GL_Account_Code].[All]" dimensionUniqueName="[Acct_Sub_Account_GAAP]" displayFolder="" count="0" memberValueDatatype="130" unbalanced="0"/>
    <cacheHierarchy uniqueName="[Acct_Sub_Account_GAAP].[Hier_GAAP Sub Account Code]" caption="Hier_GAAP Sub Account Code" defaultMemberUniqueName="[Acct_Sub_Account_GAAP].[Hier_GAAP Sub Account Code].[All]" allUniqueName="[Acct_Sub_Account_GAAP].[Hier_GAAP Sub Account Code].[All]" dimensionUniqueName="[Acct_Sub_Account_GAAP]" displayFolder="" count="0" unbalanced="0"/>
    <cacheHierarchy uniqueName="[Acct_Sub_Account_GAAP].[Hier_GAAP Sub Account Code Desc]" caption="Hier_GAAP Sub Account Code Desc" defaultMemberUniqueName="[Acct_Sub_Account_GAAP].[Hier_GAAP Sub Account Code Desc].[All]" allUniqueName="[Acct_Sub_Account_GAAP].[Hier_GAAP Sub Account Code Desc].[All]" dimensionUniqueName="[Acct_Sub_Account_GAAP]" displayFolder="" count="0" unbalanced="0"/>
    <cacheHierarchy uniqueName="[Acct_Sub_Account_GAAP].[Hier_GAAP Sub Account Desc]" caption="Hier_GAAP Sub Account Desc" defaultMemberUniqueName="[Acct_Sub_Account_GAAP].[Hier_GAAP Sub Account Desc].[All]" allUniqueName="[Acct_Sub_Account_GAAP].[Hier_GAAP Sub Account Desc].[All]" dimensionUniqueName="[Acct_Sub_Account_GAAP]" displayFolder="" count="0" unbalanced="0"/>
    <cacheHierarchy uniqueName="[Acct_Sub_Account_GAAP].[Hold_at_Historic_Rate]" caption="Hold_at_Historic_Rate" attribute="1" defaultMemberUniqueName="[Acct_Sub_Account_GAAP].[Hold_at_Historic_Rate].[All]" allUniqueName="[Acct_Sub_Account_GAAP].[Hold_at_Historic_Rate].[All]" dimensionUniqueName="[Acct_Sub_Account_GAAP]" displayFolder="" count="0" memberValueDatatype="130" unbalanced="0"/>
    <cacheHierarchy uniqueName="[Acct_Sub_Account_GAAP].[Include_in_Revaluation]" caption="Include_in_Revaluation" attribute="1" defaultMemberUniqueName="[Acct_Sub_Account_GAAP].[Include_in_Revaluation].[All]" allUniqueName="[Acct_Sub_Account_GAAP].[Include_in_Revaluation].[All]" dimensionUniqueName="[Acct_Sub_Account_GAAP]" displayFolder="" count="0" memberValueDatatype="130" unbalanced="0"/>
    <cacheHierarchy uniqueName="[Acct_Sub_Account_GAAP].[Include_in_Translation]" caption="Include_in_Translation" attribute="1" defaultMemberUniqueName="[Acct_Sub_Account_GAAP].[Include_in_Translation].[All]" allUniqueName="[Acct_Sub_Account_GAAP].[Include_in_Translation].[All]" dimensionUniqueName="[Acct_Sub_Account_GAAP]" displayFolder="" count="0" memberValueDatatype="130" unbalanced="0"/>
    <cacheHierarchy uniqueName="[Acct_Sub_Account_GAAP].[Level01]" caption="Level01" attribute="1" defaultMemberUniqueName="[Acct_Sub_Account_GAAP].[Level01].[All]" allUniqueName="[Acct_Sub_Account_GAAP].[Level01].[All]" dimensionUniqueName="[Acct_Sub_Account_GAAP]" displayFolder="" count="0" memberValueDatatype="130" unbalanced="0"/>
    <cacheHierarchy uniqueName="[Acct_Sub_Account_GAAP].[Level01_Code]" caption="Level01_Code" attribute="1" defaultMemberUniqueName="[Acct_Sub_Account_GAAP].[Level01_Code].[All]" allUniqueName="[Acct_Sub_Account_GAAP].[Level01_Code].[All]" dimensionUniqueName="[Acct_Sub_Account_GAAP]" displayFolder="" count="0" memberValueDatatype="130" unbalanced="0"/>
    <cacheHierarchy uniqueName="[Acct_Sub_Account_GAAP].[Level01_Desc]" caption="Level01_Desc" attribute="1" defaultMemberUniqueName="[Acct_Sub_Account_GAAP].[Level01_Desc].[All]" allUniqueName="[Acct_Sub_Account_GAAP].[Level01_Desc].[All]" dimensionUniqueName="[Acct_Sub_Account_GAAP]" displayFolder="" count="0" memberValueDatatype="130" unbalanced="0"/>
    <cacheHierarchy uniqueName="[Acct_Sub_Account_GAAP].[Level02]" caption="Level02" attribute="1" defaultMemberUniqueName="[Acct_Sub_Account_GAAP].[Level02].[All]" allUniqueName="[Acct_Sub_Account_GAAP].[Level02].[All]" dimensionUniqueName="[Acct_Sub_Account_GAAP]" displayFolder="" count="0" memberValueDatatype="130" unbalanced="0"/>
    <cacheHierarchy uniqueName="[Acct_Sub_Account_GAAP].[Level02_Code]" caption="Level02_Code" attribute="1" defaultMemberUniqueName="[Acct_Sub_Account_GAAP].[Level02_Code].[All]" allUniqueName="[Acct_Sub_Account_GAAP].[Level02_Code].[All]" dimensionUniqueName="[Acct_Sub_Account_GAAP]" displayFolder="" count="0" memberValueDatatype="130" unbalanced="0"/>
    <cacheHierarchy uniqueName="[Acct_Sub_Account_GAAP].[Level02_Desc]" caption="Level02_Desc" attribute="1" defaultMemberUniqueName="[Acct_Sub_Account_GAAP].[Level02_Desc].[All]" allUniqueName="[Acct_Sub_Account_GAAP].[Level02_Desc].[All]" dimensionUniqueName="[Acct_Sub_Account_GAAP]" displayFolder="" count="0" memberValueDatatype="130" unbalanced="0"/>
    <cacheHierarchy uniqueName="[Acct_Sub_Account_GAAP].[Level03]" caption="Level03" attribute="1" defaultMemberUniqueName="[Acct_Sub_Account_GAAP].[Level03].[All]" allUniqueName="[Acct_Sub_Account_GAAP].[Level03].[All]" dimensionUniqueName="[Acct_Sub_Account_GAAP]" displayFolder="" count="0" memberValueDatatype="130" unbalanced="0"/>
    <cacheHierarchy uniqueName="[Acct_Sub_Account_GAAP].[Level03_Code]" caption="Level03_Code" attribute="1" defaultMemberUniqueName="[Acct_Sub_Account_GAAP].[Level03_Code].[All]" allUniqueName="[Acct_Sub_Account_GAAP].[Level03_Code].[All]" dimensionUniqueName="[Acct_Sub_Account_GAAP]" displayFolder="" count="0" memberValueDatatype="130" unbalanced="0"/>
    <cacheHierarchy uniqueName="[Acct_Sub_Account_GAAP].[Level03_Desc]" caption="Level03_Desc" attribute="1" defaultMemberUniqueName="[Acct_Sub_Account_GAAP].[Level03_Desc].[All]" allUniqueName="[Acct_Sub_Account_GAAP].[Level03_Desc].[All]" dimensionUniqueName="[Acct_Sub_Account_GAAP]" displayFolder="" count="0" memberValueDatatype="130" unbalanced="0"/>
    <cacheHierarchy uniqueName="[Acct_Sub_Account_GAAP].[Level04]" caption="Level04" attribute="1" defaultMemberUniqueName="[Acct_Sub_Account_GAAP].[Level04].[All]" allUniqueName="[Acct_Sub_Account_GAAP].[Level04].[All]" dimensionUniqueName="[Acct_Sub_Account_GAAP]" displayFolder="" count="0" memberValueDatatype="130" unbalanced="0"/>
    <cacheHierarchy uniqueName="[Acct_Sub_Account_GAAP].[Level04_Code]" caption="Level04_Code" attribute="1" defaultMemberUniqueName="[Acct_Sub_Account_GAAP].[Level04_Code].[All]" allUniqueName="[Acct_Sub_Account_GAAP].[Level04_Code].[All]" dimensionUniqueName="[Acct_Sub_Account_GAAP]" displayFolder="" count="0" memberValueDatatype="130" unbalanced="0"/>
    <cacheHierarchy uniqueName="[Acct_Sub_Account_GAAP].[Level04_Desc]" caption="Level04_Desc" attribute="1" defaultMemberUniqueName="[Acct_Sub_Account_GAAP].[Level04_Desc].[All]" allUniqueName="[Acct_Sub_Account_GAAP].[Level04_Desc].[All]" dimensionUniqueName="[Acct_Sub_Account_GAAP]" displayFolder="" count="0" memberValueDatatype="130" unbalanced="0"/>
    <cacheHierarchy uniqueName="[Acct_Sub_Account_GAAP].[Level05]" caption="Level05" attribute="1" defaultMemberUniqueName="[Acct_Sub_Account_GAAP].[Level05].[All]" allUniqueName="[Acct_Sub_Account_GAAP].[Level05].[All]" dimensionUniqueName="[Acct_Sub_Account_GAAP]" displayFolder="" count="0" memberValueDatatype="130" unbalanced="0"/>
    <cacheHierarchy uniqueName="[Acct_Sub_Account_GAAP].[Level05_Code]" caption="Level05_Code" attribute="1" defaultMemberUniqueName="[Acct_Sub_Account_GAAP].[Level05_Code].[All]" allUniqueName="[Acct_Sub_Account_GAAP].[Level05_Code].[All]" dimensionUniqueName="[Acct_Sub_Account_GAAP]" displayFolder="" count="0" memberValueDatatype="130" unbalanced="0"/>
    <cacheHierarchy uniqueName="[Acct_Sub_Account_GAAP].[Level05_Desc]" caption="Level05_Desc" attribute="1" defaultMemberUniqueName="[Acct_Sub_Account_GAAP].[Level05_Desc].[All]" allUniqueName="[Acct_Sub_Account_GAAP].[Level05_Desc].[All]" dimensionUniqueName="[Acct_Sub_Account_GAAP]" displayFolder="" count="0" memberValueDatatype="130" unbalanced="0"/>
    <cacheHierarchy uniqueName="[Acct_Sub_Account_GAAP].[Level06]" caption="Level06" attribute="1" defaultMemberUniqueName="[Acct_Sub_Account_GAAP].[Level06].[All]" allUniqueName="[Acct_Sub_Account_GAAP].[Level06].[All]" dimensionUniqueName="[Acct_Sub_Account_GAAP]" displayFolder="" count="0" memberValueDatatype="130" unbalanced="0"/>
    <cacheHierarchy uniqueName="[Acct_Sub_Account_GAAP].[Level06_Code]" caption="Level06_Code" attribute="1" defaultMemberUniqueName="[Acct_Sub_Account_GAAP].[Level06_Code].[All]" allUniqueName="[Acct_Sub_Account_GAAP].[Level06_Code].[All]" dimensionUniqueName="[Acct_Sub_Account_GAAP]" displayFolder="" count="0" memberValueDatatype="130" unbalanced="0"/>
    <cacheHierarchy uniqueName="[Acct_Sub_Account_GAAP].[Level06_Desc]" caption="Level06_Desc" attribute="1" defaultMemberUniqueName="[Acct_Sub_Account_GAAP].[Level06_Desc].[All]" allUniqueName="[Acct_Sub_Account_GAAP].[Level06_Desc].[All]" dimensionUniqueName="[Acct_Sub_Account_GAAP]" displayFolder="" count="0" memberValueDatatype="130" unbalanced="0"/>
    <cacheHierarchy uniqueName="[Acct_Sub_Account_GAAP].[Level07]" caption="Level07" attribute="1" defaultMemberUniqueName="[Acct_Sub_Account_GAAP].[Level07].[All]" allUniqueName="[Acct_Sub_Account_GAAP].[Level07].[All]" dimensionUniqueName="[Acct_Sub_Account_GAAP]" displayFolder="" count="0" memberValueDatatype="130" unbalanced="0"/>
    <cacheHierarchy uniqueName="[Acct_Sub_Account_GAAP].[Level07_Code]" caption="Level07_Code" attribute="1" defaultMemberUniqueName="[Acct_Sub_Account_GAAP].[Level07_Code].[All]" allUniqueName="[Acct_Sub_Account_GAAP].[Level07_Code].[All]" dimensionUniqueName="[Acct_Sub_Account_GAAP]" displayFolder="" count="0" memberValueDatatype="130" unbalanced="0"/>
    <cacheHierarchy uniqueName="[Acct_Sub_Account_GAAP].[Level07_Desc]" caption="Level07_Desc" attribute="1" defaultMemberUniqueName="[Acct_Sub_Account_GAAP].[Level07_Desc].[All]" allUniqueName="[Acct_Sub_Account_GAAP].[Level07_Desc].[All]" dimensionUniqueName="[Acct_Sub_Account_GAAP]" displayFolder="" count="0" memberValueDatatype="130" unbalanced="0"/>
    <cacheHierarchy uniqueName="[Acct_Sub_Account_GAAP].[Level08]" caption="Level08" attribute="1" defaultMemberUniqueName="[Acct_Sub_Account_GAAP].[Level08].[All]" allUniqueName="[Acct_Sub_Account_GAAP].[Level08].[All]" dimensionUniqueName="[Acct_Sub_Account_GAAP]" displayFolder="" count="0" memberValueDatatype="130" unbalanced="0"/>
    <cacheHierarchy uniqueName="[Acct_Sub_Account_GAAP].[Level08_Code]" caption="Level08_Code" attribute="1" defaultMemberUniqueName="[Acct_Sub_Account_GAAP].[Level08_Code].[All]" allUniqueName="[Acct_Sub_Account_GAAP].[Level08_Code].[All]" dimensionUniqueName="[Acct_Sub_Account_GAAP]" displayFolder="" count="0" memberValueDatatype="130" unbalanced="0"/>
    <cacheHierarchy uniqueName="[Acct_Sub_Account_GAAP].[Level08_Desc]" caption="Level08_Desc" attribute="1" defaultMemberUniqueName="[Acct_Sub_Account_GAAP].[Level08_Desc].[All]" allUniqueName="[Acct_Sub_Account_GAAP].[Level08_Desc].[All]" dimensionUniqueName="[Acct_Sub_Account_GAAP]" displayFolder="" count="0" memberValueDatatype="130" unbalanced="0"/>
    <cacheHierarchy uniqueName="[Acct_Sub_Account_GAAP].[Level09]" caption="Level09" attribute="1" defaultMemberUniqueName="[Acct_Sub_Account_GAAP].[Level09].[All]" allUniqueName="[Acct_Sub_Account_GAAP].[Level09].[All]" dimensionUniqueName="[Acct_Sub_Account_GAAP]" displayFolder="" count="0" memberValueDatatype="130" unbalanced="0"/>
    <cacheHierarchy uniqueName="[Acct_Sub_Account_GAAP].[Level09_Code]" caption="Level09_Code" attribute="1" defaultMemberUniqueName="[Acct_Sub_Account_GAAP].[Level09_Code].[All]" allUniqueName="[Acct_Sub_Account_GAAP].[Level09_Code].[All]" dimensionUniqueName="[Acct_Sub_Account_GAAP]" displayFolder="" count="0" memberValueDatatype="130" unbalanced="0"/>
    <cacheHierarchy uniqueName="[Acct_Sub_Account_GAAP].[Level09_Desc]" caption="Level09_Desc" attribute="1" defaultMemberUniqueName="[Acct_Sub_Account_GAAP].[Level09_Desc].[All]" allUniqueName="[Acct_Sub_Account_GAAP].[Level09_Desc].[All]" dimensionUniqueName="[Acct_Sub_Account_GAAP]" displayFolder="" count="0" memberValueDatatype="130" unbalanced="0"/>
    <cacheHierarchy uniqueName="[Acct_Sub_Account_GAAP].[Level10]" caption="Level10" attribute="1" defaultMemberUniqueName="[Acct_Sub_Account_GAAP].[Level10].[All]" allUniqueName="[Acct_Sub_Account_GAAP].[Level10].[All]" dimensionUniqueName="[Acct_Sub_Account_GAAP]" displayFolder="" count="0" memberValueDatatype="130" unbalanced="0"/>
    <cacheHierarchy uniqueName="[Acct_Sub_Account_GAAP].[Level10_Code]" caption="Level10_Code" attribute="1" defaultMemberUniqueName="[Acct_Sub_Account_GAAP].[Level10_Code].[All]" allUniqueName="[Acct_Sub_Account_GAAP].[Level10_Code].[All]" dimensionUniqueName="[Acct_Sub_Account_GAAP]" displayFolder="" count="0" memberValueDatatype="130" unbalanced="0"/>
    <cacheHierarchy uniqueName="[Acct_Sub_Account_GAAP].[Level10_Desc]" caption="Level10_Desc" attribute="1" defaultMemberUniqueName="[Acct_Sub_Account_GAAP].[Level10_Desc].[All]" allUniqueName="[Acct_Sub_Account_GAAP].[Level10_Desc].[All]" dimensionUniqueName="[Acct_Sub_Account_GAAP]" displayFolder="" count="0" memberValueDatatype="130" unbalanced="0"/>
    <cacheHierarchy uniqueName="[Acct_Sub_Account_GAAP].[Level11]" caption="Level11" attribute="1" defaultMemberUniqueName="[Acct_Sub_Account_GAAP].[Level11].[All]" allUniqueName="[Acct_Sub_Account_GAAP].[Level11].[All]" dimensionUniqueName="[Acct_Sub_Account_GAAP]" displayFolder="" count="0" memberValueDatatype="130" unbalanced="0"/>
    <cacheHierarchy uniqueName="[Acct_Sub_Account_GAAP].[Level11_Code]" caption="Level11_Code" attribute="1" defaultMemberUniqueName="[Acct_Sub_Account_GAAP].[Level11_Code].[All]" allUniqueName="[Acct_Sub_Account_GAAP].[Level11_Code].[All]" dimensionUniqueName="[Acct_Sub_Account_GAAP]" displayFolder="" count="0" memberValueDatatype="130" unbalanced="0"/>
    <cacheHierarchy uniqueName="[Acct_Sub_Account_GAAP].[Level11_Desc]" caption="Level11_Desc" attribute="1" defaultMemberUniqueName="[Acct_Sub_Account_GAAP].[Level11_Desc].[All]" allUniqueName="[Acct_Sub_Account_GAAP].[Level11_Desc].[All]" dimensionUniqueName="[Acct_Sub_Account_GAAP]" displayFolder="" count="0" memberValueDatatype="130" unbalanced="0"/>
    <cacheHierarchy uniqueName="[Acct_Sub_Account_GAAP].[Level12]" caption="Level12" attribute="1" defaultMemberUniqueName="[Acct_Sub_Account_GAAP].[Level12].[All]" allUniqueName="[Acct_Sub_Account_GAAP].[Level12].[All]" dimensionUniqueName="[Acct_Sub_Account_GAAP]" displayFolder="" count="0" memberValueDatatype="130" unbalanced="0"/>
    <cacheHierarchy uniqueName="[Acct_Sub_Account_GAAP].[Level12_Code]" caption="Level12_Code" attribute="1" defaultMemberUniqueName="[Acct_Sub_Account_GAAP].[Level12_Code].[All]" allUniqueName="[Acct_Sub_Account_GAAP].[Level12_Code].[All]" dimensionUniqueName="[Acct_Sub_Account_GAAP]" displayFolder="" count="0" memberValueDatatype="130" unbalanced="0"/>
    <cacheHierarchy uniqueName="[Acct_Sub_Account_GAAP].[Level12_Desc]" caption="Level12_Desc" attribute="1" defaultMemberUniqueName="[Acct_Sub_Account_GAAP].[Level12_Desc].[All]" allUniqueName="[Acct_Sub_Account_GAAP].[Level12_Desc].[All]" dimensionUniqueName="[Acct_Sub_Account_GAAP]" displayFolder="" count="0" memberValueDatatype="130" unbalanced="0"/>
    <cacheHierarchy uniqueName="[Acct_Sub_Account_GAAP].[Level13]" caption="Level13" attribute="1" defaultMemberUniqueName="[Acct_Sub_Account_GAAP].[Level13].[All]" allUniqueName="[Acct_Sub_Account_GAAP].[Level13].[All]" dimensionUniqueName="[Acct_Sub_Account_GAAP]" displayFolder="" count="0" memberValueDatatype="130" unbalanced="0"/>
    <cacheHierarchy uniqueName="[Acct_Sub_Account_GAAP].[Level13_Code]" caption="Level13_Code" attribute="1" defaultMemberUniqueName="[Acct_Sub_Account_GAAP].[Level13_Code].[All]" allUniqueName="[Acct_Sub_Account_GAAP].[Level13_Code].[All]" dimensionUniqueName="[Acct_Sub_Account_GAAP]" displayFolder="" count="0" memberValueDatatype="130" unbalanced="0"/>
    <cacheHierarchy uniqueName="[Acct_Sub_Account_GAAP].[Level13_Desc]" caption="Level13_Desc" attribute="1" defaultMemberUniqueName="[Acct_Sub_Account_GAAP].[Level13_Desc].[All]" allUniqueName="[Acct_Sub_Account_GAAP].[Level13_Desc].[All]" dimensionUniqueName="[Acct_Sub_Account_GAAP]" displayFolder="" count="0" memberValueDatatype="130" unbalanced="0"/>
    <cacheHierarchy uniqueName="[Acct_Sub_Account_GAAP].[Level14]" caption="Level14" attribute="1" defaultMemberUniqueName="[Acct_Sub_Account_GAAP].[Level14].[All]" allUniqueName="[Acct_Sub_Account_GAAP].[Level14].[All]" dimensionUniqueName="[Acct_Sub_Account_GAAP]" displayFolder="" count="0" memberValueDatatype="130" unbalanced="0"/>
    <cacheHierarchy uniqueName="[Acct_Sub_Account_GAAP].[Level14_Code]" caption="Level14_Code" attribute="1" defaultMemberUniqueName="[Acct_Sub_Account_GAAP].[Level14_Code].[All]" allUniqueName="[Acct_Sub_Account_GAAP].[Level14_Code].[All]" dimensionUniqueName="[Acct_Sub_Account_GAAP]" displayFolder="" count="0" memberValueDatatype="130" unbalanced="0"/>
    <cacheHierarchy uniqueName="[Acct_Sub_Account_GAAP].[Level14_Desc]" caption="Level14_Desc" attribute="1" defaultMemberUniqueName="[Acct_Sub_Account_GAAP].[Level14_Desc].[All]" allUniqueName="[Acct_Sub_Account_GAAP].[Level14_Desc].[All]" dimensionUniqueName="[Acct_Sub_Account_GAAP]" displayFolder="" count="0" memberValueDatatype="130" unbalanced="0"/>
    <cacheHierarchy uniqueName="[Acct_Sub_Account_GAAP].[Level15]" caption="Level15" attribute="1" defaultMemberUniqueName="[Acct_Sub_Account_GAAP].[Level15].[All]" allUniqueName="[Acct_Sub_Account_GAAP].[Level15].[All]" dimensionUniqueName="[Acct_Sub_Account_GAAP]" displayFolder="" count="0" memberValueDatatype="130" unbalanced="0"/>
    <cacheHierarchy uniqueName="[Acct_Sub_Account_GAAP].[Level15_Code]" caption="Level15_Code" attribute="1" defaultMemberUniqueName="[Acct_Sub_Account_GAAP].[Level15_Code].[All]" allUniqueName="[Acct_Sub_Account_GAAP].[Level15_Code].[All]" dimensionUniqueName="[Acct_Sub_Account_GAAP]" displayFolder="" count="0" memberValueDatatype="130" unbalanced="0"/>
    <cacheHierarchy uniqueName="[Acct_Sub_Account_GAAP].[Level15_Desc]" caption="Level15_Desc" attribute="1" defaultMemberUniqueName="[Acct_Sub_Account_GAAP].[Level15_Desc].[All]" allUniqueName="[Acct_Sub_Account_GAAP].[Level15_Desc].[All]" dimensionUniqueName="[Acct_Sub_Account_GAAP]" displayFolder="" count="0" memberValueDatatype="130" unbalanced="0"/>
    <cacheHierarchy uniqueName="[Acct_Sub_Account_GAAP].[Level16]" caption="Level16" attribute="1" defaultMemberUniqueName="[Acct_Sub_Account_GAAP].[Level16].[All]" allUniqueName="[Acct_Sub_Account_GAAP].[Level16].[All]" dimensionUniqueName="[Acct_Sub_Account_GAAP]" displayFolder="" count="0" memberValueDatatype="130" unbalanced="0"/>
    <cacheHierarchy uniqueName="[Acct_Sub_Account_GAAP].[Level16_Code]" caption="Level16_Code" attribute="1" defaultMemberUniqueName="[Acct_Sub_Account_GAAP].[Level16_Code].[All]" allUniqueName="[Acct_Sub_Account_GAAP].[Level16_Code].[All]" dimensionUniqueName="[Acct_Sub_Account_GAAP]" displayFolder="" count="0" memberValueDatatype="130" unbalanced="0"/>
    <cacheHierarchy uniqueName="[Acct_Sub_Account_GAAP].[Level16_Desc]" caption="Level16_Desc" attribute="1" defaultMemberUniqueName="[Acct_Sub_Account_GAAP].[Level16_Desc].[All]" allUniqueName="[Acct_Sub_Account_GAAP].[Level16_Desc].[All]" dimensionUniqueName="[Acct_Sub_Account_GAAP]" displayFolder="" count="0" memberValueDatatype="130" unbalanced="0"/>
    <cacheHierarchy uniqueName="[Acct_Sub_Account_GAAP].[Level17]" caption="Level17" attribute="1" defaultMemberUniqueName="[Acct_Sub_Account_GAAP].[Level17].[All]" allUniqueName="[Acct_Sub_Account_GAAP].[Level17].[All]" dimensionUniqueName="[Acct_Sub_Account_GAAP]" displayFolder="" count="0" memberValueDatatype="130" unbalanced="0"/>
    <cacheHierarchy uniqueName="[Acct_Sub_Account_GAAP].[Level17_Code]" caption="Level17_Code" attribute="1" defaultMemberUniqueName="[Acct_Sub_Account_GAAP].[Level17_Code].[All]" allUniqueName="[Acct_Sub_Account_GAAP].[Level17_Code].[All]" dimensionUniqueName="[Acct_Sub_Account_GAAP]" displayFolder="" count="0" memberValueDatatype="130" unbalanced="0"/>
    <cacheHierarchy uniqueName="[Acct_Sub_Account_GAAP].[Level17_Desc]" caption="Level17_Desc" attribute="1" defaultMemberUniqueName="[Acct_Sub_Account_GAAP].[Level17_Desc].[All]" allUniqueName="[Acct_Sub_Account_GAAP].[Level17_Desc].[All]" dimensionUniqueName="[Acct_Sub_Account_GAAP]" displayFolder="" count="0" memberValueDatatype="130" unbalanced="0"/>
    <cacheHierarchy uniqueName="[Acct_Sub_Account_GAAP].[Level18]" caption="Level18" attribute="1" defaultMemberUniqueName="[Acct_Sub_Account_GAAP].[Level18].[All]" allUniqueName="[Acct_Sub_Account_GAAP].[Level18].[All]" dimensionUniqueName="[Acct_Sub_Account_GAAP]" displayFolder="" count="0" memberValueDatatype="130" unbalanced="0"/>
    <cacheHierarchy uniqueName="[Acct_Sub_Account_GAAP].[Level18_Code]" caption="Level18_Code" attribute="1" defaultMemberUniqueName="[Acct_Sub_Account_GAAP].[Level18_Code].[All]" allUniqueName="[Acct_Sub_Account_GAAP].[Level18_Code].[All]" dimensionUniqueName="[Acct_Sub_Account_GAAP]" displayFolder="" count="0" memberValueDatatype="130" unbalanced="0"/>
    <cacheHierarchy uniqueName="[Acct_Sub_Account_GAAP].[Level18_Desc]" caption="Level18_Desc" attribute="1" defaultMemberUniqueName="[Acct_Sub_Account_GAAP].[Level18_Desc].[All]" allUniqueName="[Acct_Sub_Account_GAAP].[Level18_Desc].[All]" dimensionUniqueName="[Acct_Sub_Account_GAAP]" displayFolder="" count="0" memberValueDatatype="130" unbalanced="0"/>
    <cacheHierarchy uniqueName="[Acct_Sub_Account_GAAP].[Level19]" caption="Level19" attribute="1" defaultMemberUniqueName="[Acct_Sub_Account_GAAP].[Level19].[All]" allUniqueName="[Acct_Sub_Account_GAAP].[Level19].[All]" dimensionUniqueName="[Acct_Sub_Account_GAAP]" displayFolder="" count="0" memberValueDatatype="130" unbalanced="0"/>
    <cacheHierarchy uniqueName="[Acct_Sub_Account_GAAP].[Level19_Code]" caption="Level19_Code" attribute="1" defaultMemberUniqueName="[Acct_Sub_Account_GAAP].[Level19_Code].[All]" allUniqueName="[Acct_Sub_Account_GAAP].[Level19_Code].[All]" dimensionUniqueName="[Acct_Sub_Account_GAAP]" displayFolder="" count="0" memberValueDatatype="130" unbalanced="0"/>
    <cacheHierarchy uniqueName="[Acct_Sub_Account_GAAP].[Level19_Desc]" caption="Level19_Desc" attribute="1" defaultMemberUniqueName="[Acct_Sub_Account_GAAP].[Level19_Desc].[All]" allUniqueName="[Acct_Sub_Account_GAAP].[Level19_Desc].[All]" dimensionUniqueName="[Acct_Sub_Account_GAAP]" displayFolder="" count="0" memberValueDatatype="130" unbalanced="0"/>
    <cacheHierarchy uniqueName="[Acct_Sub_Account_GAAP].[Level20]" caption="Level20" attribute="1" defaultMemberUniqueName="[Acct_Sub_Account_GAAP].[Level20].[All]" allUniqueName="[Acct_Sub_Account_GAAP].[Level20].[All]" dimensionUniqueName="[Acct_Sub_Account_GAAP]" displayFolder="" count="0" memberValueDatatype="130" unbalanced="0"/>
    <cacheHierarchy uniqueName="[Acct_Sub_Account_GAAP].[Level20_Code]" caption="Level20_Code" attribute="1" defaultMemberUniqueName="[Acct_Sub_Account_GAAP].[Level20_Code].[All]" allUniqueName="[Acct_Sub_Account_GAAP].[Level20_Code].[All]" dimensionUniqueName="[Acct_Sub_Account_GAAP]" displayFolder="" count="0" memberValueDatatype="130" unbalanced="0"/>
    <cacheHierarchy uniqueName="[Acct_Sub_Account_GAAP].[Level20_Desc]" caption="Level20_Desc" attribute="1" defaultMemberUniqueName="[Acct_Sub_Account_GAAP].[Level20_Desc].[All]" allUniqueName="[Acct_Sub_Account_GAAP].[Level20_Desc].[All]" dimensionUniqueName="[Acct_Sub_Account_GAAP]" displayFolder="" count="0" memberValueDatatype="130" unbalanced="0"/>
    <cacheHierarchy uniqueName="[Acct_Sub_Account_GAAP].[SL_Account_Code]" caption="SL_Account_Code" attribute="1" defaultMemberUniqueName="[Acct_Sub_Account_GAAP].[SL_Account_Code].[All]" allUniqueName="[Acct_Sub_Account_GAAP].[SL_Account_Code].[All]" dimensionUniqueName="[Acct_Sub_Account_GAAP]" displayFolder="" count="0" memberValueDatatype="130" unbalanced="0"/>
    <cacheHierarchy uniqueName="[Acct_Sub_Account_GAAP].[SL_Account_Code_Desc]" caption="SL_Account_Code_Desc" attribute="1" defaultMemberUniqueName="[Acct_Sub_Account_GAAP].[SL_Account_Code_Desc].[All]" allUniqueName="[Acct_Sub_Account_GAAP].[SL_Account_Code_Desc].[All]" dimensionUniqueName="[Acct_Sub_Account_GAAP]" displayFolder="" count="0" memberValueDatatype="130" unbalanced="0"/>
    <cacheHierarchy uniqueName="[Acct_Sub_Account_GAAP].[SL_Account_Desc]" caption="SL_Account_Desc" attribute="1" defaultMemberUniqueName="[Acct_Sub_Account_GAAP].[SL_Account_Desc].[All]" allUniqueName="[Acct_Sub_Account_GAAP].[SL_Account_Desc].[All]" dimensionUniqueName="[Acct_Sub_Account_GAAP]" displayFolder="" count="0" memberValueDatatype="130" unbalanced="0"/>
    <cacheHierarchy uniqueName="[Acct_Sub_Account_GAAP].[SL_Account_Hier_Name]" caption="SL_Account_Hier_Name" attribute="1" defaultMemberUniqueName="[Acct_Sub_Account_GAAP].[SL_Account_Hier_Name].[All]" allUniqueName="[Acct_Sub_Account_GAAP].[SL_Account_Hier_Name].[All]" dimensionUniqueName="[Acct_Sub_Account_GAAP]" displayFolder="" count="0" memberValueDatatype="130" unbalanced="0"/>
    <cacheHierarchy uniqueName="[Acct_Sub_Account_Managerial].[Account_Type]" caption="Account_Type" attribute="1" defaultMemberUniqueName="[Acct_Sub_Account_Managerial].[Account_Type].[All]" allUniqueName="[Acct_Sub_Account_Managerial].[Account_Type].[All]" dimensionUniqueName="[Acct_Sub_Account_Managerial]" displayFolder="" count="0" memberValueDatatype="130" unbalanced="0"/>
    <cacheHierarchy uniqueName="[Acct_Sub_Account_Managerial].[GL_Account_Code]" caption="GL_Account_Code" attribute="1" defaultMemberUniqueName="[Acct_Sub_Account_Managerial].[GL_Account_Code].[All]" allUniqueName="[Acct_Sub_Account_Managerial].[GL_Account_Code].[All]" dimensionUniqueName="[Acct_Sub_Account_Managerial]" displayFolder="" count="0" memberValueDatatype="130" unbalanced="0"/>
    <cacheHierarchy uniqueName="[Acct_Sub_Account_Managerial].[Hier_MGR Sub Account Code]" caption="Hier_MGR Sub Account Code" defaultMemberUniqueName="[Acct_Sub_Account_Managerial].[Hier_MGR Sub Account Code].[All]" allUniqueName="[Acct_Sub_Account_Managerial].[Hier_MGR Sub Account Code].[All]" dimensionUniqueName="[Acct_Sub_Account_Managerial]" displayFolder="" count="0" unbalanced="0"/>
    <cacheHierarchy uniqueName="[Acct_Sub_Account_Managerial].[Hier_MGR Sub Account Code Desc]" caption="Hier_MGR Sub Account Code Desc" defaultMemberUniqueName="[Acct_Sub_Account_Managerial].[Hier_MGR Sub Account Code Desc].[All]" allUniqueName="[Acct_Sub_Account_Managerial].[Hier_MGR Sub Account Code Desc].[All]" dimensionUniqueName="[Acct_Sub_Account_Managerial]" displayFolder="" count="0" unbalanced="0"/>
    <cacheHierarchy uniqueName="[Acct_Sub_Account_Managerial].[Hier_MGR Sub Account Desc]" caption="Hier_MGR Sub Account Desc" defaultMemberUniqueName="[Acct_Sub_Account_Managerial].[Hier_MGR Sub Account Desc].[All]" allUniqueName="[Acct_Sub_Account_Managerial].[Hier_MGR Sub Account Desc].[All]" dimensionUniqueName="[Acct_Sub_Account_Managerial]" displayFolder="" count="0" unbalanced="0"/>
    <cacheHierarchy uniqueName="[Acct_Sub_Account_Managerial].[Hold_at_Historic_Rate]" caption="Hold_at_Historic_Rate" attribute="1" defaultMemberUniqueName="[Acct_Sub_Account_Managerial].[Hold_at_Historic_Rate].[All]" allUniqueName="[Acct_Sub_Account_Managerial].[Hold_at_Historic_Rate].[All]" dimensionUniqueName="[Acct_Sub_Account_Managerial]" displayFolder="" count="0" memberValueDatatype="130" unbalanced="0"/>
    <cacheHierarchy uniqueName="[Acct_Sub_Account_Managerial].[Include_in_Revaluation]" caption="Include_in_Revaluation" attribute="1" defaultMemberUniqueName="[Acct_Sub_Account_Managerial].[Include_in_Revaluation].[All]" allUniqueName="[Acct_Sub_Account_Managerial].[Include_in_Revaluation].[All]" dimensionUniqueName="[Acct_Sub_Account_Managerial]" displayFolder="" count="0" memberValueDatatype="130" unbalanced="0"/>
    <cacheHierarchy uniqueName="[Acct_Sub_Account_Managerial].[Include_in_Translation]" caption="Include_in_Translation" attribute="1" defaultMemberUniqueName="[Acct_Sub_Account_Managerial].[Include_in_Translation].[All]" allUniqueName="[Acct_Sub_Account_Managerial].[Include_in_Translation].[All]" dimensionUniqueName="[Acct_Sub_Account_Managerial]" displayFolder="" count="0" memberValueDatatype="130" unbalanced="0"/>
    <cacheHierarchy uniqueName="[Acct_Sub_Account_Managerial].[Level01]" caption="Level01" attribute="1" defaultMemberUniqueName="[Acct_Sub_Account_Managerial].[Level01].[All]" allUniqueName="[Acct_Sub_Account_Managerial].[Level01].[All]" dimensionUniqueName="[Acct_Sub_Account_Managerial]" displayFolder="" count="0" memberValueDatatype="130" unbalanced="0"/>
    <cacheHierarchy uniqueName="[Acct_Sub_Account_Managerial].[Level01_Code]" caption="Level01_Code" attribute="1" defaultMemberUniqueName="[Acct_Sub_Account_Managerial].[Level01_Code].[All]" allUniqueName="[Acct_Sub_Account_Managerial].[Level01_Code].[All]" dimensionUniqueName="[Acct_Sub_Account_Managerial]" displayFolder="" count="0" memberValueDatatype="130" unbalanced="0"/>
    <cacheHierarchy uniqueName="[Acct_Sub_Account_Managerial].[Level01_Desc]" caption="Level01_Desc" attribute="1" defaultMemberUniqueName="[Acct_Sub_Account_Managerial].[Level01_Desc].[All]" allUniqueName="[Acct_Sub_Account_Managerial].[Level01_Desc].[All]" dimensionUniqueName="[Acct_Sub_Account_Managerial]" displayFolder="" count="0" memberValueDatatype="130" unbalanced="0"/>
    <cacheHierarchy uniqueName="[Acct_Sub_Account_Managerial].[Level02]" caption="Level02" attribute="1" defaultMemberUniqueName="[Acct_Sub_Account_Managerial].[Level02].[All]" allUniqueName="[Acct_Sub_Account_Managerial].[Level02].[All]" dimensionUniqueName="[Acct_Sub_Account_Managerial]" displayFolder="" count="0" memberValueDatatype="130" unbalanced="0"/>
    <cacheHierarchy uniqueName="[Acct_Sub_Account_Managerial].[Level02_Code]" caption="Level02_Code" attribute="1" defaultMemberUniqueName="[Acct_Sub_Account_Managerial].[Level02_Code].[All]" allUniqueName="[Acct_Sub_Account_Managerial].[Level02_Code].[All]" dimensionUniqueName="[Acct_Sub_Account_Managerial]" displayFolder="" count="0" memberValueDatatype="130" unbalanced="0"/>
    <cacheHierarchy uniqueName="[Acct_Sub_Account_Managerial].[Level02_Desc]" caption="Level02_Desc" attribute="1" defaultMemberUniqueName="[Acct_Sub_Account_Managerial].[Level02_Desc].[All]" allUniqueName="[Acct_Sub_Account_Managerial].[Level02_Desc].[All]" dimensionUniqueName="[Acct_Sub_Account_Managerial]" displayFolder="" count="0" memberValueDatatype="130" unbalanced="0"/>
    <cacheHierarchy uniqueName="[Acct_Sub_Account_Managerial].[Level03]" caption="Level03" attribute="1" defaultMemberUniqueName="[Acct_Sub_Account_Managerial].[Level03].[All]" allUniqueName="[Acct_Sub_Account_Managerial].[Level03].[All]" dimensionUniqueName="[Acct_Sub_Account_Managerial]" displayFolder="" count="0" memberValueDatatype="130" unbalanced="0"/>
    <cacheHierarchy uniqueName="[Acct_Sub_Account_Managerial].[Level03_Code]" caption="Level03_Code" attribute="1" defaultMemberUniqueName="[Acct_Sub_Account_Managerial].[Level03_Code].[All]" allUniqueName="[Acct_Sub_Account_Managerial].[Level03_Code].[All]" dimensionUniqueName="[Acct_Sub_Account_Managerial]" displayFolder="" count="0" memberValueDatatype="130" unbalanced="0"/>
    <cacheHierarchy uniqueName="[Acct_Sub_Account_Managerial].[Level03_Desc]" caption="Level03_Desc" attribute="1" defaultMemberUniqueName="[Acct_Sub_Account_Managerial].[Level03_Desc].[All]" allUniqueName="[Acct_Sub_Account_Managerial].[Level03_Desc].[All]" dimensionUniqueName="[Acct_Sub_Account_Managerial]" displayFolder="" count="0" memberValueDatatype="130" unbalanced="0"/>
    <cacheHierarchy uniqueName="[Acct_Sub_Account_Managerial].[Level04]" caption="Level04" attribute="1" defaultMemberUniqueName="[Acct_Sub_Account_Managerial].[Level04].[All]" allUniqueName="[Acct_Sub_Account_Managerial].[Level04].[All]" dimensionUniqueName="[Acct_Sub_Account_Managerial]" displayFolder="" count="0" memberValueDatatype="130" unbalanced="0"/>
    <cacheHierarchy uniqueName="[Acct_Sub_Account_Managerial].[Level04_Code]" caption="Level04_Code" attribute="1" defaultMemberUniqueName="[Acct_Sub_Account_Managerial].[Level04_Code].[All]" allUniqueName="[Acct_Sub_Account_Managerial].[Level04_Code].[All]" dimensionUniqueName="[Acct_Sub_Account_Managerial]" displayFolder="" count="0" memberValueDatatype="130" unbalanced="0"/>
    <cacheHierarchy uniqueName="[Acct_Sub_Account_Managerial].[Level04_Desc]" caption="Level04_Desc" attribute="1" defaultMemberUniqueName="[Acct_Sub_Account_Managerial].[Level04_Desc].[All]" allUniqueName="[Acct_Sub_Account_Managerial].[Level04_Desc].[All]" dimensionUniqueName="[Acct_Sub_Account_Managerial]" displayFolder="" count="0" memberValueDatatype="130" unbalanced="0"/>
    <cacheHierarchy uniqueName="[Acct_Sub_Account_Managerial].[Level05]" caption="Level05" attribute="1" defaultMemberUniqueName="[Acct_Sub_Account_Managerial].[Level05].[All]" allUniqueName="[Acct_Sub_Account_Managerial].[Level05].[All]" dimensionUniqueName="[Acct_Sub_Account_Managerial]" displayFolder="" count="0" memberValueDatatype="130" unbalanced="0"/>
    <cacheHierarchy uniqueName="[Acct_Sub_Account_Managerial].[Level05_Code]" caption="Level05_Code" attribute="1" defaultMemberUniqueName="[Acct_Sub_Account_Managerial].[Level05_Code].[All]" allUniqueName="[Acct_Sub_Account_Managerial].[Level05_Code].[All]" dimensionUniqueName="[Acct_Sub_Account_Managerial]" displayFolder="" count="0" memberValueDatatype="130" unbalanced="0"/>
    <cacheHierarchy uniqueName="[Acct_Sub_Account_Managerial].[Level05_Desc]" caption="Level05_Desc" attribute="1" defaultMemberUniqueName="[Acct_Sub_Account_Managerial].[Level05_Desc].[All]" allUniqueName="[Acct_Sub_Account_Managerial].[Level05_Desc].[All]" dimensionUniqueName="[Acct_Sub_Account_Managerial]" displayFolder="" count="0" memberValueDatatype="130" unbalanced="0"/>
    <cacheHierarchy uniqueName="[Acct_Sub_Account_Managerial].[Level06]" caption="Level06" attribute="1" defaultMemberUniqueName="[Acct_Sub_Account_Managerial].[Level06].[All]" allUniqueName="[Acct_Sub_Account_Managerial].[Level06].[All]" dimensionUniqueName="[Acct_Sub_Account_Managerial]" displayFolder="" count="0" memberValueDatatype="130" unbalanced="0"/>
    <cacheHierarchy uniqueName="[Acct_Sub_Account_Managerial].[Level06_Code]" caption="Level06_Code" attribute="1" defaultMemberUniqueName="[Acct_Sub_Account_Managerial].[Level06_Code].[All]" allUniqueName="[Acct_Sub_Account_Managerial].[Level06_Code].[All]" dimensionUniqueName="[Acct_Sub_Account_Managerial]" displayFolder="" count="0" memberValueDatatype="130" unbalanced="0"/>
    <cacheHierarchy uniqueName="[Acct_Sub_Account_Managerial].[Level06_Desc]" caption="Level06_Desc" attribute="1" defaultMemberUniqueName="[Acct_Sub_Account_Managerial].[Level06_Desc].[All]" allUniqueName="[Acct_Sub_Account_Managerial].[Level06_Desc].[All]" dimensionUniqueName="[Acct_Sub_Account_Managerial]" displayFolder="" count="0" memberValueDatatype="130" unbalanced="0"/>
    <cacheHierarchy uniqueName="[Acct_Sub_Account_Managerial].[Level07]" caption="Level07" attribute="1" defaultMemberUniqueName="[Acct_Sub_Account_Managerial].[Level07].[All]" allUniqueName="[Acct_Sub_Account_Managerial].[Level07].[All]" dimensionUniqueName="[Acct_Sub_Account_Managerial]" displayFolder="" count="0" memberValueDatatype="130" unbalanced="0"/>
    <cacheHierarchy uniqueName="[Acct_Sub_Account_Managerial].[Level07_Code]" caption="Level07_Code" attribute="1" defaultMemberUniqueName="[Acct_Sub_Account_Managerial].[Level07_Code].[All]" allUniqueName="[Acct_Sub_Account_Managerial].[Level07_Code].[All]" dimensionUniqueName="[Acct_Sub_Account_Managerial]" displayFolder="" count="0" memberValueDatatype="130" unbalanced="0"/>
    <cacheHierarchy uniqueName="[Acct_Sub_Account_Managerial].[Level07_Desc]" caption="Level07_Desc" attribute="1" defaultMemberUniqueName="[Acct_Sub_Account_Managerial].[Level07_Desc].[All]" allUniqueName="[Acct_Sub_Account_Managerial].[Level07_Desc].[All]" dimensionUniqueName="[Acct_Sub_Account_Managerial]" displayFolder="" count="0" memberValueDatatype="130" unbalanced="0"/>
    <cacheHierarchy uniqueName="[Acct_Sub_Account_Managerial].[Level08]" caption="Level08" attribute="1" defaultMemberUniqueName="[Acct_Sub_Account_Managerial].[Level08].[All]" allUniqueName="[Acct_Sub_Account_Managerial].[Level08].[All]" dimensionUniqueName="[Acct_Sub_Account_Managerial]" displayFolder="" count="0" memberValueDatatype="130" unbalanced="0"/>
    <cacheHierarchy uniqueName="[Acct_Sub_Account_Managerial].[Level08_Code]" caption="Level08_Code" attribute="1" defaultMemberUniqueName="[Acct_Sub_Account_Managerial].[Level08_Code].[All]" allUniqueName="[Acct_Sub_Account_Managerial].[Level08_Code].[All]" dimensionUniqueName="[Acct_Sub_Account_Managerial]" displayFolder="" count="0" memberValueDatatype="130" unbalanced="0"/>
    <cacheHierarchy uniqueName="[Acct_Sub_Account_Managerial].[Level08_Desc]" caption="Level08_Desc" attribute="1" defaultMemberUniqueName="[Acct_Sub_Account_Managerial].[Level08_Desc].[All]" allUniqueName="[Acct_Sub_Account_Managerial].[Level08_Desc].[All]" dimensionUniqueName="[Acct_Sub_Account_Managerial]" displayFolder="" count="0" memberValueDatatype="130" unbalanced="0"/>
    <cacheHierarchy uniqueName="[Acct_Sub_Account_Managerial].[Level09]" caption="Level09" attribute="1" defaultMemberUniqueName="[Acct_Sub_Account_Managerial].[Level09].[All]" allUniqueName="[Acct_Sub_Account_Managerial].[Level09].[All]" dimensionUniqueName="[Acct_Sub_Account_Managerial]" displayFolder="" count="0" memberValueDatatype="130" unbalanced="0"/>
    <cacheHierarchy uniqueName="[Acct_Sub_Account_Managerial].[Level09_Code]" caption="Level09_Code" attribute="1" defaultMemberUniqueName="[Acct_Sub_Account_Managerial].[Level09_Code].[All]" allUniqueName="[Acct_Sub_Account_Managerial].[Level09_Code].[All]" dimensionUniqueName="[Acct_Sub_Account_Managerial]" displayFolder="" count="0" memberValueDatatype="130" unbalanced="0"/>
    <cacheHierarchy uniqueName="[Acct_Sub_Account_Managerial].[Level09_Desc]" caption="Level09_Desc" attribute="1" defaultMemberUniqueName="[Acct_Sub_Account_Managerial].[Level09_Desc].[All]" allUniqueName="[Acct_Sub_Account_Managerial].[Level09_Desc].[All]" dimensionUniqueName="[Acct_Sub_Account_Managerial]" displayFolder="" count="0" memberValueDatatype="130" unbalanced="0"/>
    <cacheHierarchy uniqueName="[Acct_Sub_Account_Managerial].[Level10]" caption="Level10" attribute="1" defaultMemberUniqueName="[Acct_Sub_Account_Managerial].[Level10].[All]" allUniqueName="[Acct_Sub_Account_Managerial].[Level10].[All]" dimensionUniqueName="[Acct_Sub_Account_Managerial]" displayFolder="" count="0" memberValueDatatype="130" unbalanced="0"/>
    <cacheHierarchy uniqueName="[Acct_Sub_Account_Managerial].[Level10_Code]" caption="Level10_Code" attribute="1" defaultMemberUniqueName="[Acct_Sub_Account_Managerial].[Level10_Code].[All]" allUniqueName="[Acct_Sub_Account_Managerial].[Level10_Code].[All]" dimensionUniqueName="[Acct_Sub_Account_Managerial]" displayFolder="" count="0" memberValueDatatype="130" unbalanced="0"/>
    <cacheHierarchy uniqueName="[Acct_Sub_Account_Managerial].[Level10_Desc]" caption="Level10_Desc" attribute="1" defaultMemberUniqueName="[Acct_Sub_Account_Managerial].[Level10_Desc].[All]" allUniqueName="[Acct_Sub_Account_Managerial].[Level10_Desc].[All]" dimensionUniqueName="[Acct_Sub_Account_Managerial]" displayFolder="" count="0" memberValueDatatype="130" unbalanced="0"/>
    <cacheHierarchy uniqueName="[Acct_Sub_Account_Managerial].[Level11]" caption="Level11" attribute="1" defaultMemberUniqueName="[Acct_Sub_Account_Managerial].[Level11].[All]" allUniqueName="[Acct_Sub_Account_Managerial].[Level11].[All]" dimensionUniqueName="[Acct_Sub_Account_Managerial]" displayFolder="" count="0" memberValueDatatype="130" unbalanced="0"/>
    <cacheHierarchy uniqueName="[Acct_Sub_Account_Managerial].[Level11_Code]" caption="Level11_Code" attribute="1" defaultMemberUniqueName="[Acct_Sub_Account_Managerial].[Level11_Code].[All]" allUniqueName="[Acct_Sub_Account_Managerial].[Level11_Code].[All]" dimensionUniqueName="[Acct_Sub_Account_Managerial]" displayFolder="" count="0" memberValueDatatype="130" unbalanced="0"/>
    <cacheHierarchy uniqueName="[Acct_Sub_Account_Managerial].[Level11_Desc]" caption="Level11_Desc" attribute="1" defaultMemberUniqueName="[Acct_Sub_Account_Managerial].[Level11_Desc].[All]" allUniqueName="[Acct_Sub_Account_Managerial].[Level11_Desc].[All]" dimensionUniqueName="[Acct_Sub_Account_Managerial]" displayFolder="" count="0" memberValueDatatype="130" unbalanced="0"/>
    <cacheHierarchy uniqueName="[Acct_Sub_Account_Managerial].[Level12]" caption="Level12" attribute="1" defaultMemberUniqueName="[Acct_Sub_Account_Managerial].[Level12].[All]" allUniqueName="[Acct_Sub_Account_Managerial].[Level12].[All]" dimensionUniqueName="[Acct_Sub_Account_Managerial]" displayFolder="" count="0" memberValueDatatype="130" unbalanced="0"/>
    <cacheHierarchy uniqueName="[Acct_Sub_Account_Managerial].[Level12_Code]" caption="Level12_Code" attribute="1" defaultMemberUniqueName="[Acct_Sub_Account_Managerial].[Level12_Code].[All]" allUniqueName="[Acct_Sub_Account_Managerial].[Level12_Code].[All]" dimensionUniqueName="[Acct_Sub_Account_Managerial]" displayFolder="" count="0" memberValueDatatype="130" unbalanced="0"/>
    <cacheHierarchy uniqueName="[Acct_Sub_Account_Managerial].[Level12_Desc]" caption="Level12_Desc" attribute="1" defaultMemberUniqueName="[Acct_Sub_Account_Managerial].[Level12_Desc].[All]" allUniqueName="[Acct_Sub_Account_Managerial].[Level12_Desc].[All]" dimensionUniqueName="[Acct_Sub_Account_Managerial]" displayFolder="" count="0" memberValueDatatype="130" unbalanced="0"/>
    <cacheHierarchy uniqueName="[Acct_Sub_Account_Managerial].[Level13]" caption="Level13" attribute="1" defaultMemberUniqueName="[Acct_Sub_Account_Managerial].[Level13].[All]" allUniqueName="[Acct_Sub_Account_Managerial].[Level13].[All]" dimensionUniqueName="[Acct_Sub_Account_Managerial]" displayFolder="" count="0" memberValueDatatype="130" unbalanced="0"/>
    <cacheHierarchy uniqueName="[Acct_Sub_Account_Managerial].[Level13_Code]" caption="Level13_Code" attribute="1" defaultMemberUniqueName="[Acct_Sub_Account_Managerial].[Level13_Code].[All]" allUniqueName="[Acct_Sub_Account_Managerial].[Level13_Code].[All]" dimensionUniqueName="[Acct_Sub_Account_Managerial]" displayFolder="" count="0" memberValueDatatype="130" unbalanced="0"/>
    <cacheHierarchy uniqueName="[Acct_Sub_Account_Managerial].[Level13_Desc]" caption="Level13_Desc" attribute="1" defaultMemberUniqueName="[Acct_Sub_Account_Managerial].[Level13_Desc].[All]" allUniqueName="[Acct_Sub_Account_Managerial].[Level13_Desc].[All]" dimensionUniqueName="[Acct_Sub_Account_Managerial]" displayFolder="" count="0" memberValueDatatype="130" unbalanced="0"/>
    <cacheHierarchy uniqueName="[Acct_Sub_Account_Managerial].[Level14]" caption="Level14" attribute="1" defaultMemberUniqueName="[Acct_Sub_Account_Managerial].[Level14].[All]" allUniqueName="[Acct_Sub_Account_Managerial].[Level14].[All]" dimensionUniqueName="[Acct_Sub_Account_Managerial]" displayFolder="" count="0" memberValueDatatype="130" unbalanced="0"/>
    <cacheHierarchy uniqueName="[Acct_Sub_Account_Managerial].[Level14_Code]" caption="Level14_Code" attribute="1" defaultMemberUniqueName="[Acct_Sub_Account_Managerial].[Level14_Code].[All]" allUniqueName="[Acct_Sub_Account_Managerial].[Level14_Code].[All]" dimensionUniqueName="[Acct_Sub_Account_Managerial]" displayFolder="" count="0" memberValueDatatype="130" unbalanced="0"/>
    <cacheHierarchy uniqueName="[Acct_Sub_Account_Managerial].[Level14_Desc]" caption="Level14_Desc" attribute="1" defaultMemberUniqueName="[Acct_Sub_Account_Managerial].[Level14_Desc].[All]" allUniqueName="[Acct_Sub_Account_Managerial].[Level14_Desc].[All]" dimensionUniqueName="[Acct_Sub_Account_Managerial]" displayFolder="" count="0" memberValueDatatype="130" unbalanced="0"/>
    <cacheHierarchy uniqueName="[Acct_Sub_Account_Managerial].[Level15]" caption="Level15" attribute="1" defaultMemberUniqueName="[Acct_Sub_Account_Managerial].[Level15].[All]" allUniqueName="[Acct_Sub_Account_Managerial].[Level15].[All]" dimensionUniqueName="[Acct_Sub_Account_Managerial]" displayFolder="" count="0" memberValueDatatype="130" unbalanced="0"/>
    <cacheHierarchy uniqueName="[Acct_Sub_Account_Managerial].[Level15_Code]" caption="Level15_Code" attribute="1" defaultMemberUniqueName="[Acct_Sub_Account_Managerial].[Level15_Code].[All]" allUniqueName="[Acct_Sub_Account_Managerial].[Level15_Code].[All]" dimensionUniqueName="[Acct_Sub_Account_Managerial]" displayFolder="" count="0" memberValueDatatype="130" unbalanced="0"/>
    <cacheHierarchy uniqueName="[Acct_Sub_Account_Managerial].[Level15_Desc]" caption="Level15_Desc" attribute="1" defaultMemberUniqueName="[Acct_Sub_Account_Managerial].[Level15_Desc].[All]" allUniqueName="[Acct_Sub_Account_Managerial].[Level15_Desc].[All]" dimensionUniqueName="[Acct_Sub_Account_Managerial]" displayFolder="" count="0" memberValueDatatype="130" unbalanced="0"/>
    <cacheHierarchy uniqueName="[Acct_Sub_Account_Managerial].[Level16]" caption="Level16" attribute="1" defaultMemberUniqueName="[Acct_Sub_Account_Managerial].[Level16].[All]" allUniqueName="[Acct_Sub_Account_Managerial].[Level16].[All]" dimensionUniqueName="[Acct_Sub_Account_Managerial]" displayFolder="" count="0" memberValueDatatype="130" unbalanced="0"/>
    <cacheHierarchy uniqueName="[Acct_Sub_Account_Managerial].[Level16_Code]" caption="Level16_Code" attribute="1" defaultMemberUniqueName="[Acct_Sub_Account_Managerial].[Level16_Code].[All]" allUniqueName="[Acct_Sub_Account_Managerial].[Level16_Code].[All]" dimensionUniqueName="[Acct_Sub_Account_Managerial]" displayFolder="" count="0" memberValueDatatype="130" unbalanced="0"/>
    <cacheHierarchy uniqueName="[Acct_Sub_Account_Managerial].[Level16_Desc]" caption="Level16_Desc" attribute="1" defaultMemberUniqueName="[Acct_Sub_Account_Managerial].[Level16_Desc].[All]" allUniqueName="[Acct_Sub_Account_Managerial].[Level16_Desc].[All]" dimensionUniqueName="[Acct_Sub_Account_Managerial]" displayFolder="" count="0" memberValueDatatype="130" unbalanced="0"/>
    <cacheHierarchy uniqueName="[Acct_Sub_Account_Managerial].[Level17]" caption="Level17" attribute="1" defaultMemberUniqueName="[Acct_Sub_Account_Managerial].[Level17].[All]" allUniqueName="[Acct_Sub_Account_Managerial].[Level17].[All]" dimensionUniqueName="[Acct_Sub_Account_Managerial]" displayFolder="" count="0" memberValueDatatype="130" unbalanced="0"/>
    <cacheHierarchy uniqueName="[Acct_Sub_Account_Managerial].[Level17_Code]" caption="Level17_Code" attribute="1" defaultMemberUniqueName="[Acct_Sub_Account_Managerial].[Level17_Code].[All]" allUniqueName="[Acct_Sub_Account_Managerial].[Level17_Code].[All]" dimensionUniqueName="[Acct_Sub_Account_Managerial]" displayFolder="" count="0" memberValueDatatype="130" unbalanced="0"/>
    <cacheHierarchy uniqueName="[Acct_Sub_Account_Managerial].[Level17_Desc]" caption="Level17_Desc" attribute="1" defaultMemberUniqueName="[Acct_Sub_Account_Managerial].[Level17_Desc].[All]" allUniqueName="[Acct_Sub_Account_Managerial].[Level17_Desc].[All]" dimensionUniqueName="[Acct_Sub_Account_Managerial]" displayFolder="" count="0" memberValueDatatype="130" unbalanced="0"/>
    <cacheHierarchy uniqueName="[Acct_Sub_Account_Managerial].[Level18]" caption="Level18" attribute="1" defaultMemberUniqueName="[Acct_Sub_Account_Managerial].[Level18].[All]" allUniqueName="[Acct_Sub_Account_Managerial].[Level18].[All]" dimensionUniqueName="[Acct_Sub_Account_Managerial]" displayFolder="" count="0" memberValueDatatype="130" unbalanced="0"/>
    <cacheHierarchy uniqueName="[Acct_Sub_Account_Managerial].[Level18_Code]" caption="Level18_Code" attribute="1" defaultMemberUniqueName="[Acct_Sub_Account_Managerial].[Level18_Code].[All]" allUniqueName="[Acct_Sub_Account_Managerial].[Level18_Code].[All]" dimensionUniqueName="[Acct_Sub_Account_Managerial]" displayFolder="" count="0" memberValueDatatype="130" unbalanced="0"/>
    <cacheHierarchy uniqueName="[Acct_Sub_Account_Managerial].[Level18_Desc]" caption="Level18_Desc" attribute="1" defaultMemberUniqueName="[Acct_Sub_Account_Managerial].[Level18_Desc].[All]" allUniqueName="[Acct_Sub_Account_Managerial].[Level18_Desc].[All]" dimensionUniqueName="[Acct_Sub_Account_Managerial]" displayFolder="" count="0" memberValueDatatype="130" unbalanced="0"/>
    <cacheHierarchy uniqueName="[Acct_Sub_Account_Managerial].[Level19]" caption="Level19" attribute="1" defaultMemberUniqueName="[Acct_Sub_Account_Managerial].[Level19].[All]" allUniqueName="[Acct_Sub_Account_Managerial].[Level19].[All]" dimensionUniqueName="[Acct_Sub_Account_Managerial]" displayFolder="" count="0" memberValueDatatype="130" unbalanced="0"/>
    <cacheHierarchy uniqueName="[Acct_Sub_Account_Managerial].[Level19_Code]" caption="Level19_Code" attribute="1" defaultMemberUniqueName="[Acct_Sub_Account_Managerial].[Level19_Code].[All]" allUniqueName="[Acct_Sub_Account_Managerial].[Level19_Code].[All]" dimensionUniqueName="[Acct_Sub_Account_Managerial]" displayFolder="" count="0" memberValueDatatype="130" unbalanced="0"/>
    <cacheHierarchy uniqueName="[Acct_Sub_Account_Managerial].[Level19_Desc]" caption="Level19_Desc" attribute="1" defaultMemberUniqueName="[Acct_Sub_Account_Managerial].[Level19_Desc].[All]" allUniqueName="[Acct_Sub_Account_Managerial].[Level19_Desc].[All]" dimensionUniqueName="[Acct_Sub_Account_Managerial]" displayFolder="" count="0" memberValueDatatype="130" unbalanced="0"/>
    <cacheHierarchy uniqueName="[Acct_Sub_Account_Managerial].[Level20]" caption="Level20" attribute="1" defaultMemberUniqueName="[Acct_Sub_Account_Managerial].[Level20].[All]" allUniqueName="[Acct_Sub_Account_Managerial].[Level20].[All]" dimensionUniqueName="[Acct_Sub_Account_Managerial]" displayFolder="" count="0" memberValueDatatype="130" unbalanced="0"/>
    <cacheHierarchy uniqueName="[Acct_Sub_Account_Managerial].[Level20_Code]" caption="Level20_Code" attribute="1" defaultMemberUniqueName="[Acct_Sub_Account_Managerial].[Level20_Code].[All]" allUniqueName="[Acct_Sub_Account_Managerial].[Level20_Code].[All]" dimensionUniqueName="[Acct_Sub_Account_Managerial]" displayFolder="" count="0" memberValueDatatype="130" unbalanced="0"/>
    <cacheHierarchy uniqueName="[Acct_Sub_Account_Managerial].[Level20_Desc]" caption="Level20_Desc" attribute="1" defaultMemberUniqueName="[Acct_Sub_Account_Managerial].[Level20_Desc].[All]" allUniqueName="[Acct_Sub_Account_Managerial].[Level20_Desc].[All]" dimensionUniqueName="[Acct_Sub_Account_Managerial]" displayFolder="" count="0" memberValueDatatype="130" unbalanced="0"/>
    <cacheHierarchy uniqueName="[Acct_Sub_Account_Managerial].[MGR Sub Account Code]" caption="MGR Sub Account Code" defaultMemberUniqueName="[Acct_Sub_Account_Managerial].[MGR Sub Account Code].[All]" allUniqueName="[Acct_Sub_Account_Managerial].[MGR Sub Account Code].[All]" dimensionUniqueName="[Acct_Sub_Account_Managerial]" displayFolder="" count="0" unbalanced="0"/>
    <cacheHierarchy uniqueName="[Acct_Sub_Account_Managerial].[MGR Sub Account Code Desc]" caption="MGR Sub Account Code Desc" defaultMemberUniqueName="[Acct_Sub_Account_Managerial].[MGR Sub Account Code Desc].[All]" allUniqueName="[Acct_Sub_Account_Managerial].[MGR Sub Account Code Desc].[All]" dimensionUniqueName="[Acct_Sub_Account_Managerial]" displayFolder="" count="0" unbalanced="0"/>
    <cacheHierarchy uniqueName="[Acct_Sub_Account_Managerial].[MGR Sub Account Desc]" caption="MGR Sub Account Desc" defaultMemberUniqueName="[Acct_Sub_Account_Managerial].[MGR Sub Account Desc].[All]" allUniqueName="[Acct_Sub_Account_Managerial].[MGR Sub Account Desc].[All]" dimensionUniqueName="[Acct_Sub_Account_Managerial]" displayFolder="" count="0" unbalanced="0"/>
    <cacheHierarchy uniqueName="[Acct_Sub_Account_Managerial].[Pam_Account_Flag]" caption="Pam_Account_Flag" attribute="1" defaultMemberUniqueName="[Acct_Sub_Account_Managerial].[Pam_Account_Flag].[All]" allUniqueName="[Acct_Sub_Account_Managerial].[Pam_Account_Flag].[All]" dimensionUniqueName="[Acct_Sub_Account_Managerial]" displayFolder="" count="0" memberValueDatatype="130" unbalanced="0"/>
    <cacheHierarchy uniqueName="[Acct_Sub_Account_Managerial].[SL_Account_Code]" caption="SL_Account_Code" attribute="1" defaultMemberUniqueName="[Acct_Sub_Account_Managerial].[SL_Account_Code].[All]" allUniqueName="[Acct_Sub_Account_Managerial].[SL_Account_Code].[All]" dimensionUniqueName="[Acct_Sub_Account_Managerial]" displayFolder="" count="0" memberValueDatatype="130" unbalanced="0"/>
    <cacheHierarchy uniqueName="[Acct_Sub_Account_Managerial].[SL_Account_Code_Desc]" caption="SL_Account_Code_Desc" attribute="1" defaultMemberUniqueName="[Acct_Sub_Account_Managerial].[SL_Account_Code_Desc].[All]" allUniqueName="[Acct_Sub_Account_Managerial].[SL_Account_Code_Desc].[All]" dimensionUniqueName="[Acct_Sub_Account_Managerial]" displayFolder="" count="0" memberValueDatatype="130" unbalanced="0"/>
    <cacheHierarchy uniqueName="[Acct_Sub_Account_Managerial].[SL_Account_Desc]" caption="SL_Account_Desc" attribute="1" defaultMemberUniqueName="[Acct_Sub_Account_Managerial].[SL_Account_Desc].[All]" allUniqueName="[Acct_Sub_Account_Managerial].[SL_Account_Desc].[All]" dimensionUniqueName="[Acct_Sub_Account_Managerial]" displayFolder="" count="0" memberValueDatatype="130" unbalanced="0"/>
    <cacheHierarchy uniqueName="[Acct_Sub_Account_Managerial].[SL_Account_Hier_Name]" caption="SL_Account_Hier_Name" attribute="1" defaultMemberUniqueName="[Acct_Sub_Account_Managerial].[SL_Account_Hier_Name].[All]" allUniqueName="[Acct_Sub_Account_Managerial].[SL_Account_Hier_Name].[All]" dimensionUniqueName="[Acct_Sub_Account_Managerial]" displayFolder="" count="0" memberValueDatatype="130" unbalanced="0"/>
    <cacheHierarchy uniqueName="[Acct_Sub_Account_Managerial].[Tax_Adj_Code]" caption="Tax_Adj_Code" attribute="1" defaultMemberUniqueName="[Acct_Sub_Account_Managerial].[Tax_Adj_Code].[All]" allUniqueName="[Acct_Sub_Account_Managerial].[Tax_Adj_Code].[All]" dimensionUniqueName="[Acct_Sub_Account_Managerial]" displayFolder="" count="0" memberValueDatatype="130" unbalanced="0"/>
    <cacheHierarchy uniqueName="[Acct_Sub_Account_STAT_LIFE].[Account_Type]" caption="Account_Type" attribute="1" defaultMemberUniqueName="[Acct_Sub_Account_STAT_LIFE].[Account_Type].[All]" allUniqueName="[Acct_Sub_Account_STAT_LIFE].[Account_Type].[All]" dimensionUniqueName="[Acct_Sub_Account_STAT_LIFE]" displayFolder="" count="0" memberValueDatatype="130" unbalanced="0"/>
    <cacheHierarchy uniqueName="[Acct_Sub_Account_STAT_LIFE].[GL_Account_Code]" caption="GL_Account_Code" attribute="1" defaultMemberUniqueName="[Acct_Sub_Account_STAT_LIFE].[GL_Account_Code].[All]" allUniqueName="[Acct_Sub_Account_STAT_LIFE].[GL_Account_Code].[All]" dimensionUniqueName="[Acct_Sub_Account_STAT_LIFE]" displayFolder="" count="0" memberValueDatatype="130" unbalanced="0"/>
    <cacheHierarchy uniqueName="[Acct_Sub_Account_STAT_LIFE].[Hier_STATLIFE Sub Account Code]" caption="Hier_STATLIFE Sub Account Code" defaultMemberUniqueName="[Acct_Sub_Account_STAT_LIFE].[Hier_STATLIFE Sub Account Code].[All]" allUniqueName="[Acct_Sub_Account_STAT_LIFE].[Hier_STATLIFE Sub Account Code].[All]" dimensionUniqueName="[Acct_Sub_Account_STAT_LIFE]" displayFolder="" count="0" unbalanced="0"/>
    <cacheHierarchy uniqueName="[Acct_Sub_Account_STAT_LIFE].[Hier_STATLIFE Sub Account Code Desc]" caption="Hier_STATLIFE Sub Account Code Desc" defaultMemberUniqueName="[Acct_Sub_Account_STAT_LIFE].[Hier_STATLIFE Sub Account Code Desc].[All]" allUniqueName="[Acct_Sub_Account_STAT_LIFE].[Hier_STATLIFE Sub Account Code Desc].[All]" dimensionUniqueName="[Acct_Sub_Account_STAT_LIFE]" displayFolder="" count="0" unbalanced="0"/>
    <cacheHierarchy uniqueName="[Acct_Sub_Account_STAT_LIFE].[Hier_STATLIFE Sub Account Desc]" caption="Hier_STATLIFE Sub Account Desc" defaultMemberUniqueName="[Acct_Sub_Account_STAT_LIFE].[Hier_STATLIFE Sub Account Desc].[All]" allUniqueName="[Acct_Sub_Account_STAT_LIFE].[Hier_STATLIFE Sub Account Desc].[All]" dimensionUniqueName="[Acct_Sub_Account_STAT_LIFE]" displayFolder="" count="0" unbalanced="0"/>
    <cacheHierarchy uniqueName="[Acct_Sub_Account_STAT_LIFE].[Level01]" caption="Level01" attribute="1" defaultMemberUniqueName="[Acct_Sub_Account_STAT_LIFE].[Level01].[All]" allUniqueName="[Acct_Sub_Account_STAT_LIFE].[Level01].[All]" dimensionUniqueName="[Acct_Sub_Account_STAT_LIFE]" displayFolder="" count="0" memberValueDatatype="130" unbalanced="0"/>
    <cacheHierarchy uniqueName="[Acct_Sub_Account_STAT_LIFE].[Level01_Code]" caption="Level01_Code" attribute="1" defaultMemberUniqueName="[Acct_Sub_Account_STAT_LIFE].[Level01_Code].[All]" allUniqueName="[Acct_Sub_Account_STAT_LIFE].[Level01_Code].[All]" dimensionUniqueName="[Acct_Sub_Account_STAT_LIFE]" displayFolder="" count="0" memberValueDatatype="130" unbalanced="0"/>
    <cacheHierarchy uniqueName="[Acct_Sub_Account_STAT_LIFE].[Level01_Desc]" caption="Level01_Desc" attribute="1" defaultMemberUniqueName="[Acct_Sub_Account_STAT_LIFE].[Level01_Desc].[All]" allUniqueName="[Acct_Sub_Account_STAT_LIFE].[Level01_Desc].[All]" dimensionUniqueName="[Acct_Sub_Account_STAT_LIFE]" displayFolder="" count="0" memberValueDatatype="130" unbalanced="0"/>
    <cacheHierarchy uniqueName="[Acct_Sub_Account_STAT_LIFE].[Level02]" caption="Level02" attribute="1" defaultMemberUniqueName="[Acct_Sub_Account_STAT_LIFE].[Level02].[All]" allUniqueName="[Acct_Sub_Account_STAT_LIFE].[Level02].[All]" dimensionUniqueName="[Acct_Sub_Account_STAT_LIFE]" displayFolder="" count="0" memberValueDatatype="130" unbalanced="0"/>
    <cacheHierarchy uniqueName="[Acct_Sub_Account_STAT_LIFE].[Level02_Code]" caption="Level02_Code" attribute="1" defaultMemberUniqueName="[Acct_Sub_Account_STAT_LIFE].[Level02_Code].[All]" allUniqueName="[Acct_Sub_Account_STAT_LIFE].[Level02_Code].[All]" dimensionUniqueName="[Acct_Sub_Account_STAT_LIFE]" displayFolder="" count="0" memberValueDatatype="130" unbalanced="0"/>
    <cacheHierarchy uniqueName="[Acct_Sub_Account_STAT_LIFE].[Level02_Desc]" caption="Level02_Desc" attribute="1" defaultMemberUniqueName="[Acct_Sub_Account_STAT_LIFE].[Level02_Desc].[All]" allUniqueName="[Acct_Sub_Account_STAT_LIFE].[Level02_Desc].[All]" dimensionUniqueName="[Acct_Sub_Account_STAT_LIFE]" displayFolder="" count="0" memberValueDatatype="130" unbalanced="0"/>
    <cacheHierarchy uniqueName="[Acct_Sub_Account_STAT_LIFE].[Level03]" caption="Level03" attribute="1" defaultMemberUniqueName="[Acct_Sub_Account_STAT_LIFE].[Level03].[All]" allUniqueName="[Acct_Sub_Account_STAT_LIFE].[Level03].[All]" dimensionUniqueName="[Acct_Sub_Account_STAT_LIFE]" displayFolder="" count="0" memberValueDatatype="130" unbalanced="0"/>
    <cacheHierarchy uniqueName="[Acct_Sub_Account_STAT_LIFE].[Level03_Code]" caption="Level03_Code" attribute="1" defaultMemberUniqueName="[Acct_Sub_Account_STAT_LIFE].[Level03_Code].[All]" allUniqueName="[Acct_Sub_Account_STAT_LIFE].[Level03_Code].[All]" dimensionUniqueName="[Acct_Sub_Account_STAT_LIFE]" displayFolder="" count="0" memberValueDatatype="130" unbalanced="0"/>
    <cacheHierarchy uniqueName="[Acct_Sub_Account_STAT_LIFE].[Level03_Desc]" caption="Level03_Desc" attribute="1" defaultMemberUniqueName="[Acct_Sub_Account_STAT_LIFE].[Level03_Desc].[All]" allUniqueName="[Acct_Sub_Account_STAT_LIFE].[Level03_Desc].[All]" dimensionUniqueName="[Acct_Sub_Account_STAT_LIFE]" displayFolder="" count="0" memberValueDatatype="130" unbalanced="0"/>
    <cacheHierarchy uniqueName="[Acct_Sub_Account_STAT_LIFE].[Level04]" caption="Level04" attribute="1" defaultMemberUniqueName="[Acct_Sub_Account_STAT_LIFE].[Level04].[All]" allUniqueName="[Acct_Sub_Account_STAT_LIFE].[Level04].[All]" dimensionUniqueName="[Acct_Sub_Account_STAT_LIFE]" displayFolder="" count="0" memberValueDatatype="130" unbalanced="0"/>
    <cacheHierarchy uniqueName="[Acct_Sub_Account_STAT_LIFE].[Level04_Code]" caption="Level04_Code" attribute="1" defaultMemberUniqueName="[Acct_Sub_Account_STAT_LIFE].[Level04_Code].[All]" allUniqueName="[Acct_Sub_Account_STAT_LIFE].[Level04_Code].[All]" dimensionUniqueName="[Acct_Sub_Account_STAT_LIFE]" displayFolder="" count="0" memberValueDatatype="130" unbalanced="0"/>
    <cacheHierarchy uniqueName="[Acct_Sub_Account_STAT_LIFE].[Level04_Desc]" caption="Level04_Desc" attribute="1" defaultMemberUniqueName="[Acct_Sub_Account_STAT_LIFE].[Level04_Desc].[All]" allUniqueName="[Acct_Sub_Account_STAT_LIFE].[Level04_Desc].[All]" dimensionUniqueName="[Acct_Sub_Account_STAT_LIFE]" displayFolder="" count="0" memberValueDatatype="130" unbalanced="0"/>
    <cacheHierarchy uniqueName="[Acct_Sub_Account_STAT_LIFE].[Level05]" caption="Level05" attribute="1" defaultMemberUniqueName="[Acct_Sub_Account_STAT_LIFE].[Level05].[All]" allUniqueName="[Acct_Sub_Account_STAT_LIFE].[Level05].[All]" dimensionUniqueName="[Acct_Sub_Account_STAT_LIFE]" displayFolder="" count="0" memberValueDatatype="130" unbalanced="0"/>
    <cacheHierarchy uniqueName="[Acct_Sub_Account_STAT_LIFE].[Level05_Code]" caption="Level05_Code" attribute="1" defaultMemberUniqueName="[Acct_Sub_Account_STAT_LIFE].[Level05_Code].[All]" allUniqueName="[Acct_Sub_Account_STAT_LIFE].[Level05_Code].[All]" dimensionUniqueName="[Acct_Sub_Account_STAT_LIFE]" displayFolder="" count="0" memberValueDatatype="130" unbalanced="0"/>
    <cacheHierarchy uniqueName="[Acct_Sub_Account_STAT_LIFE].[Level05_Desc]" caption="Level05_Desc" attribute="1" defaultMemberUniqueName="[Acct_Sub_Account_STAT_LIFE].[Level05_Desc].[All]" allUniqueName="[Acct_Sub_Account_STAT_LIFE].[Level05_Desc].[All]" dimensionUniqueName="[Acct_Sub_Account_STAT_LIFE]" displayFolder="" count="0" memberValueDatatype="130" unbalanced="0"/>
    <cacheHierarchy uniqueName="[Acct_Sub_Account_STAT_LIFE].[Level06]" caption="Level06" attribute="1" defaultMemberUniqueName="[Acct_Sub_Account_STAT_LIFE].[Level06].[All]" allUniqueName="[Acct_Sub_Account_STAT_LIFE].[Level06].[All]" dimensionUniqueName="[Acct_Sub_Account_STAT_LIFE]" displayFolder="" count="0" memberValueDatatype="130" unbalanced="0"/>
    <cacheHierarchy uniqueName="[Acct_Sub_Account_STAT_LIFE].[Level06_Code]" caption="Level06_Code" attribute="1" defaultMemberUniqueName="[Acct_Sub_Account_STAT_LIFE].[Level06_Code].[All]" allUniqueName="[Acct_Sub_Account_STAT_LIFE].[Level06_Code].[All]" dimensionUniqueName="[Acct_Sub_Account_STAT_LIFE]" displayFolder="" count="0" memberValueDatatype="130" unbalanced="0"/>
    <cacheHierarchy uniqueName="[Acct_Sub_Account_STAT_LIFE].[Level06_Desc]" caption="Level06_Desc" attribute="1" defaultMemberUniqueName="[Acct_Sub_Account_STAT_LIFE].[Level06_Desc].[All]" allUniqueName="[Acct_Sub_Account_STAT_LIFE].[Level06_Desc].[All]" dimensionUniqueName="[Acct_Sub_Account_STAT_LIFE]" displayFolder="" count="0" memberValueDatatype="130" unbalanced="0"/>
    <cacheHierarchy uniqueName="[Acct_Sub_Account_STAT_LIFE].[Level07]" caption="Level07" attribute="1" defaultMemberUniqueName="[Acct_Sub_Account_STAT_LIFE].[Level07].[All]" allUniqueName="[Acct_Sub_Account_STAT_LIFE].[Level07].[All]" dimensionUniqueName="[Acct_Sub_Account_STAT_LIFE]" displayFolder="" count="0" memberValueDatatype="130" unbalanced="0"/>
    <cacheHierarchy uniqueName="[Acct_Sub_Account_STAT_LIFE].[Level07_Code]" caption="Level07_Code" attribute="1" defaultMemberUniqueName="[Acct_Sub_Account_STAT_LIFE].[Level07_Code].[All]" allUniqueName="[Acct_Sub_Account_STAT_LIFE].[Level07_Code].[All]" dimensionUniqueName="[Acct_Sub_Account_STAT_LIFE]" displayFolder="" count="0" memberValueDatatype="130" unbalanced="0"/>
    <cacheHierarchy uniqueName="[Acct_Sub_Account_STAT_LIFE].[Level07_Desc]" caption="Level07_Desc" attribute="1" defaultMemberUniqueName="[Acct_Sub_Account_STAT_LIFE].[Level07_Desc].[All]" allUniqueName="[Acct_Sub_Account_STAT_LIFE].[Level07_Desc].[All]" dimensionUniqueName="[Acct_Sub_Account_STAT_LIFE]" displayFolder="" count="0" memberValueDatatype="130" unbalanced="0"/>
    <cacheHierarchy uniqueName="[Acct_Sub_Account_STAT_LIFE].[Level08]" caption="Level08" attribute="1" defaultMemberUniqueName="[Acct_Sub_Account_STAT_LIFE].[Level08].[All]" allUniqueName="[Acct_Sub_Account_STAT_LIFE].[Level08].[All]" dimensionUniqueName="[Acct_Sub_Account_STAT_LIFE]" displayFolder="" count="0" memberValueDatatype="130" unbalanced="0"/>
    <cacheHierarchy uniqueName="[Acct_Sub_Account_STAT_LIFE].[Level08_Code]" caption="Level08_Code" attribute="1" defaultMemberUniqueName="[Acct_Sub_Account_STAT_LIFE].[Level08_Code].[All]" allUniqueName="[Acct_Sub_Account_STAT_LIFE].[Level08_Code].[All]" dimensionUniqueName="[Acct_Sub_Account_STAT_LIFE]" displayFolder="" count="0" memberValueDatatype="130" unbalanced="0"/>
    <cacheHierarchy uniqueName="[Acct_Sub_Account_STAT_LIFE].[Level08_Desc]" caption="Level08_Desc" attribute="1" defaultMemberUniqueName="[Acct_Sub_Account_STAT_LIFE].[Level08_Desc].[All]" allUniqueName="[Acct_Sub_Account_STAT_LIFE].[Level08_Desc].[All]" dimensionUniqueName="[Acct_Sub_Account_STAT_LIFE]" displayFolder="" count="0" memberValueDatatype="130" unbalanced="0"/>
    <cacheHierarchy uniqueName="[Acct_Sub_Account_STAT_LIFE].[Level09]" caption="Level09" attribute="1" defaultMemberUniqueName="[Acct_Sub_Account_STAT_LIFE].[Level09].[All]" allUniqueName="[Acct_Sub_Account_STAT_LIFE].[Level09].[All]" dimensionUniqueName="[Acct_Sub_Account_STAT_LIFE]" displayFolder="" count="0" memberValueDatatype="130" unbalanced="0"/>
    <cacheHierarchy uniqueName="[Acct_Sub_Account_STAT_LIFE].[Level09_Code]" caption="Level09_Code" attribute="1" defaultMemberUniqueName="[Acct_Sub_Account_STAT_LIFE].[Level09_Code].[All]" allUniqueName="[Acct_Sub_Account_STAT_LIFE].[Level09_Code].[All]" dimensionUniqueName="[Acct_Sub_Account_STAT_LIFE]" displayFolder="" count="0" memberValueDatatype="130" unbalanced="0"/>
    <cacheHierarchy uniqueName="[Acct_Sub_Account_STAT_LIFE].[Level09_Desc]" caption="Level09_Desc" attribute="1" defaultMemberUniqueName="[Acct_Sub_Account_STAT_LIFE].[Level09_Desc].[All]" allUniqueName="[Acct_Sub_Account_STAT_LIFE].[Level09_Desc].[All]" dimensionUniqueName="[Acct_Sub_Account_STAT_LIFE]" displayFolder="" count="0" memberValueDatatype="130" unbalanced="0"/>
    <cacheHierarchy uniqueName="[Acct_Sub_Account_STAT_LIFE].[Level10]" caption="Level10" attribute="1" defaultMemberUniqueName="[Acct_Sub_Account_STAT_LIFE].[Level10].[All]" allUniqueName="[Acct_Sub_Account_STAT_LIFE].[Level10].[All]" dimensionUniqueName="[Acct_Sub_Account_STAT_LIFE]" displayFolder="" count="0" memberValueDatatype="130" unbalanced="0"/>
    <cacheHierarchy uniqueName="[Acct_Sub_Account_STAT_LIFE].[Level10_Code]" caption="Level10_Code" attribute="1" defaultMemberUniqueName="[Acct_Sub_Account_STAT_LIFE].[Level10_Code].[All]" allUniqueName="[Acct_Sub_Account_STAT_LIFE].[Level10_Code].[All]" dimensionUniqueName="[Acct_Sub_Account_STAT_LIFE]" displayFolder="" count="0" memberValueDatatype="130" unbalanced="0"/>
    <cacheHierarchy uniqueName="[Acct_Sub_Account_STAT_LIFE].[Level10_Desc]" caption="Level10_Desc" attribute="1" defaultMemberUniqueName="[Acct_Sub_Account_STAT_LIFE].[Level10_Desc].[All]" allUniqueName="[Acct_Sub_Account_STAT_LIFE].[Level10_Desc].[All]" dimensionUniqueName="[Acct_Sub_Account_STAT_LIFE]" displayFolder="" count="0" memberValueDatatype="130" unbalanced="0"/>
    <cacheHierarchy uniqueName="[Acct_Sub_Account_STAT_LIFE].[Level11]" caption="Level11" attribute="1" defaultMemberUniqueName="[Acct_Sub_Account_STAT_LIFE].[Level11].[All]" allUniqueName="[Acct_Sub_Account_STAT_LIFE].[Level11].[All]" dimensionUniqueName="[Acct_Sub_Account_STAT_LIFE]" displayFolder="" count="0" memberValueDatatype="130" unbalanced="0"/>
    <cacheHierarchy uniqueName="[Acct_Sub_Account_STAT_LIFE].[Level11_Code]" caption="Level11_Code" attribute="1" defaultMemberUniqueName="[Acct_Sub_Account_STAT_LIFE].[Level11_Code].[All]" allUniqueName="[Acct_Sub_Account_STAT_LIFE].[Level11_Code].[All]" dimensionUniqueName="[Acct_Sub_Account_STAT_LIFE]" displayFolder="" count="0" memberValueDatatype="130" unbalanced="0"/>
    <cacheHierarchy uniqueName="[Acct_Sub_Account_STAT_LIFE].[Level11_Desc]" caption="Level11_Desc" attribute="1" defaultMemberUniqueName="[Acct_Sub_Account_STAT_LIFE].[Level11_Desc].[All]" allUniqueName="[Acct_Sub_Account_STAT_LIFE].[Level11_Desc].[All]" dimensionUniqueName="[Acct_Sub_Account_STAT_LIFE]" displayFolder="" count="0" memberValueDatatype="130" unbalanced="0"/>
    <cacheHierarchy uniqueName="[Acct_Sub_Account_STAT_LIFE].[Level12]" caption="Level12" attribute="1" defaultMemberUniqueName="[Acct_Sub_Account_STAT_LIFE].[Level12].[All]" allUniqueName="[Acct_Sub_Account_STAT_LIFE].[Level12].[All]" dimensionUniqueName="[Acct_Sub_Account_STAT_LIFE]" displayFolder="" count="0" memberValueDatatype="130" unbalanced="0"/>
    <cacheHierarchy uniqueName="[Acct_Sub_Account_STAT_LIFE].[Level12_Code]" caption="Level12_Code" attribute="1" defaultMemberUniqueName="[Acct_Sub_Account_STAT_LIFE].[Level12_Code].[All]" allUniqueName="[Acct_Sub_Account_STAT_LIFE].[Level12_Code].[All]" dimensionUniqueName="[Acct_Sub_Account_STAT_LIFE]" displayFolder="" count="0" memberValueDatatype="130" unbalanced="0"/>
    <cacheHierarchy uniqueName="[Acct_Sub_Account_STAT_LIFE].[Level12_Desc]" caption="Level12_Desc" attribute="1" defaultMemberUniqueName="[Acct_Sub_Account_STAT_LIFE].[Level12_Desc].[All]" allUniqueName="[Acct_Sub_Account_STAT_LIFE].[Level12_Desc].[All]" dimensionUniqueName="[Acct_Sub_Account_STAT_LIFE]" displayFolder="" count="0" memberValueDatatype="130" unbalanced="0"/>
    <cacheHierarchy uniqueName="[Acct_Sub_Account_STAT_LIFE].[Level13]" caption="Level13" attribute="1" defaultMemberUniqueName="[Acct_Sub_Account_STAT_LIFE].[Level13].[All]" allUniqueName="[Acct_Sub_Account_STAT_LIFE].[Level13].[All]" dimensionUniqueName="[Acct_Sub_Account_STAT_LIFE]" displayFolder="" count="0" memberValueDatatype="130" unbalanced="0"/>
    <cacheHierarchy uniqueName="[Acct_Sub_Account_STAT_LIFE].[Level13_Code]" caption="Level13_Code" attribute="1" defaultMemberUniqueName="[Acct_Sub_Account_STAT_LIFE].[Level13_Code].[All]" allUniqueName="[Acct_Sub_Account_STAT_LIFE].[Level13_Code].[All]" dimensionUniqueName="[Acct_Sub_Account_STAT_LIFE]" displayFolder="" count="0" memberValueDatatype="130" unbalanced="0"/>
    <cacheHierarchy uniqueName="[Acct_Sub_Account_STAT_LIFE].[Level13_Desc]" caption="Level13_Desc" attribute="1" defaultMemberUniqueName="[Acct_Sub_Account_STAT_LIFE].[Level13_Desc].[All]" allUniqueName="[Acct_Sub_Account_STAT_LIFE].[Level13_Desc].[All]" dimensionUniqueName="[Acct_Sub_Account_STAT_LIFE]" displayFolder="" count="0" memberValueDatatype="130" unbalanced="0"/>
    <cacheHierarchy uniqueName="[Acct_Sub_Account_STAT_LIFE].[Level14]" caption="Level14" attribute="1" defaultMemberUniqueName="[Acct_Sub_Account_STAT_LIFE].[Level14].[All]" allUniqueName="[Acct_Sub_Account_STAT_LIFE].[Level14].[All]" dimensionUniqueName="[Acct_Sub_Account_STAT_LIFE]" displayFolder="" count="0" memberValueDatatype="130" unbalanced="0"/>
    <cacheHierarchy uniqueName="[Acct_Sub_Account_STAT_LIFE].[Level14_Code]" caption="Level14_Code" attribute="1" defaultMemberUniqueName="[Acct_Sub_Account_STAT_LIFE].[Level14_Code].[All]" allUniqueName="[Acct_Sub_Account_STAT_LIFE].[Level14_Code].[All]" dimensionUniqueName="[Acct_Sub_Account_STAT_LIFE]" displayFolder="" count="0" memberValueDatatype="130" unbalanced="0"/>
    <cacheHierarchy uniqueName="[Acct_Sub_Account_STAT_LIFE].[Level14_Desc]" caption="Level14_Desc" attribute="1" defaultMemberUniqueName="[Acct_Sub_Account_STAT_LIFE].[Level14_Desc].[All]" allUniqueName="[Acct_Sub_Account_STAT_LIFE].[Level14_Desc].[All]" dimensionUniqueName="[Acct_Sub_Account_STAT_LIFE]" displayFolder="" count="0" memberValueDatatype="130" unbalanced="0"/>
    <cacheHierarchy uniqueName="[Acct_Sub_Account_STAT_LIFE].[Level15]" caption="Level15" attribute="1" defaultMemberUniqueName="[Acct_Sub_Account_STAT_LIFE].[Level15].[All]" allUniqueName="[Acct_Sub_Account_STAT_LIFE].[Level15].[All]" dimensionUniqueName="[Acct_Sub_Account_STAT_LIFE]" displayFolder="" count="0" memberValueDatatype="130" unbalanced="0"/>
    <cacheHierarchy uniqueName="[Acct_Sub_Account_STAT_LIFE].[Level15_Code]" caption="Level15_Code" attribute="1" defaultMemberUniqueName="[Acct_Sub_Account_STAT_LIFE].[Level15_Code].[All]" allUniqueName="[Acct_Sub_Account_STAT_LIFE].[Level15_Code].[All]" dimensionUniqueName="[Acct_Sub_Account_STAT_LIFE]" displayFolder="" count="0" memberValueDatatype="130" unbalanced="0"/>
    <cacheHierarchy uniqueName="[Acct_Sub_Account_STAT_LIFE].[Level15_Desc]" caption="Level15_Desc" attribute="1" defaultMemberUniqueName="[Acct_Sub_Account_STAT_LIFE].[Level15_Desc].[All]" allUniqueName="[Acct_Sub_Account_STAT_LIFE].[Level15_Desc].[All]" dimensionUniqueName="[Acct_Sub_Account_STAT_LIFE]" displayFolder="" count="0" memberValueDatatype="130" unbalanced="0"/>
    <cacheHierarchy uniqueName="[Acct_Sub_Account_STAT_LIFE].[Level16]" caption="Level16" attribute="1" defaultMemberUniqueName="[Acct_Sub_Account_STAT_LIFE].[Level16].[All]" allUniqueName="[Acct_Sub_Account_STAT_LIFE].[Level16].[All]" dimensionUniqueName="[Acct_Sub_Account_STAT_LIFE]" displayFolder="" count="0" memberValueDatatype="130" unbalanced="0"/>
    <cacheHierarchy uniqueName="[Acct_Sub_Account_STAT_LIFE].[Level16_Code]" caption="Level16_Code" attribute="1" defaultMemberUniqueName="[Acct_Sub_Account_STAT_LIFE].[Level16_Code].[All]" allUniqueName="[Acct_Sub_Account_STAT_LIFE].[Level16_Code].[All]" dimensionUniqueName="[Acct_Sub_Account_STAT_LIFE]" displayFolder="" count="0" memberValueDatatype="130" unbalanced="0"/>
    <cacheHierarchy uniqueName="[Acct_Sub_Account_STAT_LIFE].[Level16_Desc]" caption="Level16_Desc" attribute="1" defaultMemberUniqueName="[Acct_Sub_Account_STAT_LIFE].[Level16_Desc].[All]" allUniqueName="[Acct_Sub_Account_STAT_LIFE].[Level16_Desc].[All]" dimensionUniqueName="[Acct_Sub_Account_STAT_LIFE]" displayFolder="" count="0" memberValueDatatype="130" unbalanced="0"/>
    <cacheHierarchy uniqueName="[Acct_Sub_Account_STAT_LIFE].[Level17]" caption="Level17" attribute="1" defaultMemberUniqueName="[Acct_Sub_Account_STAT_LIFE].[Level17].[All]" allUniqueName="[Acct_Sub_Account_STAT_LIFE].[Level17].[All]" dimensionUniqueName="[Acct_Sub_Account_STAT_LIFE]" displayFolder="" count="0" memberValueDatatype="130" unbalanced="0"/>
    <cacheHierarchy uniqueName="[Acct_Sub_Account_STAT_LIFE].[Level17_Code]" caption="Level17_Code" attribute="1" defaultMemberUniqueName="[Acct_Sub_Account_STAT_LIFE].[Level17_Code].[All]" allUniqueName="[Acct_Sub_Account_STAT_LIFE].[Level17_Code].[All]" dimensionUniqueName="[Acct_Sub_Account_STAT_LIFE]" displayFolder="" count="0" memberValueDatatype="130" unbalanced="0"/>
    <cacheHierarchy uniqueName="[Acct_Sub_Account_STAT_LIFE].[Level17_Desc]" caption="Level17_Desc" attribute="1" defaultMemberUniqueName="[Acct_Sub_Account_STAT_LIFE].[Level17_Desc].[All]" allUniqueName="[Acct_Sub_Account_STAT_LIFE].[Level17_Desc].[All]" dimensionUniqueName="[Acct_Sub_Account_STAT_LIFE]" displayFolder="" count="0" memberValueDatatype="130" unbalanced="0"/>
    <cacheHierarchy uniqueName="[Acct_Sub_Account_STAT_LIFE].[Level18]" caption="Level18" attribute="1" defaultMemberUniqueName="[Acct_Sub_Account_STAT_LIFE].[Level18].[All]" allUniqueName="[Acct_Sub_Account_STAT_LIFE].[Level18].[All]" dimensionUniqueName="[Acct_Sub_Account_STAT_LIFE]" displayFolder="" count="0" memberValueDatatype="130" unbalanced="0"/>
    <cacheHierarchy uniqueName="[Acct_Sub_Account_STAT_LIFE].[Level18_Code]" caption="Level18_Code" attribute="1" defaultMemberUniqueName="[Acct_Sub_Account_STAT_LIFE].[Level18_Code].[All]" allUniqueName="[Acct_Sub_Account_STAT_LIFE].[Level18_Code].[All]" dimensionUniqueName="[Acct_Sub_Account_STAT_LIFE]" displayFolder="" count="0" memberValueDatatype="130" unbalanced="0"/>
    <cacheHierarchy uniqueName="[Acct_Sub_Account_STAT_LIFE].[Level18_Desc]" caption="Level18_Desc" attribute="1" defaultMemberUniqueName="[Acct_Sub_Account_STAT_LIFE].[Level18_Desc].[All]" allUniqueName="[Acct_Sub_Account_STAT_LIFE].[Level18_Desc].[All]" dimensionUniqueName="[Acct_Sub_Account_STAT_LIFE]" displayFolder="" count="0" memberValueDatatype="130" unbalanced="0"/>
    <cacheHierarchy uniqueName="[Acct_Sub_Account_STAT_LIFE].[Level19]" caption="Level19" attribute="1" defaultMemberUniqueName="[Acct_Sub_Account_STAT_LIFE].[Level19].[All]" allUniqueName="[Acct_Sub_Account_STAT_LIFE].[Level19].[All]" dimensionUniqueName="[Acct_Sub_Account_STAT_LIFE]" displayFolder="" count="0" memberValueDatatype="130" unbalanced="0"/>
    <cacheHierarchy uniqueName="[Acct_Sub_Account_STAT_LIFE].[Level19_Code]" caption="Level19_Code" attribute="1" defaultMemberUniqueName="[Acct_Sub_Account_STAT_LIFE].[Level19_Code].[All]" allUniqueName="[Acct_Sub_Account_STAT_LIFE].[Level19_Code].[All]" dimensionUniqueName="[Acct_Sub_Account_STAT_LIFE]" displayFolder="" count="0" memberValueDatatype="130" unbalanced="0"/>
    <cacheHierarchy uniqueName="[Acct_Sub_Account_STAT_LIFE].[Level19_Desc]" caption="Level19_Desc" attribute="1" defaultMemberUniqueName="[Acct_Sub_Account_STAT_LIFE].[Level19_Desc].[All]" allUniqueName="[Acct_Sub_Account_STAT_LIFE].[Level19_Desc].[All]" dimensionUniqueName="[Acct_Sub_Account_STAT_LIFE]" displayFolder="" count="0" memberValueDatatype="130" unbalanced="0"/>
    <cacheHierarchy uniqueName="[Acct_Sub_Account_STAT_LIFE].[Level20]" caption="Level20" attribute="1" defaultMemberUniqueName="[Acct_Sub_Account_STAT_LIFE].[Level20].[All]" allUniqueName="[Acct_Sub_Account_STAT_LIFE].[Level20].[All]" dimensionUniqueName="[Acct_Sub_Account_STAT_LIFE]" displayFolder="" count="0" memberValueDatatype="130" unbalanced="0"/>
    <cacheHierarchy uniqueName="[Acct_Sub_Account_STAT_LIFE].[Level20_Code]" caption="Level20_Code" attribute="1" defaultMemberUniqueName="[Acct_Sub_Account_STAT_LIFE].[Level20_Code].[All]" allUniqueName="[Acct_Sub_Account_STAT_LIFE].[Level20_Code].[All]" dimensionUniqueName="[Acct_Sub_Account_STAT_LIFE]" displayFolder="" count="0" memberValueDatatype="130" unbalanced="0"/>
    <cacheHierarchy uniqueName="[Acct_Sub_Account_STAT_LIFE].[Level20_Desc]" caption="Level20_Desc" attribute="1" defaultMemberUniqueName="[Acct_Sub_Account_STAT_LIFE].[Level20_Desc].[All]" allUniqueName="[Acct_Sub_Account_STAT_LIFE].[Level20_Desc].[All]" dimensionUniqueName="[Acct_Sub_Account_STAT_LIFE]" displayFolder="" count="0" memberValueDatatype="130" unbalanced="0"/>
    <cacheHierarchy uniqueName="[Acct_Sub_Account_STAT_LIFE].[SL_Account_Code]" caption="SL_Account_Code" attribute="1" defaultMemberUniqueName="[Acct_Sub_Account_STAT_LIFE].[SL_Account_Code].[All]" allUniqueName="[Acct_Sub_Account_STAT_LIFE].[SL_Account_Code].[All]" dimensionUniqueName="[Acct_Sub_Account_STAT_LIFE]" displayFolder="" count="0" memberValueDatatype="130" unbalanced="0"/>
    <cacheHierarchy uniqueName="[Acct_Sub_Account_STAT_LIFE].[SL_Account_Code_Desc]" caption="SL_Account_Code_Desc" attribute="1" defaultMemberUniqueName="[Acct_Sub_Account_STAT_LIFE].[SL_Account_Code_Desc].[All]" allUniqueName="[Acct_Sub_Account_STAT_LIFE].[SL_Account_Code_Desc].[All]" dimensionUniqueName="[Acct_Sub_Account_STAT_LIFE]" displayFolder="" count="0" memberValueDatatype="130" unbalanced="0"/>
    <cacheHierarchy uniqueName="[Acct_Sub_Account_STAT_LIFE].[SL_Account_Desc]" caption="SL_Account_Desc" attribute="1" defaultMemberUniqueName="[Acct_Sub_Account_STAT_LIFE].[SL_Account_Desc].[All]" allUniqueName="[Acct_Sub_Account_STAT_LIFE].[SL_Account_Desc].[All]" dimensionUniqueName="[Acct_Sub_Account_STAT_LIFE]" displayFolder="" count="0" memberValueDatatype="130" unbalanced="0"/>
    <cacheHierarchy uniqueName="[Acct_Sub_Account_STAT_LIFE].[SL_Account_Hier_Name]" caption="SL_Account_Hier_Name" attribute="1" defaultMemberUniqueName="[Acct_Sub_Account_STAT_LIFE].[SL_Account_Hier_Name].[All]" allUniqueName="[Acct_Sub_Account_STAT_LIFE].[SL_Account_Hier_Name].[All]" dimensionUniqueName="[Acct_Sub_Account_STAT_LIFE]" displayFolder="" count="0" memberValueDatatype="130" unbalanced="0"/>
    <cacheHierarchy uniqueName="[Acct_Sub_Account_STAT_LIFE].[STATLIFE Sub Account Code]" caption="STATLIFE Sub Account Code" defaultMemberUniqueName="[Acct_Sub_Account_STAT_LIFE].[STATLIFE Sub Account Code].[All]" allUniqueName="[Acct_Sub_Account_STAT_LIFE].[STATLIFE Sub Account Code].[All]" dimensionUniqueName="[Acct_Sub_Account_STAT_LIFE]" displayFolder="" count="0" unbalanced="0"/>
    <cacheHierarchy uniqueName="[Acct_Sub_Account_STAT_LIFE].[STATLIFE Sub Account Code Desc]" caption="STATLIFE Sub Account Code Desc" defaultMemberUniqueName="[Acct_Sub_Account_STAT_LIFE].[STATLIFE Sub Account Code Desc].[All]" allUniqueName="[Acct_Sub_Account_STAT_LIFE].[STATLIFE Sub Account Code Desc].[All]" dimensionUniqueName="[Acct_Sub_Account_STAT_LIFE]" displayFolder="" count="0" unbalanced="0"/>
    <cacheHierarchy uniqueName="[Acct_Sub_Account_STAT_LIFE].[STATLIFE Sub Account Desc]" caption="STATLIFE Sub Account Desc" defaultMemberUniqueName="[Acct_Sub_Account_STAT_LIFE].[STATLIFE Sub Account Desc].[All]" allUniqueName="[Acct_Sub_Account_STAT_LIFE].[STATLIFE Sub Account Desc].[All]" dimensionUniqueName="[Acct_Sub_Account_STAT_LIFE]" displayFolder="" count="0" unbalanced="0"/>
    <cacheHierarchy uniqueName="[Acct_Sub_Account_STAT_PC].[Account_Type]" caption="Account_Type" attribute="1" defaultMemberUniqueName="[Acct_Sub_Account_STAT_PC].[Account_Type].[All]" allUniqueName="[Acct_Sub_Account_STAT_PC].[Account_Type].[All]" dimensionUniqueName="[Acct_Sub_Account_STAT_PC]" displayFolder="" count="0" memberValueDatatype="130" unbalanced="0"/>
    <cacheHierarchy uniqueName="[Acct_Sub_Account_STAT_PC].[GL_Account_Code]" caption="GL_Account_Code" attribute="1" defaultMemberUniqueName="[Acct_Sub_Account_STAT_PC].[GL_Account_Code].[All]" allUniqueName="[Acct_Sub_Account_STAT_PC].[GL_Account_Code].[All]" dimensionUniqueName="[Acct_Sub_Account_STAT_PC]" displayFolder="" count="0" memberValueDatatype="130" unbalanced="0"/>
    <cacheHierarchy uniqueName="[Acct_Sub_Account_STAT_PC].[Hier_STATPC Sub Account Code]" caption="Hier_STATPC Sub Account Code" defaultMemberUniqueName="[Acct_Sub_Account_STAT_PC].[Hier_STATPC Sub Account Code].[All]" allUniqueName="[Acct_Sub_Account_STAT_PC].[Hier_STATPC Sub Account Code].[All]" dimensionUniqueName="[Acct_Sub_Account_STAT_PC]" displayFolder="" count="0" unbalanced="0"/>
    <cacheHierarchy uniqueName="[Acct_Sub_Account_STAT_PC].[Hier_STATPC Sub Account Code Desc]" caption="Hier_STATPC Sub Account Code Desc" defaultMemberUniqueName="[Acct_Sub_Account_STAT_PC].[Hier_STATPC Sub Account Code Desc].[All]" allUniqueName="[Acct_Sub_Account_STAT_PC].[Hier_STATPC Sub Account Code Desc].[All]" dimensionUniqueName="[Acct_Sub_Account_STAT_PC]" displayFolder="" count="0" unbalanced="0"/>
    <cacheHierarchy uniqueName="[Acct_Sub_Account_STAT_PC].[Hier_STATPC Sub Account Desc]" caption="Hier_STATPC Sub Account Desc" defaultMemberUniqueName="[Acct_Sub_Account_STAT_PC].[Hier_STATPC Sub Account Desc].[All]" allUniqueName="[Acct_Sub_Account_STAT_PC].[Hier_STATPC Sub Account Desc].[All]" dimensionUniqueName="[Acct_Sub_Account_STAT_PC]" displayFolder="" count="0" unbalanced="0"/>
    <cacheHierarchy uniqueName="[Acct_Sub_Account_STAT_PC].[Level01]" caption="Level01" attribute="1" defaultMemberUniqueName="[Acct_Sub_Account_STAT_PC].[Level01].[All]" allUniqueName="[Acct_Sub_Account_STAT_PC].[Level01].[All]" dimensionUniqueName="[Acct_Sub_Account_STAT_PC]" displayFolder="" count="0" memberValueDatatype="130" unbalanced="0"/>
    <cacheHierarchy uniqueName="[Acct_Sub_Account_STAT_PC].[Level01_Code]" caption="Level01_Code" attribute="1" defaultMemberUniqueName="[Acct_Sub_Account_STAT_PC].[Level01_Code].[All]" allUniqueName="[Acct_Sub_Account_STAT_PC].[Level01_Code].[All]" dimensionUniqueName="[Acct_Sub_Account_STAT_PC]" displayFolder="" count="0" memberValueDatatype="130" unbalanced="0"/>
    <cacheHierarchy uniqueName="[Acct_Sub_Account_STAT_PC].[Level01_Desc]" caption="Level01_Desc" attribute="1" defaultMemberUniqueName="[Acct_Sub_Account_STAT_PC].[Level01_Desc].[All]" allUniqueName="[Acct_Sub_Account_STAT_PC].[Level01_Desc].[All]" dimensionUniqueName="[Acct_Sub_Account_STAT_PC]" displayFolder="" count="0" memberValueDatatype="130" unbalanced="0"/>
    <cacheHierarchy uniqueName="[Acct_Sub_Account_STAT_PC].[Level02]" caption="Level02" attribute="1" defaultMemberUniqueName="[Acct_Sub_Account_STAT_PC].[Level02].[All]" allUniqueName="[Acct_Sub_Account_STAT_PC].[Level02].[All]" dimensionUniqueName="[Acct_Sub_Account_STAT_PC]" displayFolder="" count="0" memberValueDatatype="130" unbalanced="0"/>
    <cacheHierarchy uniqueName="[Acct_Sub_Account_STAT_PC].[Level02_Code]" caption="Level02_Code" attribute="1" defaultMemberUniqueName="[Acct_Sub_Account_STAT_PC].[Level02_Code].[All]" allUniqueName="[Acct_Sub_Account_STAT_PC].[Level02_Code].[All]" dimensionUniqueName="[Acct_Sub_Account_STAT_PC]" displayFolder="" count="0" memberValueDatatype="130" unbalanced="0"/>
    <cacheHierarchy uniqueName="[Acct_Sub_Account_STAT_PC].[Level02_Desc]" caption="Level02_Desc" attribute="1" defaultMemberUniqueName="[Acct_Sub_Account_STAT_PC].[Level02_Desc].[All]" allUniqueName="[Acct_Sub_Account_STAT_PC].[Level02_Desc].[All]" dimensionUniqueName="[Acct_Sub_Account_STAT_PC]" displayFolder="" count="0" memberValueDatatype="130" unbalanced="0"/>
    <cacheHierarchy uniqueName="[Acct_Sub_Account_STAT_PC].[Level03]" caption="Level03" attribute="1" defaultMemberUniqueName="[Acct_Sub_Account_STAT_PC].[Level03].[All]" allUniqueName="[Acct_Sub_Account_STAT_PC].[Level03].[All]" dimensionUniqueName="[Acct_Sub_Account_STAT_PC]" displayFolder="" count="0" memberValueDatatype="130" unbalanced="0"/>
    <cacheHierarchy uniqueName="[Acct_Sub_Account_STAT_PC].[Level03_Code]" caption="Level03_Code" attribute="1" defaultMemberUniqueName="[Acct_Sub_Account_STAT_PC].[Level03_Code].[All]" allUniqueName="[Acct_Sub_Account_STAT_PC].[Level03_Code].[All]" dimensionUniqueName="[Acct_Sub_Account_STAT_PC]" displayFolder="" count="0" memberValueDatatype="130" unbalanced="0"/>
    <cacheHierarchy uniqueName="[Acct_Sub_Account_STAT_PC].[Level03_Desc]" caption="Level03_Desc" attribute="1" defaultMemberUniqueName="[Acct_Sub_Account_STAT_PC].[Level03_Desc].[All]" allUniqueName="[Acct_Sub_Account_STAT_PC].[Level03_Desc].[All]" dimensionUniqueName="[Acct_Sub_Account_STAT_PC]" displayFolder="" count="0" memberValueDatatype="130" unbalanced="0"/>
    <cacheHierarchy uniqueName="[Acct_Sub_Account_STAT_PC].[Level04]" caption="Level04" attribute="1" defaultMemberUniqueName="[Acct_Sub_Account_STAT_PC].[Level04].[All]" allUniqueName="[Acct_Sub_Account_STAT_PC].[Level04].[All]" dimensionUniqueName="[Acct_Sub_Account_STAT_PC]" displayFolder="" count="0" memberValueDatatype="130" unbalanced="0"/>
    <cacheHierarchy uniqueName="[Acct_Sub_Account_STAT_PC].[Level04_Code]" caption="Level04_Code" attribute="1" defaultMemberUniqueName="[Acct_Sub_Account_STAT_PC].[Level04_Code].[All]" allUniqueName="[Acct_Sub_Account_STAT_PC].[Level04_Code].[All]" dimensionUniqueName="[Acct_Sub_Account_STAT_PC]" displayFolder="" count="0" memberValueDatatype="130" unbalanced="0"/>
    <cacheHierarchy uniqueName="[Acct_Sub_Account_STAT_PC].[Level04_Desc]" caption="Level04_Desc" attribute="1" defaultMemberUniqueName="[Acct_Sub_Account_STAT_PC].[Level04_Desc].[All]" allUniqueName="[Acct_Sub_Account_STAT_PC].[Level04_Desc].[All]" dimensionUniqueName="[Acct_Sub_Account_STAT_PC]" displayFolder="" count="0" memberValueDatatype="130" unbalanced="0"/>
    <cacheHierarchy uniqueName="[Acct_Sub_Account_STAT_PC].[Level05]" caption="Level05" attribute="1" defaultMemberUniqueName="[Acct_Sub_Account_STAT_PC].[Level05].[All]" allUniqueName="[Acct_Sub_Account_STAT_PC].[Level05].[All]" dimensionUniqueName="[Acct_Sub_Account_STAT_PC]" displayFolder="" count="0" memberValueDatatype="130" unbalanced="0"/>
    <cacheHierarchy uniqueName="[Acct_Sub_Account_STAT_PC].[Level05_Code]" caption="Level05_Code" attribute="1" defaultMemberUniqueName="[Acct_Sub_Account_STAT_PC].[Level05_Code].[All]" allUniqueName="[Acct_Sub_Account_STAT_PC].[Level05_Code].[All]" dimensionUniqueName="[Acct_Sub_Account_STAT_PC]" displayFolder="" count="0" memberValueDatatype="130" unbalanced="0"/>
    <cacheHierarchy uniqueName="[Acct_Sub_Account_STAT_PC].[Level05_Desc]" caption="Level05_Desc" attribute="1" defaultMemberUniqueName="[Acct_Sub_Account_STAT_PC].[Level05_Desc].[All]" allUniqueName="[Acct_Sub_Account_STAT_PC].[Level05_Desc].[All]" dimensionUniqueName="[Acct_Sub_Account_STAT_PC]" displayFolder="" count="0" memberValueDatatype="130" unbalanced="0"/>
    <cacheHierarchy uniqueName="[Acct_Sub_Account_STAT_PC].[Level06]" caption="Level06" attribute="1" defaultMemberUniqueName="[Acct_Sub_Account_STAT_PC].[Level06].[All]" allUniqueName="[Acct_Sub_Account_STAT_PC].[Level06].[All]" dimensionUniqueName="[Acct_Sub_Account_STAT_PC]" displayFolder="" count="0" memberValueDatatype="130" unbalanced="0"/>
    <cacheHierarchy uniqueName="[Acct_Sub_Account_STAT_PC].[Level06_Code]" caption="Level06_Code" attribute="1" defaultMemberUniqueName="[Acct_Sub_Account_STAT_PC].[Level06_Code].[All]" allUniqueName="[Acct_Sub_Account_STAT_PC].[Level06_Code].[All]" dimensionUniqueName="[Acct_Sub_Account_STAT_PC]" displayFolder="" count="0" memberValueDatatype="130" unbalanced="0"/>
    <cacheHierarchy uniqueName="[Acct_Sub_Account_STAT_PC].[Level06_Desc]" caption="Level06_Desc" attribute="1" defaultMemberUniqueName="[Acct_Sub_Account_STAT_PC].[Level06_Desc].[All]" allUniqueName="[Acct_Sub_Account_STAT_PC].[Level06_Desc].[All]" dimensionUniqueName="[Acct_Sub_Account_STAT_PC]" displayFolder="" count="0" memberValueDatatype="130" unbalanced="0"/>
    <cacheHierarchy uniqueName="[Acct_Sub_Account_STAT_PC].[Level07]" caption="Level07" attribute="1" defaultMemberUniqueName="[Acct_Sub_Account_STAT_PC].[Level07].[All]" allUniqueName="[Acct_Sub_Account_STAT_PC].[Level07].[All]" dimensionUniqueName="[Acct_Sub_Account_STAT_PC]" displayFolder="" count="0" memberValueDatatype="130" unbalanced="0"/>
    <cacheHierarchy uniqueName="[Acct_Sub_Account_STAT_PC].[Level07_Code]" caption="Level07_Code" attribute="1" defaultMemberUniqueName="[Acct_Sub_Account_STAT_PC].[Level07_Code].[All]" allUniqueName="[Acct_Sub_Account_STAT_PC].[Level07_Code].[All]" dimensionUniqueName="[Acct_Sub_Account_STAT_PC]" displayFolder="" count="0" memberValueDatatype="130" unbalanced="0"/>
    <cacheHierarchy uniqueName="[Acct_Sub_Account_STAT_PC].[Level07_Desc]" caption="Level07_Desc" attribute="1" defaultMemberUniqueName="[Acct_Sub_Account_STAT_PC].[Level07_Desc].[All]" allUniqueName="[Acct_Sub_Account_STAT_PC].[Level07_Desc].[All]" dimensionUniqueName="[Acct_Sub_Account_STAT_PC]" displayFolder="" count="0" memberValueDatatype="130" unbalanced="0"/>
    <cacheHierarchy uniqueName="[Acct_Sub_Account_STAT_PC].[Level08]" caption="Level08" attribute="1" defaultMemberUniqueName="[Acct_Sub_Account_STAT_PC].[Level08].[All]" allUniqueName="[Acct_Sub_Account_STAT_PC].[Level08].[All]" dimensionUniqueName="[Acct_Sub_Account_STAT_PC]" displayFolder="" count="0" memberValueDatatype="130" unbalanced="0"/>
    <cacheHierarchy uniqueName="[Acct_Sub_Account_STAT_PC].[Level08_Code]" caption="Level08_Code" attribute="1" defaultMemberUniqueName="[Acct_Sub_Account_STAT_PC].[Level08_Code].[All]" allUniqueName="[Acct_Sub_Account_STAT_PC].[Level08_Code].[All]" dimensionUniqueName="[Acct_Sub_Account_STAT_PC]" displayFolder="" count="0" memberValueDatatype="130" unbalanced="0"/>
    <cacheHierarchy uniqueName="[Acct_Sub_Account_STAT_PC].[Level08_Desc]" caption="Level08_Desc" attribute="1" defaultMemberUniqueName="[Acct_Sub_Account_STAT_PC].[Level08_Desc].[All]" allUniqueName="[Acct_Sub_Account_STAT_PC].[Level08_Desc].[All]" dimensionUniqueName="[Acct_Sub_Account_STAT_PC]" displayFolder="" count="0" memberValueDatatype="130" unbalanced="0"/>
    <cacheHierarchy uniqueName="[Acct_Sub_Account_STAT_PC].[Level09]" caption="Level09" attribute="1" defaultMemberUniqueName="[Acct_Sub_Account_STAT_PC].[Level09].[All]" allUniqueName="[Acct_Sub_Account_STAT_PC].[Level09].[All]" dimensionUniqueName="[Acct_Sub_Account_STAT_PC]" displayFolder="" count="0" memberValueDatatype="130" unbalanced="0"/>
    <cacheHierarchy uniqueName="[Acct_Sub_Account_STAT_PC].[Level09_Code]" caption="Level09_Code" attribute="1" defaultMemberUniqueName="[Acct_Sub_Account_STAT_PC].[Level09_Code].[All]" allUniqueName="[Acct_Sub_Account_STAT_PC].[Level09_Code].[All]" dimensionUniqueName="[Acct_Sub_Account_STAT_PC]" displayFolder="" count="0" memberValueDatatype="130" unbalanced="0"/>
    <cacheHierarchy uniqueName="[Acct_Sub_Account_STAT_PC].[Level09_Desc]" caption="Level09_Desc" attribute="1" defaultMemberUniqueName="[Acct_Sub_Account_STAT_PC].[Level09_Desc].[All]" allUniqueName="[Acct_Sub_Account_STAT_PC].[Level09_Desc].[All]" dimensionUniqueName="[Acct_Sub_Account_STAT_PC]" displayFolder="" count="0" memberValueDatatype="130" unbalanced="0"/>
    <cacheHierarchy uniqueName="[Acct_Sub_Account_STAT_PC].[Level10]" caption="Level10" attribute="1" defaultMemberUniqueName="[Acct_Sub_Account_STAT_PC].[Level10].[All]" allUniqueName="[Acct_Sub_Account_STAT_PC].[Level10].[All]" dimensionUniqueName="[Acct_Sub_Account_STAT_PC]" displayFolder="" count="0" memberValueDatatype="130" unbalanced="0"/>
    <cacheHierarchy uniqueName="[Acct_Sub_Account_STAT_PC].[Level10_Code]" caption="Level10_Code" attribute="1" defaultMemberUniqueName="[Acct_Sub_Account_STAT_PC].[Level10_Code].[All]" allUniqueName="[Acct_Sub_Account_STAT_PC].[Level10_Code].[All]" dimensionUniqueName="[Acct_Sub_Account_STAT_PC]" displayFolder="" count="0" memberValueDatatype="130" unbalanced="0"/>
    <cacheHierarchy uniqueName="[Acct_Sub_Account_STAT_PC].[Level10_Desc]" caption="Level10_Desc" attribute="1" defaultMemberUniqueName="[Acct_Sub_Account_STAT_PC].[Level10_Desc].[All]" allUniqueName="[Acct_Sub_Account_STAT_PC].[Level10_Desc].[All]" dimensionUniqueName="[Acct_Sub_Account_STAT_PC]" displayFolder="" count="0" memberValueDatatype="130" unbalanced="0"/>
    <cacheHierarchy uniqueName="[Acct_Sub_Account_STAT_PC].[Level11]" caption="Level11" attribute="1" defaultMemberUniqueName="[Acct_Sub_Account_STAT_PC].[Level11].[All]" allUniqueName="[Acct_Sub_Account_STAT_PC].[Level11].[All]" dimensionUniqueName="[Acct_Sub_Account_STAT_PC]" displayFolder="" count="0" memberValueDatatype="130" unbalanced="0"/>
    <cacheHierarchy uniqueName="[Acct_Sub_Account_STAT_PC].[Level11_Code]" caption="Level11_Code" attribute="1" defaultMemberUniqueName="[Acct_Sub_Account_STAT_PC].[Level11_Code].[All]" allUniqueName="[Acct_Sub_Account_STAT_PC].[Level11_Code].[All]" dimensionUniqueName="[Acct_Sub_Account_STAT_PC]" displayFolder="" count="0" memberValueDatatype="130" unbalanced="0"/>
    <cacheHierarchy uniqueName="[Acct_Sub_Account_STAT_PC].[Level11_Desc]" caption="Level11_Desc" attribute="1" defaultMemberUniqueName="[Acct_Sub_Account_STAT_PC].[Level11_Desc].[All]" allUniqueName="[Acct_Sub_Account_STAT_PC].[Level11_Desc].[All]" dimensionUniqueName="[Acct_Sub_Account_STAT_PC]" displayFolder="" count="0" memberValueDatatype="130" unbalanced="0"/>
    <cacheHierarchy uniqueName="[Acct_Sub_Account_STAT_PC].[Level12]" caption="Level12" attribute="1" defaultMemberUniqueName="[Acct_Sub_Account_STAT_PC].[Level12].[All]" allUniqueName="[Acct_Sub_Account_STAT_PC].[Level12].[All]" dimensionUniqueName="[Acct_Sub_Account_STAT_PC]" displayFolder="" count="0" memberValueDatatype="130" unbalanced="0"/>
    <cacheHierarchy uniqueName="[Acct_Sub_Account_STAT_PC].[Level12_Code]" caption="Level12_Code" attribute="1" defaultMemberUniqueName="[Acct_Sub_Account_STAT_PC].[Level12_Code].[All]" allUniqueName="[Acct_Sub_Account_STAT_PC].[Level12_Code].[All]" dimensionUniqueName="[Acct_Sub_Account_STAT_PC]" displayFolder="" count="0" memberValueDatatype="130" unbalanced="0"/>
    <cacheHierarchy uniqueName="[Acct_Sub_Account_STAT_PC].[Level12_Desc]" caption="Level12_Desc" attribute="1" defaultMemberUniqueName="[Acct_Sub_Account_STAT_PC].[Level12_Desc].[All]" allUniqueName="[Acct_Sub_Account_STAT_PC].[Level12_Desc].[All]" dimensionUniqueName="[Acct_Sub_Account_STAT_PC]" displayFolder="" count="0" memberValueDatatype="130" unbalanced="0"/>
    <cacheHierarchy uniqueName="[Acct_Sub_Account_STAT_PC].[Level13]" caption="Level13" attribute="1" defaultMemberUniqueName="[Acct_Sub_Account_STAT_PC].[Level13].[All]" allUniqueName="[Acct_Sub_Account_STAT_PC].[Level13].[All]" dimensionUniqueName="[Acct_Sub_Account_STAT_PC]" displayFolder="" count="0" memberValueDatatype="130" unbalanced="0"/>
    <cacheHierarchy uniqueName="[Acct_Sub_Account_STAT_PC].[Level13_Code]" caption="Level13_Code" attribute="1" defaultMemberUniqueName="[Acct_Sub_Account_STAT_PC].[Level13_Code].[All]" allUniqueName="[Acct_Sub_Account_STAT_PC].[Level13_Code].[All]" dimensionUniqueName="[Acct_Sub_Account_STAT_PC]" displayFolder="" count="0" memberValueDatatype="130" unbalanced="0"/>
    <cacheHierarchy uniqueName="[Acct_Sub_Account_STAT_PC].[Level13_Desc]" caption="Level13_Desc" attribute="1" defaultMemberUniqueName="[Acct_Sub_Account_STAT_PC].[Level13_Desc].[All]" allUniqueName="[Acct_Sub_Account_STAT_PC].[Level13_Desc].[All]" dimensionUniqueName="[Acct_Sub_Account_STAT_PC]" displayFolder="" count="0" memberValueDatatype="130" unbalanced="0"/>
    <cacheHierarchy uniqueName="[Acct_Sub_Account_STAT_PC].[Level14]" caption="Level14" attribute="1" defaultMemberUniqueName="[Acct_Sub_Account_STAT_PC].[Level14].[All]" allUniqueName="[Acct_Sub_Account_STAT_PC].[Level14].[All]" dimensionUniqueName="[Acct_Sub_Account_STAT_PC]" displayFolder="" count="0" memberValueDatatype="130" unbalanced="0"/>
    <cacheHierarchy uniqueName="[Acct_Sub_Account_STAT_PC].[Level14_Code]" caption="Level14_Code" attribute="1" defaultMemberUniqueName="[Acct_Sub_Account_STAT_PC].[Level14_Code].[All]" allUniqueName="[Acct_Sub_Account_STAT_PC].[Level14_Code].[All]" dimensionUniqueName="[Acct_Sub_Account_STAT_PC]" displayFolder="" count="0" memberValueDatatype="130" unbalanced="0"/>
    <cacheHierarchy uniqueName="[Acct_Sub_Account_STAT_PC].[Level14_Desc]" caption="Level14_Desc" attribute="1" defaultMemberUniqueName="[Acct_Sub_Account_STAT_PC].[Level14_Desc].[All]" allUniqueName="[Acct_Sub_Account_STAT_PC].[Level14_Desc].[All]" dimensionUniqueName="[Acct_Sub_Account_STAT_PC]" displayFolder="" count="0" memberValueDatatype="130" unbalanced="0"/>
    <cacheHierarchy uniqueName="[Acct_Sub_Account_STAT_PC].[Level15]" caption="Level15" attribute="1" defaultMemberUniqueName="[Acct_Sub_Account_STAT_PC].[Level15].[All]" allUniqueName="[Acct_Sub_Account_STAT_PC].[Level15].[All]" dimensionUniqueName="[Acct_Sub_Account_STAT_PC]" displayFolder="" count="0" memberValueDatatype="130" unbalanced="0"/>
    <cacheHierarchy uniqueName="[Acct_Sub_Account_STAT_PC].[Level15_Code]" caption="Level15_Code" attribute="1" defaultMemberUniqueName="[Acct_Sub_Account_STAT_PC].[Level15_Code].[All]" allUniqueName="[Acct_Sub_Account_STAT_PC].[Level15_Code].[All]" dimensionUniqueName="[Acct_Sub_Account_STAT_PC]" displayFolder="" count="0" memberValueDatatype="130" unbalanced="0"/>
    <cacheHierarchy uniqueName="[Acct_Sub_Account_STAT_PC].[Level15_Desc]" caption="Level15_Desc" attribute="1" defaultMemberUniqueName="[Acct_Sub_Account_STAT_PC].[Level15_Desc].[All]" allUniqueName="[Acct_Sub_Account_STAT_PC].[Level15_Desc].[All]" dimensionUniqueName="[Acct_Sub_Account_STAT_PC]" displayFolder="" count="0" memberValueDatatype="130" unbalanced="0"/>
    <cacheHierarchy uniqueName="[Acct_Sub_Account_STAT_PC].[Level16]" caption="Level16" attribute="1" defaultMemberUniqueName="[Acct_Sub_Account_STAT_PC].[Level16].[All]" allUniqueName="[Acct_Sub_Account_STAT_PC].[Level16].[All]" dimensionUniqueName="[Acct_Sub_Account_STAT_PC]" displayFolder="" count="0" memberValueDatatype="130" unbalanced="0"/>
    <cacheHierarchy uniqueName="[Acct_Sub_Account_STAT_PC].[Level16_Code]" caption="Level16_Code" attribute="1" defaultMemberUniqueName="[Acct_Sub_Account_STAT_PC].[Level16_Code].[All]" allUniqueName="[Acct_Sub_Account_STAT_PC].[Level16_Code].[All]" dimensionUniqueName="[Acct_Sub_Account_STAT_PC]" displayFolder="" count="0" memberValueDatatype="130" unbalanced="0"/>
    <cacheHierarchy uniqueName="[Acct_Sub_Account_STAT_PC].[Level16_Desc]" caption="Level16_Desc" attribute="1" defaultMemberUniqueName="[Acct_Sub_Account_STAT_PC].[Level16_Desc].[All]" allUniqueName="[Acct_Sub_Account_STAT_PC].[Level16_Desc].[All]" dimensionUniqueName="[Acct_Sub_Account_STAT_PC]" displayFolder="" count="0" memberValueDatatype="130" unbalanced="0"/>
    <cacheHierarchy uniqueName="[Acct_Sub_Account_STAT_PC].[Level17]" caption="Level17" attribute="1" defaultMemberUniqueName="[Acct_Sub_Account_STAT_PC].[Level17].[All]" allUniqueName="[Acct_Sub_Account_STAT_PC].[Level17].[All]" dimensionUniqueName="[Acct_Sub_Account_STAT_PC]" displayFolder="" count="0" memberValueDatatype="130" unbalanced="0"/>
    <cacheHierarchy uniqueName="[Acct_Sub_Account_STAT_PC].[Level17_Code]" caption="Level17_Code" attribute="1" defaultMemberUniqueName="[Acct_Sub_Account_STAT_PC].[Level17_Code].[All]" allUniqueName="[Acct_Sub_Account_STAT_PC].[Level17_Code].[All]" dimensionUniqueName="[Acct_Sub_Account_STAT_PC]" displayFolder="" count="0" memberValueDatatype="130" unbalanced="0"/>
    <cacheHierarchy uniqueName="[Acct_Sub_Account_STAT_PC].[Level17_Desc]" caption="Level17_Desc" attribute="1" defaultMemberUniqueName="[Acct_Sub_Account_STAT_PC].[Level17_Desc].[All]" allUniqueName="[Acct_Sub_Account_STAT_PC].[Level17_Desc].[All]" dimensionUniqueName="[Acct_Sub_Account_STAT_PC]" displayFolder="" count="0" memberValueDatatype="130" unbalanced="0"/>
    <cacheHierarchy uniqueName="[Acct_Sub_Account_STAT_PC].[Level18]" caption="Level18" attribute="1" defaultMemberUniqueName="[Acct_Sub_Account_STAT_PC].[Level18].[All]" allUniqueName="[Acct_Sub_Account_STAT_PC].[Level18].[All]" dimensionUniqueName="[Acct_Sub_Account_STAT_PC]" displayFolder="" count="0" memberValueDatatype="130" unbalanced="0"/>
    <cacheHierarchy uniqueName="[Acct_Sub_Account_STAT_PC].[Level18_Code]" caption="Level18_Code" attribute="1" defaultMemberUniqueName="[Acct_Sub_Account_STAT_PC].[Level18_Code].[All]" allUniqueName="[Acct_Sub_Account_STAT_PC].[Level18_Code].[All]" dimensionUniqueName="[Acct_Sub_Account_STAT_PC]" displayFolder="" count="0" memberValueDatatype="130" unbalanced="0"/>
    <cacheHierarchy uniqueName="[Acct_Sub_Account_STAT_PC].[Level18_Desc]" caption="Level18_Desc" attribute="1" defaultMemberUniqueName="[Acct_Sub_Account_STAT_PC].[Level18_Desc].[All]" allUniqueName="[Acct_Sub_Account_STAT_PC].[Level18_Desc].[All]" dimensionUniqueName="[Acct_Sub_Account_STAT_PC]" displayFolder="" count="0" memberValueDatatype="130" unbalanced="0"/>
    <cacheHierarchy uniqueName="[Acct_Sub_Account_STAT_PC].[Level19]" caption="Level19" attribute="1" defaultMemberUniqueName="[Acct_Sub_Account_STAT_PC].[Level19].[All]" allUniqueName="[Acct_Sub_Account_STAT_PC].[Level19].[All]" dimensionUniqueName="[Acct_Sub_Account_STAT_PC]" displayFolder="" count="0" memberValueDatatype="130" unbalanced="0"/>
    <cacheHierarchy uniqueName="[Acct_Sub_Account_STAT_PC].[Level19_Code]" caption="Level19_Code" attribute="1" defaultMemberUniqueName="[Acct_Sub_Account_STAT_PC].[Level19_Code].[All]" allUniqueName="[Acct_Sub_Account_STAT_PC].[Level19_Code].[All]" dimensionUniqueName="[Acct_Sub_Account_STAT_PC]" displayFolder="" count="0" memberValueDatatype="130" unbalanced="0"/>
    <cacheHierarchy uniqueName="[Acct_Sub_Account_STAT_PC].[Level19_Desc]" caption="Level19_Desc" attribute="1" defaultMemberUniqueName="[Acct_Sub_Account_STAT_PC].[Level19_Desc].[All]" allUniqueName="[Acct_Sub_Account_STAT_PC].[Level19_Desc].[All]" dimensionUniqueName="[Acct_Sub_Account_STAT_PC]" displayFolder="" count="0" memberValueDatatype="130" unbalanced="0"/>
    <cacheHierarchy uniqueName="[Acct_Sub_Account_STAT_PC].[Level20]" caption="Level20" attribute="1" defaultMemberUniqueName="[Acct_Sub_Account_STAT_PC].[Level20].[All]" allUniqueName="[Acct_Sub_Account_STAT_PC].[Level20].[All]" dimensionUniqueName="[Acct_Sub_Account_STAT_PC]" displayFolder="" count="0" memberValueDatatype="130" unbalanced="0"/>
    <cacheHierarchy uniqueName="[Acct_Sub_Account_STAT_PC].[Level20_Code]" caption="Level20_Code" attribute="1" defaultMemberUniqueName="[Acct_Sub_Account_STAT_PC].[Level20_Code].[All]" allUniqueName="[Acct_Sub_Account_STAT_PC].[Level20_Code].[All]" dimensionUniqueName="[Acct_Sub_Account_STAT_PC]" displayFolder="" count="0" memberValueDatatype="130" unbalanced="0"/>
    <cacheHierarchy uniqueName="[Acct_Sub_Account_STAT_PC].[Level20_Desc]" caption="Level20_Desc" attribute="1" defaultMemberUniqueName="[Acct_Sub_Account_STAT_PC].[Level20_Desc].[All]" allUniqueName="[Acct_Sub_Account_STAT_PC].[Level20_Desc].[All]" dimensionUniqueName="[Acct_Sub_Account_STAT_PC]" displayFolder="" count="0" memberValueDatatype="130" unbalanced="0"/>
    <cacheHierarchy uniqueName="[Acct_Sub_Account_STAT_PC].[SL_Account_Code]" caption="SL_Account_Code" attribute="1" defaultMemberUniqueName="[Acct_Sub_Account_STAT_PC].[SL_Account_Code].[All]" allUniqueName="[Acct_Sub_Account_STAT_PC].[SL_Account_Code].[All]" dimensionUniqueName="[Acct_Sub_Account_STAT_PC]" displayFolder="" count="0" memberValueDatatype="130" unbalanced="0"/>
    <cacheHierarchy uniqueName="[Acct_Sub_Account_STAT_PC].[SL_Account_Code_Desc]" caption="SL_Account_Code_Desc" attribute="1" defaultMemberUniqueName="[Acct_Sub_Account_STAT_PC].[SL_Account_Code_Desc].[All]" allUniqueName="[Acct_Sub_Account_STAT_PC].[SL_Account_Code_Desc].[All]" dimensionUniqueName="[Acct_Sub_Account_STAT_PC]" displayFolder="" count="0" memberValueDatatype="130" unbalanced="0"/>
    <cacheHierarchy uniqueName="[Acct_Sub_Account_STAT_PC].[SL_Account_Desc]" caption="SL_Account_Desc" attribute="1" defaultMemberUniqueName="[Acct_Sub_Account_STAT_PC].[SL_Account_Desc].[All]" allUniqueName="[Acct_Sub_Account_STAT_PC].[SL_Account_Desc].[All]" dimensionUniqueName="[Acct_Sub_Account_STAT_PC]" displayFolder="" count="0" memberValueDatatype="130" unbalanced="0"/>
    <cacheHierarchy uniqueName="[Acct_Sub_Account_STAT_PC].[SL_Account_Hier_Name]" caption="SL_Account_Hier_Name" attribute="1" defaultMemberUniqueName="[Acct_Sub_Account_STAT_PC].[SL_Account_Hier_Name].[All]" allUniqueName="[Acct_Sub_Account_STAT_PC].[SL_Account_Hier_Name].[All]" dimensionUniqueName="[Acct_Sub_Account_STAT_PC]" displayFolder="" count="0" memberValueDatatype="130" unbalanced="0"/>
    <cacheHierarchy uniqueName="[Acct_Sub_Account_STAT_PC].[STATPC Sub Account Code]" caption="STATPC Sub Account Code" defaultMemberUniqueName="[Acct_Sub_Account_STAT_PC].[STATPC Sub Account Code].[All]" allUniqueName="[Acct_Sub_Account_STAT_PC].[STATPC Sub Account Code].[All]" dimensionUniqueName="[Acct_Sub_Account_STAT_PC]" displayFolder="" count="0" unbalanced="0"/>
    <cacheHierarchy uniqueName="[Acct_Sub_Account_STAT_PC].[STATPC Sub Account Code Desc]" caption="STATPC Sub Account Code Desc" defaultMemberUniqueName="[Acct_Sub_Account_STAT_PC].[STATPC Sub Account Code Desc].[All]" allUniqueName="[Acct_Sub_Account_STAT_PC].[STATPC Sub Account Code Desc].[All]" dimensionUniqueName="[Acct_Sub_Account_STAT_PC]" displayFolder="" count="0" unbalanced="0"/>
    <cacheHierarchy uniqueName="[Acct_Sub_Account_STAT_PC].[STATPC Sub Account Desc]" caption="STATPC Sub Account Desc" defaultMemberUniqueName="[Acct_Sub_Account_STAT_PC].[STATPC Sub Account Desc].[All]" allUniqueName="[Acct_Sub_Account_STAT_PC].[STATPC Sub Account Desc].[All]" dimensionUniqueName="[Acct_Sub_Account_STAT_PC]" displayFolder="" count="0" unbalanced="0"/>
    <cacheHierarchy uniqueName="[Acct_Sub_Account_STAT_RECON].[Account_Type]" caption="Account_Type" attribute="1" defaultMemberUniqueName="[Acct_Sub_Account_STAT_RECON].[Account_Type].[All]" allUniqueName="[Acct_Sub_Account_STAT_RECON].[Account_Type].[All]" dimensionUniqueName="[Acct_Sub_Account_STAT_RECON]" displayFolder="" count="0" memberValueDatatype="130" unbalanced="0"/>
    <cacheHierarchy uniqueName="[Acct_Sub_Account_STAT_RECON].[GL_Account_Code]" caption="GL_Account_Code" attribute="1" defaultMemberUniqueName="[Acct_Sub_Account_STAT_RECON].[GL_Account_Code].[All]" allUniqueName="[Acct_Sub_Account_STAT_RECON].[GL_Account_Code].[All]" dimensionUniqueName="[Acct_Sub_Account_STAT_RECON]" displayFolder="" count="0" memberValueDatatype="130" unbalanced="0"/>
    <cacheHierarchy uniqueName="[Acct_Sub_Account_STAT_RECON].[Hier_STATRECON Sub Account Code]" caption="Hier_STATRECON Sub Account Code" defaultMemberUniqueName="[Acct_Sub_Account_STAT_RECON].[Hier_STATRECON Sub Account Code].[All]" allUniqueName="[Acct_Sub_Account_STAT_RECON].[Hier_STATRECON Sub Account Code].[All]" dimensionUniqueName="[Acct_Sub_Account_STAT_RECON]" displayFolder="" count="0" unbalanced="0"/>
    <cacheHierarchy uniqueName="[Acct_Sub_Account_STAT_RECON].[Hier_STATRECON Sub Account Code Desc]" caption="Hier_STATRECON Sub Account Code Desc" defaultMemberUniqueName="[Acct_Sub_Account_STAT_RECON].[Hier_STATRECON Sub Account Code Desc].[All]" allUniqueName="[Acct_Sub_Account_STAT_RECON].[Hier_STATRECON Sub Account Code Desc].[All]" dimensionUniqueName="[Acct_Sub_Account_STAT_RECON]" displayFolder="" count="0" unbalanced="0"/>
    <cacheHierarchy uniqueName="[Acct_Sub_Account_STAT_RECON].[Hier_STATRECON Sub Account Desc]" caption="Hier_STATRECON Sub Account Desc" defaultMemberUniqueName="[Acct_Sub_Account_STAT_RECON].[Hier_STATRECON Sub Account Desc].[All]" allUniqueName="[Acct_Sub_Account_STAT_RECON].[Hier_STATRECON Sub Account Desc].[All]" dimensionUniqueName="[Acct_Sub_Account_STAT_RECON]" displayFolder="" count="0" unbalanced="0"/>
    <cacheHierarchy uniqueName="[Acct_Sub_Account_STAT_RECON].[Level01]" caption="Level01" attribute="1" defaultMemberUniqueName="[Acct_Sub_Account_STAT_RECON].[Level01].[All]" allUniqueName="[Acct_Sub_Account_STAT_RECON].[Level01].[All]" dimensionUniqueName="[Acct_Sub_Account_STAT_RECON]" displayFolder="" count="0" memberValueDatatype="130" unbalanced="0"/>
    <cacheHierarchy uniqueName="[Acct_Sub_Account_STAT_RECON].[Level01_Code]" caption="Level01_Code" attribute="1" defaultMemberUniqueName="[Acct_Sub_Account_STAT_RECON].[Level01_Code].[All]" allUniqueName="[Acct_Sub_Account_STAT_RECON].[Level01_Code].[All]" dimensionUniqueName="[Acct_Sub_Account_STAT_RECON]" displayFolder="" count="0" memberValueDatatype="130" unbalanced="0"/>
    <cacheHierarchy uniqueName="[Acct_Sub_Account_STAT_RECON].[Level01_Desc]" caption="Level01_Desc" attribute="1" defaultMemberUniqueName="[Acct_Sub_Account_STAT_RECON].[Level01_Desc].[All]" allUniqueName="[Acct_Sub_Account_STAT_RECON].[Level01_Desc].[All]" dimensionUniqueName="[Acct_Sub_Account_STAT_RECON]" displayFolder="" count="0" memberValueDatatype="130" unbalanced="0"/>
    <cacheHierarchy uniqueName="[Acct_Sub_Account_STAT_RECON].[Level02]" caption="Level02" attribute="1" defaultMemberUniqueName="[Acct_Sub_Account_STAT_RECON].[Level02].[All]" allUniqueName="[Acct_Sub_Account_STAT_RECON].[Level02].[All]" dimensionUniqueName="[Acct_Sub_Account_STAT_RECON]" displayFolder="" count="0" memberValueDatatype="130" unbalanced="0"/>
    <cacheHierarchy uniqueName="[Acct_Sub_Account_STAT_RECON].[Level02_Code]" caption="Level02_Code" attribute="1" defaultMemberUniqueName="[Acct_Sub_Account_STAT_RECON].[Level02_Code].[All]" allUniqueName="[Acct_Sub_Account_STAT_RECON].[Level02_Code].[All]" dimensionUniqueName="[Acct_Sub_Account_STAT_RECON]" displayFolder="" count="0" memberValueDatatype="130" unbalanced="0"/>
    <cacheHierarchy uniqueName="[Acct_Sub_Account_STAT_RECON].[Level02_Desc]" caption="Level02_Desc" attribute="1" defaultMemberUniqueName="[Acct_Sub_Account_STAT_RECON].[Level02_Desc].[All]" allUniqueName="[Acct_Sub_Account_STAT_RECON].[Level02_Desc].[All]" dimensionUniqueName="[Acct_Sub_Account_STAT_RECON]" displayFolder="" count="0" memberValueDatatype="130" unbalanced="0"/>
    <cacheHierarchy uniqueName="[Acct_Sub_Account_STAT_RECON].[Level03]" caption="Level03" attribute="1" defaultMemberUniqueName="[Acct_Sub_Account_STAT_RECON].[Level03].[All]" allUniqueName="[Acct_Sub_Account_STAT_RECON].[Level03].[All]" dimensionUniqueName="[Acct_Sub_Account_STAT_RECON]" displayFolder="" count="0" memberValueDatatype="130" unbalanced="0"/>
    <cacheHierarchy uniqueName="[Acct_Sub_Account_STAT_RECON].[Level03_Code]" caption="Level03_Code" attribute="1" defaultMemberUniqueName="[Acct_Sub_Account_STAT_RECON].[Level03_Code].[All]" allUniqueName="[Acct_Sub_Account_STAT_RECON].[Level03_Code].[All]" dimensionUniqueName="[Acct_Sub_Account_STAT_RECON]" displayFolder="" count="0" memberValueDatatype="130" unbalanced="0"/>
    <cacheHierarchy uniqueName="[Acct_Sub_Account_STAT_RECON].[Level03_Desc]" caption="Level03_Desc" attribute="1" defaultMemberUniqueName="[Acct_Sub_Account_STAT_RECON].[Level03_Desc].[All]" allUniqueName="[Acct_Sub_Account_STAT_RECON].[Level03_Desc].[All]" dimensionUniqueName="[Acct_Sub_Account_STAT_RECON]" displayFolder="" count="0" memberValueDatatype="130" unbalanced="0"/>
    <cacheHierarchy uniqueName="[Acct_Sub_Account_STAT_RECON].[Level04]" caption="Level04" attribute="1" defaultMemberUniqueName="[Acct_Sub_Account_STAT_RECON].[Level04].[All]" allUniqueName="[Acct_Sub_Account_STAT_RECON].[Level04].[All]" dimensionUniqueName="[Acct_Sub_Account_STAT_RECON]" displayFolder="" count="0" memberValueDatatype="130" unbalanced="0"/>
    <cacheHierarchy uniqueName="[Acct_Sub_Account_STAT_RECON].[Level04_Code]" caption="Level04_Code" attribute="1" defaultMemberUniqueName="[Acct_Sub_Account_STAT_RECON].[Level04_Code].[All]" allUniqueName="[Acct_Sub_Account_STAT_RECON].[Level04_Code].[All]" dimensionUniqueName="[Acct_Sub_Account_STAT_RECON]" displayFolder="" count="0" memberValueDatatype="130" unbalanced="0"/>
    <cacheHierarchy uniqueName="[Acct_Sub_Account_STAT_RECON].[Level04_Desc]" caption="Level04_Desc" attribute="1" defaultMemberUniqueName="[Acct_Sub_Account_STAT_RECON].[Level04_Desc].[All]" allUniqueName="[Acct_Sub_Account_STAT_RECON].[Level04_Desc].[All]" dimensionUniqueName="[Acct_Sub_Account_STAT_RECON]" displayFolder="" count="0" memberValueDatatype="130" unbalanced="0"/>
    <cacheHierarchy uniqueName="[Acct_Sub_Account_STAT_RECON].[Level05]" caption="Level05" attribute="1" defaultMemberUniqueName="[Acct_Sub_Account_STAT_RECON].[Level05].[All]" allUniqueName="[Acct_Sub_Account_STAT_RECON].[Level05].[All]" dimensionUniqueName="[Acct_Sub_Account_STAT_RECON]" displayFolder="" count="0" memberValueDatatype="130" unbalanced="0"/>
    <cacheHierarchy uniqueName="[Acct_Sub_Account_STAT_RECON].[Level05_Code]" caption="Level05_Code" attribute="1" defaultMemberUniqueName="[Acct_Sub_Account_STAT_RECON].[Level05_Code].[All]" allUniqueName="[Acct_Sub_Account_STAT_RECON].[Level05_Code].[All]" dimensionUniqueName="[Acct_Sub_Account_STAT_RECON]" displayFolder="" count="0" memberValueDatatype="130" unbalanced="0"/>
    <cacheHierarchy uniqueName="[Acct_Sub_Account_STAT_RECON].[Level05_Desc]" caption="Level05_Desc" attribute="1" defaultMemberUniqueName="[Acct_Sub_Account_STAT_RECON].[Level05_Desc].[All]" allUniqueName="[Acct_Sub_Account_STAT_RECON].[Level05_Desc].[All]" dimensionUniqueName="[Acct_Sub_Account_STAT_RECON]" displayFolder="" count="0" memberValueDatatype="130" unbalanced="0"/>
    <cacheHierarchy uniqueName="[Acct_Sub_Account_STAT_RECON].[Level06]" caption="Level06" attribute="1" defaultMemberUniqueName="[Acct_Sub_Account_STAT_RECON].[Level06].[All]" allUniqueName="[Acct_Sub_Account_STAT_RECON].[Level06].[All]" dimensionUniqueName="[Acct_Sub_Account_STAT_RECON]" displayFolder="" count="0" memberValueDatatype="130" unbalanced="0"/>
    <cacheHierarchy uniqueName="[Acct_Sub_Account_STAT_RECON].[Level06_Code]" caption="Level06_Code" attribute="1" defaultMemberUniqueName="[Acct_Sub_Account_STAT_RECON].[Level06_Code].[All]" allUniqueName="[Acct_Sub_Account_STAT_RECON].[Level06_Code].[All]" dimensionUniqueName="[Acct_Sub_Account_STAT_RECON]" displayFolder="" count="0" memberValueDatatype="130" unbalanced="0"/>
    <cacheHierarchy uniqueName="[Acct_Sub_Account_STAT_RECON].[Level06_Desc]" caption="Level06_Desc" attribute="1" defaultMemberUniqueName="[Acct_Sub_Account_STAT_RECON].[Level06_Desc].[All]" allUniqueName="[Acct_Sub_Account_STAT_RECON].[Level06_Desc].[All]" dimensionUniqueName="[Acct_Sub_Account_STAT_RECON]" displayFolder="" count="0" memberValueDatatype="130" unbalanced="0"/>
    <cacheHierarchy uniqueName="[Acct_Sub_Account_STAT_RECON].[Level07]" caption="Level07" attribute="1" defaultMemberUniqueName="[Acct_Sub_Account_STAT_RECON].[Level07].[All]" allUniqueName="[Acct_Sub_Account_STAT_RECON].[Level07].[All]" dimensionUniqueName="[Acct_Sub_Account_STAT_RECON]" displayFolder="" count="0" memberValueDatatype="130" unbalanced="0"/>
    <cacheHierarchy uniqueName="[Acct_Sub_Account_STAT_RECON].[Level07_Code]" caption="Level07_Code" attribute="1" defaultMemberUniqueName="[Acct_Sub_Account_STAT_RECON].[Level07_Code].[All]" allUniqueName="[Acct_Sub_Account_STAT_RECON].[Level07_Code].[All]" dimensionUniqueName="[Acct_Sub_Account_STAT_RECON]" displayFolder="" count="0" memberValueDatatype="130" unbalanced="0"/>
    <cacheHierarchy uniqueName="[Acct_Sub_Account_STAT_RECON].[Level07_Desc]" caption="Level07_Desc" attribute="1" defaultMemberUniqueName="[Acct_Sub_Account_STAT_RECON].[Level07_Desc].[All]" allUniqueName="[Acct_Sub_Account_STAT_RECON].[Level07_Desc].[All]" dimensionUniqueName="[Acct_Sub_Account_STAT_RECON]" displayFolder="" count="0" memberValueDatatype="130" unbalanced="0"/>
    <cacheHierarchy uniqueName="[Acct_Sub_Account_STAT_RECON].[Level08]" caption="Level08" attribute="1" defaultMemberUniqueName="[Acct_Sub_Account_STAT_RECON].[Level08].[All]" allUniqueName="[Acct_Sub_Account_STAT_RECON].[Level08].[All]" dimensionUniqueName="[Acct_Sub_Account_STAT_RECON]" displayFolder="" count="0" memberValueDatatype="130" unbalanced="0"/>
    <cacheHierarchy uniqueName="[Acct_Sub_Account_STAT_RECON].[Level08_Code]" caption="Level08_Code" attribute="1" defaultMemberUniqueName="[Acct_Sub_Account_STAT_RECON].[Level08_Code].[All]" allUniqueName="[Acct_Sub_Account_STAT_RECON].[Level08_Code].[All]" dimensionUniqueName="[Acct_Sub_Account_STAT_RECON]" displayFolder="" count="0" memberValueDatatype="130" unbalanced="0"/>
    <cacheHierarchy uniqueName="[Acct_Sub_Account_STAT_RECON].[Level08_Desc]" caption="Level08_Desc" attribute="1" defaultMemberUniqueName="[Acct_Sub_Account_STAT_RECON].[Level08_Desc].[All]" allUniqueName="[Acct_Sub_Account_STAT_RECON].[Level08_Desc].[All]" dimensionUniqueName="[Acct_Sub_Account_STAT_RECON]" displayFolder="" count="0" memberValueDatatype="130" unbalanced="0"/>
    <cacheHierarchy uniqueName="[Acct_Sub_Account_STAT_RECON].[Level09]" caption="Level09" attribute="1" defaultMemberUniqueName="[Acct_Sub_Account_STAT_RECON].[Level09].[All]" allUniqueName="[Acct_Sub_Account_STAT_RECON].[Level09].[All]" dimensionUniqueName="[Acct_Sub_Account_STAT_RECON]" displayFolder="" count="0" memberValueDatatype="130" unbalanced="0"/>
    <cacheHierarchy uniqueName="[Acct_Sub_Account_STAT_RECON].[Level09_Code]" caption="Level09_Code" attribute="1" defaultMemberUniqueName="[Acct_Sub_Account_STAT_RECON].[Level09_Code].[All]" allUniqueName="[Acct_Sub_Account_STAT_RECON].[Level09_Code].[All]" dimensionUniqueName="[Acct_Sub_Account_STAT_RECON]" displayFolder="" count="0" memberValueDatatype="130" unbalanced="0"/>
    <cacheHierarchy uniqueName="[Acct_Sub_Account_STAT_RECON].[Level09_Desc]" caption="Level09_Desc" attribute="1" defaultMemberUniqueName="[Acct_Sub_Account_STAT_RECON].[Level09_Desc].[All]" allUniqueName="[Acct_Sub_Account_STAT_RECON].[Level09_Desc].[All]" dimensionUniqueName="[Acct_Sub_Account_STAT_RECON]" displayFolder="" count="0" memberValueDatatype="130" unbalanced="0"/>
    <cacheHierarchy uniqueName="[Acct_Sub_Account_STAT_RECON].[Level10]" caption="Level10" attribute="1" defaultMemberUniqueName="[Acct_Sub_Account_STAT_RECON].[Level10].[All]" allUniqueName="[Acct_Sub_Account_STAT_RECON].[Level10].[All]" dimensionUniqueName="[Acct_Sub_Account_STAT_RECON]" displayFolder="" count="0" memberValueDatatype="130" unbalanced="0"/>
    <cacheHierarchy uniqueName="[Acct_Sub_Account_STAT_RECON].[Level10_Code]" caption="Level10_Code" attribute="1" defaultMemberUniqueName="[Acct_Sub_Account_STAT_RECON].[Level10_Code].[All]" allUniqueName="[Acct_Sub_Account_STAT_RECON].[Level10_Code].[All]" dimensionUniqueName="[Acct_Sub_Account_STAT_RECON]" displayFolder="" count="0" memberValueDatatype="130" unbalanced="0"/>
    <cacheHierarchy uniqueName="[Acct_Sub_Account_STAT_RECON].[Level10_Desc]" caption="Level10_Desc" attribute="1" defaultMemberUniqueName="[Acct_Sub_Account_STAT_RECON].[Level10_Desc].[All]" allUniqueName="[Acct_Sub_Account_STAT_RECON].[Level10_Desc].[All]" dimensionUniqueName="[Acct_Sub_Account_STAT_RECON]" displayFolder="" count="0" memberValueDatatype="130" unbalanced="0"/>
    <cacheHierarchy uniqueName="[Acct_Sub_Account_STAT_RECON].[Level11]" caption="Level11" attribute="1" defaultMemberUniqueName="[Acct_Sub_Account_STAT_RECON].[Level11].[All]" allUniqueName="[Acct_Sub_Account_STAT_RECON].[Level11].[All]" dimensionUniqueName="[Acct_Sub_Account_STAT_RECON]" displayFolder="" count="0" memberValueDatatype="130" unbalanced="0"/>
    <cacheHierarchy uniqueName="[Acct_Sub_Account_STAT_RECON].[Level11_Code]" caption="Level11_Code" attribute="1" defaultMemberUniqueName="[Acct_Sub_Account_STAT_RECON].[Level11_Code].[All]" allUniqueName="[Acct_Sub_Account_STAT_RECON].[Level11_Code].[All]" dimensionUniqueName="[Acct_Sub_Account_STAT_RECON]" displayFolder="" count="0" memberValueDatatype="130" unbalanced="0"/>
    <cacheHierarchy uniqueName="[Acct_Sub_Account_STAT_RECON].[Level11_Desc]" caption="Level11_Desc" attribute="1" defaultMemberUniqueName="[Acct_Sub_Account_STAT_RECON].[Level11_Desc].[All]" allUniqueName="[Acct_Sub_Account_STAT_RECON].[Level11_Desc].[All]" dimensionUniqueName="[Acct_Sub_Account_STAT_RECON]" displayFolder="" count="0" memberValueDatatype="130" unbalanced="0"/>
    <cacheHierarchy uniqueName="[Acct_Sub_Account_STAT_RECON].[Level12]" caption="Level12" attribute="1" defaultMemberUniqueName="[Acct_Sub_Account_STAT_RECON].[Level12].[All]" allUniqueName="[Acct_Sub_Account_STAT_RECON].[Level12].[All]" dimensionUniqueName="[Acct_Sub_Account_STAT_RECON]" displayFolder="" count="0" memberValueDatatype="130" unbalanced="0"/>
    <cacheHierarchy uniqueName="[Acct_Sub_Account_STAT_RECON].[Level12_Code]" caption="Level12_Code" attribute="1" defaultMemberUniqueName="[Acct_Sub_Account_STAT_RECON].[Level12_Code].[All]" allUniqueName="[Acct_Sub_Account_STAT_RECON].[Level12_Code].[All]" dimensionUniqueName="[Acct_Sub_Account_STAT_RECON]" displayFolder="" count="0" memberValueDatatype="130" unbalanced="0"/>
    <cacheHierarchy uniqueName="[Acct_Sub_Account_STAT_RECON].[Level12_Desc]" caption="Level12_Desc" attribute="1" defaultMemberUniqueName="[Acct_Sub_Account_STAT_RECON].[Level12_Desc].[All]" allUniqueName="[Acct_Sub_Account_STAT_RECON].[Level12_Desc].[All]" dimensionUniqueName="[Acct_Sub_Account_STAT_RECON]" displayFolder="" count="0" memberValueDatatype="130" unbalanced="0"/>
    <cacheHierarchy uniqueName="[Acct_Sub_Account_STAT_RECON].[Level13]" caption="Level13" attribute="1" defaultMemberUniqueName="[Acct_Sub_Account_STAT_RECON].[Level13].[All]" allUniqueName="[Acct_Sub_Account_STAT_RECON].[Level13].[All]" dimensionUniqueName="[Acct_Sub_Account_STAT_RECON]" displayFolder="" count="0" memberValueDatatype="130" unbalanced="0"/>
    <cacheHierarchy uniqueName="[Acct_Sub_Account_STAT_RECON].[Level13_Code]" caption="Level13_Code" attribute="1" defaultMemberUniqueName="[Acct_Sub_Account_STAT_RECON].[Level13_Code].[All]" allUniqueName="[Acct_Sub_Account_STAT_RECON].[Level13_Code].[All]" dimensionUniqueName="[Acct_Sub_Account_STAT_RECON]" displayFolder="" count="0" memberValueDatatype="130" unbalanced="0"/>
    <cacheHierarchy uniqueName="[Acct_Sub_Account_STAT_RECON].[Level13_Desc]" caption="Level13_Desc" attribute="1" defaultMemberUniqueName="[Acct_Sub_Account_STAT_RECON].[Level13_Desc].[All]" allUniqueName="[Acct_Sub_Account_STAT_RECON].[Level13_Desc].[All]" dimensionUniqueName="[Acct_Sub_Account_STAT_RECON]" displayFolder="" count="0" memberValueDatatype="130" unbalanced="0"/>
    <cacheHierarchy uniqueName="[Acct_Sub_Account_STAT_RECON].[Level14]" caption="Level14" attribute="1" defaultMemberUniqueName="[Acct_Sub_Account_STAT_RECON].[Level14].[All]" allUniqueName="[Acct_Sub_Account_STAT_RECON].[Level14].[All]" dimensionUniqueName="[Acct_Sub_Account_STAT_RECON]" displayFolder="" count="0" memberValueDatatype="130" unbalanced="0"/>
    <cacheHierarchy uniqueName="[Acct_Sub_Account_STAT_RECON].[Level14_Code]" caption="Level14_Code" attribute="1" defaultMemberUniqueName="[Acct_Sub_Account_STAT_RECON].[Level14_Code].[All]" allUniqueName="[Acct_Sub_Account_STAT_RECON].[Level14_Code].[All]" dimensionUniqueName="[Acct_Sub_Account_STAT_RECON]" displayFolder="" count="0" memberValueDatatype="130" unbalanced="0"/>
    <cacheHierarchy uniqueName="[Acct_Sub_Account_STAT_RECON].[Level14_Desc]" caption="Level14_Desc" attribute="1" defaultMemberUniqueName="[Acct_Sub_Account_STAT_RECON].[Level14_Desc].[All]" allUniqueName="[Acct_Sub_Account_STAT_RECON].[Level14_Desc].[All]" dimensionUniqueName="[Acct_Sub_Account_STAT_RECON]" displayFolder="" count="0" memberValueDatatype="130" unbalanced="0"/>
    <cacheHierarchy uniqueName="[Acct_Sub_Account_STAT_RECON].[Level15]" caption="Level15" attribute="1" defaultMemberUniqueName="[Acct_Sub_Account_STAT_RECON].[Level15].[All]" allUniqueName="[Acct_Sub_Account_STAT_RECON].[Level15].[All]" dimensionUniqueName="[Acct_Sub_Account_STAT_RECON]" displayFolder="" count="0" memberValueDatatype="130" unbalanced="0"/>
    <cacheHierarchy uniqueName="[Acct_Sub_Account_STAT_RECON].[Level15_Code]" caption="Level15_Code" attribute="1" defaultMemberUniqueName="[Acct_Sub_Account_STAT_RECON].[Level15_Code].[All]" allUniqueName="[Acct_Sub_Account_STAT_RECON].[Level15_Code].[All]" dimensionUniqueName="[Acct_Sub_Account_STAT_RECON]" displayFolder="" count="0" memberValueDatatype="130" unbalanced="0"/>
    <cacheHierarchy uniqueName="[Acct_Sub_Account_STAT_RECON].[Level15_Desc]" caption="Level15_Desc" attribute="1" defaultMemberUniqueName="[Acct_Sub_Account_STAT_RECON].[Level15_Desc].[All]" allUniqueName="[Acct_Sub_Account_STAT_RECON].[Level15_Desc].[All]" dimensionUniqueName="[Acct_Sub_Account_STAT_RECON]" displayFolder="" count="0" memberValueDatatype="130" unbalanced="0"/>
    <cacheHierarchy uniqueName="[Acct_Sub_Account_STAT_RECON].[Level16]" caption="Level16" attribute="1" defaultMemberUniqueName="[Acct_Sub_Account_STAT_RECON].[Level16].[All]" allUniqueName="[Acct_Sub_Account_STAT_RECON].[Level16].[All]" dimensionUniqueName="[Acct_Sub_Account_STAT_RECON]" displayFolder="" count="0" memberValueDatatype="130" unbalanced="0"/>
    <cacheHierarchy uniqueName="[Acct_Sub_Account_STAT_RECON].[Level16_Code]" caption="Level16_Code" attribute="1" defaultMemberUniqueName="[Acct_Sub_Account_STAT_RECON].[Level16_Code].[All]" allUniqueName="[Acct_Sub_Account_STAT_RECON].[Level16_Code].[All]" dimensionUniqueName="[Acct_Sub_Account_STAT_RECON]" displayFolder="" count="0" memberValueDatatype="130" unbalanced="0"/>
    <cacheHierarchy uniqueName="[Acct_Sub_Account_STAT_RECON].[Level16_Desc]" caption="Level16_Desc" attribute="1" defaultMemberUniqueName="[Acct_Sub_Account_STAT_RECON].[Level16_Desc].[All]" allUniqueName="[Acct_Sub_Account_STAT_RECON].[Level16_Desc].[All]" dimensionUniqueName="[Acct_Sub_Account_STAT_RECON]" displayFolder="" count="0" memberValueDatatype="130" unbalanced="0"/>
    <cacheHierarchy uniqueName="[Acct_Sub_Account_STAT_RECON].[Level17]" caption="Level17" attribute="1" defaultMemberUniqueName="[Acct_Sub_Account_STAT_RECON].[Level17].[All]" allUniqueName="[Acct_Sub_Account_STAT_RECON].[Level17].[All]" dimensionUniqueName="[Acct_Sub_Account_STAT_RECON]" displayFolder="" count="0" memberValueDatatype="130" unbalanced="0"/>
    <cacheHierarchy uniqueName="[Acct_Sub_Account_STAT_RECON].[Level17_Code]" caption="Level17_Code" attribute="1" defaultMemberUniqueName="[Acct_Sub_Account_STAT_RECON].[Level17_Code].[All]" allUniqueName="[Acct_Sub_Account_STAT_RECON].[Level17_Code].[All]" dimensionUniqueName="[Acct_Sub_Account_STAT_RECON]" displayFolder="" count="0" memberValueDatatype="130" unbalanced="0"/>
    <cacheHierarchy uniqueName="[Acct_Sub_Account_STAT_RECON].[Level17_Desc]" caption="Level17_Desc" attribute="1" defaultMemberUniqueName="[Acct_Sub_Account_STAT_RECON].[Level17_Desc].[All]" allUniqueName="[Acct_Sub_Account_STAT_RECON].[Level17_Desc].[All]" dimensionUniqueName="[Acct_Sub_Account_STAT_RECON]" displayFolder="" count="0" memberValueDatatype="130" unbalanced="0"/>
    <cacheHierarchy uniqueName="[Acct_Sub_Account_STAT_RECON].[Level18]" caption="Level18" attribute="1" defaultMemberUniqueName="[Acct_Sub_Account_STAT_RECON].[Level18].[All]" allUniqueName="[Acct_Sub_Account_STAT_RECON].[Level18].[All]" dimensionUniqueName="[Acct_Sub_Account_STAT_RECON]" displayFolder="" count="0" memberValueDatatype="130" unbalanced="0"/>
    <cacheHierarchy uniqueName="[Acct_Sub_Account_STAT_RECON].[Level18_Code]" caption="Level18_Code" attribute="1" defaultMemberUniqueName="[Acct_Sub_Account_STAT_RECON].[Level18_Code].[All]" allUniqueName="[Acct_Sub_Account_STAT_RECON].[Level18_Code].[All]" dimensionUniqueName="[Acct_Sub_Account_STAT_RECON]" displayFolder="" count="0" memberValueDatatype="130" unbalanced="0"/>
    <cacheHierarchy uniqueName="[Acct_Sub_Account_STAT_RECON].[Level18_Desc]" caption="Level18_Desc" attribute="1" defaultMemberUniqueName="[Acct_Sub_Account_STAT_RECON].[Level18_Desc].[All]" allUniqueName="[Acct_Sub_Account_STAT_RECON].[Level18_Desc].[All]" dimensionUniqueName="[Acct_Sub_Account_STAT_RECON]" displayFolder="" count="0" memberValueDatatype="130" unbalanced="0"/>
    <cacheHierarchy uniqueName="[Acct_Sub_Account_STAT_RECON].[Level19]" caption="Level19" attribute="1" defaultMemberUniqueName="[Acct_Sub_Account_STAT_RECON].[Level19].[All]" allUniqueName="[Acct_Sub_Account_STAT_RECON].[Level19].[All]" dimensionUniqueName="[Acct_Sub_Account_STAT_RECON]" displayFolder="" count="0" memberValueDatatype="130" unbalanced="0"/>
    <cacheHierarchy uniqueName="[Acct_Sub_Account_STAT_RECON].[Level19_Code]" caption="Level19_Code" attribute="1" defaultMemberUniqueName="[Acct_Sub_Account_STAT_RECON].[Level19_Code].[All]" allUniqueName="[Acct_Sub_Account_STAT_RECON].[Level19_Code].[All]" dimensionUniqueName="[Acct_Sub_Account_STAT_RECON]" displayFolder="" count="0" memberValueDatatype="130" unbalanced="0"/>
    <cacheHierarchy uniqueName="[Acct_Sub_Account_STAT_RECON].[Level19_Desc]" caption="Level19_Desc" attribute="1" defaultMemberUniqueName="[Acct_Sub_Account_STAT_RECON].[Level19_Desc].[All]" allUniqueName="[Acct_Sub_Account_STAT_RECON].[Level19_Desc].[All]" dimensionUniqueName="[Acct_Sub_Account_STAT_RECON]" displayFolder="" count="0" memberValueDatatype="130" unbalanced="0"/>
    <cacheHierarchy uniqueName="[Acct_Sub_Account_STAT_RECON].[Level20]" caption="Level20" attribute="1" defaultMemberUniqueName="[Acct_Sub_Account_STAT_RECON].[Level20].[All]" allUniqueName="[Acct_Sub_Account_STAT_RECON].[Level20].[All]" dimensionUniqueName="[Acct_Sub_Account_STAT_RECON]" displayFolder="" count="0" memberValueDatatype="130" unbalanced="0"/>
    <cacheHierarchy uniqueName="[Acct_Sub_Account_STAT_RECON].[Level20_Code]" caption="Level20_Code" attribute="1" defaultMemberUniqueName="[Acct_Sub_Account_STAT_RECON].[Level20_Code].[All]" allUniqueName="[Acct_Sub_Account_STAT_RECON].[Level20_Code].[All]" dimensionUniqueName="[Acct_Sub_Account_STAT_RECON]" displayFolder="" count="0" memberValueDatatype="130" unbalanced="0"/>
    <cacheHierarchy uniqueName="[Acct_Sub_Account_STAT_RECON].[Level20_Desc]" caption="Level20_Desc" attribute="1" defaultMemberUniqueName="[Acct_Sub_Account_STAT_RECON].[Level20_Desc].[All]" allUniqueName="[Acct_Sub_Account_STAT_RECON].[Level20_Desc].[All]" dimensionUniqueName="[Acct_Sub_Account_STAT_RECON]" displayFolder="" count="0" memberValueDatatype="130" unbalanced="0"/>
    <cacheHierarchy uniqueName="[Acct_Sub_Account_STAT_RECON].[SL_Account_Code]" caption="SL_Account_Code" attribute="1" defaultMemberUniqueName="[Acct_Sub_Account_STAT_RECON].[SL_Account_Code].[All]" allUniqueName="[Acct_Sub_Account_STAT_RECON].[SL_Account_Code].[All]" dimensionUniqueName="[Acct_Sub_Account_STAT_RECON]" displayFolder="" count="0" memberValueDatatype="130" unbalanced="0"/>
    <cacheHierarchy uniqueName="[Acct_Sub_Account_STAT_RECON].[SL_Account_Code_Desc]" caption="SL_Account_Code_Desc" attribute="1" defaultMemberUniqueName="[Acct_Sub_Account_STAT_RECON].[SL_Account_Code_Desc].[All]" allUniqueName="[Acct_Sub_Account_STAT_RECON].[SL_Account_Code_Desc].[All]" dimensionUniqueName="[Acct_Sub_Account_STAT_RECON]" displayFolder="" count="0" memberValueDatatype="130" unbalanced="0"/>
    <cacheHierarchy uniqueName="[Acct_Sub_Account_STAT_RECON].[SL_Account_Desc]" caption="SL_Account_Desc" attribute="1" defaultMemberUniqueName="[Acct_Sub_Account_STAT_RECON].[SL_Account_Desc].[All]" allUniqueName="[Acct_Sub_Account_STAT_RECON].[SL_Account_Desc].[All]" dimensionUniqueName="[Acct_Sub_Account_STAT_RECON]" displayFolder="" count="0" memberValueDatatype="130" unbalanced="0"/>
    <cacheHierarchy uniqueName="[Acct_Sub_Account_STAT_RECON].[SL_Account_Hier_Name]" caption="SL_Account_Hier_Name" attribute="1" defaultMemberUniqueName="[Acct_Sub_Account_STAT_RECON].[SL_Account_Hier_Name].[All]" allUniqueName="[Acct_Sub_Account_STAT_RECON].[SL_Account_Hier_Name].[All]" dimensionUniqueName="[Acct_Sub_Account_STAT_RECON]" displayFolder="" count="0" memberValueDatatype="130" unbalanced="0"/>
    <cacheHierarchy uniqueName="[Acct_Sub_Account_STAT_RECON].[STATRECON Sub Account Code]" caption="STATRECON Sub Account Code" defaultMemberUniqueName="[Acct_Sub_Account_STAT_RECON].[STATRECON Sub Account Code].[All]" allUniqueName="[Acct_Sub_Account_STAT_RECON].[STATRECON Sub Account Code].[All]" dimensionUniqueName="[Acct_Sub_Account_STAT_RECON]" displayFolder="" count="0" unbalanced="0"/>
    <cacheHierarchy uniqueName="[Acct_Sub_Account_STAT_RECON].[STATRECON Sub Account Code Desc]" caption="STATRECON Sub Account Code Desc" defaultMemberUniqueName="[Acct_Sub_Account_STAT_RECON].[STATRECON Sub Account Code Desc].[All]" allUniqueName="[Acct_Sub_Account_STAT_RECON].[STATRECON Sub Account Code Desc].[All]" dimensionUniqueName="[Acct_Sub_Account_STAT_RECON]" displayFolder="" count="0" unbalanced="0"/>
    <cacheHierarchy uniqueName="[Acct_Sub_Account_STAT_RECON].[STATRECON Sub Account Desc]" caption="STATRECON Sub Account Desc" defaultMemberUniqueName="[Acct_Sub_Account_STAT_RECON].[STATRECON Sub Account Desc].[All]" allUniqueName="[Acct_Sub_Account_STAT_RECON].[STATRECON Sub Account Desc].[All]" dimensionUniqueName="[Acct_Sub_Account_STAT_RECON]" displayFolder="" count="0" unbalanced="0"/>
    <cacheHierarchy uniqueName="[Affiliate_INTERCOMPANY].[Affiliate Code]" caption="Affiliate Code" defaultMemberUniqueName="[Affiliate_INTERCOMPANY].[Affiliate Code].[All]" allUniqueName="[Affiliate_INTERCOMPANY].[Affiliate Code].[All]" dimensionUniqueName="[Affiliate_INTERCOMPANY]" displayFolder="" count="0" unbalanced="0"/>
    <cacheHierarchy uniqueName="[Affiliate_INTERCOMPANY].[Affiliate Code Desc]" caption="Affiliate Code Desc" defaultMemberUniqueName="[Affiliate_INTERCOMPANY].[Affiliate Code Desc].[All]" allUniqueName="[Affiliate_INTERCOMPANY].[Affiliate Code Desc].[All]" dimensionUniqueName="[Affiliate_INTERCOMPANY]" displayFolder="" count="0" unbalanced="0"/>
    <cacheHierarchy uniqueName="[Affiliate_INTERCOMPANY].[Affiliate Desc]" caption="Affiliate Desc" defaultMemberUniqueName="[Affiliate_INTERCOMPANY].[Affiliate Desc].[All]" allUniqueName="[Affiliate_INTERCOMPANY].[Affiliate Desc].[All]" dimensionUniqueName="[Affiliate_INTERCOMPANY]" displayFolder="" count="0" unbalanced="0"/>
    <cacheHierarchy uniqueName="[Affiliate_INTERCOMPANY].[Affiliate_Code]" caption="Affiliate_Code" attribute="1" defaultMemberUniqueName="[Affiliate_INTERCOMPANY].[Affiliate_Code].[All]" allUniqueName="[Affiliate_INTERCOMPANY].[Affiliate_Code].[All]" dimensionUniqueName="[Affiliate_INTERCOMPANY]" displayFolder="" count="0" memberValueDatatype="130" unbalanced="0"/>
    <cacheHierarchy uniqueName="[Affiliate_INTERCOMPANY].[Affiliate_Code_Desc]" caption="Affiliate_Code_Desc" attribute="1" defaultMemberUniqueName="[Affiliate_INTERCOMPANY].[Affiliate_Code_Desc].[All]" allUniqueName="[Affiliate_INTERCOMPANY].[Affiliate_Code_Desc].[All]" dimensionUniqueName="[Affiliate_INTERCOMPANY]" displayFolder="" count="0" memberValueDatatype="130" unbalanced="0"/>
    <cacheHierarchy uniqueName="[Affiliate_INTERCOMPANY].[Affiliate_Desc]" caption="Affiliate_Desc" attribute="1" defaultMemberUniqueName="[Affiliate_INTERCOMPANY].[Affiliate_Desc].[All]" allUniqueName="[Affiliate_INTERCOMPANY].[Affiliate_Desc].[All]" dimensionUniqueName="[Affiliate_INTERCOMPANY]" displayFolder="" count="0" memberValueDatatype="130" unbalanced="0"/>
    <cacheHierarchy uniqueName="[Affiliate_INTERCOMPANY].[Affiliate_Hier_Name]" caption="Affiliate_Hier_Name" attribute="1" defaultMemberUniqueName="[Affiliate_INTERCOMPANY].[Affiliate_Hier_Name].[All]" allUniqueName="[Affiliate_INTERCOMPANY].[Affiliate_Hier_Name].[All]" dimensionUniqueName="[Affiliate_INTERCOMPANY]" displayFolder="" count="0" memberValueDatatype="130" unbalanced="0"/>
    <cacheHierarchy uniqueName="[Affiliate_INTERCOMPANY].[Hier_INTERCOMPANY Affiliate Code]" caption="Hier_INTERCOMPANY Affiliate Code" defaultMemberUniqueName="[Affiliate_INTERCOMPANY].[Hier_INTERCOMPANY Affiliate Code].[All]" allUniqueName="[Affiliate_INTERCOMPANY].[Hier_INTERCOMPANY Affiliate Code].[All]" dimensionUniqueName="[Affiliate_INTERCOMPANY]" displayFolder="" count="0" unbalanced="0"/>
    <cacheHierarchy uniqueName="[Affiliate_INTERCOMPANY].[Hier_INTERCOMPANY Affiliate Code Desc]" caption="Hier_INTERCOMPANY Affiliate Code Desc" defaultMemberUniqueName="[Affiliate_INTERCOMPANY].[Hier_INTERCOMPANY Affiliate Code Desc].[All]" allUniqueName="[Affiliate_INTERCOMPANY].[Hier_INTERCOMPANY Affiliate Code Desc].[All]" dimensionUniqueName="[Affiliate_INTERCOMPANY]" displayFolder="" count="0" unbalanced="0"/>
    <cacheHierarchy uniqueName="[Affiliate_INTERCOMPANY].[Hier_INTERCOMPANY Affiliate Desc]" caption="Hier_INTERCOMPANY Affiliate Desc" defaultMemberUniqueName="[Affiliate_INTERCOMPANY].[Hier_INTERCOMPANY Affiliate Desc].[All]" allUniqueName="[Affiliate_INTERCOMPANY].[Hier_INTERCOMPANY Affiliate Desc].[All]" dimensionUniqueName="[Affiliate_INTERCOMPANY]" displayFolder="" count="0" unbalanced="0"/>
    <cacheHierarchy uniqueName="[Affiliate_INTERCOMPANY].[Level01]" caption="Level01" attribute="1" defaultMemberUniqueName="[Affiliate_INTERCOMPANY].[Level01].[All]" allUniqueName="[Affiliate_INTERCOMPANY].[Level01].[All]" dimensionUniqueName="[Affiliate_INTERCOMPANY]" displayFolder="" count="0" memberValueDatatype="130" unbalanced="0"/>
    <cacheHierarchy uniqueName="[Affiliate_INTERCOMPANY].[Level01_Code]" caption="Level01_Code" attribute="1" defaultMemberUniqueName="[Affiliate_INTERCOMPANY].[Level01_Code].[All]" allUniqueName="[Affiliate_INTERCOMPANY].[Level01_Code].[All]" dimensionUniqueName="[Affiliate_INTERCOMPANY]" displayFolder="" count="0" memberValueDatatype="130" unbalanced="0"/>
    <cacheHierarchy uniqueName="[Affiliate_INTERCOMPANY].[Level01_Desc]" caption="Level01_Desc" attribute="1" defaultMemberUniqueName="[Affiliate_INTERCOMPANY].[Level01_Desc].[All]" allUniqueName="[Affiliate_INTERCOMPANY].[Level01_Desc].[All]" dimensionUniqueName="[Affiliate_INTERCOMPANY]" displayFolder="" count="0" memberValueDatatype="130" unbalanced="0"/>
    <cacheHierarchy uniqueName="[Affiliate_INTERCOMPANY].[Level02]" caption="Level02" attribute="1" defaultMemberUniqueName="[Affiliate_INTERCOMPANY].[Level02].[All]" allUniqueName="[Affiliate_INTERCOMPANY].[Level02].[All]" dimensionUniqueName="[Affiliate_INTERCOMPANY]" displayFolder="" count="0" memberValueDatatype="130" unbalanced="0"/>
    <cacheHierarchy uniqueName="[Affiliate_INTERCOMPANY].[Level02_Code]" caption="Level02_Code" attribute="1" defaultMemberUniqueName="[Affiliate_INTERCOMPANY].[Level02_Code].[All]" allUniqueName="[Affiliate_INTERCOMPANY].[Level02_Code].[All]" dimensionUniqueName="[Affiliate_INTERCOMPANY]" displayFolder="" count="0" memberValueDatatype="130" unbalanced="0"/>
    <cacheHierarchy uniqueName="[Affiliate_INTERCOMPANY].[Level02_Desc]" caption="Level02_Desc" attribute="1" defaultMemberUniqueName="[Affiliate_INTERCOMPANY].[Level02_Desc].[All]" allUniqueName="[Affiliate_INTERCOMPANY].[Level02_Desc].[All]" dimensionUniqueName="[Affiliate_INTERCOMPANY]" displayFolder="" count="0" memberValueDatatype="130" unbalanced="0"/>
    <cacheHierarchy uniqueName="[Affiliate_INTERCOMPANY].[Level03]" caption="Level03" attribute="1" defaultMemberUniqueName="[Affiliate_INTERCOMPANY].[Level03].[All]" allUniqueName="[Affiliate_INTERCOMPANY].[Level03].[All]" dimensionUniqueName="[Affiliate_INTERCOMPANY]" displayFolder="" count="0" memberValueDatatype="130" unbalanced="0"/>
    <cacheHierarchy uniqueName="[Affiliate_INTERCOMPANY].[Level03_Code]" caption="Level03_Code" attribute="1" defaultMemberUniqueName="[Affiliate_INTERCOMPANY].[Level03_Code].[All]" allUniqueName="[Affiliate_INTERCOMPANY].[Level03_Code].[All]" dimensionUniqueName="[Affiliate_INTERCOMPANY]" displayFolder="" count="0" memberValueDatatype="130" unbalanced="0"/>
    <cacheHierarchy uniqueName="[Affiliate_INTERCOMPANY].[Level03_Desc]" caption="Level03_Desc" attribute="1" defaultMemberUniqueName="[Affiliate_INTERCOMPANY].[Level03_Desc].[All]" allUniqueName="[Affiliate_INTERCOMPANY].[Level03_Desc].[All]" dimensionUniqueName="[Affiliate_INTERCOMPANY]" displayFolder="" count="0" memberValueDatatype="130" unbalanced="0"/>
    <cacheHierarchy uniqueName="[Affiliate_INTERCOMPANY].[Level04]" caption="Level04" attribute="1" defaultMemberUniqueName="[Affiliate_INTERCOMPANY].[Level04].[All]" allUniqueName="[Affiliate_INTERCOMPANY].[Level04].[All]" dimensionUniqueName="[Affiliate_INTERCOMPANY]" displayFolder="" count="0" memberValueDatatype="130" unbalanced="0"/>
    <cacheHierarchy uniqueName="[Affiliate_INTERCOMPANY].[Level04_Code]" caption="Level04_Code" attribute="1" defaultMemberUniqueName="[Affiliate_INTERCOMPANY].[Level04_Code].[All]" allUniqueName="[Affiliate_INTERCOMPANY].[Level04_Code].[All]" dimensionUniqueName="[Affiliate_INTERCOMPANY]" displayFolder="" count="0" memberValueDatatype="130" unbalanced="0"/>
    <cacheHierarchy uniqueName="[Affiliate_INTERCOMPANY].[Level04_Desc]" caption="Level04_Desc" attribute="1" defaultMemberUniqueName="[Affiliate_INTERCOMPANY].[Level04_Desc].[All]" allUniqueName="[Affiliate_INTERCOMPANY].[Level04_Desc].[All]" dimensionUniqueName="[Affiliate_INTERCOMPANY]" displayFolder="" count="0" memberValueDatatype="130" unbalanced="0"/>
    <cacheHierarchy uniqueName="[Affiliate_INTERCOMPANY].[Level05]" caption="Level05" attribute="1" defaultMemberUniqueName="[Affiliate_INTERCOMPANY].[Level05].[All]" allUniqueName="[Affiliate_INTERCOMPANY].[Level05].[All]" dimensionUniqueName="[Affiliate_INTERCOMPANY]" displayFolder="" count="0" memberValueDatatype="130" unbalanced="0"/>
    <cacheHierarchy uniqueName="[Affiliate_INTERCOMPANY].[Level05_Code]" caption="Level05_Code" attribute="1" defaultMemberUniqueName="[Affiliate_INTERCOMPANY].[Level05_Code].[All]" allUniqueName="[Affiliate_INTERCOMPANY].[Level05_Code].[All]" dimensionUniqueName="[Affiliate_INTERCOMPANY]" displayFolder="" count="0" memberValueDatatype="130" unbalanced="0"/>
    <cacheHierarchy uniqueName="[Affiliate_INTERCOMPANY].[Level05_Desc]" caption="Level05_Desc" attribute="1" defaultMemberUniqueName="[Affiliate_INTERCOMPANY].[Level05_Desc].[All]" allUniqueName="[Affiliate_INTERCOMPANY].[Level05_Desc].[All]" dimensionUniqueName="[Affiliate_INTERCOMPANY]" displayFolder="" count="0" memberValueDatatype="130" unbalanced="0"/>
    <cacheHierarchy uniqueName="[Affiliate_INTERCOMPANY].[Level06]" caption="Level06" attribute="1" defaultMemberUniqueName="[Affiliate_INTERCOMPANY].[Level06].[All]" allUniqueName="[Affiliate_INTERCOMPANY].[Level06].[All]" dimensionUniqueName="[Affiliate_INTERCOMPANY]" displayFolder="" count="0" memberValueDatatype="130" unbalanced="0"/>
    <cacheHierarchy uniqueName="[Affiliate_INTERCOMPANY].[Level06_Code]" caption="Level06_Code" attribute="1" defaultMemberUniqueName="[Affiliate_INTERCOMPANY].[Level06_Code].[All]" allUniqueName="[Affiliate_INTERCOMPANY].[Level06_Code].[All]" dimensionUniqueName="[Affiliate_INTERCOMPANY]" displayFolder="" count="0" memberValueDatatype="130" unbalanced="0"/>
    <cacheHierarchy uniqueName="[Affiliate_INTERCOMPANY].[Level06_Desc]" caption="Level06_Desc" attribute="1" defaultMemberUniqueName="[Affiliate_INTERCOMPANY].[Level06_Desc].[All]" allUniqueName="[Affiliate_INTERCOMPANY].[Level06_Desc].[All]" dimensionUniqueName="[Affiliate_INTERCOMPANY]" displayFolder="" count="0" memberValueDatatype="130" unbalanced="0"/>
    <cacheHierarchy uniqueName="[Affiliate_INTERCOMPANY].[Level07]" caption="Level07" attribute="1" defaultMemberUniqueName="[Affiliate_INTERCOMPANY].[Level07].[All]" allUniqueName="[Affiliate_INTERCOMPANY].[Level07].[All]" dimensionUniqueName="[Affiliate_INTERCOMPANY]" displayFolder="" count="0" memberValueDatatype="130" unbalanced="0"/>
    <cacheHierarchy uniqueName="[Affiliate_INTERCOMPANY].[Level07_Code]" caption="Level07_Code" attribute="1" defaultMemberUniqueName="[Affiliate_INTERCOMPANY].[Level07_Code].[All]" allUniqueName="[Affiliate_INTERCOMPANY].[Level07_Code].[All]" dimensionUniqueName="[Affiliate_INTERCOMPANY]" displayFolder="" count="0" memberValueDatatype="130" unbalanced="0"/>
    <cacheHierarchy uniqueName="[Affiliate_INTERCOMPANY].[Level07_Desc]" caption="Level07_Desc" attribute="1" defaultMemberUniqueName="[Affiliate_INTERCOMPANY].[Level07_Desc].[All]" allUniqueName="[Affiliate_INTERCOMPANY].[Level07_Desc].[All]" dimensionUniqueName="[Affiliate_INTERCOMPANY]" displayFolder="" count="0" memberValueDatatype="130" unbalanced="0"/>
    <cacheHierarchy uniqueName="[Affiliate_INTERCOMPANY].[Level08]" caption="Level08" attribute="1" defaultMemberUniqueName="[Affiliate_INTERCOMPANY].[Level08].[All]" allUniqueName="[Affiliate_INTERCOMPANY].[Level08].[All]" dimensionUniqueName="[Affiliate_INTERCOMPANY]" displayFolder="" count="0" memberValueDatatype="130" unbalanced="0"/>
    <cacheHierarchy uniqueName="[Affiliate_INTERCOMPANY].[Level08_Code]" caption="Level08_Code" attribute="1" defaultMemberUniqueName="[Affiliate_INTERCOMPANY].[Level08_Code].[All]" allUniqueName="[Affiliate_INTERCOMPANY].[Level08_Code].[All]" dimensionUniqueName="[Affiliate_INTERCOMPANY]" displayFolder="" count="0" memberValueDatatype="130" unbalanced="0"/>
    <cacheHierarchy uniqueName="[Affiliate_INTERCOMPANY].[Level08_Desc]" caption="Level08_Desc" attribute="1" defaultMemberUniqueName="[Affiliate_INTERCOMPANY].[Level08_Desc].[All]" allUniqueName="[Affiliate_INTERCOMPANY].[Level08_Desc].[All]" dimensionUniqueName="[Affiliate_INTERCOMPANY]" displayFolder="" count="0" memberValueDatatype="130" unbalanced="0"/>
    <cacheHierarchy uniqueName="[Affiliate_INTERCOMPANY].[Level09]" caption="Level09" attribute="1" defaultMemberUniqueName="[Affiliate_INTERCOMPANY].[Level09].[All]" allUniqueName="[Affiliate_INTERCOMPANY].[Level09].[All]" dimensionUniqueName="[Affiliate_INTERCOMPANY]" displayFolder="" count="0" memberValueDatatype="130" unbalanced="0"/>
    <cacheHierarchy uniqueName="[Affiliate_INTERCOMPANY].[Level09_Code]" caption="Level09_Code" attribute="1" defaultMemberUniqueName="[Affiliate_INTERCOMPANY].[Level09_Code].[All]" allUniqueName="[Affiliate_INTERCOMPANY].[Level09_Code].[All]" dimensionUniqueName="[Affiliate_INTERCOMPANY]" displayFolder="" count="0" memberValueDatatype="130" unbalanced="0"/>
    <cacheHierarchy uniqueName="[Affiliate_INTERCOMPANY].[Level09_Desc]" caption="Level09_Desc" attribute="1" defaultMemberUniqueName="[Affiliate_INTERCOMPANY].[Level09_Desc].[All]" allUniqueName="[Affiliate_INTERCOMPANY].[Level09_Desc].[All]" dimensionUniqueName="[Affiliate_INTERCOMPANY]" displayFolder="" count="0" memberValueDatatype="130" unbalanced="0"/>
    <cacheHierarchy uniqueName="[Affiliate_INTERCOMPANY].[Level10]" caption="Level10" attribute="1" defaultMemberUniqueName="[Affiliate_INTERCOMPANY].[Level10].[All]" allUniqueName="[Affiliate_INTERCOMPANY].[Level10].[All]" dimensionUniqueName="[Affiliate_INTERCOMPANY]" displayFolder="" count="0" memberValueDatatype="130" unbalanced="0"/>
    <cacheHierarchy uniqueName="[Affiliate_INTERCOMPANY].[Level10_Code]" caption="Level10_Code" attribute="1" defaultMemberUniqueName="[Affiliate_INTERCOMPANY].[Level10_Code].[All]" allUniqueName="[Affiliate_INTERCOMPANY].[Level10_Code].[All]" dimensionUniqueName="[Affiliate_INTERCOMPANY]" displayFolder="" count="0" memberValueDatatype="130" unbalanced="0"/>
    <cacheHierarchy uniqueName="[Affiliate_INTERCOMPANY].[Level10_Desc]" caption="Level10_Desc" attribute="1" defaultMemberUniqueName="[Affiliate_INTERCOMPANY].[Level10_Desc].[All]" allUniqueName="[Affiliate_INTERCOMPANY].[Level10_Desc].[All]" dimensionUniqueName="[Affiliate_INTERCOMPANY]" displayFolder="" count="0" memberValueDatatype="130" unbalanced="0"/>
    <cacheHierarchy uniqueName="[Affiliate_INTERCOMPANY].[Level11]" caption="Level11" attribute="1" defaultMemberUniqueName="[Affiliate_INTERCOMPANY].[Level11].[All]" allUniqueName="[Affiliate_INTERCOMPANY].[Level11].[All]" dimensionUniqueName="[Affiliate_INTERCOMPANY]" displayFolder="" count="0" memberValueDatatype="130" unbalanced="0"/>
    <cacheHierarchy uniqueName="[Affiliate_INTERCOMPANY].[Level11_Code]" caption="Level11_Code" attribute="1" defaultMemberUniqueName="[Affiliate_INTERCOMPANY].[Level11_Code].[All]" allUniqueName="[Affiliate_INTERCOMPANY].[Level11_Code].[All]" dimensionUniqueName="[Affiliate_INTERCOMPANY]" displayFolder="" count="0" memberValueDatatype="130" unbalanced="0"/>
    <cacheHierarchy uniqueName="[Affiliate_INTERCOMPANY].[Level11_Desc]" caption="Level11_Desc" attribute="1" defaultMemberUniqueName="[Affiliate_INTERCOMPANY].[Level11_Desc].[All]" allUniqueName="[Affiliate_INTERCOMPANY].[Level11_Desc].[All]" dimensionUniqueName="[Affiliate_INTERCOMPANY]" displayFolder="" count="0" memberValueDatatype="130" unbalanced="0"/>
    <cacheHierarchy uniqueName="[Affiliate_INTERCOMPANY].[Level12]" caption="Level12" attribute="1" defaultMemberUniqueName="[Affiliate_INTERCOMPANY].[Level12].[All]" allUniqueName="[Affiliate_INTERCOMPANY].[Level12].[All]" dimensionUniqueName="[Affiliate_INTERCOMPANY]" displayFolder="" count="0" memberValueDatatype="130" unbalanced="0"/>
    <cacheHierarchy uniqueName="[Affiliate_INTERCOMPANY].[Level12_Code]" caption="Level12_Code" attribute="1" defaultMemberUniqueName="[Affiliate_INTERCOMPANY].[Level12_Code].[All]" allUniqueName="[Affiliate_INTERCOMPANY].[Level12_Code].[All]" dimensionUniqueName="[Affiliate_INTERCOMPANY]" displayFolder="" count="0" memberValueDatatype="130" unbalanced="0"/>
    <cacheHierarchy uniqueName="[Affiliate_INTERCOMPANY].[Level12_Desc]" caption="Level12_Desc" attribute="1" defaultMemberUniqueName="[Affiliate_INTERCOMPANY].[Level12_Desc].[All]" allUniqueName="[Affiliate_INTERCOMPANY].[Level12_Desc].[All]" dimensionUniqueName="[Affiliate_INTERCOMPANY]" displayFolder="" count="0" memberValueDatatype="130" unbalanced="0"/>
    <cacheHierarchy uniqueName="[Affiliate_INTERCOMPANY].[Level13]" caption="Level13" attribute="1" defaultMemberUniqueName="[Affiliate_INTERCOMPANY].[Level13].[All]" allUniqueName="[Affiliate_INTERCOMPANY].[Level13].[All]" dimensionUniqueName="[Affiliate_INTERCOMPANY]" displayFolder="" count="0" memberValueDatatype="130" unbalanced="0"/>
    <cacheHierarchy uniqueName="[Affiliate_INTERCOMPANY].[Level13_Code]" caption="Level13_Code" attribute="1" defaultMemberUniqueName="[Affiliate_INTERCOMPANY].[Level13_Code].[All]" allUniqueName="[Affiliate_INTERCOMPANY].[Level13_Code].[All]" dimensionUniqueName="[Affiliate_INTERCOMPANY]" displayFolder="" count="0" memberValueDatatype="130" unbalanced="0"/>
    <cacheHierarchy uniqueName="[Affiliate_INTERCOMPANY].[Level13_Desc]" caption="Level13_Desc" attribute="1" defaultMemberUniqueName="[Affiliate_INTERCOMPANY].[Level13_Desc].[All]" allUniqueName="[Affiliate_INTERCOMPANY].[Level13_Desc].[All]" dimensionUniqueName="[Affiliate_INTERCOMPANY]" displayFolder="" count="0" memberValueDatatype="130" unbalanced="0"/>
    <cacheHierarchy uniqueName="[Affiliate_INTERCOMPANY].[Level14]" caption="Level14" attribute="1" defaultMemberUniqueName="[Affiliate_INTERCOMPANY].[Level14].[All]" allUniqueName="[Affiliate_INTERCOMPANY].[Level14].[All]" dimensionUniqueName="[Affiliate_INTERCOMPANY]" displayFolder="" count="0" memberValueDatatype="130" unbalanced="0"/>
    <cacheHierarchy uniqueName="[Affiliate_INTERCOMPANY].[Level14_Code]" caption="Level14_Code" attribute="1" defaultMemberUniqueName="[Affiliate_INTERCOMPANY].[Level14_Code].[All]" allUniqueName="[Affiliate_INTERCOMPANY].[Level14_Code].[All]" dimensionUniqueName="[Affiliate_INTERCOMPANY]" displayFolder="" count="0" memberValueDatatype="130" unbalanced="0"/>
    <cacheHierarchy uniqueName="[Affiliate_INTERCOMPANY].[Level14_Desc]" caption="Level14_Desc" attribute="1" defaultMemberUniqueName="[Affiliate_INTERCOMPANY].[Level14_Desc].[All]" allUniqueName="[Affiliate_INTERCOMPANY].[Level14_Desc].[All]" dimensionUniqueName="[Affiliate_INTERCOMPANY]" displayFolder="" count="0" memberValueDatatype="130" unbalanced="0"/>
    <cacheHierarchy uniqueName="[Affiliate_INTERCOMPANY].[Level15]" caption="Level15" attribute="1" defaultMemberUniqueName="[Affiliate_INTERCOMPANY].[Level15].[All]" allUniqueName="[Affiliate_INTERCOMPANY].[Level15].[All]" dimensionUniqueName="[Affiliate_INTERCOMPANY]" displayFolder="" count="0" memberValueDatatype="130" unbalanced="0"/>
    <cacheHierarchy uniqueName="[Affiliate_INTERCOMPANY].[Level15_Code]" caption="Level15_Code" attribute="1" defaultMemberUniqueName="[Affiliate_INTERCOMPANY].[Level15_Code].[All]" allUniqueName="[Affiliate_INTERCOMPANY].[Level15_Code].[All]" dimensionUniqueName="[Affiliate_INTERCOMPANY]" displayFolder="" count="0" memberValueDatatype="130" unbalanced="0"/>
    <cacheHierarchy uniqueName="[Affiliate_INTERCOMPANY].[Level15_Desc]" caption="Level15_Desc" attribute="1" defaultMemberUniqueName="[Affiliate_INTERCOMPANY].[Level15_Desc].[All]" allUniqueName="[Affiliate_INTERCOMPANY].[Level15_Desc].[All]" dimensionUniqueName="[Affiliate_INTERCOMPANY]" displayFolder="" count="0" memberValueDatatype="130" unbalanced="0"/>
    <cacheHierarchy uniqueName="[Affiliate_INTERCOMPANY].[Level16]" caption="Level16" attribute="1" defaultMemberUniqueName="[Affiliate_INTERCOMPANY].[Level16].[All]" allUniqueName="[Affiliate_INTERCOMPANY].[Level16].[All]" dimensionUniqueName="[Affiliate_INTERCOMPANY]" displayFolder="" count="0" memberValueDatatype="130" unbalanced="0"/>
    <cacheHierarchy uniqueName="[Affiliate_INTERCOMPANY].[Level16_Code]" caption="Level16_Code" attribute="1" defaultMemberUniqueName="[Affiliate_INTERCOMPANY].[Level16_Code].[All]" allUniqueName="[Affiliate_INTERCOMPANY].[Level16_Code].[All]" dimensionUniqueName="[Affiliate_INTERCOMPANY]" displayFolder="" count="0" memberValueDatatype="130" unbalanced="0"/>
    <cacheHierarchy uniqueName="[Affiliate_INTERCOMPANY].[Level16_Desc]" caption="Level16_Desc" attribute="1" defaultMemberUniqueName="[Affiliate_INTERCOMPANY].[Level16_Desc].[All]" allUniqueName="[Affiliate_INTERCOMPANY].[Level16_Desc].[All]" dimensionUniqueName="[Affiliate_INTERCOMPANY]" displayFolder="" count="0" memberValueDatatype="130" unbalanced="0"/>
    <cacheHierarchy uniqueName="[Affiliate_INTERCOMPANY].[Level17]" caption="Level17" attribute="1" defaultMemberUniqueName="[Affiliate_INTERCOMPANY].[Level17].[All]" allUniqueName="[Affiliate_INTERCOMPANY].[Level17].[All]" dimensionUniqueName="[Affiliate_INTERCOMPANY]" displayFolder="" count="0" memberValueDatatype="130" unbalanced="0"/>
    <cacheHierarchy uniqueName="[Affiliate_INTERCOMPANY].[Level17_Code]" caption="Level17_Code" attribute="1" defaultMemberUniqueName="[Affiliate_INTERCOMPANY].[Level17_Code].[All]" allUniqueName="[Affiliate_INTERCOMPANY].[Level17_Code].[All]" dimensionUniqueName="[Affiliate_INTERCOMPANY]" displayFolder="" count="0" memberValueDatatype="130" unbalanced="0"/>
    <cacheHierarchy uniqueName="[Affiliate_INTERCOMPANY].[Level17_Desc]" caption="Level17_Desc" attribute="1" defaultMemberUniqueName="[Affiliate_INTERCOMPANY].[Level17_Desc].[All]" allUniqueName="[Affiliate_INTERCOMPANY].[Level17_Desc].[All]" dimensionUniqueName="[Affiliate_INTERCOMPANY]" displayFolder="" count="0" memberValueDatatype="130" unbalanced="0"/>
    <cacheHierarchy uniqueName="[Affiliate_INTERCOMPANY].[Level18]" caption="Level18" attribute="1" defaultMemberUniqueName="[Affiliate_INTERCOMPANY].[Level18].[All]" allUniqueName="[Affiliate_INTERCOMPANY].[Level18].[All]" dimensionUniqueName="[Affiliate_INTERCOMPANY]" displayFolder="" count="0" memberValueDatatype="130" unbalanced="0"/>
    <cacheHierarchy uniqueName="[Affiliate_INTERCOMPANY].[Level18_Code]" caption="Level18_Code" attribute="1" defaultMemberUniqueName="[Affiliate_INTERCOMPANY].[Level18_Code].[All]" allUniqueName="[Affiliate_INTERCOMPANY].[Level18_Code].[All]" dimensionUniqueName="[Affiliate_INTERCOMPANY]" displayFolder="" count="0" memberValueDatatype="130" unbalanced="0"/>
    <cacheHierarchy uniqueName="[Affiliate_INTERCOMPANY].[Level18_Desc]" caption="Level18_Desc" attribute="1" defaultMemberUniqueName="[Affiliate_INTERCOMPANY].[Level18_Desc].[All]" allUniqueName="[Affiliate_INTERCOMPANY].[Level18_Desc].[All]" dimensionUniqueName="[Affiliate_INTERCOMPANY]" displayFolder="" count="0" memberValueDatatype="130" unbalanced="0"/>
    <cacheHierarchy uniqueName="[Affiliate_INTERCOMPANY].[Level19]" caption="Level19" attribute="1" defaultMemberUniqueName="[Affiliate_INTERCOMPANY].[Level19].[All]" allUniqueName="[Affiliate_INTERCOMPANY].[Level19].[All]" dimensionUniqueName="[Affiliate_INTERCOMPANY]" displayFolder="" count="0" memberValueDatatype="130" unbalanced="0"/>
    <cacheHierarchy uniqueName="[Affiliate_INTERCOMPANY].[Level19_Code]" caption="Level19_Code" attribute="1" defaultMemberUniqueName="[Affiliate_INTERCOMPANY].[Level19_Code].[All]" allUniqueName="[Affiliate_INTERCOMPANY].[Level19_Code].[All]" dimensionUniqueName="[Affiliate_INTERCOMPANY]" displayFolder="" count="0" memberValueDatatype="130" unbalanced="0"/>
    <cacheHierarchy uniqueName="[Affiliate_INTERCOMPANY].[Level19_Desc]" caption="Level19_Desc" attribute="1" defaultMemberUniqueName="[Affiliate_INTERCOMPANY].[Level19_Desc].[All]" allUniqueName="[Affiliate_INTERCOMPANY].[Level19_Desc].[All]" dimensionUniqueName="[Affiliate_INTERCOMPANY]" displayFolder="" count="0" memberValueDatatype="130" unbalanced="0"/>
    <cacheHierarchy uniqueName="[Affiliate_INTERCOMPANY].[Level20]" caption="Level20" attribute="1" defaultMemberUniqueName="[Affiliate_INTERCOMPANY].[Level20].[All]" allUniqueName="[Affiliate_INTERCOMPANY].[Level20].[All]" dimensionUniqueName="[Affiliate_INTERCOMPANY]" displayFolder="" count="0" memberValueDatatype="130" unbalanced="0"/>
    <cacheHierarchy uniqueName="[Affiliate_INTERCOMPANY].[Level20_Code]" caption="Level20_Code" attribute="1" defaultMemberUniqueName="[Affiliate_INTERCOMPANY].[Level20_Code].[All]" allUniqueName="[Affiliate_INTERCOMPANY].[Level20_Code].[All]" dimensionUniqueName="[Affiliate_INTERCOMPANY]" displayFolder="" count="0" memberValueDatatype="130" unbalanced="0"/>
    <cacheHierarchy uniqueName="[Affiliate_INTERCOMPANY].[Level20_Desc]" caption="Level20_Desc" attribute="1" defaultMemberUniqueName="[Affiliate_INTERCOMPANY].[Level20_Desc].[All]" allUniqueName="[Affiliate_INTERCOMPANY].[Level20_Desc].[All]" dimensionUniqueName="[Affiliate_INTERCOMPANY]" displayFolder="" count="0" memberValueDatatype="130" unbalanced="0"/>
    <cacheHierarchy uniqueName="[Agreement_ID].[Agreement Code]" caption="Agreement Code" defaultMemberUniqueName="[Agreement_ID].[Agreement Code].[All]" allUniqueName="[Agreement_ID].[Agreement Code].[All]" dimensionUniqueName="[Agreement_ID]" displayFolder="" count="0" unbalanced="0"/>
    <cacheHierarchy uniqueName="[Agreement_ID].[Agreement Code Desc]" caption="Agreement Code Desc" defaultMemberUniqueName="[Agreement_ID].[Agreement Code Desc].[All]" allUniqueName="[Agreement_ID].[Agreement Code Desc].[All]" dimensionUniqueName="[Agreement_ID]" displayFolder="" count="0" unbalanced="0"/>
    <cacheHierarchy uniqueName="[Agreement_ID].[Agreement Desc]" caption="Agreement Desc" defaultMemberUniqueName="[Agreement_ID].[Agreement Desc].[All]" allUniqueName="[Agreement_ID].[Agreement Desc].[All]" dimensionUniqueName="[Agreement_ID]" displayFolder="" count="0" unbalanced="0"/>
    <cacheHierarchy uniqueName="[Agreement_ID].[GFS_INTERCOMPANY_AGREEMENT_CODE]" caption="GFS_INTERCOMPANY_AGREEMENT_CODE" attribute="1" defaultMemberUniqueName="[Agreement_ID].[GFS_INTERCOMPANY_AGREEMENT_CODE].[All]" allUniqueName="[Agreement_ID].[GFS_INTERCOMPANY_AGREEMENT_CODE].[All]" dimensionUniqueName="[Agreement_ID]" displayFolder="" count="0" memberValueDatatype="130" unbalanced="0"/>
    <cacheHierarchy uniqueName="[Agreement_ID].[GFS_INTERCOMPANY_AGREEMENT_CODE_DESC]" caption="GFS_INTERCOMPANY_AGREEMENT_CODE_DESC" attribute="1" defaultMemberUniqueName="[Agreement_ID].[GFS_INTERCOMPANY_AGREEMENT_CODE_DESC].[All]" allUniqueName="[Agreement_ID].[GFS_INTERCOMPANY_AGREEMENT_CODE_DESC].[All]" dimensionUniqueName="[Agreement_ID]" displayFolder="" count="0" memberValueDatatype="130" unbalanced="0"/>
    <cacheHierarchy uniqueName="[Agreement_ID].[GFS_INTERCOMPANY_AGREEMENT_DESC]" caption="GFS_INTERCOMPANY_AGREEMENT_DESC" attribute="1" defaultMemberUniqueName="[Agreement_ID].[GFS_INTERCOMPANY_AGREEMENT_DESC].[All]" allUniqueName="[Agreement_ID].[GFS_INTERCOMPANY_AGREEMENT_DESC].[All]" dimensionUniqueName="[Agreement_ID]" displayFolder="" count="0" memberValueDatatype="130" unbalanced="0"/>
    <cacheHierarchy uniqueName="[Amount_Class_All].[Amount Class Code]" caption="Amount Class Code" defaultMemberUniqueName="[Amount_Class_All].[Amount Class Code].[All]" allUniqueName="[Amount_Class_All].[Amount Class Code].[All]" dimensionUniqueName="[Amount_Class_All]" displayFolder="" count="2" unbalanced="0">
      <fieldsUsage count="2">
        <fieldUsage x="-1"/>
        <fieldUsage x="31"/>
      </fieldsUsage>
    </cacheHierarchy>
    <cacheHierarchy uniqueName="[Amount_Class_All].[Amount Class Code Desc]" caption="Amount Class Code Desc" defaultMemberUniqueName="[Amount_Class_All].[Amount Class Code Desc].[All]" allUniqueName="[Amount_Class_All].[Amount Class Code Desc].[All]" dimensionUniqueName="[Amount_Class_All]" displayFolder="" count="0" unbalanced="0"/>
    <cacheHierarchy uniqueName="[Amount_Class_All].[Amount Class Desc]" caption="Amount Class Desc" defaultMemberUniqueName="[Amount_Class_All].[Amount Class Desc].[All]" allUniqueName="[Amount_Class_All].[Amount Class Desc].[All]" dimensionUniqueName="[Amount_Class_All]" displayFolder="" count="0" unbalanced="0"/>
    <cacheHierarchy uniqueName="[Amount_Class_All].[Amount Class GAAP Code]" caption="Amount Class GAAP Code" defaultMemberUniqueName="[Amount_Class_All].[Amount Class GAAP Code].[All]" allUniqueName="[Amount_Class_All].[Amount Class GAAP Code].[All]" dimensionUniqueName="[Amount_Class_All]" displayFolder="" count="0" unbalanced="0"/>
    <cacheHierarchy uniqueName="[Amount_Class_All].[Amount Class GAAP Code Desc]" caption="Amount Class GAAP Code Desc" defaultMemberUniqueName="[Amount_Class_All].[Amount Class GAAP Code Desc].[All]" allUniqueName="[Amount_Class_All].[Amount Class GAAP Code Desc].[All]" dimensionUniqueName="[Amount_Class_All]" displayFolder="" count="0" unbalanced="0"/>
    <cacheHierarchy uniqueName="[Amount_Class_All].[Amount Class GAAP Desc]" caption="Amount Class GAAP Desc" defaultMemberUniqueName="[Amount_Class_All].[Amount Class GAAP Desc].[All]" allUniqueName="[Amount_Class_All].[Amount Class GAAP Desc].[All]" dimensionUniqueName="[Amount_Class_All]" displayFolder="" count="0" unbalanced="0"/>
    <cacheHierarchy uniqueName="[Amount_Class_All].[Amount Class STAT Code]" caption="Amount Class STAT Code" defaultMemberUniqueName="[Amount_Class_All].[Amount Class STAT Code].[All]" allUniqueName="[Amount_Class_All].[Amount Class STAT Code].[All]" dimensionUniqueName="[Amount_Class_All]" displayFolder="" count="0" unbalanced="0"/>
    <cacheHierarchy uniqueName="[Amount_Class_All].[Amount Class STAT Code Desc]" caption="Amount Class STAT Code Desc" defaultMemberUniqueName="[Amount_Class_All].[Amount Class STAT Code Desc].[All]" allUniqueName="[Amount_Class_All].[Amount Class STAT Code Desc].[All]" dimensionUniqueName="[Amount_Class_All]" displayFolder="" count="0" unbalanced="0"/>
    <cacheHierarchy uniqueName="[Amount_Class_All].[Amount Class STAT Desc]" caption="Amount Class STAT Desc" defaultMemberUniqueName="[Amount_Class_All].[Amount Class STAT Desc].[All]" allUniqueName="[Amount_Class_All].[Amount Class STAT Desc].[All]" dimensionUniqueName="[Amount_Class_All]" displayFolder="" count="0" unbalanced="0"/>
    <cacheHierarchy uniqueName="[Amount_Class_All].[Amount_Class_Code]" caption="Amount_Class_Code" attribute="1" defaultMemberUniqueName="[Amount_Class_All].[Amount_Class_Code].[All]" allUniqueName="[Amount_Class_All].[Amount_Class_Code].[All]" dimensionUniqueName="[Amount_Class_All]" displayFolder="" count="0" memberValueDatatype="130" unbalanced="0"/>
    <cacheHierarchy uniqueName="[Amount_Class_All].[Amount_Class_Code_Desc]" caption="Amount_Class_Code_Desc" attribute="1" defaultMemberUniqueName="[Amount_Class_All].[Amount_Class_Code_Desc].[All]" allUniqueName="[Amount_Class_All].[Amount_Class_Code_Desc].[All]" dimensionUniqueName="[Amount_Class_All]" displayFolder="" count="0" memberValueDatatype="130" unbalanced="0"/>
    <cacheHierarchy uniqueName="[Amount_Class_All].[Amount_Class_Desc]" caption="Amount_Class_Desc" attribute="1" defaultMemberUniqueName="[Amount_Class_All].[Amount_Class_Desc].[All]" allUniqueName="[Amount_Class_All].[Amount_Class_Desc].[All]" dimensionUniqueName="[Amount_Class_All]" displayFolder="" count="0" memberValueDatatype="130" unbalanced="0"/>
    <cacheHierarchy uniqueName="[Amount_Class_All].[Amount_Class_Hier_Name]" caption="Amount_Class_Hier_Name" attribute="1" defaultMemberUniqueName="[Amount_Class_All].[Amount_Class_Hier_Name].[All]" allUniqueName="[Amount_Class_All].[Amount_Class_Hier_Name].[All]" dimensionUniqueName="[Amount_Class_All]" displayFolder="" count="0" memberValueDatatype="130" unbalanced="0"/>
    <cacheHierarchy uniqueName="[Amount_Class_All].[Consolidated GAAP Hierarchy]" caption="Consolidated GAAP Hierarchy" defaultMemberUniqueName="[Amount_Class_All].[Consolidated GAAP Hierarchy].[All]" allUniqueName="[Amount_Class_All].[Consolidated GAAP Hierarchy].[All]" dimensionUniqueName="[Amount_Class_All]" displayFolder="" count="0" unbalanced="0"/>
    <cacheHierarchy uniqueName="[Amount_Class_All].[Consolidated STAT Hierarchy]" caption="Consolidated STAT Hierarchy" defaultMemberUniqueName="[Amount_Class_All].[Consolidated STAT Hierarchy].[All]" allUniqueName="[Amount_Class_All].[Consolidated STAT Hierarchy].[All]" dimensionUniqueName="[Amount_Class_All]" displayFolder="" count="0" unbalanced="0"/>
    <cacheHierarchy uniqueName="[Amount_Class_All].[Level01]" caption="Level01" attribute="1" defaultMemberUniqueName="[Amount_Class_All].[Level01].[All]" allUniqueName="[Amount_Class_All].[Level01].[All]" dimensionUniqueName="[Amount_Class_All]" displayFolder="" count="0" memberValueDatatype="130" unbalanced="0"/>
    <cacheHierarchy uniqueName="[Amount_Class_All].[Level01_Code]" caption="Level01_Code" attribute="1" defaultMemberUniqueName="[Amount_Class_All].[Level01_Code].[All]" allUniqueName="[Amount_Class_All].[Level01_Code].[All]" dimensionUniqueName="[Amount_Class_All]" displayFolder="" count="0" memberValueDatatype="130" unbalanced="0"/>
    <cacheHierarchy uniqueName="[Amount_Class_All].[Level01_Desc]" caption="Level01_Desc" attribute="1" defaultMemberUniqueName="[Amount_Class_All].[Level01_Desc].[All]" allUniqueName="[Amount_Class_All].[Level01_Desc].[All]" dimensionUniqueName="[Amount_Class_All]" displayFolder="" count="0" memberValueDatatype="130" unbalanced="0"/>
    <cacheHierarchy uniqueName="[Amount_Class_All].[Level02]" caption="Level02" attribute="1" defaultMemberUniqueName="[Amount_Class_All].[Level02].[All]" allUniqueName="[Amount_Class_All].[Level02].[All]" dimensionUniqueName="[Amount_Class_All]" displayFolder="" count="0" memberValueDatatype="130" unbalanced="0"/>
    <cacheHierarchy uniqueName="[Amount_Class_All].[Level02_Code]" caption="Level02_Code" attribute="1" defaultMemberUniqueName="[Amount_Class_All].[Level02_Code].[All]" allUniqueName="[Amount_Class_All].[Level02_Code].[All]" dimensionUniqueName="[Amount_Class_All]" displayFolder="" count="0" memberValueDatatype="130" unbalanced="0"/>
    <cacheHierarchy uniqueName="[Amount_Class_All].[Level02_Desc]" caption="Level02_Desc" attribute="1" defaultMemberUniqueName="[Amount_Class_All].[Level02_Desc].[All]" allUniqueName="[Amount_Class_All].[Level02_Desc].[All]" dimensionUniqueName="[Amount_Class_All]" displayFolder="" count="0" memberValueDatatype="130" unbalanced="0"/>
    <cacheHierarchy uniqueName="[Amount_Class_All].[Level03]" caption="Level03" attribute="1" defaultMemberUniqueName="[Amount_Class_All].[Level03].[All]" allUniqueName="[Amount_Class_All].[Level03].[All]" dimensionUniqueName="[Amount_Class_All]" displayFolder="" count="0" memberValueDatatype="130" unbalanced="0"/>
    <cacheHierarchy uniqueName="[Amount_Class_All].[Level03_Code]" caption="Level03_Code" attribute="1" defaultMemberUniqueName="[Amount_Class_All].[Level03_Code].[All]" allUniqueName="[Amount_Class_All].[Level03_Code].[All]" dimensionUniqueName="[Amount_Class_All]" displayFolder="" count="0" memberValueDatatype="130" unbalanced="0"/>
    <cacheHierarchy uniqueName="[Amount_Class_All].[Level03_Desc]" caption="Level03_Desc" attribute="1" defaultMemberUniqueName="[Amount_Class_All].[Level03_Desc].[All]" allUniqueName="[Amount_Class_All].[Level03_Desc].[All]" dimensionUniqueName="[Amount_Class_All]" displayFolder="" count="0" memberValueDatatype="130" unbalanced="0"/>
    <cacheHierarchy uniqueName="[Amount_Class_All].[Level04]" caption="Level04" attribute="1" defaultMemberUniqueName="[Amount_Class_All].[Level04].[All]" allUniqueName="[Amount_Class_All].[Level04].[All]" dimensionUniqueName="[Amount_Class_All]" displayFolder="" count="0" memberValueDatatype="130" unbalanced="0"/>
    <cacheHierarchy uniqueName="[Amount_Class_All].[Level04_Code]" caption="Level04_Code" attribute="1" defaultMemberUniqueName="[Amount_Class_All].[Level04_Code].[All]" allUniqueName="[Amount_Class_All].[Level04_Code].[All]" dimensionUniqueName="[Amount_Class_All]" displayFolder="" count="0" memberValueDatatype="130" unbalanced="0"/>
    <cacheHierarchy uniqueName="[Amount_Class_All].[Level04_Desc]" caption="Level04_Desc" attribute="1" defaultMemberUniqueName="[Amount_Class_All].[Level04_Desc].[All]" allUniqueName="[Amount_Class_All].[Level04_Desc].[All]" dimensionUniqueName="[Amount_Class_All]" displayFolder="" count="0" memberValueDatatype="130" unbalanced="0"/>
    <cacheHierarchy uniqueName="[Amount_Class_All].[Level05]" caption="Level05" attribute="1" defaultMemberUniqueName="[Amount_Class_All].[Level05].[All]" allUniqueName="[Amount_Class_All].[Level05].[All]" dimensionUniqueName="[Amount_Class_All]" displayFolder="" count="0" memberValueDatatype="130" unbalanced="0"/>
    <cacheHierarchy uniqueName="[Amount_Class_All].[Level05_Code]" caption="Level05_Code" attribute="1" defaultMemberUniqueName="[Amount_Class_All].[Level05_Code].[All]" allUniqueName="[Amount_Class_All].[Level05_Code].[All]" dimensionUniqueName="[Amount_Class_All]" displayFolder="" count="0" memberValueDatatype="130" unbalanced="0"/>
    <cacheHierarchy uniqueName="[Amount_Class_All].[Level05_Desc]" caption="Level05_Desc" attribute="1" defaultMemberUniqueName="[Amount_Class_All].[Level05_Desc].[All]" allUniqueName="[Amount_Class_All].[Level05_Desc].[All]" dimensionUniqueName="[Amount_Class_All]" displayFolder="" count="0" memberValueDatatype="130" unbalanced="0"/>
    <cacheHierarchy uniqueName="[Amount_Class_All].[Level06]" caption="Level06" attribute="1" defaultMemberUniqueName="[Amount_Class_All].[Level06].[All]" allUniqueName="[Amount_Class_All].[Level06].[All]" dimensionUniqueName="[Amount_Class_All]" displayFolder="" count="0" memberValueDatatype="130" unbalanced="0"/>
    <cacheHierarchy uniqueName="[Amount_Class_All].[Level06_Code]" caption="Level06_Code" attribute="1" defaultMemberUniqueName="[Amount_Class_All].[Level06_Code].[All]" allUniqueName="[Amount_Class_All].[Level06_Code].[All]" dimensionUniqueName="[Amount_Class_All]" displayFolder="" count="0" memberValueDatatype="130" unbalanced="0"/>
    <cacheHierarchy uniqueName="[Amount_Class_All].[Level06_Desc]" caption="Level06_Desc" attribute="1" defaultMemberUniqueName="[Amount_Class_All].[Level06_Desc].[All]" allUniqueName="[Amount_Class_All].[Level06_Desc].[All]" dimensionUniqueName="[Amount_Class_All]" displayFolder="" count="0" memberValueDatatype="130" unbalanced="0"/>
    <cacheHierarchy uniqueName="[Amount_Class_All].[Level07]" caption="Level07" attribute="1" defaultMemberUniqueName="[Amount_Class_All].[Level07].[All]" allUniqueName="[Amount_Class_All].[Level07].[All]" dimensionUniqueName="[Amount_Class_All]" displayFolder="" count="0" memberValueDatatype="130" unbalanced="0"/>
    <cacheHierarchy uniqueName="[Amount_Class_All].[Level07_Code]" caption="Level07_Code" attribute="1" defaultMemberUniqueName="[Amount_Class_All].[Level07_Code].[All]" allUniqueName="[Amount_Class_All].[Level07_Code].[All]" dimensionUniqueName="[Amount_Class_All]" displayFolder="" count="0" memberValueDatatype="130" unbalanced="0"/>
    <cacheHierarchy uniqueName="[Amount_Class_All].[Level07_Desc]" caption="Level07_Desc" attribute="1" defaultMemberUniqueName="[Amount_Class_All].[Level07_Desc].[All]" allUniqueName="[Amount_Class_All].[Level07_Desc].[All]" dimensionUniqueName="[Amount_Class_All]" displayFolder="" count="0" memberValueDatatype="130" unbalanced="0"/>
    <cacheHierarchy uniqueName="[Amount_Class_All].[Level08]" caption="Level08" attribute="1" defaultMemberUniqueName="[Amount_Class_All].[Level08].[All]" allUniqueName="[Amount_Class_All].[Level08].[All]" dimensionUniqueName="[Amount_Class_All]" displayFolder="" count="0" memberValueDatatype="130" unbalanced="0"/>
    <cacheHierarchy uniqueName="[Amount_Class_All].[Level08_Code]" caption="Level08_Code" attribute="1" defaultMemberUniqueName="[Amount_Class_All].[Level08_Code].[All]" allUniqueName="[Amount_Class_All].[Level08_Code].[All]" dimensionUniqueName="[Amount_Class_All]" displayFolder="" count="0" memberValueDatatype="130" unbalanced="0"/>
    <cacheHierarchy uniqueName="[Amount_Class_All].[Level08_Desc]" caption="Level08_Desc" attribute="1" defaultMemberUniqueName="[Amount_Class_All].[Level08_Desc].[All]" allUniqueName="[Amount_Class_All].[Level08_Desc].[All]" dimensionUniqueName="[Amount_Class_All]" displayFolder="" count="0" memberValueDatatype="130" unbalanced="0"/>
    <cacheHierarchy uniqueName="[Amount_Class_All].[Level09]" caption="Level09" attribute="1" defaultMemberUniqueName="[Amount_Class_All].[Level09].[All]" allUniqueName="[Amount_Class_All].[Level09].[All]" dimensionUniqueName="[Amount_Class_All]" displayFolder="" count="0" memberValueDatatype="130" unbalanced="0"/>
    <cacheHierarchy uniqueName="[Amount_Class_All].[Level09_Code]" caption="Level09_Code" attribute="1" defaultMemberUniqueName="[Amount_Class_All].[Level09_Code].[All]" allUniqueName="[Amount_Class_All].[Level09_Code].[All]" dimensionUniqueName="[Amount_Class_All]" displayFolder="" count="0" memberValueDatatype="130" unbalanced="0"/>
    <cacheHierarchy uniqueName="[Amount_Class_All].[Level09_Desc]" caption="Level09_Desc" attribute="1" defaultMemberUniqueName="[Amount_Class_All].[Level09_Desc].[All]" allUniqueName="[Amount_Class_All].[Level09_Desc].[All]" dimensionUniqueName="[Amount_Class_All]" displayFolder="" count="0" memberValueDatatype="130" unbalanced="0"/>
    <cacheHierarchy uniqueName="[Amount_Class_All].[Level10]" caption="Level10" attribute="1" defaultMemberUniqueName="[Amount_Class_All].[Level10].[All]" allUniqueName="[Amount_Class_All].[Level10].[All]" dimensionUniqueName="[Amount_Class_All]" displayFolder="" count="0" memberValueDatatype="130" unbalanced="0"/>
    <cacheHierarchy uniqueName="[Amount_Class_All].[Level10_Code]" caption="Level10_Code" attribute="1" defaultMemberUniqueName="[Amount_Class_All].[Level10_Code].[All]" allUniqueName="[Amount_Class_All].[Level10_Code].[All]" dimensionUniqueName="[Amount_Class_All]" displayFolder="" count="0" memberValueDatatype="130" unbalanced="0"/>
    <cacheHierarchy uniqueName="[Amount_Class_All].[Level10_Desc]" caption="Level10_Desc" attribute="1" defaultMemberUniqueName="[Amount_Class_All].[Level10_Desc].[All]" allUniqueName="[Amount_Class_All].[Level10_Desc].[All]" dimensionUniqueName="[Amount_Class_All]" displayFolder="" count="0" memberValueDatatype="130" unbalanced="0"/>
    <cacheHierarchy uniqueName="[Amount_Class_All].[Level11]" caption="Level11" attribute="1" defaultMemberUniqueName="[Amount_Class_All].[Level11].[All]" allUniqueName="[Amount_Class_All].[Level11].[All]" dimensionUniqueName="[Amount_Class_All]" displayFolder="" count="0" memberValueDatatype="130" unbalanced="0"/>
    <cacheHierarchy uniqueName="[Amount_Class_All].[Level11_Code]" caption="Level11_Code" attribute="1" defaultMemberUniqueName="[Amount_Class_All].[Level11_Code].[All]" allUniqueName="[Amount_Class_All].[Level11_Code].[All]" dimensionUniqueName="[Amount_Class_All]" displayFolder="" count="0" memberValueDatatype="130" unbalanced="0"/>
    <cacheHierarchy uniqueName="[Amount_Class_All].[Level11_Desc]" caption="Level11_Desc" attribute="1" defaultMemberUniqueName="[Amount_Class_All].[Level11_Desc].[All]" allUniqueName="[Amount_Class_All].[Level11_Desc].[All]" dimensionUniqueName="[Amount_Class_All]" displayFolder="" count="0" memberValueDatatype="130" unbalanced="0"/>
    <cacheHierarchy uniqueName="[Amount_Class_All].[Level12]" caption="Level12" attribute="1" defaultMemberUniqueName="[Amount_Class_All].[Level12].[All]" allUniqueName="[Amount_Class_All].[Level12].[All]" dimensionUniqueName="[Amount_Class_All]" displayFolder="" count="0" memberValueDatatype="130" unbalanced="0"/>
    <cacheHierarchy uniqueName="[Amount_Class_All].[Level12_Code]" caption="Level12_Code" attribute="1" defaultMemberUniqueName="[Amount_Class_All].[Level12_Code].[All]" allUniqueName="[Amount_Class_All].[Level12_Code].[All]" dimensionUniqueName="[Amount_Class_All]" displayFolder="" count="0" memberValueDatatype="130" unbalanced="0"/>
    <cacheHierarchy uniqueName="[Amount_Class_All].[Level12_Desc]" caption="Level12_Desc" attribute="1" defaultMemberUniqueName="[Amount_Class_All].[Level12_Desc].[All]" allUniqueName="[Amount_Class_All].[Level12_Desc].[All]" dimensionUniqueName="[Amount_Class_All]" displayFolder="" count="0" memberValueDatatype="130" unbalanced="0"/>
    <cacheHierarchy uniqueName="[Amount_Class_All].[Level13]" caption="Level13" attribute="1" defaultMemberUniqueName="[Amount_Class_All].[Level13].[All]" allUniqueName="[Amount_Class_All].[Level13].[All]" dimensionUniqueName="[Amount_Class_All]" displayFolder="" count="0" memberValueDatatype="130" unbalanced="0"/>
    <cacheHierarchy uniqueName="[Amount_Class_All].[Level13_Code]" caption="Level13_Code" attribute="1" defaultMemberUniqueName="[Amount_Class_All].[Level13_Code].[All]" allUniqueName="[Amount_Class_All].[Level13_Code].[All]" dimensionUniqueName="[Amount_Class_All]" displayFolder="" count="0" memberValueDatatype="130" unbalanced="0"/>
    <cacheHierarchy uniqueName="[Amount_Class_All].[Level13_Desc]" caption="Level13_Desc" attribute="1" defaultMemberUniqueName="[Amount_Class_All].[Level13_Desc].[All]" allUniqueName="[Amount_Class_All].[Level13_Desc].[All]" dimensionUniqueName="[Amount_Class_All]" displayFolder="" count="0" memberValueDatatype="130" unbalanced="0"/>
    <cacheHierarchy uniqueName="[Amount_Class_All].[Level14]" caption="Level14" attribute="1" defaultMemberUniqueName="[Amount_Class_All].[Level14].[All]" allUniqueName="[Amount_Class_All].[Level14].[All]" dimensionUniqueName="[Amount_Class_All]" displayFolder="" count="0" memberValueDatatype="130" unbalanced="0"/>
    <cacheHierarchy uniqueName="[Amount_Class_All].[Level14_Code]" caption="Level14_Code" attribute="1" defaultMemberUniqueName="[Amount_Class_All].[Level14_Code].[All]" allUniqueName="[Amount_Class_All].[Level14_Code].[All]" dimensionUniqueName="[Amount_Class_All]" displayFolder="" count="0" memberValueDatatype="130" unbalanced="0"/>
    <cacheHierarchy uniqueName="[Amount_Class_All].[Level14_Desc]" caption="Level14_Desc" attribute="1" defaultMemberUniqueName="[Amount_Class_All].[Level14_Desc].[All]" allUniqueName="[Amount_Class_All].[Level14_Desc].[All]" dimensionUniqueName="[Amount_Class_All]" displayFolder="" count="0" memberValueDatatype="130" unbalanced="0"/>
    <cacheHierarchy uniqueName="[Amount_Class_All].[Level15]" caption="Level15" attribute="1" defaultMemberUniqueName="[Amount_Class_All].[Level15].[All]" allUniqueName="[Amount_Class_All].[Level15].[All]" dimensionUniqueName="[Amount_Class_All]" displayFolder="" count="0" memberValueDatatype="130" unbalanced="0"/>
    <cacheHierarchy uniqueName="[Amount_Class_All].[Level15_Code]" caption="Level15_Code" attribute="1" defaultMemberUniqueName="[Amount_Class_All].[Level15_Code].[All]" allUniqueName="[Amount_Class_All].[Level15_Code].[All]" dimensionUniqueName="[Amount_Class_All]" displayFolder="" count="0" memberValueDatatype="130" unbalanced="0"/>
    <cacheHierarchy uniqueName="[Amount_Class_All].[Level15_Desc]" caption="Level15_Desc" attribute="1" defaultMemberUniqueName="[Amount_Class_All].[Level15_Desc].[All]" allUniqueName="[Amount_Class_All].[Level15_Desc].[All]" dimensionUniqueName="[Amount_Class_All]" displayFolder="" count="0" memberValueDatatype="130" unbalanced="0"/>
    <cacheHierarchy uniqueName="[Amount_Class_All].[Level16]" caption="Level16" attribute="1" defaultMemberUniqueName="[Amount_Class_All].[Level16].[All]" allUniqueName="[Amount_Class_All].[Level16].[All]" dimensionUniqueName="[Amount_Class_All]" displayFolder="" count="0" memberValueDatatype="130" unbalanced="0"/>
    <cacheHierarchy uniqueName="[Amount_Class_All].[Level16_Code]" caption="Level16_Code" attribute="1" defaultMemberUniqueName="[Amount_Class_All].[Level16_Code].[All]" allUniqueName="[Amount_Class_All].[Level16_Code].[All]" dimensionUniqueName="[Amount_Class_All]" displayFolder="" count="0" memberValueDatatype="130" unbalanced="0"/>
    <cacheHierarchy uniqueName="[Amount_Class_All].[Level16_Desc]" caption="Level16_Desc" attribute="1" defaultMemberUniqueName="[Amount_Class_All].[Level16_Desc].[All]" allUniqueName="[Amount_Class_All].[Level16_Desc].[All]" dimensionUniqueName="[Amount_Class_All]" displayFolder="" count="0" memberValueDatatype="130" unbalanced="0"/>
    <cacheHierarchy uniqueName="[Amount_Class_All].[Level17]" caption="Level17" attribute="1" defaultMemberUniqueName="[Amount_Class_All].[Level17].[All]" allUniqueName="[Amount_Class_All].[Level17].[All]" dimensionUniqueName="[Amount_Class_All]" displayFolder="" count="0" memberValueDatatype="130" unbalanced="0"/>
    <cacheHierarchy uniqueName="[Amount_Class_All].[Level17_Code]" caption="Level17_Code" attribute="1" defaultMemberUniqueName="[Amount_Class_All].[Level17_Code].[All]" allUniqueName="[Amount_Class_All].[Level17_Code].[All]" dimensionUniqueName="[Amount_Class_All]" displayFolder="" count="0" memberValueDatatype="130" unbalanced="0"/>
    <cacheHierarchy uniqueName="[Amount_Class_All].[Level17_Desc]" caption="Level17_Desc" attribute="1" defaultMemberUniqueName="[Amount_Class_All].[Level17_Desc].[All]" allUniqueName="[Amount_Class_All].[Level17_Desc].[All]" dimensionUniqueName="[Amount_Class_All]" displayFolder="" count="0" memberValueDatatype="130" unbalanced="0"/>
    <cacheHierarchy uniqueName="[Amount_Class_All].[Level18]" caption="Level18" attribute="1" defaultMemberUniqueName="[Amount_Class_All].[Level18].[All]" allUniqueName="[Amount_Class_All].[Level18].[All]" dimensionUniqueName="[Amount_Class_All]" displayFolder="" count="0" memberValueDatatype="130" unbalanced="0"/>
    <cacheHierarchy uniqueName="[Amount_Class_All].[Level18_Code]" caption="Level18_Code" attribute="1" defaultMemberUniqueName="[Amount_Class_All].[Level18_Code].[All]" allUniqueName="[Amount_Class_All].[Level18_Code].[All]" dimensionUniqueName="[Amount_Class_All]" displayFolder="" count="0" memberValueDatatype="130" unbalanced="0"/>
    <cacheHierarchy uniqueName="[Amount_Class_All].[Level18_Desc]" caption="Level18_Desc" attribute="1" defaultMemberUniqueName="[Amount_Class_All].[Level18_Desc].[All]" allUniqueName="[Amount_Class_All].[Level18_Desc].[All]" dimensionUniqueName="[Amount_Class_All]" displayFolder="" count="0" memberValueDatatype="130" unbalanced="0"/>
    <cacheHierarchy uniqueName="[Amount_Class_All].[Level19]" caption="Level19" attribute="1" defaultMemberUniqueName="[Amount_Class_All].[Level19].[All]" allUniqueName="[Amount_Class_All].[Level19].[All]" dimensionUniqueName="[Amount_Class_All]" displayFolder="" count="0" memberValueDatatype="130" unbalanced="0"/>
    <cacheHierarchy uniqueName="[Amount_Class_All].[Level19_Code]" caption="Level19_Code" attribute="1" defaultMemberUniqueName="[Amount_Class_All].[Level19_Code].[All]" allUniqueName="[Amount_Class_All].[Level19_Code].[All]" dimensionUniqueName="[Amount_Class_All]" displayFolder="" count="0" memberValueDatatype="130" unbalanced="0"/>
    <cacheHierarchy uniqueName="[Amount_Class_All].[Level19_Desc]" caption="Level19_Desc" attribute="1" defaultMemberUniqueName="[Amount_Class_All].[Level19_Desc].[All]" allUniqueName="[Amount_Class_All].[Level19_Desc].[All]" dimensionUniqueName="[Amount_Class_All]" displayFolder="" count="0" memberValueDatatype="130" unbalanced="0"/>
    <cacheHierarchy uniqueName="[Amount_Class_All].[Level20]" caption="Level20" attribute="1" defaultMemberUniqueName="[Amount_Class_All].[Level20].[All]" allUniqueName="[Amount_Class_All].[Level20].[All]" dimensionUniqueName="[Amount_Class_All]" displayFolder="" count="0" memberValueDatatype="130" unbalanced="0"/>
    <cacheHierarchy uniqueName="[Amount_Class_All].[Level20_Code]" caption="Level20_Code" attribute="1" defaultMemberUniqueName="[Amount_Class_All].[Level20_Code].[All]" allUniqueName="[Amount_Class_All].[Level20_Code].[All]" dimensionUniqueName="[Amount_Class_All]" displayFolder="" count="0" memberValueDatatype="130" unbalanced="0"/>
    <cacheHierarchy uniqueName="[Amount_Class_All].[Level20_Desc]" caption="Level20_Desc" attribute="1" defaultMemberUniqueName="[Amount_Class_All].[Level20_Desc].[All]" allUniqueName="[Amount_Class_All].[Level20_Desc].[All]" dimensionUniqueName="[Amount_Class_All]" displayFolder="" count="0" memberValueDatatype="130" unbalanced="0"/>
    <cacheHierarchy uniqueName="[Amount_Class_All].[SubTotal_Consolidated_GAAP]" caption="SubTotal_Consolidated_GAAP" attribute="1" defaultMemberUniqueName="[Amount_Class_All].[SubTotal_Consolidated_GAAP].[All]" allUniqueName="[Amount_Class_All].[SubTotal_Consolidated_GAAP].[All]" dimensionUniqueName="[Amount_Class_All]" displayFolder="" count="0" memberValueDatatype="130" unbalanced="0"/>
    <cacheHierarchy uniqueName="[Amount_Class_All].[SubTotal_Consolidated_STAT]" caption="SubTotal_Consolidated_STAT" attribute="1" defaultMemberUniqueName="[Amount_Class_All].[SubTotal_Consolidated_STAT].[All]" allUniqueName="[Amount_Class_All].[SubTotal_Consolidated_STAT].[All]" dimensionUniqueName="[Amount_Class_All]" displayFolder="" count="0" memberValueDatatype="130" unbalanced="0"/>
    <cacheHierarchy uniqueName="[Amount_Class_All].[SubTotal_Core]" caption="SubTotal_Core" attribute="1" defaultMemberUniqueName="[Amount_Class_All].[SubTotal_Core].[All]" allUniqueName="[Amount_Class_All].[SubTotal_Core].[All]" dimensionUniqueName="[Amount_Class_All]" displayFolder="" count="0" memberValueDatatype="130" unbalanced="0"/>
    <cacheHierarchy uniqueName="[Amount_Class_All].[SubTotal_GAAP]" caption="SubTotal_GAAP" attribute="1" defaultMemberUniqueName="[Amount_Class_All].[SubTotal_GAAP].[All]" allUniqueName="[Amount_Class_All].[SubTotal_GAAP].[All]" dimensionUniqueName="[Amount_Class_All]" displayFolder="" count="0" memberValueDatatype="130" unbalanced="0"/>
    <cacheHierarchy uniqueName="[Amount_Class_All].[SubTotal_STAT]" caption="SubTotal_STAT" attribute="1" defaultMemberUniqueName="[Amount_Class_All].[SubTotal_STAT].[All]" allUniqueName="[Amount_Class_All].[SubTotal_STAT].[All]" dimensionUniqueName="[Amount_Class_All]" displayFolder="" count="0" memberValueDatatype="130" unbalanced="0"/>
    <cacheHierarchy uniqueName="[Amount_Class_All].[Total_GAAP]" caption="Total_GAAP" attribute="1" defaultMemberUniqueName="[Amount_Class_All].[Total_GAAP].[All]" allUniqueName="[Amount_Class_All].[Total_GAAP].[All]" dimensionUniqueName="[Amount_Class_All]" displayFolder="" count="0" memberValueDatatype="130" unbalanced="0"/>
    <cacheHierarchy uniqueName="[Amount_Class_All].[Total_IFRS]" caption="Total_IFRS" attribute="1" defaultMemberUniqueName="[Amount_Class_All].[Total_IFRS].[All]" allUniqueName="[Amount_Class_All].[Total_IFRS].[All]" dimensionUniqueName="[Amount_Class_All]" displayFolder="" count="0" memberValueDatatype="130" unbalanced="0"/>
    <cacheHierarchy uniqueName="[Amount_Class_All].[Total_LOCAL_REG]" caption="Total_LOCAL_REG" attribute="1" defaultMemberUniqueName="[Amount_Class_All].[Total_LOCAL_REG].[All]" allUniqueName="[Amount_Class_All].[Total_LOCAL_REG].[All]" dimensionUniqueName="[Amount_Class_All]" displayFolder="" count="0" memberValueDatatype="130" unbalanced="0"/>
    <cacheHierarchy uniqueName="[Amount_Class_All].[Total_PLAN]" caption="Total_PLAN" attribute="1" defaultMemberUniqueName="[Amount_Class_All].[Total_PLAN].[All]" allUniqueName="[Amount_Class_All].[Total_PLAN].[All]" dimensionUniqueName="[Amount_Class_All]" displayFolder="" count="0" memberValueDatatype="130" unbalanced="0"/>
    <cacheHierarchy uniqueName="[Amount_Class_All].[Total_SPECIAL]" caption="Total_SPECIAL" attribute="1" defaultMemberUniqueName="[Amount_Class_All].[Total_SPECIAL].[All]" allUniqueName="[Amount_Class_All].[Total_SPECIAL].[All]" dimensionUniqueName="[Amount_Class_All]" displayFolder="" count="0" memberValueDatatype="130" unbalanced="0"/>
    <cacheHierarchy uniqueName="[Amount_Class_All].[Total_STAT]" caption="Total_STAT" attribute="1" defaultMemberUniqueName="[Amount_Class_All].[Total_STAT].[All]" allUniqueName="[Amount_Class_All].[Total_STAT].[All]" dimensionUniqueName="[Amount_Class_All]" displayFolder="" count="0" memberValueDatatype="130" unbalanced="0"/>
    <cacheHierarchy uniqueName="[Amount_Class_All].[Total_STATISTICAL]" caption="Total_STATISTICAL" attribute="1" defaultMemberUniqueName="[Amount_Class_All].[Total_STATISTICAL].[All]" allUniqueName="[Amount_Class_All].[Total_STATISTICAL].[All]" dimensionUniqueName="[Amount_Class_All]" displayFolder="" count="0" memberValueDatatype="130" unbalanced="0"/>
    <cacheHierarchy uniqueName="[BOB_ID].[BOB Code]" caption="BOB Code" defaultMemberUniqueName="[BOB_ID].[BOB Code].[All]" allUniqueName="[BOB_ID].[BOB Code].[All]" dimensionUniqueName="[BOB_ID]" displayFolder="" count="0" unbalanced="0"/>
    <cacheHierarchy uniqueName="[BOB_ID].[BOB Code Desc]" caption="BOB Code Desc" defaultMemberUniqueName="[BOB_ID].[BOB Code Desc].[All]" allUniqueName="[BOB_ID].[BOB Code Desc].[All]" dimensionUniqueName="[BOB_ID]" displayFolder="" count="0" unbalanced="0"/>
    <cacheHierarchy uniqueName="[BOB_ID].[BOB Desc]" caption="BOB Desc" defaultMemberUniqueName="[BOB_ID].[BOB Desc].[All]" allUniqueName="[BOB_ID].[BOB Desc].[All]" dimensionUniqueName="[BOB_ID]" displayFolder="" count="0" unbalanced="0"/>
    <cacheHierarchy uniqueName="[BOB_ID].[BOB Hierarchy]" caption="BOB Hierarchy" defaultMemberUniqueName="[BOB_ID].[BOB Hierarchy].[All]" allUniqueName="[BOB_ID].[BOB Hierarchy].[All]" dimensionUniqueName="[BOB_ID]" displayFolder="" count="0" unbalanced="0"/>
    <cacheHierarchy uniqueName="[BOB_ID].[Bob_Code]" caption="Bob_Code" attribute="1" defaultMemberUniqueName="[BOB_ID].[Bob_Code].[All]" allUniqueName="[BOB_ID].[Bob_Code].[All]" dimensionUniqueName="[BOB_ID]" displayFolder="" count="0" memberValueDatatype="130" unbalanced="0"/>
    <cacheHierarchy uniqueName="[BOB_ID].[Bob_Code_Desc]" caption="Bob_Code_Desc" attribute="1" defaultMemberUniqueName="[BOB_ID].[Bob_Code_Desc].[All]" allUniqueName="[BOB_ID].[Bob_Code_Desc].[All]" dimensionUniqueName="[BOB_ID]" displayFolder="" count="0" memberValueDatatype="130" unbalanced="0"/>
    <cacheHierarchy uniqueName="[BOB_ID].[Bob_Desc]" caption="Bob_Desc" attribute="1" defaultMemberUniqueName="[BOB_ID].[Bob_Desc].[All]" allUniqueName="[BOB_ID].[Bob_Desc].[All]" dimensionUniqueName="[BOB_ID]" displayFolder="" count="0" memberValueDatatype="130" unbalanced="0"/>
    <cacheHierarchy uniqueName="[BOB_ID].[Client Market ID]" caption="Client Market ID" attribute="1" defaultMemberUniqueName="[BOB_ID].[Client Market ID].[All]" allUniqueName="[BOB_ID].[Client Market ID].[All]" dimensionUniqueName="[BOB_ID]" displayFolder="" count="0" memberValueDatatype="130" unbalanced="0"/>
    <cacheHierarchy uniqueName="[BOB_ID].[Regroup]" caption="Regroup" attribute="1" defaultMemberUniqueName="[BOB_ID].[Regroup].[All]" allUniqueName="[BOB_ID].[Regroup].[All]" dimensionUniqueName="[BOB_ID]" displayFolder="" count="0" memberValueDatatype="130" unbalanced="0"/>
    <cacheHierarchy uniqueName="[BOB_ID].[Superregroup 1]" caption="Superregroup 1" attribute="1" defaultMemberUniqueName="[BOB_ID].[Superregroup 1].[All]" allUniqueName="[BOB_ID].[Superregroup 1].[All]" dimensionUniqueName="[BOB_ID]" displayFolder="" count="0" memberValueDatatype="130" unbalanced="0"/>
    <cacheHierarchy uniqueName="[BOB_ID].[Superregroup 2]" caption="Superregroup 2" attribute="1" defaultMemberUniqueName="[BOB_ID].[Superregroup 2].[All]" allUniqueName="[BOB_ID].[Superregroup 2].[All]" dimensionUniqueName="[BOB_ID]" displayFolder="" count="0" memberValueDatatype="130" unbalanced="0"/>
    <cacheHierarchy uniqueName="[BOB_ID].[Top Level]" caption="Top Level" attribute="1" defaultMemberUniqueName="[BOB_ID].[Top Level].[All]" allUniqueName="[BOB_ID].[Top Level].[All]" dimensionUniqueName="[BOB_ID]" displayFolder="" count="0" memberValueDatatype="130" unbalanced="0"/>
    <cacheHierarchy uniqueName="[Cat_Event].[CAT Code]" caption="CAT Code" defaultMemberUniqueName="[Cat_Event].[CAT Code].[All]" allUniqueName="[Cat_Event].[CAT Code].[All]" dimensionUniqueName="[Cat_Event]" displayFolder="" count="0" unbalanced="0"/>
    <cacheHierarchy uniqueName="[Cat_Event].[CAT Code Desc]" caption="CAT Code Desc" defaultMemberUniqueName="[Cat_Event].[CAT Code Desc].[All]" allUniqueName="[Cat_Event].[CAT Code Desc].[All]" dimensionUniqueName="[Cat_Event]" displayFolder="" count="0" unbalanced="0"/>
    <cacheHierarchy uniqueName="[Cat_Event].[CAT Desc]" caption="CAT Desc" defaultMemberUniqueName="[Cat_Event].[CAT Desc].[All]" allUniqueName="[Cat_Event].[CAT Desc].[All]" dimensionUniqueName="[Cat_Event]" displayFolder="" count="0" unbalanced="0"/>
    <cacheHierarchy uniqueName="[Cat_Event].[GFS_CAT]" caption="GFS_CAT" attribute="1" defaultMemberUniqueName="[Cat_Event].[GFS_CAT].[All]" allUniqueName="[Cat_Event].[GFS_CAT].[All]" dimensionUniqueName="[Cat_Event]" displayFolder="" count="0" memberValueDatatype="130" unbalanced="0"/>
    <cacheHierarchy uniqueName="[Cat_Event].[GFS_CAT_CODE]" caption="GFS_CAT_CODE" attribute="1" defaultMemberUniqueName="[Cat_Event].[GFS_CAT_CODE].[All]" allUniqueName="[Cat_Event].[GFS_CAT_CODE].[All]" dimensionUniqueName="[Cat_Event]" displayFolder="" count="0" memberValueDatatype="130" unbalanced="0"/>
    <cacheHierarchy uniqueName="[Cat_Event].[GFS_CAT_DESC]" caption="GFS_CAT_DESC" attribute="1" defaultMemberUniqueName="[Cat_Event].[GFS_CAT_DESC].[All]" allUniqueName="[Cat_Event].[GFS_CAT_DESC].[All]" dimensionUniqueName="[Cat_Event]" displayFolder="" count="0" memberValueDatatype="130" unbalanced="0"/>
    <cacheHierarchy uniqueName="[Center_Global].[Center Global  Desc]" caption="Center Global  Desc" defaultMemberUniqueName="[Center_Global].[Center Global  Desc].[All]" allUniqueName="[Center_Global].[Center Global  Desc].[All]" dimensionUniqueName="[Center_Global]" displayFolder="" count="0" unbalanced="0"/>
    <cacheHierarchy uniqueName="[Center_Global].[Center Global Code]" caption="Center Global Code" defaultMemberUniqueName="[Center_Global].[Center Global Code].[All]" allUniqueName="[Center_Global].[Center Global Code].[All]" dimensionUniqueName="[Center_Global]" displayFolder="" count="0" unbalanced="0"/>
    <cacheHierarchy uniqueName="[Center_Global].[Center Global Code Desc]" caption="Center Global Code Desc" defaultMemberUniqueName="[Center_Global].[Center Global Code Desc].[All]" allUniqueName="[Center_Global].[Center Global Code Desc].[All]" dimensionUniqueName="[Center_Global]" displayFolder="" count="2" unbalanced="0">
      <fieldsUsage count="2">
        <fieldUsage x="-1"/>
        <fieldUsage x="28"/>
      </fieldsUsage>
    </cacheHierarchy>
    <cacheHierarchy uniqueName="[Center_Global].[Center_Code]" caption="Center_Code" attribute="1" defaultMemberUniqueName="[Center_Global].[Center_Code].[All]" allUniqueName="[Center_Global].[Center_Code].[All]" dimensionUniqueName="[Center_Global]" displayFolder="" count="0" memberValueDatatype="130" unbalanced="0"/>
    <cacheHierarchy uniqueName="[Center_Global].[Center_Code_Desc]" caption="Center_Code_Desc" attribute="1" defaultMemberUniqueName="[Center_Global].[Center_Code_Desc].[All]" allUniqueName="[Center_Global].[Center_Code_Desc].[All]" dimensionUniqueName="[Center_Global]" displayFolder="" count="0" memberValueDatatype="130" unbalanced="0"/>
    <cacheHierarchy uniqueName="[Center_Global].[Center_Desc]" caption="Center_Desc" attribute="1" defaultMemberUniqueName="[Center_Global].[Center_Desc].[All]" allUniqueName="[Center_Global].[Center_Desc].[All]" dimensionUniqueName="[Center_Global]" displayFolder="" count="0" memberValueDatatype="130" unbalanced="0"/>
    <cacheHierarchy uniqueName="[Center_Global].[Center_Hier_Name]" caption="Center_Hier_Name" attribute="1" defaultMemberUniqueName="[Center_Global].[Center_Hier_Name].[All]" allUniqueName="[Center_Global].[Center_Hier_Name].[All]" dimensionUniqueName="[Center_Global]" displayFolder="" count="0" memberValueDatatype="130" unbalanced="0"/>
    <cacheHierarchy uniqueName="[Center_Global].[Hier_Center Global Code]" caption="Hier_Center Global Code" defaultMemberUniqueName="[Center_Global].[Hier_Center Global Code].[All]" allUniqueName="[Center_Global].[Hier_Center Global Code].[All]" dimensionUniqueName="[Center_Global]" displayFolder="" count="0" unbalanced="0"/>
    <cacheHierarchy uniqueName="[Center_Global].[Hier_Center Global Code Desc]" caption="Hier_Center Global Code Desc" defaultMemberUniqueName="[Center_Global].[Hier_Center Global Code Desc].[All]" allUniqueName="[Center_Global].[Hier_Center Global Code Desc].[All]" dimensionUniqueName="[Center_Global]" displayFolder="" count="0" unbalanced="0"/>
    <cacheHierarchy uniqueName="[Center_Global].[Hier_Center Global Desc]" caption="Hier_Center Global Desc" defaultMemberUniqueName="[Center_Global].[Hier_Center Global Desc].[All]" allUniqueName="[Center_Global].[Hier_Center Global Desc].[All]" dimensionUniqueName="[Center_Global]" displayFolder="" count="0" unbalanced="0"/>
    <cacheHierarchy uniqueName="[Center_Global].[Level01]" caption="Level01" attribute="1" defaultMemberUniqueName="[Center_Global].[Level01].[All]" allUniqueName="[Center_Global].[Level01].[All]" dimensionUniqueName="[Center_Global]" displayFolder="" count="0" memberValueDatatype="130" unbalanced="0"/>
    <cacheHierarchy uniqueName="[Center_Global].[Level01_Code]" caption="Level01_Code" attribute="1" defaultMemberUniqueName="[Center_Global].[Level01_Code].[All]" allUniqueName="[Center_Global].[Level01_Code].[All]" dimensionUniqueName="[Center_Global]" displayFolder="" count="0" memberValueDatatype="130" unbalanced="0"/>
    <cacheHierarchy uniqueName="[Center_Global].[Level01_Desc]" caption="Level01_Desc" attribute="1" defaultMemberUniqueName="[Center_Global].[Level01_Desc].[All]" allUniqueName="[Center_Global].[Level01_Desc].[All]" dimensionUniqueName="[Center_Global]" displayFolder="" count="0" memberValueDatatype="130" unbalanced="0"/>
    <cacheHierarchy uniqueName="[Center_Global].[Level02]" caption="Level02" attribute="1" defaultMemberUniqueName="[Center_Global].[Level02].[All]" allUniqueName="[Center_Global].[Level02].[All]" dimensionUniqueName="[Center_Global]" displayFolder="" count="0" memberValueDatatype="130" unbalanced="0"/>
    <cacheHierarchy uniqueName="[Center_Global].[Level02_Code]" caption="Level02_Code" attribute="1" defaultMemberUniqueName="[Center_Global].[Level02_Code].[All]" allUniqueName="[Center_Global].[Level02_Code].[All]" dimensionUniqueName="[Center_Global]" displayFolder="" count="0" memberValueDatatype="130" unbalanced="0"/>
    <cacheHierarchy uniqueName="[Center_Global].[Level02_Desc]" caption="Level02_Desc" attribute="1" defaultMemberUniqueName="[Center_Global].[Level02_Desc].[All]" allUniqueName="[Center_Global].[Level02_Desc].[All]" dimensionUniqueName="[Center_Global]" displayFolder="" count="0" memberValueDatatype="130" unbalanced="0"/>
    <cacheHierarchy uniqueName="[Center_Global].[Level03]" caption="Level03" attribute="1" defaultMemberUniqueName="[Center_Global].[Level03].[All]" allUniqueName="[Center_Global].[Level03].[All]" dimensionUniqueName="[Center_Global]" displayFolder="" count="0" memberValueDatatype="130" unbalanced="0"/>
    <cacheHierarchy uniqueName="[Center_Global].[Level03_Code]" caption="Level03_Code" attribute="1" defaultMemberUniqueName="[Center_Global].[Level03_Code].[All]" allUniqueName="[Center_Global].[Level03_Code].[All]" dimensionUniqueName="[Center_Global]" displayFolder="" count="0" memberValueDatatype="130" unbalanced="0"/>
    <cacheHierarchy uniqueName="[Center_Global].[Level03_Desc]" caption="Level03_Desc" attribute="1" defaultMemberUniqueName="[Center_Global].[Level03_Desc].[All]" allUniqueName="[Center_Global].[Level03_Desc].[All]" dimensionUniqueName="[Center_Global]" displayFolder="" count="0" memberValueDatatype="130" unbalanced="0"/>
    <cacheHierarchy uniqueName="[Center_Global].[Level04]" caption="Level04" attribute="1" defaultMemberUniqueName="[Center_Global].[Level04].[All]" allUniqueName="[Center_Global].[Level04].[All]" dimensionUniqueName="[Center_Global]" displayFolder="" count="0" memberValueDatatype="130" unbalanced="0"/>
    <cacheHierarchy uniqueName="[Center_Global].[Level04_Code]" caption="Level04_Code" attribute="1" defaultMemberUniqueName="[Center_Global].[Level04_Code].[All]" allUniqueName="[Center_Global].[Level04_Code].[All]" dimensionUniqueName="[Center_Global]" displayFolder="" count="0" memberValueDatatype="130" unbalanced="0"/>
    <cacheHierarchy uniqueName="[Center_Global].[Level04_Desc]" caption="Level04_Desc" attribute="1" defaultMemberUniqueName="[Center_Global].[Level04_Desc].[All]" allUniqueName="[Center_Global].[Level04_Desc].[All]" dimensionUniqueName="[Center_Global]" displayFolder="" count="0" memberValueDatatype="130" unbalanced="0"/>
    <cacheHierarchy uniqueName="[Center_Global].[Level05]" caption="Level05" attribute="1" defaultMemberUniqueName="[Center_Global].[Level05].[All]" allUniqueName="[Center_Global].[Level05].[All]" dimensionUniqueName="[Center_Global]" displayFolder="" count="0" memberValueDatatype="130" unbalanced="0"/>
    <cacheHierarchy uniqueName="[Center_Global].[Level05_Code]" caption="Level05_Code" attribute="1" defaultMemberUniqueName="[Center_Global].[Level05_Code].[All]" allUniqueName="[Center_Global].[Level05_Code].[All]" dimensionUniqueName="[Center_Global]" displayFolder="" count="0" memberValueDatatype="130" unbalanced="0"/>
    <cacheHierarchy uniqueName="[Center_Global].[Level05_Desc]" caption="Level05_Desc" attribute="1" defaultMemberUniqueName="[Center_Global].[Level05_Desc].[All]" allUniqueName="[Center_Global].[Level05_Desc].[All]" dimensionUniqueName="[Center_Global]" displayFolder="" count="0" memberValueDatatype="130" unbalanced="0"/>
    <cacheHierarchy uniqueName="[Center_Global].[Level06]" caption="Level06" attribute="1" defaultMemberUniqueName="[Center_Global].[Level06].[All]" allUniqueName="[Center_Global].[Level06].[All]" dimensionUniqueName="[Center_Global]" displayFolder="" count="0" memberValueDatatype="130" unbalanced="0"/>
    <cacheHierarchy uniqueName="[Center_Global].[Level06_Code]" caption="Level06_Code" attribute="1" defaultMemberUniqueName="[Center_Global].[Level06_Code].[All]" allUniqueName="[Center_Global].[Level06_Code].[All]" dimensionUniqueName="[Center_Global]" displayFolder="" count="0" memberValueDatatype="130" unbalanced="0"/>
    <cacheHierarchy uniqueName="[Center_Global].[Level06_Desc]" caption="Level06_Desc" attribute="1" defaultMemberUniqueName="[Center_Global].[Level06_Desc].[All]" allUniqueName="[Center_Global].[Level06_Desc].[All]" dimensionUniqueName="[Center_Global]" displayFolder="" count="0" memberValueDatatype="130" unbalanced="0"/>
    <cacheHierarchy uniqueName="[Center_Global].[Level07]" caption="Level07" attribute="1" defaultMemberUniqueName="[Center_Global].[Level07].[All]" allUniqueName="[Center_Global].[Level07].[All]" dimensionUniqueName="[Center_Global]" displayFolder="" count="0" memberValueDatatype="130" unbalanced="0"/>
    <cacheHierarchy uniqueName="[Center_Global].[Level07_Code]" caption="Level07_Code" attribute="1" defaultMemberUniqueName="[Center_Global].[Level07_Code].[All]" allUniqueName="[Center_Global].[Level07_Code].[All]" dimensionUniqueName="[Center_Global]" displayFolder="" count="0" memberValueDatatype="130" unbalanced="0"/>
    <cacheHierarchy uniqueName="[Center_Global].[Level07_Desc]" caption="Level07_Desc" attribute="1" defaultMemberUniqueName="[Center_Global].[Level07_Desc].[All]" allUniqueName="[Center_Global].[Level07_Desc].[All]" dimensionUniqueName="[Center_Global]" displayFolder="" count="0" memberValueDatatype="130" unbalanced="0"/>
    <cacheHierarchy uniqueName="[Center_Global].[Level08]" caption="Level08" attribute="1" defaultMemberUniqueName="[Center_Global].[Level08].[All]" allUniqueName="[Center_Global].[Level08].[All]" dimensionUniqueName="[Center_Global]" displayFolder="" count="0" memberValueDatatype="130" unbalanced="0"/>
    <cacheHierarchy uniqueName="[Center_Global].[Level08_Code]" caption="Level08_Code" attribute="1" defaultMemberUniqueName="[Center_Global].[Level08_Code].[All]" allUniqueName="[Center_Global].[Level08_Code].[All]" dimensionUniqueName="[Center_Global]" displayFolder="" count="0" memberValueDatatype="130" unbalanced="0"/>
    <cacheHierarchy uniqueName="[Center_Global].[Level08_Desc]" caption="Level08_Desc" attribute="1" defaultMemberUniqueName="[Center_Global].[Level08_Desc].[All]" allUniqueName="[Center_Global].[Level08_Desc].[All]" dimensionUniqueName="[Center_Global]" displayFolder="" count="0" memberValueDatatype="130" unbalanced="0"/>
    <cacheHierarchy uniqueName="[Center_Global].[Level09]" caption="Level09" attribute="1" defaultMemberUniqueName="[Center_Global].[Level09].[All]" allUniqueName="[Center_Global].[Level09].[All]" dimensionUniqueName="[Center_Global]" displayFolder="" count="0" memberValueDatatype="130" unbalanced="0"/>
    <cacheHierarchy uniqueName="[Center_Global].[Level09_Code]" caption="Level09_Code" attribute="1" defaultMemberUniqueName="[Center_Global].[Level09_Code].[All]" allUniqueName="[Center_Global].[Level09_Code].[All]" dimensionUniqueName="[Center_Global]" displayFolder="" count="0" memberValueDatatype="130" unbalanced="0"/>
    <cacheHierarchy uniqueName="[Center_Global].[Level09_Desc]" caption="Level09_Desc" attribute="1" defaultMemberUniqueName="[Center_Global].[Level09_Desc].[All]" allUniqueName="[Center_Global].[Level09_Desc].[All]" dimensionUniqueName="[Center_Global]" displayFolder="" count="0" memberValueDatatype="130" unbalanced="0"/>
    <cacheHierarchy uniqueName="[Center_Global].[Level10]" caption="Level10" attribute="1" defaultMemberUniqueName="[Center_Global].[Level10].[All]" allUniqueName="[Center_Global].[Level10].[All]" dimensionUniqueName="[Center_Global]" displayFolder="" count="0" memberValueDatatype="130" unbalanced="0"/>
    <cacheHierarchy uniqueName="[Center_Global].[Level10_Code]" caption="Level10_Code" attribute="1" defaultMemberUniqueName="[Center_Global].[Level10_Code].[All]" allUniqueName="[Center_Global].[Level10_Code].[All]" dimensionUniqueName="[Center_Global]" displayFolder="" count="0" memberValueDatatype="130" unbalanced="0"/>
    <cacheHierarchy uniqueName="[Center_Global].[Level10_Desc]" caption="Level10_Desc" attribute="1" defaultMemberUniqueName="[Center_Global].[Level10_Desc].[All]" allUniqueName="[Center_Global].[Level10_Desc].[All]" dimensionUniqueName="[Center_Global]" displayFolder="" count="0" memberValueDatatype="130" unbalanced="0"/>
    <cacheHierarchy uniqueName="[Center_Global].[Level11]" caption="Level11" attribute="1" defaultMemberUniqueName="[Center_Global].[Level11].[All]" allUniqueName="[Center_Global].[Level11].[All]" dimensionUniqueName="[Center_Global]" displayFolder="" count="0" memberValueDatatype="130" unbalanced="0"/>
    <cacheHierarchy uniqueName="[Center_Global].[Level11_Code]" caption="Level11_Code" attribute="1" defaultMemberUniqueName="[Center_Global].[Level11_Code].[All]" allUniqueName="[Center_Global].[Level11_Code].[All]" dimensionUniqueName="[Center_Global]" displayFolder="" count="0" memberValueDatatype="130" unbalanced="0"/>
    <cacheHierarchy uniqueName="[Center_Global].[Level11_Desc]" caption="Level11_Desc" attribute="1" defaultMemberUniqueName="[Center_Global].[Level11_Desc].[All]" allUniqueName="[Center_Global].[Level11_Desc].[All]" dimensionUniqueName="[Center_Global]" displayFolder="" count="0" memberValueDatatype="130" unbalanced="0"/>
    <cacheHierarchy uniqueName="[Center_Global].[Level12]" caption="Level12" attribute="1" defaultMemberUniqueName="[Center_Global].[Level12].[All]" allUniqueName="[Center_Global].[Level12].[All]" dimensionUniqueName="[Center_Global]" displayFolder="" count="0" memberValueDatatype="130" unbalanced="0"/>
    <cacheHierarchy uniqueName="[Center_Global].[Level12_Code]" caption="Level12_Code" attribute="1" defaultMemberUniqueName="[Center_Global].[Level12_Code].[All]" allUniqueName="[Center_Global].[Level12_Code].[All]" dimensionUniqueName="[Center_Global]" displayFolder="" count="0" memberValueDatatype="130" unbalanced="0"/>
    <cacheHierarchy uniqueName="[Center_Global].[Level12_Desc]" caption="Level12_Desc" attribute="1" defaultMemberUniqueName="[Center_Global].[Level12_Desc].[All]" allUniqueName="[Center_Global].[Level12_Desc].[All]" dimensionUniqueName="[Center_Global]" displayFolder="" count="0" memberValueDatatype="130" unbalanced="0"/>
    <cacheHierarchy uniqueName="[Center_Global].[Level13]" caption="Level13" attribute="1" defaultMemberUniqueName="[Center_Global].[Level13].[All]" allUniqueName="[Center_Global].[Level13].[All]" dimensionUniqueName="[Center_Global]" displayFolder="" count="0" memberValueDatatype="130" unbalanced="0"/>
    <cacheHierarchy uniqueName="[Center_Global].[Level13_Code]" caption="Level13_Code" attribute="1" defaultMemberUniqueName="[Center_Global].[Level13_Code].[All]" allUniqueName="[Center_Global].[Level13_Code].[All]" dimensionUniqueName="[Center_Global]" displayFolder="" count="0" memberValueDatatype="130" unbalanced="0"/>
    <cacheHierarchy uniqueName="[Center_Global].[Level13_Desc]" caption="Level13_Desc" attribute="1" defaultMemberUniqueName="[Center_Global].[Level13_Desc].[All]" allUniqueName="[Center_Global].[Level13_Desc].[All]" dimensionUniqueName="[Center_Global]" displayFolder="" count="0" memberValueDatatype="130" unbalanced="0"/>
    <cacheHierarchy uniqueName="[Center_Global].[Level14]" caption="Level14" attribute="1" defaultMemberUniqueName="[Center_Global].[Level14].[All]" allUniqueName="[Center_Global].[Level14].[All]" dimensionUniqueName="[Center_Global]" displayFolder="" count="0" memberValueDatatype="130" unbalanced="0"/>
    <cacheHierarchy uniqueName="[Center_Global].[Level14_Code]" caption="Level14_Code" attribute="1" defaultMemberUniqueName="[Center_Global].[Level14_Code].[All]" allUniqueName="[Center_Global].[Level14_Code].[All]" dimensionUniqueName="[Center_Global]" displayFolder="" count="0" memberValueDatatype="130" unbalanced="0"/>
    <cacheHierarchy uniqueName="[Center_Global].[Level14_Desc]" caption="Level14_Desc" attribute="1" defaultMemberUniqueName="[Center_Global].[Level14_Desc].[All]" allUniqueName="[Center_Global].[Level14_Desc].[All]" dimensionUniqueName="[Center_Global]" displayFolder="" count="0" memberValueDatatype="130" unbalanced="0"/>
    <cacheHierarchy uniqueName="[Center_Global].[Level15]" caption="Level15" attribute="1" defaultMemberUniqueName="[Center_Global].[Level15].[All]" allUniqueName="[Center_Global].[Level15].[All]" dimensionUniqueName="[Center_Global]" displayFolder="" count="0" memberValueDatatype="130" unbalanced="0"/>
    <cacheHierarchy uniqueName="[Center_Global].[Level15_Code]" caption="Level15_Code" attribute="1" defaultMemberUniqueName="[Center_Global].[Level15_Code].[All]" allUniqueName="[Center_Global].[Level15_Code].[All]" dimensionUniqueName="[Center_Global]" displayFolder="" count="0" memberValueDatatype="130" unbalanced="0"/>
    <cacheHierarchy uniqueName="[Center_Global].[Level15_Desc]" caption="Level15_Desc" attribute="1" defaultMemberUniqueName="[Center_Global].[Level15_Desc].[All]" allUniqueName="[Center_Global].[Level15_Desc].[All]" dimensionUniqueName="[Center_Global]" displayFolder="" count="0" memberValueDatatype="130" unbalanced="0"/>
    <cacheHierarchy uniqueName="[Center_Global].[Level16]" caption="Level16" attribute="1" defaultMemberUniqueName="[Center_Global].[Level16].[All]" allUniqueName="[Center_Global].[Level16].[All]" dimensionUniqueName="[Center_Global]" displayFolder="" count="0" memberValueDatatype="130" unbalanced="0"/>
    <cacheHierarchy uniqueName="[Center_Global].[Level16_Code]" caption="Level16_Code" attribute="1" defaultMemberUniqueName="[Center_Global].[Level16_Code].[All]" allUniqueName="[Center_Global].[Level16_Code].[All]" dimensionUniqueName="[Center_Global]" displayFolder="" count="0" memberValueDatatype="130" unbalanced="0"/>
    <cacheHierarchy uniqueName="[Center_Global].[Level16_Desc]" caption="Level16_Desc" attribute="1" defaultMemberUniqueName="[Center_Global].[Level16_Desc].[All]" allUniqueName="[Center_Global].[Level16_Desc].[All]" dimensionUniqueName="[Center_Global]" displayFolder="" count="0" memberValueDatatype="130" unbalanced="0"/>
    <cacheHierarchy uniqueName="[Center_Global].[Level17]" caption="Level17" attribute="1" defaultMemberUniqueName="[Center_Global].[Level17].[All]" allUniqueName="[Center_Global].[Level17].[All]" dimensionUniqueName="[Center_Global]" displayFolder="" count="0" memberValueDatatype="130" unbalanced="0"/>
    <cacheHierarchy uniqueName="[Center_Global].[Level17_Code]" caption="Level17_Code" attribute="1" defaultMemberUniqueName="[Center_Global].[Level17_Code].[All]" allUniqueName="[Center_Global].[Level17_Code].[All]" dimensionUniqueName="[Center_Global]" displayFolder="" count="0" memberValueDatatype="130" unbalanced="0"/>
    <cacheHierarchy uniqueName="[Center_Global].[Level17_Desc]" caption="Level17_Desc" attribute="1" defaultMemberUniqueName="[Center_Global].[Level17_Desc].[All]" allUniqueName="[Center_Global].[Level17_Desc].[All]" dimensionUniqueName="[Center_Global]" displayFolder="" count="0" memberValueDatatype="130" unbalanced="0"/>
    <cacheHierarchy uniqueName="[Center_Global].[Level18]" caption="Level18" attribute="1" defaultMemberUniqueName="[Center_Global].[Level18].[All]" allUniqueName="[Center_Global].[Level18].[All]" dimensionUniqueName="[Center_Global]" displayFolder="" count="0" memberValueDatatype="130" unbalanced="0"/>
    <cacheHierarchy uniqueName="[Center_Global].[Level18_Code]" caption="Level18_Code" attribute="1" defaultMemberUniqueName="[Center_Global].[Level18_Code].[All]" allUniqueName="[Center_Global].[Level18_Code].[All]" dimensionUniqueName="[Center_Global]" displayFolder="" count="0" memberValueDatatype="130" unbalanced="0"/>
    <cacheHierarchy uniqueName="[Center_Global].[Level18_Desc]" caption="Level18_Desc" attribute="1" defaultMemberUniqueName="[Center_Global].[Level18_Desc].[All]" allUniqueName="[Center_Global].[Level18_Desc].[All]" dimensionUniqueName="[Center_Global]" displayFolder="" count="0" memberValueDatatype="130" unbalanced="0"/>
    <cacheHierarchy uniqueName="[Center_Global].[Level19]" caption="Level19" attribute="1" defaultMemberUniqueName="[Center_Global].[Level19].[All]" allUniqueName="[Center_Global].[Level19].[All]" dimensionUniqueName="[Center_Global]" displayFolder="" count="0" memberValueDatatype="130" unbalanced="0"/>
    <cacheHierarchy uniqueName="[Center_Global].[Level19_Code]" caption="Level19_Code" attribute="1" defaultMemberUniqueName="[Center_Global].[Level19_Code].[All]" allUniqueName="[Center_Global].[Level19_Code].[All]" dimensionUniqueName="[Center_Global]" displayFolder="" count="0" memberValueDatatype="130" unbalanced="0"/>
    <cacheHierarchy uniqueName="[Center_Global].[Level19_Desc]" caption="Level19_Desc" attribute="1" defaultMemberUniqueName="[Center_Global].[Level19_Desc].[All]" allUniqueName="[Center_Global].[Level19_Desc].[All]" dimensionUniqueName="[Center_Global]" displayFolder="" count="0" memberValueDatatype="130" unbalanced="0"/>
    <cacheHierarchy uniqueName="[Center_Global].[Level20]" caption="Level20" attribute="1" defaultMemberUniqueName="[Center_Global].[Level20].[All]" allUniqueName="[Center_Global].[Level20].[All]" dimensionUniqueName="[Center_Global]" displayFolder="" count="0" memberValueDatatype="130" unbalanced="0"/>
    <cacheHierarchy uniqueName="[Center_Global].[Level20_Code]" caption="Level20_Code" attribute="1" defaultMemberUniqueName="[Center_Global].[Level20_Code].[All]" allUniqueName="[Center_Global].[Level20_Code].[All]" dimensionUniqueName="[Center_Global]" displayFolder="" count="0" memberValueDatatype="130" unbalanced="0"/>
    <cacheHierarchy uniqueName="[Center_Global].[Level20_Desc]" caption="Level20_Desc" attribute="1" defaultMemberUniqueName="[Center_Global].[Level20_Desc].[All]" allUniqueName="[Center_Global].[Level20_Desc].[All]" dimensionUniqueName="[Center_Global]" displayFolder="" count="0" memberValueDatatype="130" unbalanced="0"/>
    <cacheHierarchy uniqueName="[Center_MCOM].[Center MCOM  Desc]" caption="Center MCOM  Desc" defaultMemberUniqueName="[Center_MCOM].[Center MCOM  Desc].[All]" allUniqueName="[Center_MCOM].[Center MCOM  Desc].[All]" dimensionUniqueName="[Center_MCOM]" displayFolder="" count="0" unbalanced="0"/>
    <cacheHierarchy uniqueName="[Center_MCOM].[Center MCOM Code]" caption="Center MCOM Code" defaultMemberUniqueName="[Center_MCOM].[Center MCOM Code].[All]" allUniqueName="[Center_MCOM].[Center MCOM Code].[All]" dimensionUniqueName="[Center_MCOM]" displayFolder="" count="0" unbalanced="0"/>
    <cacheHierarchy uniqueName="[Center_MCOM].[Center MCOM Code Desc]" caption="Center MCOM Code Desc" defaultMemberUniqueName="[Center_MCOM].[Center MCOM Code Desc].[All]" allUniqueName="[Center_MCOM].[Center MCOM Code Desc].[All]" dimensionUniqueName="[Center_MCOM]" displayFolder="" count="0" unbalanced="0"/>
    <cacheHierarchy uniqueName="[Center_MCOM].[Center_Code]" caption="Center_Code" attribute="1" defaultMemberUniqueName="[Center_MCOM].[Center_Code].[All]" allUniqueName="[Center_MCOM].[Center_Code].[All]" dimensionUniqueName="[Center_MCOM]" displayFolder="" count="0" memberValueDatatype="130" unbalanced="0"/>
    <cacheHierarchy uniqueName="[Center_MCOM].[Center_Code_Desc]" caption="Center_Code_Desc" attribute="1" defaultMemberUniqueName="[Center_MCOM].[Center_Code_Desc].[All]" allUniqueName="[Center_MCOM].[Center_Code_Desc].[All]" dimensionUniqueName="[Center_MCOM]" displayFolder="" count="0" memberValueDatatype="130" unbalanced="0"/>
    <cacheHierarchy uniqueName="[Center_MCOM].[Center_Desc]" caption="Center_Desc" attribute="1" defaultMemberUniqueName="[Center_MCOM].[Center_Desc].[All]" allUniqueName="[Center_MCOM].[Center_Desc].[All]" dimensionUniqueName="[Center_MCOM]" displayFolder="" count="0" memberValueDatatype="130" unbalanced="0"/>
    <cacheHierarchy uniqueName="[Center_MCOM].[Center_Hier_Name]" caption="Center_Hier_Name" attribute="1" defaultMemberUniqueName="[Center_MCOM].[Center_Hier_Name].[All]" allUniqueName="[Center_MCOM].[Center_Hier_Name].[All]" dimensionUniqueName="[Center_MCOM]" displayFolder="" count="0" memberValueDatatype="130" unbalanced="0"/>
    <cacheHierarchy uniqueName="[Center_MCOM].[Hier_Center MCOM Code]" caption="Hier_Center MCOM Code" defaultMemberUniqueName="[Center_MCOM].[Hier_Center MCOM Code].[All]" allUniqueName="[Center_MCOM].[Hier_Center MCOM Code].[All]" dimensionUniqueName="[Center_MCOM]" displayFolder="" count="0" unbalanced="0"/>
    <cacheHierarchy uniqueName="[Center_MCOM].[Hier_Center MCOM Code Desc]" caption="Hier_Center MCOM Code Desc" defaultMemberUniqueName="[Center_MCOM].[Hier_Center MCOM Code Desc].[All]" allUniqueName="[Center_MCOM].[Hier_Center MCOM Code Desc].[All]" dimensionUniqueName="[Center_MCOM]" displayFolder="" count="0" unbalanced="0"/>
    <cacheHierarchy uniqueName="[Center_MCOM].[Hier_Center MCOM Desc]" caption="Hier_Center MCOM Desc" defaultMemberUniqueName="[Center_MCOM].[Hier_Center MCOM Desc].[All]" allUniqueName="[Center_MCOM].[Hier_Center MCOM Desc].[All]" dimensionUniqueName="[Center_MCOM]" displayFolder="" count="0" unbalanced="0"/>
    <cacheHierarchy uniqueName="[Center_MCOM].[Level01]" caption="Level01" attribute="1" defaultMemberUniqueName="[Center_MCOM].[Level01].[All]" allUniqueName="[Center_MCOM].[Level01].[All]" dimensionUniqueName="[Center_MCOM]" displayFolder="" count="0" memberValueDatatype="130" unbalanced="0"/>
    <cacheHierarchy uniqueName="[Center_MCOM].[Level01_Code]" caption="Level01_Code" attribute="1" defaultMemberUniqueName="[Center_MCOM].[Level01_Code].[All]" allUniqueName="[Center_MCOM].[Level01_Code].[All]" dimensionUniqueName="[Center_MCOM]" displayFolder="" count="0" memberValueDatatype="130" unbalanced="0"/>
    <cacheHierarchy uniqueName="[Center_MCOM].[Level01_Desc]" caption="Level01_Desc" attribute="1" defaultMemberUniqueName="[Center_MCOM].[Level01_Desc].[All]" allUniqueName="[Center_MCOM].[Level01_Desc].[All]" dimensionUniqueName="[Center_MCOM]" displayFolder="" count="0" memberValueDatatype="130" unbalanced="0"/>
    <cacheHierarchy uniqueName="[Center_MCOM].[Level02]" caption="Level02" attribute="1" defaultMemberUniqueName="[Center_MCOM].[Level02].[All]" allUniqueName="[Center_MCOM].[Level02].[All]" dimensionUniqueName="[Center_MCOM]" displayFolder="" count="0" memberValueDatatype="130" unbalanced="0"/>
    <cacheHierarchy uniqueName="[Center_MCOM].[Level02_Code]" caption="Level02_Code" attribute="1" defaultMemberUniqueName="[Center_MCOM].[Level02_Code].[All]" allUniqueName="[Center_MCOM].[Level02_Code].[All]" dimensionUniqueName="[Center_MCOM]" displayFolder="" count="0" memberValueDatatype="130" unbalanced="0"/>
    <cacheHierarchy uniqueName="[Center_MCOM].[Level02_Desc]" caption="Level02_Desc" attribute="1" defaultMemberUniqueName="[Center_MCOM].[Level02_Desc].[All]" allUniqueName="[Center_MCOM].[Level02_Desc].[All]" dimensionUniqueName="[Center_MCOM]" displayFolder="" count="0" memberValueDatatype="130" unbalanced="0"/>
    <cacheHierarchy uniqueName="[Center_MCOM].[Level03]" caption="Level03" attribute="1" defaultMemberUniqueName="[Center_MCOM].[Level03].[All]" allUniqueName="[Center_MCOM].[Level03].[All]" dimensionUniqueName="[Center_MCOM]" displayFolder="" count="0" memberValueDatatype="130" unbalanced="0"/>
    <cacheHierarchy uniqueName="[Center_MCOM].[Level03_Code]" caption="Level03_Code" attribute="1" defaultMemberUniqueName="[Center_MCOM].[Level03_Code].[All]" allUniqueName="[Center_MCOM].[Level03_Code].[All]" dimensionUniqueName="[Center_MCOM]" displayFolder="" count="0" memberValueDatatype="130" unbalanced="0"/>
    <cacheHierarchy uniqueName="[Center_MCOM].[Level03_Desc]" caption="Level03_Desc" attribute="1" defaultMemberUniqueName="[Center_MCOM].[Level03_Desc].[All]" allUniqueName="[Center_MCOM].[Level03_Desc].[All]" dimensionUniqueName="[Center_MCOM]" displayFolder="" count="0" memberValueDatatype="130" unbalanced="0"/>
    <cacheHierarchy uniqueName="[Center_MCOM].[Level04]" caption="Level04" attribute="1" defaultMemberUniqueName="[Center_MCOM].[Level04].[All]" allUniqueName="[Center_MCOM].[Level04].[All]" dimensionUniqueName="[Center_MCOM]" displayFolder="" count="0" memberValueDatatype="130" unbalanced="0"/>
    <cacheHierarchy uniqueName="[Center_MCOM].[Level04_Code]" caption="Level04_Code" attribute="1" defaultMemberUniqueName="[Center_MCOM].[Level04_Code].[All]" allUniqueName="[Center_MCOM].[Level04_Code].[All]" dimensionUniqueName="[Center_MCOM]" displayFolder="" count="0" memberValueDatatype="130" unbalanced="0"/>
    <cacheHierarchy uniqueName="[Center_MCOM].[Level04_Desc]" caption="Level04_Desc" attribute="1" defaultMemberUniqueName="[Center_MCOM].[Level04_Desc].[All]" allUniqueName="[Center_MCOM].[Level04_Desc].[All]" dimensionUniqueName="[Center_MCOM]" displayFolder="" count="0" memberValueDatatype="130" unbalanced="0"/>
    <cacheHierarchy uniqueName="[Center_MCOM].[Level05]" caption="Level05" attribute="1" defaultMemberUniqueName="[Center_MCOM].[Level05].[All]" allUniqueName="[Center_MCOM].[Level05].[All]" dimensionUniqueName="[Center_MCOM]" displayFolder="" count="0" memberValueDatatype="130" unbalanced="0"/>
    <cacheHierarchy uniqueName="[Center_MCOM].[Level05_Code]" caption="Level05_Code" attribute="1" defaultMemberUniqueName="[Center_MCOM].[Level05_Code].[All]" allUniqueName="[Center_MCOM].[Level05_Code].[All]" dimensionUniqueName="[Center_MCOM]" displayFolder="" count="0" memberValueDatatype="130" unbalanced="0"/>
    <cacheHierarchy uniqueName="[Center_MCOM].[Level05_Desc]" caption="Level05_Desc" attribute="1" defaultMemberUniqueName="[Center_MCOM].[Level05_Desc].[All]" allUniqueName="[Center_MCOM].[Level05_Desc].[All]" dimensionUniqueName="[Center_MCOM]" displayFolder="" count="0" memberValueDatatype="130" unbalanced="0"/>
    <cacheHierarchy uniqueName="[Center_MCOM].[Level06]" caption="Level06" attribute="1" defaultMemberUniqueName="[Center_MCOM].[Level06].[All]" allUniqueName="[Center_MCOM].[Level06].[All]" dimensionUniqueName="[Center_MCOM]" displayFolder="" count="0" memberValueDatatype="130" unbalanced="0"/>
    <cacheHierarchy uniqueName="[Center_MCOM].[Level06_Code]" caption="Level06_Code" attribute="1" defaultMemberUniqueName="[Center_MCOM].[Level06_Code].[All]" allUniqueName="[Center_MCOM].[Level06_Code].[All]" dimensionUniqueName="[Center_MCOM]" displayFolder="" count="0" memberValueDatatype="130" unbalanced="0"/>
    <cacheHierarchy uniqueName="[Center_MCOM].[Level06_Desc]" caption="Level06_Desc" attribute="1" defaultMemberUniqueName="[Center_MCOM].[Level06_Desc].[All]" allUniqueName="[Center_MCOM].[Level06_Desc].[All]" dimensionUniqueName="[Center_MCOM]" displayFolder="" count="0" memberValueDatatype="130" unbalanced="0"/>
    <cacheHierarchy uniqueName="[Center_MCOM].[Level07]" caption="Level07" attribute="1" defaultMemberUniqueName="[Center_MCOM].[Level07].[All]" allUniqueName="[Center_MCOM].[Level07].[All]" dimensionUniqueName="[Center_MCOM]" displayFolder="" count="0" memberValueDatatype="130" unbalanced="0"/>
    <cacheHierarchy uniqueName="[Center_MCOM].[Level07_Code]" caption="Level07_Code" attribute="1" defaultMemberUniqueName="[Center_MCOM].[Level07_Code].[All]" allUniqueName="[Center_MCOM].[Level07_Code].[All]" dimensionUniqueName="[Center_MCOM]" displayFolder="" count="0" memberValueDatatype="130" unbalanced="0"/>
    <cacheHierarchy uniqueName="[Center_MCOM].[Level07_Desc]" caption="Level07_Desc" attribute="1" defaultMemberUniqueName="[Center_MCOM].[Level07_Desc].[All]" allUniqueName="[Center_MCOM].[Level07_Desc].[All]" dimensionUniqueName="[Center_MCOM]" displayFolder="" count="0" memberValueDatatype="130" unbalanced="0"/>
    <cacheHierarchy uniqueName="[Center_MCOM].[Level08]" caption="Level08" attribute="1" defaultMemberUniqueName="[Center_MCOM].[Level08].[All]" allUniqueName="[Center_MCOM].[Level08].[All]" dimensionUniqueName="[Center_MCOM]" displayFolder="" count="0" memberValueDatatype="130" unbalanced="0"/>
    <cacheHierarchy uniqueName="[Center_MCOM].[Level08_Code]" caption="Level08_Code" attribute="1" defaultMemberUniqueName="[Center_MCOM].[Level08_Code].[All]" allUniqueName="[Center_MCOM].[Level08_Code].[All]" dimensionUniqueName="[Center_MCOM]" displayFolder="" count="0" memberValueDatatype="130" unbalanced="0"/>
    <cacheHierarchy uniqueName="[Center_MCOM].[Level08_Desc]" caption="Level08_Desc" attribute="1" defaultMemberUniqueName="[Center_MCOM].[Level08_Desc].[All]" allUniqueName="[Center_MCOM].[Level08_Desc].[All]" dimensionUniqueName="[Center_MCOM]" displayFolder="" count="0" memberValueDatatype="130" unbalanced="0"/>
    <cacheHierarchy uniqueName="[Center_MCOM].[Level09]" caption="Level09" attribute="1" defaultMemberUniqueName="[Center_MCOM].[Level09].[All]" allUniqueName="[Center_MCOM].[Level09].[All]" dimensionUniqueName="[Center_MCOM]" displayFolder="" count="0" memberValueDatatype="130" unbalanced="0"/>
    <cacheHierarchy uniqueName="[Center_MCOM].[Level09_Code]" caption="Level09_Code" attribute="1" defaultMemberUniqueName="[Center_MCOM].[Level09_Code].[All]" allUniqueName="[Center_MCOM].[Level09_Code].[All]" dimensionUniqueName="[Center_MCOM]" displayFolder="" count="0" memberValueDatatype="130" unbalanced="0"/>
    <cacheHierarchy uniqueName="[Center_MCOM].[Level09_Desc]" caption="Level09_Desc" attribute="1" defaultMemberUniqueName="[Center_MCOM].[Level09_Desc].[All]" allUniqueName="[Center_MCOM].[Level09_Desc].[All]" dimensionUniqueName="[Center_MCOM]" displayFolder="" count="0" memberValueDatatype="130" unbalanced="0"/>
    <cacheHierarchy uniqueName="[Center_MCOM].[Level10]" caption="Level10" attribute="1" defaultMemberUniqueName="[Center_MCOM].[Level10].[All]" allUniqueName="[Center_MCOM].[Level10].[All]" dimensionUniqueName="[Center_MCOM]" displayFolder="" count="0" memberValueDatatype="130" unbalanced="0"/>
    <cacheHierarchy uniqueName="[Center_MCOM].[Level10_Code]" caption="Level10_Code" attribute="1" defaultMemberUniqueName="[Center_MCOM].[Level10_Code].[All]" allUniqueName="[Center_MCOM].[Level10_Code].[All]" dimensionUniqueName="[Center_MCOM]" displayFolder="" count="0" memberValueDatatype="130" unbalanced="0"/>
    <cacheHierarchy uniqueName="[Center_MCOM].[Level10_Desc]" caption="Level10_Desc" attribute="1" defaultMemberUniqueName="[Center_MCOM].[Level10_Desc].[All]" allUniqueName="[Center_MCOM].[Level10_Desc].[All]" dimensionUniqueName="[Center_MCOM]" displayFolder="" count="0" memberValueDatatype="130" unbalanced="0"/>
    <cacheHierarchy uniqueName="[Center_MCOM].[Level11]" caption="Level11" attribute="1" defaultMemberUniqueName="[Center_MCOM].[Level11].[All]" allUniqueName="[Center_MCOM].[Level11].[All]" dimensionUniqueName="[Center_MCOM]" displayFolder="" count="0" memberValueDatatype="130" unbalanced="0"/>
    <cacheHierarchy uniqueName="[Center_MCOM].[Level11_Code]" caption="Level11_Code" attribute="1" defaultMemberUniqueName="[Center_MCOM].[Level11_Code].[All]" allUniqueName="[Center_MCOM].[Level11_Code].[All]" dimensionUniqueName="[Center_MCOM]" displayFolder="" count="0" memberValueDatatype="130" unbalanced="0"/>
    <cacheHierarchy uniqueName="[Center_MCOM].[Level11_Desc]" caption="Level11_Desc" attribute="1" defaultMemberUniqueName="[Center_MCOM].[Level11_Desc].[All]" allUniqueName="[Center_MCOM].[Level11_Desc].[All]" dimensionUniqueName="[Center_MCOM]" displayFolder="" count="0" memberValueDatatype="130" unbalanced="0"/>
    <cacheHierarchy uniqueName="[Center_MCOM].[Level12]" caption="Level12" attribute="1" defaultMemberUniqueName="[Center_MCOM].[Level12].[All]" allUniqueName="[Center_MCOM].[Level12].[All]" dimensionUniqueName="[Center_MCOM]" displayFolder="" count="0" memberValueDatatype="130" unbalanced="0"/>
    <cacheHierarchy uniqueName="[Center_MCOM].[Level12_Code]" caption="Level12_Code" attribute="1" defaultMemberUniqueName="[Center_MCOM].[Level12_Code].[All]" allUniqueName="[Center_MCOM].[Level12_Code].[All]" dimensionUniqueName="[Center_MCOM]" displayFolder="" count="0" memberValueDatatype="130" unbalanced="0"/>
    <cacheHierarchy uniqueName="[Center_MCOM].[Level12_Desc]" caption="Level12_Desc" attribute="1" defaultMemberUniqueName="[Center_MCOM].[Level12_Desc].[All]" allUniqueName="[Center_MCOM].[Level12_Desc].[All]" dimensionUniqueName="[Center_MCOM]" displayFolder="" count="0" memberValueDatatype="130" unbalanced="0"/>
    <cacheHierarchy uniqueName="[Center_MCOM].[Level13]" caption="Level13" attribute="1" defaultMemberUniqueName="[Center_MCOM].[Level13].[All]" allUniqueName="[Center_MCOM].[Level13].[All]" dimensionUniqueName="[Center_MCOM]" displayFolder="" count="0" memberValueDatatype="130" unbalanced="0"/>
    <cacheHierarchy uniqueName="[Center_MCOM].[Level13_Code]" caption="Level13_Code" attribute="1" defaultMemberUniqueName="[Center_MCOM].[Level13_Code].[All]" allUniqueName="[Center_MCOM].[Level13_Code].[All]" dimensionUniqueName="[Center_MCOM]" displayFolder="" count="0" memberValueDatatype="130" unbalanced="0"/>
    <cacheHierarchy uniqueName="[Center_MCOM].[Level13_Desc]" caption="Level13_Desc" attribute="1" defaultMemberUniqueName="[Center_MCOM].[Level13_Desc].[All]" allUniqueName="[Center_MCOM].[Level13_Desc].[All]" dimensionUniqueName="[Center_MCOM]" displayFolder="" count="0" memberValueDatatype="130" unbalanced="0"/>
    <cacheHierarchy uniqueName="[Center_MCOM].[Level14]" caption="Level14" attribute="1" defaultMemberUniqueName="[Center_MCOM].[Level14].[All]" allUniqueName="[Center_MCOM].[Level14].[All]" dimensionUniqueName="[Center_MCOM]" displayFolder="" count="0" memberValueDatatype="130" unbalanced="0"/>
    <cacheHierarchy uniqueName="[Center_MCOM].[Level14_Code]" caption="Level14_Code" attribute="1" defaultMemberUniqueName="[Center_MCOM].[Level14_Code].[All]" allUniqueName="[Center_MCOM].[Level14_Code].[All]" dimensionUniqueName="[Center_MCOM]" displayFolder="" count="0" memberValueDatatype="130" unbalanced="0"/>
    <cacheHierarchy uniqueName="[Center_MCOM].[Level14_Desc]" caption="Level14_Desc" attribute="1" defaultMemberUniqueName="[Center_MCOM].[Level14_Desc].[All]" allUniqueName="[Center_MCOM].[Level14_Desc].[All]" dimensionUniqueName="[Center_MCOM]" displayFolder="" count="0" memberValueDatatype="130" unbalanced="0"/>
    <cacheHierarchy uniqueName="[Center_MCOM].[Level15]" caption="Level15" attribute="1" defaultMemberUniqueName="[Center_MCOM].[Level15].[All]" allUniqueName="[Center_MCOM].[Level15].[All]" dimensionUniqueName="[Center_MCOM]" displayFolder="" count="0" memberValueDatatype="130" unbalanced="0"/>
    <cacheHierarchy uniqueName="[Center_MCOM].[Level15_Code]" caption="Level15_Code" attribute="1" defaultMemberUniqueName="[Center_MCOM].[Level15_Code].[All]" allUniqueName="[Center_MCOM].[Level15_Code].[All]" dimensionUniqueName="[Center_MCOM]" displayFolder="" count="0" memberValueDatatype="130" unbalanced="0"/>
    <cacheHierarchy uniqueName="[Center_MCOM].[Level15_Desc]" caption="Level15_Desc" attribute="1" defaultMemberUniqueName="[Center_MCOM].[Level15_Desc].[All]" allUniqueName="[Center_MCOM].[Level15_Desc].[All]" dimensionUniqueName="[Center_MCOM]" displayFolder="" count="0" memberValueDatatype="130" unbalanced="0"/>
    <cacheHierarchy uniqueName="[Center_MCOM].[Level16]" caption="Level16" attribute="1" defaultMemberUniqueName="[Center_MCOM].[Level16].[All]" allUniqueName="[Center_MCOM].[Level16].[All]" dimensionUniqueName="[Center_MCOM]" displayFolder="" count="0" memberValueDatatype="130" unbalanced="0"/>
    <cacheHierarchy uniqueName="[Center_MCOM].[Level16_Code]" caption="Level16_Code" attribute="1" defaultMemberUniqueName="[Center_MCOM].[Level16_Code].[All]" allUniqueName="[Center_MCOM].[Level16_Code].[All]" dimensionUniqueName="[Center_MCOM]" displayFolder="" count="0" memberValueDatatype="130" unbalanced="0"/>
    <cacheHierarchy uniqueName="[Center_MCOM].[Level16_Desc]" caption="Level16_Desc" attribute="1" defaultMemberUniqueName="[Center_MCOM].[Level16_Desc].[All]" allUniqueName="[Center_MCOM].[Level16_Desc].[All]" dimensionUniqueName="[Center_MCOM]" displayFolder="" count="0" memberValueDatatype="130" unbalanced="0"/>
    <cacheHierarchy uniqueName="[Center_MCOM].[Level17]" caption="Level17" attribute="1" defaultMemberUniqueName="[Center_MCOM].[Level17].[All]" allUniqueName="[Center_MCOM].[Level17].[All]" dimensionUniqueName="[Center_MCOM]" displayFolder="" count="0" memberValueDatatype="130" unbalanced="0"/>
    <cacheHierarchy uniqueName="[Center_MCOM].[Level17_Code]" caption="Level17_Code" attribute="1" defaultMemberUniqueName="[Center_MCOM].[Level17_Code].[All]" allUniqueName="[Center_MCOM].[Level17_Code].[All]" dimensionUniqueName="[Center_MCOM]" displayFolder="" count="0" memberValueDatatype="130" unbalanced="0"/>
    <cacheHierarchy uniqueName="[Center_MCOM].[Level17_Desc]" caption="Level17_Desc" attribute="1" defaultMemberUniqueName="[Center_MCOM].[Level17_Desc].[All]" allUniqueName="[Center_MCOM].[Level17_Desc].[All]" dimensionUniqueName="[Center_MCOM]" displayFolder="" count="0" memberValueDatatype="130" unbalanced="0"/>
    <cacheHierarchy uniqueName="[Center_MCOM].[Level18]" caption="Level18" attribute="1" defaultMemberUniqueName="[Center_MCOM].[Level18].[All]" allUniqueName="[Center_MCOM].[Level18].[All]" dimensionUniqueName="[Center_MCOM]" displayFolder="" count="0" memberValueDatatype="130" unbalanced="0"/>
    <cacheHierarchy uniqueName="[Center_MCOM].[Level18_Code]" caption="Level18_Code" attribute="1" defaultMemberUniqueName="[Center_MCOM].[Level18_Code].[All]" allUniqueName="[Center_MCOM].[Level18_Code].[All]" dimensionUniqueName="[Center_MCOM]" displayFolder="" count="0" memberValueDatatype="130" unbalanced="0"/>
    <cacheHierarchy uniqueName="[Center_MCOM].[Level18_Desc]" caption="Level18_Desc" attribute="1" defaultMemberUniqueName="[Center_MCOM].[Level18_Desc].[All]" allUniqueName="[Center_MCOM].[Level18_Desc].[All]" dimensionUniqueName="[Center_MCOM]" displayFolder="" count="0" memberValueDatatype="130" unbalanced="0"/>
    <cacheHierarchy uniqueName="[Center_MCOM].[Level19]" caption="Level19" attribute="1" defaultMemberUniqueName="[Center_MCOM].[Level19].[All]" allUniqueName="[Center_MCOM].[Level19].[All]" dimensionUniqueName="[Center_MCOM]" displayFolder="" count="0" memberValueDatatype="130" unbalanced="0"/>
    <cacheHierarchy uniqueName="[Center_MCOM].[Level19_Code]" caption="Level19_Code" attribute="1" defaultMemberUniqueName="[Center_MCOM].[Level19_Code].[All]" allUniqueName="[Center_MCOM].[Level19_Code].[All]" dimensionUniqueName="[Center_MCOM]" displayFolder="" count="0" memberValueDatatype="130" unbalanced="0"/>
    <cacheHierarchy uniqueName="[Center_MCOM].[Level19_Desc]" caption="Level19_Desc" attribute="1" defaultMemberUniqueName="[Center_MCOM].[Level19_Desc].[All]" allUniqueName="[Center_MCOM].[Level19_Desc].[All]" dimensionUniqueName="[Center_MCOM]" displayFolder="" count="0" memberValueDatatype="130" unbalanced="0"/>
    <cacheHierarchy uniqueName="[Center_MCOM].[Level20]" caption="Level20" attribute="1" defaultMemberUniqueName="[Center_MCOM].[Level20].[All]" allUniqueName="[Center_MCOM].[Level20].[All]" dimensionUniqueName="[Center_MCOM]" displayFolder="" count="0" memberValueDatatype="130" unbalanced="0"/>
    <cacheHierarchy uniqueName="[Center_MCOM].[Level20_Code]" caption="Level20_Code" attribute="1" defaultMemberUniqueName="[Center_MCOM].[Level20_Code].[All]" allUniqueName="[Center_MCOM].[Level20_Code].[All]" dimensionUniqueName="[Center_MCOM]" displayFolder="" count="0" memberValueDatatype="130" unbalanced="0"/>
    <cacheHierarchy uniqueName="[Center_MCOM].[Level20_Desc]" caption="Level20_Desc" attribute="1" defaultMemberUniqueName="[Center_MCOM].[Level20_Desc].[All]" allUniqueName="[Center_MCOM].[Level20_Desc].[All]" dimensionUniqueName="[Center_MCOM]" displayFolder="" count="0" memberValueDatatype="130" unbalanced="0"/>
    <cacheHierarchy uniqueName="[Charging_Center_Global].[Center_Hier_Name]" caption="Center_Hier_Name" attribute="1" defaultMemberUniqueName="[Charging_Center_Global].[Center_Hier_Name].[All]" allUniqueName="[Charging_Center_Global].[Center_Hier_Name].[All]" dimensionUniqueName="[Charging_Center_Global]" displayFolder="" count="0" memberValueDatatype="130" unbalanced="0"/>
    <cacheHierarchy uniqueName="[Charging_Center_Global].[Charging Center Global Code]" caption="Charging Center Global Code" defaultMemberUniqueName="[Charging_Center_Global].[Charging Center Global Code].[All]" allUniqueName="[Charging_Center_Global].[Charging Center Global Code].[All]" dimensionUniqueName="[Charging_Center_Global]" displayFolder="" count="0" unbalanced="0"/>
    <cacheHierarchy uniqueName="[Charging_Center_Global].[Charging Center Global Code Desc]" caption="Charging Center Global Code Desc" defaultMemberUniqueName="[Charging_Center_Global].[Charging Center Global Code Desc].[All]" allUniqueName="[Charging_Center_Global].[Charging Center Global Code Desc].[All]" dimensionUniqueName="[Charging_Center_Global]" displayFolder="" count="0" unbalanced="0"/>
    <cacheHierarchy uniqueName="[Charging_Center_Global].[Charging Center Global Desc]" caption="Charging Center Global Desc" defaultMemberUniqueName="[Charging_Center_Global].[Charging Center Global Desc].[All]" allUniqueName="[Charging_Center_Global].[Charging Center Global Desc].[All]" dimensionUniqueName="[Charging_Center_Global]" displayFolder="" count="0" unbalanced="0"/>
    <cacheHierarchy uniqueName="[Charging_Center_Global].[Charging_Center_Code]" caption="Charging_Center_Code" attribute="1" defaultMemberUniqueName="[Charging_Center_Global].[Charging_Center_Code].[All]" allUniqueName="[Charging_Center_Global].[Charging_Center_Code].[All]" dimensionUniqueName="[Charging_Center_Global]" displayFolder="" count="0" memberValueDatatype="130" unbalanced="0"/>
    <cacheHierarchy uniqueName="[Charging_Center_Global].[Charging_Center_Code_Desc]" caption="Charging_Center_Code_Desc" attribute="1" defaultMemberUniqueName="[Charging_Center_Global].[Charging_Center_Code_Desc].[All]" allUniqueName="[Charging_Center_Global].[Charging_Center_Code_Desc].[All]" dimensionUniqueName="[Charging_Center_Global]" displayFolder="" count="0" memberValueDatatype="130" unbalanced="0"/>
    <cacheHierarchy uniqueName="[Charging_Center_Global].[Charging_Center_Desc]" caption="Charging_Center_Desc" attribute="1" defaultMemberUniqueName="[Charging_Center_Global].[Charging_Center_Desc].[All]" allUniqueName="[Charging_Center_Global].[Charging_Center_Desc].[All]" dimensionUniqueName="[Charging_Center_Global]" displayFolder="" count="0" memberValueDatatype="130" unbalanced="0"/>
    <cacheHierarchy uniqueName="[Charging_Center_Global].[Hier_Charging Center Global Code]" caption="Hier_Charging Center Global Code" defaultMemberUniqueName="[Charging_Center_Global].[Hier_Charging Center Global Code].[All]" allUniqueName="[Charging_Center_Global].[Hier_Charging Center Global Code].[All]" dimensionUniqueName="[Charging_Center_Global]" displayFolder="" count="0" unbalanced="0"/>
    <cacheHierarchy uniqueName="[Charging_Center_Global].[Hier_Charging Center Global Code Desc]" caption="Hier_Charging Center Global Code Desc" defaultMemberUniqueName="[Charging_Center_Global].[Hier_Charging Center Global Code Desc].[All]" allUniqueName="[Charging_Center_Global].[Hier_Charging Center Global Code Desc].[All]" dimensionUniqueName="[Charging_Center_Global]" displayFolder="" count="0" unbalanced="0"/>
    <cacheHierarchy uniqueName="[Charging_Center_Global].[Hier_Charging Center Global Desc]" caption="Hier_Charging Center Global Desc" defaultMemberUniqueName="[Charging_Center_Global].[Hier_Charging Center Global Desc].[All]" allUniqueName="[Charging_Center_Global].[Hier_Charging Center Global Desc].[All]" dimensionUniqueName="[Charging_Center_Global]" displayFolder="" count="0" unbalanced="0"/>
    <cacheHierarchy uniqueName="[Charging_Center_Global].[Level01]" caption="Level01" attribute="1" defaultMemberUniqueName="[Charging_Center_Global].[Level01].[All]" allUniqueName="[Charging_Center_Global].[Level01].[All]" dimensionUniqueName="[Charging_Center_Global]" displayFolder="" count="0" memberValueDatatype="130" unbalanced="0"/>
    <cacheHierarchy uniqueName="[Charging_Center_Global].[Level01_Code]" caption="Level01_Code" attribute="1" defaultMemberUniqueName="[Charging_Center_Global].[Level01_Code].[All]" allUniqueName="[Charging_Center_Global].[Level01_Code].[All]" dimensionUniqueName="[Charging_Center_Global]" displayFolder="" count="0" memberValueDatatype="130" unbalanced="0"/>
    <cacheHierarchy uniqueName="[Charging_Center_Global].[Level01_Desc]" caption="Level01_Desc" attribute="1" defaultMemberUniqueName="[Charging_Center_Global].[Level01_Desc].[All]" allUniqueName="[Charging_Center_Global].[Level01_Desc].[All]" dimensionUniqueName="[Charging_Center_Global]" displayFolder="" count="0" memberValueDatatype="130" unbalanced="0"/>
    <cacheHierarchy uniqueName="[Charging_Center_Global].[Level02]" caption="Level02" attribute="1" defaultMemberUniqueName="[Charging_Center_Global].[Level02].[All]" allUniqueName="[Charging_Center_Global].[Level02].[All]" dimensionUniqueName="[Charging_Center_Global]" displayFolder="" count="0" memberValueDatatype="130" unbalanced="0"/>
    <cacheHierarchy uniqueName="[Charging_Center_Global].[Level02_Code]" caption="Level02_Code" attribute="1" defaultMemberUniqueName="[Charging_Center_Global].[Level02_Code].[All]" allUniqueName="[Charging_Center_Global].[Level02_Code].[All]" dimensionUniqueName="[Charging_Center_Global]" displayFolder="" count="0" memberValueDatatype="130" unbalanced="0"/>
    <cacheHierarchy uniqueName="[Charging_Center_Global].[Level02_Desc]" caption="Level02_Desc" attribute="1" defaultMemberUniqueName="[Charging_Center_Global].[Level02_Desc].[All]" allUniqueName="[Charging_Center_Global].[Level02_Desc].[All]" dimensionUniqueName="[Charging_Center_Global]" displayFolder="" count="0" memberValueDatatype="130" unbalanced="0"/>
    <cacheHierarchy uniqueName="[Charging_Center_Global].[Level03]" caption="Level03" attribute="1" defaultMemberUniqueName="[Charging_Center_Global].[Level03].[All]" allUniqueName="[Charging_Center_Global].[Level03].[All]" dimensionUniqueName="[Charging_Center_Global]" displayFolder="" count="0" memberValueDatatype="130" unbalanced="0"/>
    <cacheHierarchy uniqueName="[Charging_Center_Global].[Level03_Code]" caption="Level03_Code" attribute="1" defaultMemberUniqueName="[Charging_Center_Global].[Level03_Code].[All]" allUniqueName="[Charging_Center_Global].[Level03_Code].[All]" dimensionUniqueName="[Charging_Center_Global]" displayFolder="" count="0" memberValueDatatype="130" unbalanced="0"/>
    <cacheHierarchy uniqueName="[Charging_Center_Global].[Level03_Desc]" caption="Level03_Desc" attribute="1" defaultMemberUniqueName="[Charging_Center_Global].[Level03_Desc].[All]" allUniqueName="[Charging_Center_Global].[Level03_Desc].[All]" dimensionUniqueName="[Charging_Center_Global]" displayFolder="" count="0" memberValueDatatype="130" unbalanced="0"/>
    <cacheHierarchy uniqueName="[Charging_Center_Global].[Level04]" caption="Level04" attribute="1" defaultMemberUniqueName="[Charging_Center_Global].[Level04].[All]" allUniqueName="[Charging_Center_Global].[Level04].[All]" dimensionUniqueName="[Charging_Center_Global]" displayFolder="" count="0" memberValueDatatype="130" unbalanced="0"/>
    <cacheHierarchy uniqueName="[Charging_Center_Global].[Level04_Code]" caption="Level04_Code" attribute="1" defaultMemberUniqueName="[Charging_Center_Global].[Level04_Code].[All]" allUniqueName="[Charging_Center_Global].[Level04_Code].[All]" dimensionUniqueName="[Charging_Center_Global]" displayFolder="" count="0" memberValueDatatype="130" unbalanced="0"/>
    <cacheHierarchy uniqueName="[Charging_Center_Global].[Level04_Desc]" caption="Level04_Desc" attribute="1" defaultMemberUniqueName="[Charging_Center_Global].[Level04_Desc].[All]" allUniqueName="[Charging_Center_Global].[Level04_Desc].[All]" dimensionUniqueName="[Charging_Center_Global]" displayFolder="" count="0" memberValueDatatype="130" unbalanced="0"/>
    <cacheHierarchy uniqueName="[Charging_Center_Global].[Level05]" caption="Level05" attribute="1" defaultMemberUniqueName="[Charging_Center_Global].[Level05].[All]" allUniqueName="[Charging_Center_Global].[Level05].[All]" dimensionUniqueName="[Charging_Center_Global]" displayFolder="" count="0" memberValueDatatype="130" unbalanced="0"/>
    <cacheHierarchy uniqueName="[Charging_Center_Global].[Level05_Code]" caption="Level05_Code" attribute="1" defaultMemberUniqueName="[Charging_Center_Global].[Level05_Code].[All]" allUniqueName="[Charging_Center_Global].[Level05_Code].[All]" dimensionUniqueName="[Charging_Center_Global]" displayFolder="" count="0" memberValueDatatype="130" unbalanced="0"/>
    <cacheHierarchy uniqueName="[Charging_Center_Global].[Level05_Desc]" caption="Level05_Desc" attribute="1" defaultMemberUniqueName="[Charging_Center_Global].[Level05_Desc].[All]" allUniqueName="[Charging_Center_Global].[Level05_Desc].[All]" dimensionUniqueName="[Charging_Center_Global]" displayFolder="" count="0" memberValueDatatype="130" unbalanced="0"/>
    <cacheHierarchy uniqueName="[Charging_Center_Global].[Level06]" caption="Level06" attribute="1" defaultMemberUniqueName="[Charging_Center_Global].[Level06].[All]" allUniqueName="[Charging_Center_Global].[Level06].[All]" dimensionUniqueName="[Charging_Center_Global]" displayFolder="" count="0" memberValueDatatype="130" unbalanced="0"/>
    <cacheHierarchy uniqueName="[Charging_Center_Global].[Level06_Code]" caption="Level06_Code" attribute="1" defaultMemberUniqueName="[Charging_Center_Global].[Level06_Code].[All]" allUniqueName="[Charging_Center_Global].[Level06_Code].[All]" dimensionUniqueName="[Charging_Center_Global]" displayFolder="" count="0" memberValueDatatype="130" unbalanced="0"/>
    <cacheHierarchy uniqueName="[Charging_Center_Global].[Level06_Desc]" caption="Level06_Desc" attribute="1" defaultMemberUniqueName="[Charging_Center_Global].[Level06_Desc].[All]" allUniqueName="[Charging_Center_Global].[Level06_Desc].[All]" dimensionUniqueName="[Charging_Center_Global]" displayFolder="" count="0" memberValueDatatype="130" unbalanced="0"/>
    <cacheHierarchy uniqueName="[Charging_Center_Global].[Level07]" caption="Level07" attribute="1" defaultMemberUniqueName="[Charging_Center_Global].[Level07].[All]" allUniqueName="[Charging_Center_Global].[Level07].[All]" dimensionUniqueName="[Charging_Center_Global]" displayFolder="" count="0" memberValueDatatype="130" unbalanced="0"/>
    <cacheHierarchy uniqueName="[Charging_Center_Global].[Level07_Code]" caption="Level07_Code" attribute="1" defaultMemberUniqueName="[Charging_Center_Global].[Level07_Code].[All]" allUniqueName="[Charging_Center_Global].[Level07_Code].[All]" dimensionUniqueName="[Charging_Center_Global]" displayFolder="" count="0" memberValueDatatype="130" unbalanced="0"/>
    <cacheHierarchy uniqueName="[Charging_Center_Global].[Level07_Desc]" caption="Level07_Desc" attribute="1" defaultMemberUniqueName="[Charging_Center_Global].[Level07_Desc].[All]" allUniqueName="[Charging_Center_Global].[Level07_Desc].[All]" dimensionUniqueName="[Charging_Center_Global]" displayFolder="" count="0" memberValueDatatype="130" unbalanced="0"/>
    <cacheHierarchy uniqueName="[Charging_Center_Global].[Level08]" caption="Level08" attribute="1" defaultMemberUniqueName="[Charging_Center_Global].[Level08].[All]" allUniqueName="[Charging_Center_Global].[Level08].[All]" dimensionUniqueName="[Charging_Center_Global]" displayFolder="" count="0" memberValueDatatype="130" unbalanced="0"/>
    <cacheHierarchy uniqueName="[Charging_Center_Global].[Level08_Code]" caption="Level08_Code" attribute="1" defaultMemberUniqueName="[Charging_Center_Global].[Level08_Code].[All]" allUniqueName="[Charging_Center_Global].[Level08_Code].[All]" dimensionUniqueName="[Charging_Center_Global]" displayFolder="" count="0" memberValueDatatype="130" unbalanced="0"/>
    <cacheHierarchy uniqueName="[Charging_Center_Global].[Level08_Desc]" caption="Level08_Desc" attribute="1" defaultMemberUniqueName="[Charging_Center_Global].[Level08_Desc].[All]" allUniqueName="[Charging_Center_Global].[Level08_Desc].[All]" dimensionUniqueName="[Charging_Center_Global]" displayFolder="" count="0" memberValueDatatype="130" unbalanced="0"/>
    <cacheHierarchy uniqueName="[Charging_Center_Global].[Level09]" caption="Level09" attribute="1" defaultMemberUniqueName="[Charging_Center_Global].[Level09].[All]" allUniqueName="[Charging_Center_Global].[Level09].[All]" dimensionUniqueName="[Charging_Center_Global]" displayFolder="" count="0" memberValueDatatype="130" unbalanced="0"/>
    <cacheHierarchy uniqueName="[Charging_Center_Global].[Level09_Code]" caption="Level09_Code" attribute="1" defaultMemberUniqueName="[Charging_Center_Global].[Level09_Code].[All]" allUniqueName="[Charging_Center_Global].[Level09_Code].[All]" dimensionUniqueName="[Charging_Center_Global]" displayFolder="" count="0" memberValueDatatype="130" unbalanced="0"/>
    <cacheHierarchy uniqueName="[Charging_Center_Global].[Level09_Desc]" caption="Level09_Desc" attribute="1" defaultMemberUniqueName="[Charging_Center_Global].[Level09_Desc].[All]" allUniqueName="[Charging_Center_Global].[Level09_Desc].[All]" dimensionUniqueName="[Charging_Center_Global]" displayFolder="" count="0" memberValueDatatype="130" unbalanced="0"/>
    <cacheHierarchy uniqueName="[Charging_Center_Global].[Level10]" caption="Level10" attribute="1" defaultMemberUniqueName="[Charging_Center_Global].[Level10].[All]" allUniqueName="[Charging_Center_Global].[Level10].[All]" dimensionUniqueName="[Charging_Center_Global]" displayFolder="" count="0" memberValueDatatype="130" unbalanced="0"/>
    <cacheHierarchy uniqueName="[Charging_Center_Global].[Level10_Code]" caption="Level10_Code" attribute="1" defaultMemberUniqueName="[Charging_Center_Global].[Level10_Code].[All]" allUniqueName="[Charging_Center_Global].[Level10_Code].[All]" dimensionUniqueName="[Charging_Center_Global]" displayFolder="" count="0" memberValueDatatype="130" unbalanced="0"/>
    <cacheHierarchy uniqueName="[Charging_Center_Global].[Level10_Desc]" caption="Level10_Desc" attribute="1" defaultMemberUniqueName="[Charging_Center_Global].[Level10_Desc].[All]" allUniqueName="[Charging_Center_Global].[Level10_Desc].[All]" dimensionUniqueName="[Charging_Center_Global]" displayFolder="" count="0" memberValueDatatype="130" unbalanced="0"/>
    <cacheHierarchy uniqueName="[Charging_Center_Global].[Level11]" caption="Level11" attribute="1" defaultMemberUniqueName="[Charging_Center_Global].[Level11].[All]" allUniqueName="[Charging_Center_Global].[Level11].[All]" dimensionUniqueName="[Charging_Center_Global]" displayFolder="" count="0" memberValueDatatype="130" unbalanced="0"/>
    <cacheHierarchy uniqueName="[Charging_Center_Global].[Level11_Code]" caption="Level11_Code" attribute="1" defaultMemberUniqueName="[Charging_Center_Global].[Level11_Code].[All]" allUniqueName="[Charging_Center_Global].[Level11_Code].[All]" dimensionUniqueName="[Charging_Center_Global]" displayFolder="" count="0" memberValueDatatype="130" unbalanced="0"/>
    <cacheHierarchy uniqueName="[Charging_Center_Global].[Level11_Desc]" caption="Level11_Desc" attribute="1" defaultMemberUniqueName="[Charging_Center_Global].[Level11_Desc].[All]" allUniqueName="[Charging_Center_Global].[Level11_Desc].[All]" dimensionUniqueName="[Charging_Center_Global]" displayFolder="" count="0" memberValueDatatype="130" unbalanced="0"/>
    <cacheHierarchy uniqueName="[Charging_Center_Global].[Level12]" caption="Level12" attribute="1" defaultMemberUniqueName="[Charging_Center_Global].[Level12].[All]" allUniqueName="[Charging_Center_Global].[Level12].[All]" dimensionUniqueName="[Charging_Center_Global]" displayFolder="" count="0" memberValueDatatype="130" unbalanced="0"/>
    <cacheHierarchy uniqueName="[Charging_Center_Global].[Level12_Code]" caption="Level12_Code" attribute="1" defaultMemberUniqueName="[Charging_Center_Global].[Level12_Code].[All]" allUniqueName="[Charging_Center_Global].[Level12_Code].[All]" dimensionUniqueName="[Charging_Center_Global]" displayFolder="" count="0" memberValueDatatype="130" unbalanced="0"/>
    <cacheHierarchy uniqueName="[Charging_Center_Global].[Level12_Desc]" caption="Level12_Desc" attribute="1" defaultMemberUniqueName="[Charging_Center_Global].[Level12_Desc].[All]" allUniqueName="[Charging_Center_Global].[Level12_Desc].[All]" dimensionUniqueName="[Charging_Center_Global]" displayFolder="" count="0" memberValueDatatype="130" unbalanced="0"/>
    <cacheHierarchy uniqueName="[Charging_Center_Global].[Level13]" caption="Level13" attribute="1" defaultMemberUniqueName="[Charging_Center_Global].[Level13].[All]" allUniqueName="[Charging_Center_Global].[Level13].[All]" dimensionUniqueName="[Charging_Center_Global]" displayFolder="" count="0" memberValueDatatype="130" unbalanced="0"/>
    <cacheHierarchy uniqueName="[Charging_Center_Global].[Level13_Code]" caption="Level13_Code" attribute="1" defaultMemberUniqueName="[Charging_Center_Global].[Level13_Code].[All]" allUniqueName="[Charging_Center_Global].[Level13_Code].[All]" dimensionUniqueName="[Charging_Center_Global]" displayFolder="" count="0" memberValueDatatype="130" unbalanced="0"/>
    <cacheHierarchy uniqueName="[Charging_Center_Global].[Level13_Desc]" caption="Level13_Desc" attribute="1" defaultMemberUniqueName="[Charging_Center_Global].[Level13_Desc].[All]" allUniqueName="[Charging_Center_Global].[Level13_Desc].[All]" dimensionUniqueName="[Charging_Center_Global]" displayFolder="" count="0" memberValueDatatype="130" unbalanced="0"/>
    <cacheHierarchy uniqueName="[Charging_Center_Global].[Level14]" caption="Level14" attribute="1" defaultMemberUniqueName="[Charging_Center_Global].[Level14].[All]" allUniqueName="[Charging_Center_Global].[Level14].[All]" dimensionUniqueName="[Charging_Center_Global]" displayFolder="" count="0" memberValueDatatype="130" unbalanced="0"/>
    <cacheHierarchy uniqueName="[Charging_Center_Global].[Level14_Code]" caption="Level14_Code" attribute="1" defaultMemberUniqueName="[Charging_Center_Global].[Level14_Code].[All]" allUniqueName="[Charging_Center_Global].[Level14_Code].[All]" dimensionUniqueName="[Charging_Center_Global]" displayFolder="" count="0" memberValueDatatype="130" unbalanced="0"/>
    <cacheHierarchy uniqueName="[Charging_Center_Global].[Level14_Desc]" caption="Level14_Desc" attribute="1" defaultMemberUniqueName="[Charging_Center_Global].[Level14_Desc].[All]" allUniqueName="[Charging_Center_Global].[Level14_Desc].[All]" dimensionUniqueName="[Charging_Center_Global]" displayFolder="" count="0" memberValueDatatype="130" unbalanced="0"/>
    <cacheHierarchy uniqueName="[Charging_Center_Global].[Level15]" caption="Level15" attribute="1" defaultMemberUniqueName="[Charging_Center_Global].[Level15].[All]" allUniqueName="[Charging_Center_Global].[Level15].[All]" dimensionUniqueName="[Charging_Center_Global]" displayFolder="" count="0" memberValueDatatype="130" unbalanced="0"/>
    <cacheHierarchy uniqueName="[Charging_Center_Global].[Level15_Code]" caption="Level15_Code" attribute="1" defaultMemberUniqueName="[Charging_Center_Global].[Level15_Code].[All]" allUniqueName="[Charging_Center_Global].[Level15_Code].[All]" dimensionUniqueName="[Charging_Center_Global]" displayFolder="" count="0" memberValueDatatype="130" unbalanced="0"/>
    <cacheHierarchy uniqueName="[Charging_Center_Global].[Level15_Desc]" caption="Level15_Desc" attribute="1" defaultMemberUniqueName="[Charging_Center_Global].[Level15_Desc].[All]" allUniqueName="[Charging_Center_Global].[Level15_Desc].[All]" dimensionUniqueName="[Charging_Center_Global]" displayFolder="" count="0" memberValueDatatype="130" unbalanced="0"/>
    <cacheHierarchy uniqueName="[Charging_Center_Global].[Level16]" caption="Level16" attribute="1" defaultMemberUniqueName="[Charging_Center_Global].[Level16].[All]" allUniqueName="[Charging_Center_Global].[Level16].[All]" dimensionUniqueName="[Charging_Center_Global]" displayFolder="" count="0" memberValueDatatype="130" unbalanced="0"/>
    <cacheHierarchy uniqueName="[Charging_Center_Global].[Level16_Code]" caption="Level16_Code" attribute="1" defaultMemberUniqueName="[Charging_Center_Global].[Level16_Code].[All]" allUniqueName="[Charging_Center_Global].[Level16_Code].[All]" dimensionUniqueName="[Charging_Center_Global]" displayFolder="" count="0" memberValueDatatype="130" unbalanced="0"/>
    <cacheHierarchy uniqueName="[Charging_Center_Global].[Level16_Desc]" caption="Level16_Desc" attribute="1" defaultMemberUniqueName="[Charging_Center_Global].[Level16_Desc].[All]" allUniqueName="[Charging_Center_Global].[Level16_Desc].[All]" dimensionUniqueName="[Charging_Center_Global]" displayFolder="" count="0" memberValueDatatype="130" unbalanced="0"/>
    <cacheHierarchy uniqueName="[Charging_Center_Global].[Level17]" caption="Level17" attribute="1" defaultMemberUniqueName="[Charging_Center_Global].[Level17].[All]" allUniqueName="[Charging_Center_Global].[Level17].[All]" dimensionUniqueName="[Charging_Center_Global]" displayFolder="" count="0" memberValueDatatype="130" unbalanced="0"/>
    <cacheHierarchy uniqueName="[Charging_Center_Global].[Level17_Code]" caption="Level17_Code" attribute="1" defaultMemberUniqueName="[Charging_Center_Global].[Level17_Code].[All]" allUniqueName="[Charging_Center_Global].[Level17_Code].[All]" dimensionUniqueName="[Charging_Center_Global]" displayFolder="" count="0" memberValueDatatype="130" unbalanced="0"/>
    <cacheHierarchy uniqueName="[Charging_Center_Global].[Level17_Desc]" caption="Level17_Desc" attribute="1" defaultMemberUniqueName="[Charging_Center_Global].[Level17_Desc].[All]" allUniqueName="[Charging_Center_Global].[Level17_Desc].[All]" dimensionUniqueName="[Charging_Center_Global]" displayFolder="" count="0" memberValueDatatype="130" unbalanced="0"/>
    <cacheHierarchy uniqueName="[Charging_Center_Global].[Level18]" caption="Level18" attribute="1" defaultMemberUniqueName="[Charging_Center_Global].[Level18].[All]" allUniqueName="[Charging_Center_Global].[Level18].[All]" dimensionUniqueName="[Charging_Center_Global]" displayFolder="" count="0" memberValueDatatype="130" unbalanced="0"/>
    <cacheHierarchy uniqueName="[Charging_Center_Global].[Level18_Code]" caption="Level18_Code" attribute="1" defaultMemberUniqueName="[Charging_Center_Global].[Level18_Code].[All]" allUniqueName="[Charging_Center_Global].[Level18_Code].[All]" dimensionUniqueName="[Charging_Center_Global]" displayFolder="" count="0" memberValueDatatype="130" unbalanced="0"/>
    <cacheHierarchy uniqueName="[Charging_Center_Global].[Level18_Desc]" caption="Level18_Desc" attribute="1" defaultMemberUniqueName="[Charging_Center_Global].[Level18_Desc].[All]" allUniqueName="[Charging_Center_Global].[Level18_Desc].[All]" dimensionUniqueName="[Charging_Center_Global]" displayFolder="" count="0" memberValueDatatype="130" unbalanced="0"/>
    <cacheHierarchy uniqueName="[Charging_Center_Global].[Level19]" caption="Level19" attribute="1" defaultMemberUniqueName="[Charging_Center_Global].[Level19].[All]" allUniqueName="[Charging_Center_Global].[Level19].[All]" dimensionUniqueName="[Charging_Center_Global]" displayFolder="" count="0" memberValueDatatype="130" unbalanced="0"/>
    <cacheHierarchy uniqueName="[Charging_Center_Global].[Level19_Code]" caption="Level19_Code" attribute="1" defaultMemberUniqueName="[Charging_Center_Global].[Level19_Code].[All]" allUniqueName="[Charging_Center_Global].[Level19_Code].[All]" dimensionUniqueName="[Charging_Center_Global]" displayFolder="" count="0" memberValueDatatype="130" unbalanced="0"/>
    <cacheHierarchy uniqueName="[Charging_Center_Global].[Level19_Desc]" caption="Level19_Desc" attribute="1" defaultMemberUniqueName="[Charging_Center_Global].[Level19_Desc].[All]" allUniqueName="[Charging_Center_Global].[Level19_Desc].[All]" dimensionUniqueName="[Charging_Center_Global]" displayFolder="" count="0" memberValueDatatype="130" unbalanced="0"/>
    <cacheHierarchy uniqueName="[Charging_Center_Global].[Level20]" caption="Level20" attribute="1" defaultMemberUniqueName="[Charging_Center_Global].[Level20].[All]" allUniqueName="[Charging_Center_Global].[Level20].[All]" dimensionUniqueName="[Charging_Center_Global]" displayFolder="" count="0" memberValueDatatype="130" unbalanced="0"/>
    <cacheHierarchy uniqueName="[Charging_Center_Global].[Level20_Code]" caption="Level20_Code" attribute="1" defaultMemberUniqueName="[Charging_Center_Global].[Level20_Code].[All]" allUniqueName="[Charging_Center_Global].[Level20_Code].[All]" dimensionUniqueName="[Charging_Center_Global]" displayFolder="" count="0" memberValueDatatype="130" unbalanced="0"/>
    <cacheHierarchy uniqueName="[Charging_Center_Global].[Level20_Desc]" caption="Level20_Desc" attribute="1" defaultMemberUniqueName="[Charging_Center_Global].[Level20_Desc].[All]" allUniqueName="[Charging_Center_Global].[Level20_Desc].[All]" dimensionUniqueName="[Charging_Center_Global]" displayFolder="" count="0" memberValueDatatype="130" unbalanced="0"/>
    <cacheHierarchy uniqueName="[Charging_Center_MCOM].[Center_Hier_Name]" caption="Center_Hier_Name" attribute="1" defaultMemberUniqueName="[Charging_Center_MCOM].[Center_Hier_Name].[All]" allUniqueName="[Charging_Center_MCOM].[Center_Hier_Name].[All]" dimensionUniqueName="[Charging_Center_MCOM]" displayFolder="" count="0" memberValueDatatype="130" unbalanced="0"/>
    <cacheHierarchy uniqueName="[Charging_Center_MCOM].[Charging Center MCOM Code]" caption="Charging Center MCOM Code" defaultMemberUniqueName="[Charging_Center_MCOM].[Charging Center MCOM Code].[All]" allUniqueName="[Charging_Center_MCOM].[Charging Center MCOM Code].[All]" dimensionUniqueName="[Charging_Center_MCOM]" displayFolder="" count="0" unbalanced="0"/>
    <cacheHierarchy uniqueName="[Charging_Center_MCOM].[Charging Center MCOM Code Desc]" caption="Charging Center MCOM Code Desc" defaultMemberUniqueName="[Charging_Center_MCOM].[Charging Center MCOM Code Desc].[All]" allUniqueName="[Charging_Center_MCOM].[Charging Center MCOM Code Desc].[All]" dimensionUniqueName="[Charging_Center_MCOM]" displayFolder="" count="0" unbalanced="0"/>
    <cacheHierarchy uniqueName="[Charging_Center_MCOM].[Charging Center MCOM Desc]" caption="Charging Center MCOM Desc" defaultMemberUniqueName="[Charging_Center_MCOM].[Charging Center MCOM Desc].[All]" allUniqueName="[Charging_Center_MCOM].[Charging Center MCOM Desc].[All]" dimensionUniqueName="[Charging_Center_MCOM]" displayFolder="" count="0" unbalanced="0"/>
    <cacheHierarchy uniqueName="[Charging_Center_MCOM].[Charging_Center_Code]" caption="Charging_Center_Code" attribute="1" defaultMemberUniqueName="[Charging_Center_MCOM].[Charging_Center_Code].[All]" allUniqueName="[Charging_Center_MCOM].[Charging_Center_Code].[All]" dimensionUniqueName="[Charging_Center_MCOM]" displayFolder="" count="0" memberValueDatatype="130" unbalanced="0"/>
    <cacheHierarchy uniqueName="[Charging_Center_MCOM].[Charging_Center_Code_Desc]" caption="Charging_Center_Code_Desc" attribute="1" defaultMemberUniqueName="[Charging_Center_MCOM].[Charging_Center_Code_Desc].[All]" allUniqueName="[Charging_Center_MCOM].[Charging_Center_Code_Desc].[All]" dimensionUniqueName="[Charging_Center_MCOM]" displayFolder="" count="0" memberValueDatatype="130" unbalanced="0"/>
    <cacheHierarchy uniqueName="[Charging_Center_MCOM].[Charging_Center_Desc]" caption="Charging_Center_Desc" attribute="1" defaultMemberUniqueName="[Charging_Center_MCOM].[Charging_Center_Desc].[All]" allUniqueName="[Charging_Center_MCOM].[Charging_Center_Desc].[All]" dimensionUniqueName="[Charging_Center_MCOM]" displayFolder="" count="0" memberValueDatatype="130" unbalanced="0"/>
    <cacheHierarchy uniqueName="[Charging_Center_MCOM].[Hier_Charging Center MCOM Code]" caption="Hier_Charging Center MCOM Code" defaultMemberUniqueName="[Charging_Center_MCOM].[Hier_Charging Center MCOM Code].[All]" allUniqueName="[Charging_Center_MCOM].[Hier_Charging Center MCOM Code].[All]" dimensionUniqueName="[Charging_Center_MCOM]" displayFolder="" count="0" unbalanced="0"/>
    <cacheHierarchy uniqueName="[Charging_Center_MCOM].[Hier_Charging Center MCOM Code Desc]" caption="Hier_Charging Center MCOM Code Desc" defaultMemberUniqueName="[Charging_Center_MCOM].[Hier_Charging Center MCOM Code Desc].[All]" allUniqueName="[Charging_Center_MCOM].[Hier_Charging Center MCOM Code Desc].[All]" dimensionUniqueName="[Charging_Center_MCOM]" displayFolder="" count="0" unbalanced="0"/>
    <cacheHierarchy uniqueName="[Charging_Center_MCOM].[Hier_Charging Center MCOM Desc]" caption="Hier_Charging Center MCOM Desc" defaultMemberUniqueName="[Charging_Center_MCOM].[Hier_Charging Center MCOM Desc].[All]" allUniqueName="[Charging_Center_MCOM].[Hier_Charging Center MCOM Desc].[All]" dimensionUniqueName="[Charging_Center_MCOM]" displayFolder="" count="0" unbalanced="0"/>
    <cacheHierarchy uniqueName="[Charging_Center_MCOM].[Level01]" caption="Level01" attribute="1" defaultMemberUniqueName="[Charging_Center_MCOM].[Level01].[All]" allUniqueName="[Charging_Center_MCOM].[Level01].[All]" dimensionUniqueName="[Charging_Center_MCOM]" displayFolder="" count="0" memberValueDatatype="130" unbalanced="0"/>
    <cacheHierarchy uniqueName="[Charging_Center_MCOM].[Level01_Code]" caption="Level01_Code" attribute="1" defaultMemberUniqueName="[Charging_Center_MCOM].[Level01_Code].[All]" allUniqueName="[Charging_Center_MCOM].[Level01_Code].[All]" dimensionUniqueName="[Charging_Center_MCOM]" displayFolder="" count="0" memberValueDatatype="130" unbalanced="0"/>
    <cacheHierarchy uniqueName="[Charging_Center_MCOM].[Level01_Desc]" caption="Level01_Desc" attribute="1" defaultMemberUniqueName="[Charging_Center_MCOM].[Level01_Desc].[All]" allUniqueName="[Charging_Center_MCOM].[Level01_Desc].[All]" dimensionUniqueName="[Charging_Center_MCOM]" displayFolder="" count="0" memberValueDatatype="130" unbalanced="0"/>
    <cacheHierarchy uniqueName="[Charging_Center_MCOM].[Level02]" caption="Level02" attribute="1" defaultMemberUniqueName="[Charging_Center_MCOM].[Level02].[All]" allUniqueName="[Charging_Center_MCOM].[Level02].[All]" dimensionUniqueName="[Charging_Center_MCOM]" displayFolder="" count="0" memberValueDatatype="130" unbalanced="0"/>
    <cacheHierarchy uniqueName="[Charging_Center_MCOM].[Level02_Code]" caption="Level02_Code" attribute="1" defaultMemberUniqueName="[Charging_Center_MCOM].[Level02_Code].[All]" allUniqueName="[Charging_Center_MCOM].[Level02_Code].[All]" dimensionUniqueName="[Charging_Center_MCOM]" displayFolder="" count="0" memberValueDatatype="130" unbalanced="0"/>
    <cacheHierarchy uniqueName="[Charging_Center_MCOM].[Level02_Desc]" caption="Level02_Desc" attribute="1" defaultMemberUniqueName="[Charging_Center_MCOM].[Level02_Desc].[All]" allUniqueName="[Charging_Center_MCOM].[Level02_Desc].[All]" dimensionUniqueName="[Charging_Center_MCOM]" displayFolder="" count="0" memberValueDatatype="130" unbalanced="0"/>
    <cacheHierarchy uniqueName="[Charging_Center_MCOM].[Level03]" caption="Level03" attribute="1" defaultMemberUniqueName="[Charging_Center_MCOM].[Level03].[All]" allUniqueName="[Charging_Center_MCOM].[Level03].[All]" dimensionUniqueName="[Charging_Center_MCOM]" displayFolder="" count="0" memberValueDatatype="130" unbalanced="0"/>
    <cacheHierarchy uniqueName="[Charging_Center_MCOM].[Level03_Code]" caption="Level03_Code" attribute="1" defaultMemberUniqueName="[Charging_Center_MCOM].[Level03_Code].[All]" allUniqueName="[Charging_Center_MCOM].[Level03_Code].[All]" dimensionUniqueName="[Charging_Center_MCOM]" displayFolder="" count="0" memberValueDatatype="130" unbalanced="0"/>
    <cacheHierarchy uniqueName="[Charging_Center_MCOM].[Level03_Desc]" caption="Level03_Desc" attribute="1" defaultMemberUniqueName="[Charging_Center_MCOM].[Level03_Desc].[All]" allUniqueName="[Charging_Center_MCOM].[Level03_Desc].[All]" dimensionUniqueName="[Charging_Center_MCOM]" displayFolder="" count="0" memberValueDatatype="130" unbalanced="0"/>
    <cacheHierarchy uniqueName="[Charging_Center_MCOM].[Level04]" caption="Level04" attribute="1" defaultMemberUniqueName="[Charging_Center_MCOM].[Level04].[All]" allUniqueName="[Charging_Center_MCOM].[Level04].[All]" dimensionUniqueName="[Charging_Center_MCOM]" displayFolder="" count="0" memberValueDatatype="130" unbalanced="0"/>
    <cacheHierarchy uniqueName="[Charging_Center_MCOM].[Level04_Code]" caption="Level04_Code" attribute="1" defaultMemberUniqueName="[Charging_Center_MCOM].[Level04_Code].[All]" allUniqueName="[Charging_Center_MCOM].[Level04_Code].[All]" dimensionUniqueName="[Charging_Center_MCOM]" displayFolder="" count="0" memberValueDatatype="130" unbalanced="0"/>
    <cacheHierarchy uniqueName="[Charging_Center_MCOM].[Level04_Desc]" caption="Level04_Desc" attribute="1" defaultMemberUniqueName="[Charging_Center_MCOM].[Level04_Desc].[All]" allUniqueName="[Charging_Center_MCOM].[Level04_Desc].[All]" dimensionUniqueName="[Charging_Center_MCOM]" displayFolder="" count="0" memberValueDatatype="130" unbalanced="0"/>
    <cacheHierarchy uniqueName="[Charging_Center_MCOM].[Level05]" caption="Level05" attribute="1" defaultMemberUniqueName="[Charging_Center_MCOM].[Level05].[All]" allUniqueName="[Charging_Center_MCOM].[Level05].[All]" dimensionUniqueName="[Charging_Center_MCOM]" displayFolder="" count="0" memberValueDatatype="130" unbalanced="0"/>
    <cacheHierarchy uniqueName="[Charging_Center_MCOM].[Level05_Code]" caption="Level05_Code" attribute="1" defaultMemberUniqueName="[Charging_Center_MCOM].[Level05_Code].[All]" allUniqueName="[Charging_Center_MCOM].[Level05_Code].[All]" dimensionUniqueName="[Charging_Center_MCOM]" displayFolder="" count="0" memberValueDatatype="130" unbalanced="0"/>
    <cacheHierarchy uniqueName="[Charging_Center_MCOM].[Level05_Desc]" caption="Level05_Desc" attribute="1" defaultMemberUniqueName="[Charging_Center_MCOM].[Level05_Desc].[All]" allUniqueName="[Charging_Center_MCOM].[Level05_Desc].[All]" dimensionUniqueName="[Charging_Center_MCOM]" displayFolder="" count="0" memberValueDatatype="130" unbalanced="0"/>
    <cacheHierarchy uniqueName="[Charging_Center_MCOM].[Level06]" caption="Level06" attribute="1" defaultMemberUniqueName="[Charging_Center_MCOM].[Level06].[All]" allUniqueName="[Charging_Center_MCOM].[Level06].[All]" dimensionUniqueName="[Charging_Center_MCOM]" displayFolder="" count="0" memberValueDatatype="130" unbalanced="0"/>
    <cacheHierarchy uniqueName="[Charging_Center_MCOM].[Level06_Code]" caption="Level06_Code" attribute="1" defaultMemberUniqueName="[Charging_Center_MCOM].[Level06_Code].[All]" allUniqueName="[Charging_Center_MCOM].[Level06_Code].[All]" dimensionUniqueName="[Charging_Center_MCOM]" displayFolder="" count="0" memberValueDatatype="130" unbalanced="0"/>
    <cacheHierarchy uniqueName="[Charging_Center_MCOM].[Level06_Desc]" caption="Level06_Desc" attribute="1" defaultMemberUniqueName="[Charging_Center_MCOM].[Level06_Desc].[All]" allUniqueName="[Charging_Center_MCOM].[Level06_Desc].[All]" dimensionUniqueName="[Charging_Center_MCOM]" displayFolder="" count="0" memberValueDatatype="130" unbalanced="0"/>
    <cacheHierarchy uniqueName="[Charging_Center_MCOM].[Level07]" caption="Level07" attribute="1" defaultMemberUniqueName="[Charging_Center_MCOM].[Level07].[All]" allUniqueName="[Charging_Center_MCOM].[Level07].[All]" dimensionUniqueName="[Charging_Center_MCOM]" displayFolder="" count="0" memberValueDatatype="130" unbalanced="0"/>
    <cacheHierarchy uniqueName="[Charging_Center_MCOM].[Level07_Code]" caption="Level07_Code" attribute="1" defaultMemberUniqueName="[Charging_Center_MCOM].[Level07_Code].[All]" allUniqueName="[Charging_Center_MCOM].[Level07_Code].[All]" dimensionUniqueName="[Charging_Center_MCOM]" displayFolder="" count="0" memberValueDatatype="130" unbalanced="0"/>
    <cacheHierarchy uniqueName="[Charging_Center_MCOM].[Level07_Desc]" caption="Level07_Desc" attribute="1" defaultMemberUniqueName="[Charging_Center_MCOM].[Level07_Desc].[All]" allUniqueName="[Charging_Center_MCOM].[Level07_Desc].[All]" dimensionUniqueName="[Charging_Center_MCOM]" displayFolder="" count="0" memberValueDatatype="130" unbalanced="0"/>
    <cacheHierarchy uniqueName="[Charging_Center_MCOM].[Level08]" caption="Level08" attribute="1" defaultMemberUniqueName="[Charging_Center_MCOM].[Level08].[All]" allUniqueName="[Charging_Center_MCOM].[Level08].[All]" dimensionUniqueName="[Charging_Center_MCOM]" displayFolder="" count="0" memberValueDatatype="130" unbalanced="0"/>
    <cacheHierarchy uniqueName="[Charging_Center_MCOM].[Level08_Code]" caption="Level08_Code" attribute="1" defaultMemberUniqueName="[Charging_Center_MCOM].[Level08_Code].[All]" allUniqueName="[Charging_Center_MCOM].[Level08_Code].[All]" dimensionUniqueName="[Charging_Center_MCOM]" displayFolder="" count="0" memberValueDatatype="130" unbalanced="0"/>
    <cacheHierarchy uniqueName="[Charging_Center_MCOM].[Level08_Desc]" caption="Level08_Desc" attribute="1" defaultMemberUniqueName="[Charging_Center_MCOM].[Level08_Desc].[All]" allUniqueName="[Charging_Center_MCOM].[Level08_Desc].[All]" dimensionUniqueName="[Charging_Center_MCOM]" displayFolder="" count="0" memberValueDatatype="130" unbalanced="0"/>
    <cacheHierarchy uniqueName="[Charging_Center_MCOM].[Level09]" caption="Level09" attribute="1" defaultMemberUniqueName="[Charging_Center_MCOM].[Level09].[All]" allUniqueName="[Charging_Center_MCOM].[Level09].[All]" dimensionUniqueName="[Charging_Center_MCOM]" displayFolder="" count="0" memberValueDatatype="130" unbalanced="0"/>
    <cacheHierarchy uniqueName="[Charging_Center_MCOM].[Level09_Code]" caption="Level09_Code" attribute="1" defaultMemberUniqueName="[Charging_Center_MCOM].[Level09_Code].[All]" allUniqueName="[Charging_Center_MCOM].[Level09_Code].[All]" dimensionUniqueName="[Charging_Center_MCOM]" displayFolder="" count="0" memberValueDatatype="130" unbalanced="0"/>
    <cacheHierarchy uniqueName="[Charging_Center_MCOM].[Level09_Desc]" caption="Level09_Desc" attribute="1" defaultMemberUniqueName="[Charging_Center_MCOM].[Level09_Desc].[All]" allUniqueName="[Charging_Center_MCOM].[Level09_Desc].[All]" dimensionUniqueName="[Charging_Center_MCOM]" displayFolder="" count="0" memberValueDatatype="130" unbalanced="0"/>
    <cacheHierarchy uniqueName="[Charging_Center_MCOM].[Level10]" caption="Level10" attribute="1" defaultMemberUniqueName="[Charging_Center_MCOM].[Level10].[All]" allUniqueName="[Charging_Center_MCOM].[Level10].[All]" dimensionUniqueName="[Charging_Center_MCOM]" displayFolder="" count="0" memberValueDatatype="130" unbalanced="0"/>
    <cacheHierarchy uniqueName="[Charging_Center_MCOM].[Level10_Code]" caption="Level10_Code" attribute="1" defaultMemberUniqueName="[Charging_Center_MCOM].[Level10_Code].[All]" allUniqueName="[Charging_Center_MCOM].[Level10_Code].[All]" dimensionUniqueName="[Charging_Center_MCOM]" displayFolder="" count="0" memberValueDatatype="130" unbalanced="0"/>
    <cacheHierarchy uniqueName="[Charging_Center_MCOM].[Level10_Desc]" caption="Level10_Desc" attribute="1" defaultMemberUniqueName="[Charging_Center_MCOM].[Level10_Desc].[All]" allUniqueName="[Charging_Center_MCOM].[Level10_Desc].[All]" dimensionUniqueName="[Charging_Center_MCOM]" displayFolder="" count="0" memberValueDatatype="130" unbalanced="0"/>
    <cacheHierarchy uniqueName="[Charging_Center_MCOM].[Level11]" caption="Level11" attribute="1" defaultMemberUniqueName="[Charging_Center_MCOM].[Level11].[All]" allUniqueName="[Charging_Center_MCOM].[Level11].[All]" dimensionUniqueName="[Charging_Center_MCOM]" displayFolder="" count="0" memberValueDatatype="130" unbalanced="0"/>
    <cacheHierarchy uniqueName="[Charging_Center_MCOM].[Level11_Code]" caption="Level11_Code" attribute="1" defaultMemberUniqueName="[Charging_Center_MCOM].[Level11_Code].[All]" allUniqueName="[Charging_Center_MCOM].[Level11_Code].[All]" dimensionUniqueName="[Charging_Center_MCOM]" displayFolder="" count="0" memberValueDatatype="130" unbalanced="0"/>
    <cacheHierarchy uniqueName="[Charging_Center_MCOM].[Level11_Desc]" caption="Level11_Desc" attribute="1" defaultMemberUniqueName="[Charging_Center_MCOM].[Level11_Desc].[All]" allUniqueName="[Charging_Center_MCOM].[Level11_Desc].[All]" dimensionUniqueName="[Charging_Center_MCOM]" displayFolder="" count="0" memberValueDatatype="130" unbalanced="0"/>
    <cacheHierarchy uniqueName="[Charging_Center_MCOM].[Level12]" caption="Level12" attribute="1" defaultMemberUniqueName="[Charging_Center_MCOM].[Level12].[All]" allUniqueName="[Charging_Center_MCOM].[Level12].[All]" dimensionUniqueName="[Charging_Center_MCOM]" displayFolder="" count="0" memberValueDatatype="130" unbalanced="0"/>
    <cacheHierarchy uniqueName="[Charging_Center_MCOM].[Level12_Code]" caption="Level12_Code" attribute="1" defaultMemberUniqueName="[Charging_Center_MCOM].[Level12_Code].[All]" allUniqueName="[Charging_Center_MCOM].[Level12_Code].[All]" dimensionUniqueName="[Charging_Center_MCOM]" displayFolder="" count="0" memberValueDatatype="130" unbalanced="0"/>
    <cacheHierarchy uniqueName="[Charging_Center_MCOM].[Level12_Desc]" caption="Level12_Desc" attribute="1" defaultMemberUniqueName="[Charging_Center_MCOM].[Level12_Desc].[All]" allUniqueName="[Charging_Center_MCOM].[Level12_Desc].[All]" dimensionUniqueName="[Charging_Center_MCOM]" displayFolder="" count="0" memberValueDatatype="130" unbalanced="0"/>
    <cacheHierarchy uniqueName="[Charging_Center_MCOM].[Level13]" caption="Level13" attribute="1" defaultMemberUniqueName="[Charging_Center_MCOM].[Level13].[All]" allUniqueName="[Charging_Center_MCOM].[Level13].[All]" dimensionUniqueName="[Charging_Center_MCOM]" displayFolder="" count="0" memberValueDatatype="130" unbalanced="0"/>
    <cacheHierarchy uniqueName="[Charging_Center_MCOM].[Level13_Code]" caption="Level13_Code" attribute="1" defaultMemberUniqueName="[Charging_Center_MCOM].[Level13_Code].[All]" allUniqueName="[Charging_Center_MCOM].[Level13_Code].[All]" dimensionUniqueName="[Charging_Center_MCOM]" displayFolder="" count="0" memberValueDatatype="130" unbalanced="0"/>
    <cacheHierarchy uniqueName="[Charging_Center_MCOM].[Level13_Desc]" caption="Level13_Desc" attribute="1" defaultMemberUniqueName="[Charging_Center_MCOM].[Level13_Desc].[All]" allUniqueName="[Charging_Center_MCOM].[Level13_Desc].[All]" dimensionUniqueName="[Charging_Center_MCOM]" displayFolder="" count="0" memberValueDatatype="130" unbalanced="0"/>
    <cacheHierarchy uniqueName="[Charging_Center_MCOM].[Level14]" caption="Level14" attribute="1" defaultMemberUniqueName="[Charging_Center_MCOM].[Level14].[All]" allUniqueName="[Charging_Center_MCOM].[Level14].[All]" dimensionUniqueName="[Charging_Center_MCOM]" displayFolder="" count="0" memberValueDatatype="130" unbalanced="0"/>
    <cacheHierarchy uniqueName="[Charging_Center_MCOM].[Level14_Code]" caption="Level14_Code" attribute="1" defaultMemberUniqueName="[Charging_Center_MCOM].[Level14_Code].[All]" allUniqueName="[Charging_Center_MCOM].[Level14_Code].[All]" dimensionUniqueName="[Charging_Center_MCOM]" displayFolder="" count="0" memberValueDatatype="130" unbalanced="0"/>
    <cacheHierarchy uniqueName="[Charging_Center_MCOM].[Level14_Desc]" caption="Level14_Desc" attribute="1" defaultMemberUniqueName="[Charging_Center_MCOM].[Level14_Desc].[All]" allUniqueName="[Charging_Center_MCOM].[Level14_Desc].[All]" dimensionUniqueName="[Charging_Center_MCOM]" displayFolder="" count="0" memberValueDatatype="130" unbalanced="0"/>
    <cacheHierarchy uniqueName="[Charging_Center_MCOM].[Level15]" caption="Level15" attribute="1" defaultMemberUniqueName="[Charging_Center_MCOM].[Level15].[All]" allUniqueName="[Charging_Center_MCOM].[Level15].[All]" dimensionUniqueName="[Charging_Center_MCOM]" displayFolder="" count="0" memberValueDatatype="130" unbalanced="0"/>
    <cacheHierarchy uniqueName="[Charging_Center_MCOM].[Level15_Code]" caption="Level15_Code" attribute="1" defaultMemberUniqueName="[Charging_Center_MCOM].[Level15_Code].[All]" allUniqueName="[Charging_Center_MCOM].[Level15_Code].[All]" dimensionUniqueName="[Charging_Center_MCOM]" displayFolder="" count="0" memberValueDatatype="130" unbalanced="0"/>
    <cacheHierarchy uniqueName="[Charging_Center_MCOM].[Level15_Desc]" caption="Level15_Desc" attribute="1" defaultMemberUniqueName="[Charging_Center_MCOM].[Level15_Desc].[All]" allUniqueName="[Charging_Center_MCOM].[Level15_Desc].[All]" dimensionUniqueName="[Charging_Center_MCOM]" displayFolder="" count="0" memberValueDatatype="130" unbalanced="0"/>
    <cacheHierarchy uniqueName="[Charging_Center_MCOM].[Level16]" caption="Level16" attribute="1" defaultMemberUniqueName="[Charging_Center_MCOM].[Level16].[All]" allUniqueName="[Charging_Center_MCOM].[Level16].[All]" dimensionUniqueName="[Charging_Center_MCOM]" displayFolder="" count="0" memberValueDatatype="130" unbalanced="0"/>
    <cacheHierarchy uniqueName="[Charging_Center_MCOM].[Level16_Code]" caption="Level16_Code" attribute="1" defaultMemberUniqueName="[Charging_Center_MCOM].[Level16_Code].[All]" allUniqueName="[Charging_Center_MCOM].[Level16_Code].[All]" dimensionUniqueName="[Charging_Center_MCOM]" displayFolder="" count="0" memberValueDatatype="130" unbalanced="0"/>
    <cacheHierarchy uniqueName="[Charging_Center_MCOM].[Level16_Desc]" caption="Level16_Desc" attribute="1" defaultMemberUniqueName="[Charging_Center_MCOM].[Level16_Desc].[All]" allUniqueName="[Charging_Center_MCOM].[Level16_Desc].[All]" dimensionUniqueName="[Charging_Center_MCOM]" displayFolder="" count="0" memberValueDatatype="130" unbalanced="0"/>
    <cacheHierarchy uniqueName="[Charging_Center_MCOM].[Level17]" caption="Level17" attribute="1" defaultMemberUniqueName="[Charging_Center_MCOM].[Level17].[All]" allUniqueName="[Charging_Center_MCOM].[Level17].[All]" dimensionUniqueName="[Charging_Center_MCOM]" displayFolder="" count="0" memberValueDatatype="130" unbalanced="0"/>
    <cacheHierarchy uniqueName="[Charging_Center_MCOM].[Level17_Code]" caption="Level17_Code" attribute="1" defaultMemberUniqueName="[Charging_Center_MCOM].[Level17_Code].[All]" allUniqueName="[Charging_Center_MCOM].[Level17_Code].[All]" dimensionUniqueName="[Charging_Center_MCOM]" displayFolder="" count="0" memberValueDatatype="130" unbalanced="0"/>
    <cacheHierarchy uniqueName="[Charging_Center_MCOM].[Level17_Desc]" caption="Level17_Desc" attribute="1" defaultMemberUniqueName="[Charging_Center_MCOM].[Level17_Desc].[All]" allUniqueName="[Charging_Center_MCOM].[Level17_Desc].[All]" dimensionUniqueName="[Charging_Center_MCOM]" displayFolder="" count="0" memberValueDatatype="130" unbalanced="0"/>
    <cacheHierarchy uniqueName="[Charging_Center_MCOM].[Level18]" caption="Level18" attribute="1" defaultMemberUniqueName="[Charging_Center_MCOM].[Level18].[All]" allUniqueName="[Charging_Center_MCOM].[Level18].[All]" dimensionUniqueName="[Charging_Center_MCOM]" displayFolder="" count="0" memberValueDatatype="130" unbalanced="0"/>
    <cacheHierarchy uniqueName="[Charging_Center_MCOM].[Level18_Code]" caption="Level18_Code" attribute="1" defaultMemberUniqueName="[Charging_Center_MCOM].[Level18_Code].[All]" allUniqueName="[Charging_Center_MCOM].[Level18_Code].[All]" dimensionUniqueName="[Charging_Center_MCOM]" displayFolder="" count="0" memberValueDatatype="130" unbalanced="0"/>
    <cacheHierarchy uniqueName="[Charging_Center_MCOM].[Level18_Desc]" caption="Level18_Desc" attribute="1" defaultMemberUniqueName="[Charging_Center_MCOM].[Level18_Desc].[All]" allUniqueName="[Charging_Center_MCOM].[Level18_Desc].[All]" dimensionUniqueName="[Charging_Center_MCOM]" displayFolder="" count="0" memberValueDatatype="130" unbalanced="0"/>
    <cacheHierarchy uniqueName="[Charging_Center_MCOM].[Level19]" caption="Level19" attribute="1" defaultMemberUniqueName="[Charging_Center_MCOM].[Level19].[All]" allUniqueName="[Charging_Center_MCOM].[Level19].[All]" dimensionUniqueName="[Charging_Center_MCOM]" displayFolder="" count="0" memberValueDatatype="130" unbalanced="0"/>
    <cacheHierarchy uniqueName="[Charging_Center_MCOM].[Level19_Code]" caption="Level19_Code" attribute="1" defaultMemberUniqueName="[Charging_Center_MCOM].[Level19_Code].[All]" allUniqueName="[Charging_Center_MCOM].[Level19_Code].[All]" dimensionUniqueName="[Charging_Center_MCOM]" displayFolder="" count="0" memberValueDatatype="130" unbalanced="0"/>
    <cacheHierarchy uniqueName="[Charging_Center_MCOM].[Level19_Desc]" caption="Level19_Desc" attribute="1" defaultMemberUniqueName="[Charging_Center_MCOM].[Level19_Desc].[All]" allUniqueName="[Charging_Center_MCOM].[Level19_Desc].[All]" dimensionUniqueName="[Charging_Center_MCOM]" displayFolder="" count="0" memberValueDatatype="130" unbalanced="0"/>
    <cacheHierarchy uniqueName="[Charging_Center_MCOM].[Level20]" caption="Level20" attribute="1" defaultMemberUniqueName="[Charging_Center_MCOM].[Level20].[All]" allUniqueName="[Charging_Center_MCOM].[Level20].[All]" dimensionUniqueName="[Charging_Center_MCOM]" displayFolder="" count="0" memberValueDatatype="130" unbalanced="0"/>
    <cacheHierarchy uniqueName="[Charging_Center_MCOM].[Level20_Code]" caption="Level20_Code" attribute="1" defaultMemberUniqueName="[Charging_Center_MCOM].[Level20_Code].[All]" allUniqueName="[Charging_Center_MCOM].[Level20_Code].[All]" dimensionUniqueName="[Charging_Center_MCOM]" displayFolder="" count="0" memberValueDatatype="130" unbalanced="0"/>
    <cacheHierarchy uniqueName="[Charging_Center_MCOM].[Level20_Desc]" caption="Level20_Desc" attribute="1" defaultMemberUniqueName="[Charging_Center_MCOM].[Level20_Desc].[All]" allUniqueName="[Charging_Center_MCOM].[Level20_Desc].[All]" dimensionUniqueName="[Charging_Center_MCOM]" displayFolder="" count="0" memberValueDatatype="130" unbalanced="0"/>
    <cacheHierarchy uniqueName="[Client_ID].[Client_Code]" caption="Client_Code" attribute="1" defaultMemberUniqueName="[Client_ID].[Client_Code].[All]" allUniqueName="[Client_ID].[Client_Code].[All]" dimensionUniqueName="[Client_ID]" displayFolder="" count="0" memberValueDatatype="130" unbalanced="0"/>
    <cacheHierarchy uniqueName="[Client_ID].[Client_Code_Desc]" caption="Client_Code_Desc" attribute="1" defaultMemberUniqueName="[Client_ID].[Client_Code_Desc].[All]" allUniqueName="[Client_ID].[Client_Code_Desc].[All]" dimensionUniqueName="[Client_ID]" displayFolder="" count="0" memberValueDatatype="130" unbalanced="0"/>
    <cacheHierarchy uniqueName="[Client_ID].[Client_Desc]" caption="Client_Desc" attribute="1" defaultMemberUniqueName="[Client_ID].[Client_Desc].[All]" allUniqueName="[Client_ID].[Client_Desc].[All]" dimensionUniqueName="[Client_ID]" displayFolder="" count="0" memberValueDatatype="130" unbalanced="0"/>
    <cacheHierarchy uniqueName="[Covered_Equipment].[GFS_COVERED_EQUIPMENT_CODE]" caption="GFS_COVERED_EQUIPMENT_CODE" attribute="1" defaultMemberUniqueName="[Covered_Equipment].[GFS_COVERED_EQUIPMENT_CODE].[All]" allUniqueName="[Covered_Equipment].[GFS_COVERED_EQUIPMENT_CODE].[All]" dimensionUniqueName="[Covered_Equipment]" displayFolder="" count="0" memberValueDatatype="130" unbalanced="0"/>
    <cacheHierarchy uniqueName="[Covered_Equipment].[GFS_COVERED_EQUIPMENT_CODE_DESC]" caption="GFS_COVERED_EQUIPMENT_CODE_DESC" attribute="1" defaultMemberUniqueName="[Covered_Equipment].[GFS_COVERED_EQUIPMENT_CODE_DESC].[All]" allUniqueName="[Covered_Equipment].[GFS_COVERED_EQUIPMENT_CODE_DESC].[All]" dimensionUniqueName="[Covered_Equipment]" displayFolder="" count="0" memberValueDatatype="130" unbalanced="0"/>
    <cacheHierarchy uniqueName="[Covered_Equipment].[GFS_COVERED_EQUIPMENT_DESC]" caption="GFS_COVERED_EQUIPMENT_DESC" attribute="1" defaultMemberUniqueName="[Covered_Equipment].[GFS_COVERED_EQUIPMENT_DESC].[All]" allUniqueName="[Covered_Equipment].[GFS_COVERED_EQUIPMENT_DESC].[All]" dimensionUniqueName="[Covered_Equipment]" displayFolder="" count="0" memberValueDatatype="130" unbalanced="0"/>
    <cacheHierarchy uniqueName="[Currency_Selector].[Currency Selection]" caption="Currency Selection" attribute="1" defaultMemberUniqueName="[Currency_Selector].[Currency Selection].[All]" allUniqueName="[Currency_Selector].[Currency Selection].[All]" dimensionUniqueName="[Currency_Selector]" displayFolder="" count="0" memberValueDatatype="130" unbalanced="0"/>
    <cacheHierarchy uniqueName="[Dataset_Information].[Dataset Last Refreshed]" caption="Dataset Last Refreshed" attribute="1" defaultMemberUniqueName="[Dataset_Information].[Dataset Last Refreshed].[All]" allUniqueName="[Dataset_Information].[Dataset Last Refreshed].[All]" dimensionUniqueName="[Dataset_Information]" displayFolder="" count="2" memberValueDatatype="130" unbalanced="0">
      <fieldsUsage count="2">
        <fieldUsage x="-1"/>
        <fieldUsage x="30"/>
      </fieldsUsage>
    </cacheHierarchy>
    <cacheHierarchy uniqueName="[Dataset_Information].[Dataset Name]" caption="Dataset Name" attribute="1" defaultMemberUniqueName="[Dataset_Information].[Dataset Name].[All]" allUniqueName="[Dataset_Information].[Dataset Name].[All]" dimensionUniqueName="[Dataset_Information]" displayFolder="" count="0" memberValueDatatype="130" unbalanced="0"/>
    <cacheHierarchy uniqueName="[Dataset_Information].[GFSDM Last Updated]" caption="GFSDM Last Updated" attribute="1" time="1" defaultMemberUniqueName="[Dataset_Information].[GFSDM Last Updated].[All]" allUniqueName="[Dataset_Information].[GFSDM Last Updated].[All]" dimensionUniqueName="[Dataset_Information]" displayFolder="" count="2" memberValueDatatype="7" unbalanced="0">
      <fieldsUsage count="2">
        <fieldUsage x="-1"/>
        <fieldUsage x="29"/>
      </fieldsUsage>
    </cacheHierarchy>
    <cacheHierarchy uniqueName="[Dealer_State].[Dealer Location Code]" caption="Dealer Location Code" defaultMemberUniqueName="[Dealer_State].[Dealer Location Code].[All]" allUniqueName="[Dealer_State].[Dealer Location Code].[All]" dimensionUniqueName="[Dealer_State]" displayFolder="" count="0" unbalanced="0"/>
    <cacheHierarchy uniqueName="[Dealer_State].[Dealer Location Code Desc]" caption="Dealer Location Code Desc" defaultMemberUniqueName="[Dealer_State].[Dealer Location Code Desc].[All]" allUniqueName="[Dealer_State].[Dealer Location Code Desc].[All]" dimensionUniqueName="[Dealer_State]" displayFolder="" count="0" unbalanced="0"/>
    <cacheHierarchy uniqueName="[Dealer_State].[Dealer Location Desc]" caption="Dealer Location Desc" defaultMemberUniqueName="[Dealer_State].[Dealer Location Desc].[All]" allUniqueName="[Dealer_State].[Dealer Location Desc].[All]" dimensionUniqueName="[Dealer_State]" displayFolder="" count="0" unbalanced="0"/>
    <cacheHierarchy uniqueName="[Dealer_State].[Dealer_Location_Code]" caption="Dealer_Location_Code" attribute="1" defaultMemberUniqueName="[Dealer_State].[Dealer_Location_Code].[All]" allUniqueName="[Dealer_State].[Dealer_Location_Code].[All]" dimensionUniqueName="[Dealer_State]" displayFolder="" count="0" memberValueDatatype="130" unbalanced="0"/>
    <cacheHierarchy uniqueName="[Dealer_State].[Dealer_Location_Code_Desc]" caption="Dealer_Location_Code_Desc" attribute="1" defaultMemberUniqueName="[Dealer_State].[Dealer_Location_Code_Desc].[All]" allUniqueName="[Dealer_State].[Dealer_Location_Code_Desc].[All]" dimensionUniqueName="[Dealer_State]" displayFolder="" count="0" memberValueDatatype="130" unbalanced="0"/>
    <cacheHierarchy uniqueName="[Dealer_State].[Dealer_Location_Desc]" caption="Dealer_Location_Desc" attribute="1" defaultMemberUniqueName="[Dealer_State].[Dealer_Location_Desc].[All]" allUniqueName="[Dealer_State].[Dealer_Location_Desc].[All]" dimensionUniqueName="[Dealer_State]" displayFolder="" count="0" memberValueDatatype="130" unbalanced="0"/>
    <cacheHierarchy uniqueName="[Dealer_State].[Hier_Dealer Location Code]" caption="Hier_Dealer Location Code" defaultMemberUniqueName="[Dealer_State].[Hier_Dealer Location Code].[All]" allUniqueName="[Dealer_State].[Hier_Dealer Location Code].[All]" dimensionUniqueName="[Dealer_State]" displayFolder="" count="0" unbalanced="0"/>
    <cacheHierarchy uniqueName="[Dealer_State].[Hier_Dealer Location Code Desc]" caption="Hier_Dealer Location Code Desc" defaultMemberUniqueName="[Dealer_State].[Hier_Dealer Location Code Desc].[All]" allUniqueName="[Dealer_State].[Hier_Dealer Location Code Desc].[All]" dimensionUniqueName="[Dealer_State]" displayFolder="" count="0" unbalanced="0"/>
    <cacheHierarchy uniqueName="[Dealer_State].[Hier_Dealer Location Desc]" caption="Hier_Dealer Location Desc" defaultMemberUniqueName="[Dealer_State].[Hier_Dealer Location Desc].[All]" allUniqueName="[Dealer_State].[Hier_Dealer Location Desc].[All]" dimensionUniqueName="[Dealer_State]" displayFolder="" count="0" unbalanced="0"/>
    <cacheHierarchy uniqueName="[Dealer_State].[Hier_Name]" caption="Hier_Name" attribute="1" defaultMemberUniqueName="[Dealer_State].[Hier_Name].[All]" allUniqueName="[Dealer_State].[Hier_Name].[All]" dimensionUniqueName="[Dealer_State]" displayFolder="" count="0" memberValueDatatype="130" unbalanced="0"/>
    <cacheHierarchy uniqueName="[Dealer_State].[Level01]" caption="Level01" attribute="1" defaultMemberUniqueName="[Dealer_State].[Level01].[All]" allUniqueName="[Dealer_State].[Level01].[All]" dimensionUniqueName="[Dealer_State]" displayFolder="" count="0" memberValueDatatype="130" unbalanced="0"/>
    <cacheHierarchy uniqueName="[Dealer_State].[Level01_Code]" caption="Level01_Code" attribute="1" defaultMemberUniqueName="[Dealer_State].[Level01_Code].[All]" allUniqueName="[Dealer_State].[Level01_Code].[All]" dimensionUniqueName="[Dealer_State]" displayFolder="" count="0" memberValueDatatype="130" unbalanced="0"/>
    <cacheHierarchy uniqueName="[Dealer_State].[Level01_Desc]" caption="Level01_Desc" attribute="1" defaultMemberUniqueName="[Dealer_State].[Level01_Desc].[All]" allUniqueName="[Dealer_State].[Level01_Desc].[All]" dimensionUniqueName="[Dealer_State]" displayFolder="" count="0" memberValueDatatype="130" unbalanced="0"/>
    <cacheHierarchy uniqueName="[Dealer_State].[Level02]" caption="Level02" attribute="1" defaultMemberUniqueName="[Dealer_State].[Level02].[All]" allUniqueName="[Dealer_State].[Level02].[All]" dimensionUniqueName="[Dealer_State]" displayFolder="" count="0" memberValueDatatype="130" unbalanced="0"/>
    <cacheHierarchy uniqueName="[Dealer_State].[Level02_Code]" caption="Level02_Code" attribute="1" defaultMemberUniqueName="[Dealer_State].[Level02_Code].[All]" allUniqueName="[Dealer_State].[Level02_Code].[All]" dimensionUniqueName="[Dealer_State]" displayFolder="" count="0" memberValueDatatype="130" unbalanced="0"/>
    <cacheHierarchy uniqueName="[Dealer_State].[Level02_Desc]" caption="Level02_Desc" attribute="1" defaultMemberUniqueName="[Dealer_State].[Level02_Desc].[All]" allUniqueName="[Dealer_State].[Level02_Desc].[All]" dimensionUniqueName="[Dealer_State]" displayFolder="" count="0" memberValueDatatype="130" unbalanced="0"/>
    <cacheHierarchy uniqueName="[Dealer_State].[Level03]" caption="Level03" attribute="1" defaultMemberUniqueName="[Dealer_State].[Level03].[All]" allUniqueName="[Dealer_State].[Level03].[All]" dimensionUniqueName="[Dealer_State]" displayFolder="" count="0" memberValueDatatype="130" unbalanced="0"/>
    <cacheHierarchy uniqueName="[Dealer_State].[Level03_Code]" caption="Level03_Code" attribute="1" defaultMemberUniqueName="[Dealer_State].[Level03_Code].[All]" allUniqueName="[Dealer_State].[Level03_Code].[All]" dimensionUniqueName="[Dealer_State]" displayFolder="" count="0" memberValueDatatype="130" unbalanced="0"/>
    <cacheHierarchy uniqueName="[Dealer_State].[Level03_Desc]" caption="Level03_Desc" attribute="1" defaultMemberUniqueName="[Dealer_State].[Level03_Desc].[All]" allUniqueName="[Dealer_State].[Level03_Desc].[All]" dimensionUniqueName="[Dealer_State]" displayFolder="" count="0" memberValueDatatype="130" unbalanced="0"/>
    <cacheHierarchy uniqueName="[Dealer_State].[Level04]" caption="Level04" attribute="1" defaultMemberUniqueName="[Dealer_State].[Level04].[All]" allUniqueName="[Dealer_State].[Level04].[All]" dimensionUniqueName="[Dealer_State]" displayFolder="" count="0" memberValueDatatype="130" unbalanced="0"/>
    <cacheHierarchy uniqueName="[Dealer_State].[Level04_Code]" caption="Level04_Code" attribute="1" defaultMemberUniqueName="[Dealer_State].[Level04_Code].[All]" allUniqueName="[Dealer_State].[Level04_Code].[All]" dimensionUniqueName="[Dealer_State]" displayFolder="" count="0" memberValueDatatype="130" unbalanced="0"/>
    <cacheHierarchy uniqueName="[Dealer_State].[Level04_Desc]" caption="Level04_Desc" attribute="1" defaultMemberUniqueName="[Dealer_State].[Level04_Desc].[All]" allUniqueName="[Dealer_State].[Level04_Desc].[All]" dimensionUniqueName="[Dealer_State]" displayFolder="" count="0" memberValueDatatype="130" unbalanced="0"/>
    <cacheHierarchy uniqueName="[Dealer_State].[Level05]" caption="Level05" attribute="1" defaultMemberUniqueName="[Dealer_State].[Level05].[All]" allUniqueName="[Dealer_State].[Level05].[All]" dimensionUniqueName="[Dealer_State]" displayFolder="" count="0" memberValueDatatype="130" unbalanced="0"/>
    <cacheHierarchy uniqueName="[Dealer_State].[Level05_Code]" caption="Level05_Code" attribute="1" defaultMemberUniqueName="[Dealer_State].[Level05_Code].[All]" allUniqueName="[Dealer_State].[Level05_Code].[All]" dimensionUniqueName="[Dealer_State]" displayFolder="" count="0" memberValueDatatype="130" unbalanced="0"/>
    <cacheHierarchy uniqueName="[Dealer_State].[Level05_Desc]" caption="Level05_Desc" attribute="1" defaultMemberUniqueName="[Dealer_State].[Level05_Desc].[All]" allUniqueName="[Dealer_State].[Level05_Desc].[All]" dimensionUniqueName="[Dealer_State]" displayFolder="" count="0" memberValueDatatype="130" unbalanced="0"/>
    <cacheHierarchy uniqueName="[Dealer_State].[Level06]" caption="Level06" attribute="1" defaultMemberUniqueName="[Dealer_State].[Level06].[All]" allUniqueName="[Dealer_State].[Level06].[All]" dimensionUniqueName="[Dealer_State]" displayFolder="" count="0" memberValueDatatype="130" unbalanced="0"/>
    <cacheHierarchy uniqueName="[Dealer_State].[Level06_Code]" caption="Level06_Code" attribute="1" defaultMemberUniqueName="[Dealer_State].[Level06_Code].[All]" allUniqueName="[Dealer_State].[Level06_Code].[All]" dimensionUniqueName="[Dealer_State]" displayFolder="" count="0" memberValueDatatype="130" unbalanced="0"/>
    <cacheHierarchy uniqueName="[Dealer_State].[Level06_Desc]" caption="Level06_Desc" attribute="1" defaultMemberUniqueName="[Dealer_State].[Level06_Desc].[All]" allUniqueName="[Dealer_State].[Level06_Desc].[All]" dimensionUniqueName="[Dealer_State]" displayFolder="" count="0" memberValueDatatype="130" unbalanced="0"/>
    <cacheHierarchy uniqueName="[Dealer_State].[Level07]" caption="Level07" attribute="1" defaultMemberUniqueName="[Dealer_State].[Level07].[All]" allUniqueName="[Dealer_State].[Level07].[All]" dimensionUniqueName="[Dealer_State]" displayFolder="" count="0" memberValueDatatype="130" unbalanced="0"/>
    <cacheHierarchy uniqueName="[Dealer_State].[Level07_Code]" caption="Level07_Code" attribute="1" defaultMemberUniqueName="[Dealer_State].[Level07_Code].[All]" allUniqueName="[Dealer_State].[Level07_Code].[All]" dimensionUniqueName="[Dealer_State]" displayFolder="" count="0" memberValueDatatype="130" unbalanced="0"/>
    <cacheHierarchy uniqueName="[Dealer_State].[Level07_Desc]" caption="Level07_Desc" attribute="1" defaultMemberUniqueName="[Dealer_State].[Level07_Desc].[All]" allUniqueName="[Dealer_State].[Level07_Desc].[All]" dimensionUniqueName="[Dealer_State]" displayFolder="" count="0" memberValueDatatype="130" unbalanced="0"/>
    <cacheHierarchy uniqueName="[Dealer_State].[Level08]" caption="Level08" attribute="1" defaultMemberUniqueName="[Dealer_State].[Level08].[All]" allUniqueName="[Dealer_State].[Level08].[All]" dimensionUniqueName="[Dealer_State]" displayFolder="" count="0" memberValueDatatype="130" unbalanced="0"/>
    <cacheHierarchy uniqueName="[Dealer_State].[Level08_Code]" caption="Level08_Code" attribute="1" defaultMemberUniqueName="[Dealer_State].[Level08_Code].[All]" allUniqueName="[Dealer_State].[Level08_Code].[All]" dimensionUniqueName="[Dealer_State]" displayFolder="" count="0" memberValueDatatype="130" unbalanced="0"/>
    <cacheHierarchy uniqueName="[Dealer_State].[Level08_Desc]" caption="Level08_Desc" attribute="1" defaultMemberUniqueName="[Dealer_State].[Level08_Desc].[All]" allUniqueName="[Dealer_State].[Level08_Desc].[All]" dimensionUniqueName="[Dealer_State]" displayFolder="" count="0" memberValueDatatype="130" unbalanced="0"/>
    <cacheHierarchy uniqueName="[Dealer_State].[Level09]" caption="Level09" attribute="1" defaultMemberUniqueName="[Dealer_State].[Level09].[All]" allUniqueName="[Dealer_State].[Level09].[All]" dimensionUniqueName="[Dealer_State]" displayFolder="" count="0" memberValueDatatype="130" unbalanced="0"/>
    <cacheHierarchy uniqueName="[Dealer_State].[Level09_Code]" caption="Level09_Code" attribute="1" defaultMemberUniqueName="[Dealer_State].[Level09_Code].[All]" allUniqueName="[Dealer_State].[Level09_Code].[All]" dimensionUniqueName="[Dealer_State]" displayFolder="" count="0" memberValueDatatype="130" unbalanced="0"/>
    <cacheHierarchy uniqueName="[Dealer_State].[Level09_Desc]" caption="Level09_Desc" attribute="1" defaultMemberUniqueName="[Dealer_State].[Level09_Desc].[All]" allUniqueName="[Dealer_State].[Level09_Desc].[All]" dimensionUniqueName="[Dealer_State]" displayFolder="" count="0" memberValueDatatype="130" unbalanced="0"/>
    <cacheHierarchy uniqueName="[Dealer_State].[Level10]" caption="Level10" attribute="1" defaultMemberUniqueName="[Dealer_State].[Level10].[All]" allUniqueName="[Dealer_State].[Level10].[All]" dimensionUniqueName="[Dealer_State]" displayFolder="" count="0" memberValueDatatype="130" unbalanced="0"/>
    <cacheHierarchy uniqueName="[Dealer_State].[Level10_Code]" caption="Level10_Code" attribute="1" defaultMemberUniqueName="[Dealer_State].[Level10_Code].[All]" allUniqueName="[Dealer_State].[Level10_Code].[All]" dimensionUniqueName="[Dealer_State]" displayFolder="" count="0" memberValueDatatype="130" unbalanced="0"/>
    <cacheHierarchy uniqueName="[Dealer_State].[Level10_Desc]" caption="Level10_Desc" attribute="1" defaultMemberUniqueName="[Dealer_State].[Level10_Desc].[All]" allUniqueName="[Dealer_State].[Level10_Desc].[All]" dimensionUniqueName="[Dealer_State]" displayFolder="" count="0" memberValueDatatype="130" unbalanced="0"/>
    <cacheHierarchy uniqueName="[Dealer_State].[Level11]" caption="Level11" attribute="1" defaultMemberUniqueName="[Dealer_State].[Level11].[All]" allUniqueName="[Dealer_State].[Level11].[All]" dimensionUniqueName="[Dealer_State]" displayFolder="" count="0" memberValueDatatype="130" unbalanced="0"/>
    <cacheHierarchy uniqueName="[Dealer_State].[Level11_Code]" caption="Level11_Code" attribute="1" defaultMemberUniqueName="[Dealer_State].[Level11_Code].[All]" allUniqueName="[Dealer_State].[Level11_Code].[All]" dimensionUniqueName="[Dealer_State]" displayFolder="" count="0" memberValueDatatype="130" unbalanced="0"/>
    <cacheHierarchy uniqueName="[Dealer_State].[Level11_Desc]" caption="Level11_Desc" attribute="1" defaultMemberUniqueName="[Dealer_State].[Level11_Desc].[All]" allUniqueName="[Dealer_State].[Level11_Desc].[All]" dimensionUniqueName="[Dealer_State]" displayFolder="" count="0" memberValueDatatype="130" unbalanced="0"/>
    <cacheHierarchy uniqueName="[Dealer_State].[Level12]" caption="Level12" attribute="1" defaultMemberUniqueName="[Dealer_State].[Level12].[All]" allUniqueName="[Dealer_State].[Level12].[All]" dimensionUniqueName="[Dealer_State]" displayFolder="" count="0" memberValueDatatype="130" unbalanced="0"/>
    <cacheHierarchy uniqueName="[Dealer_State].[Level12_Code]" caption="Level12_Code" attribute="1" defaultMemberUniqueName="[Dealer_State].[Level12_Code].[All]" allUniqueName="[Dealer_State].[Level12_Code].[All]" dimensionUniqueName="[Dealer_State]" displayFolder="" count="0" memberValueDatatype="130" unbalanced="0"/>
    <cacheHierarchy uniqueName="[Dealer_State].[Level12_Desc]" caption="Level12_Desc" attribute="1" defaultMemberUniqueName="[Dealer_State].[Level12_Desc].[All]" allUniqueName="[Dealer_State].[Level12_Desc].[All]" dimensionUniqueName="[Dealer_State]" displayFolder="" count="0" memberValueDatatype="130" unbalanced="0"/>
    <cacheHierarchy uniqueName="[Dealer_State].[Level13]" caption="Level13" attribute="1" defaultMemberUniqueName="[Dealer_State].[Level13].[All]" allUniqueName="[Dealer_State].[Level13].[All]" dimensionUniqueName="[Dealer_State]" displayFolder="" count="0" memberValueDatatype="130" unbalanced="0"/>
    <cacheHierarchy uniqueName="[Dealer_State].[Level13_Code]" caption="Level13_Code" attribute="1" defaultMemberUniqueName="[Dealer_State].[Level13_Code].[All]" allUniqueName="[Dealer_State].[Level13_Code].[All]" dimensionUniqueName="[Dealer_State]" displayFolder="" count="0" memberValueDatatype="130" unbalanced="0"/>
    <cacheHierarchy uniqueName="[Dealer_State].[Level13_Desc]" caption="Level13_Desc" attribute="1" defaultMemberUniqueName="[Dealer_State].[Level13_Desc].[All]" allUniqueName="[Dealer_State].[Level13_Desc].[All]" dimensionUniqueName="[Dealer_State]" displayFolder="" count="0" memberValueDatatype="130" unbalanced="0"/>
    <cacheHierarchy uniqueName="[Dealer_State].[Level14]" caption="Level14" attribute="1" defaultMemberUniqueName="[Dealer_State].[Level14].[All]" allUniqueName="[Dealer_State].[Level14].[All]" dimensionUniqueName="[Dealer_State]" displayFolder="" count="0" memberValueDatatype="130" unbalanced="0"/>
    <cacheHierarchy uniqueName="[Dealer_State].[Level14_Code]" caption="Level14_Code" attribute="1" defaultMemberUniqueName="[Dealer_State].[Level14_Code].[All]" allUniqueName="[Dealer_State].[Level14_Code].[All]" dimensionUniqueName="[Dealer_State]" displayFolder="" count="0" memberValueDatatype="130" unbalanced="0"/>
    <cacheHierarchy uniqueName="[Dealer_State].[Level14_Desc]" caption="Level14_Desc" attribute="1" defaultMemberUniqueName="[Dealer_State].[Level14_Desc].[All]" allUniqueName="[Dealer_State].[Level14_Desc].[All]" dimensionUniqueName="[Dealer_State]" displayFolder="" count="0" memberValueDatatype="130" unbalanced="0"/>
    <cacheHierarchy uniqueName="[Dealer_State].[Level15]" caption="Level15" attribute="1" defaultMemberUniqueName="[Dealer_State].[Level15].[All]" allUniqueName="[Dealer_State].[Level15].[All]" dimensionUniqueName="[Dealer_State]" displayFolder="" count="0" memberValueDatatype="130" unbalanced="0"/>
    <cacheHierarchy uniqueName="[Dealer_State].[Level15_Code]" caption="Level15_Code" attribute="1" defaultMemberUniqueName="[Dealer_State].[Level15_Code].[All]" allUniqueName="[Dealer_State].[Level15_Code].[All]" dimensionUniqueName="[Dealer_State]" displayFolder="" count="0" memberValueDatatype="130" unbalanced="0"/>
    <cacheHierarchy uniqueName="[Dealer_State].[Level15_Desc]" caption="Level15_Desc" attribute="1" defaultMemberUniqueName="[Dealer_State].[Level15_Desc].[All]" allUniqueName="[Dealer_State].[Level15_Desc].[All]" dimensionUniqueName="[Dealer_State]" displayFolder="" count="0" memberValueDatatype="130" unbalanced="0"/>
    <cacheHierarchy uniqueName="[Dealer_State].[Level16]" caption="Level16" attribute="1" defaultMemberUniqueName="[Dealer_State].[Level16].[All]" allUniqueName="[Dealer_State].[Level16].[All]" dimensionUniqueName="[Dealer_State]" displayFolder="" count="0" memberValueDatatype="130" unbalanced="0"/>
    <cacheHierarchy uniqueName="[Dealer_State].[Level16_Code]" caption="Level16_Code" attribute="1" defaultMemberUniqueName="[Dealer_State].[Level16_Code].[All]" allUniqueName="[Dealer_State].[Level16_Code].[All]" dimensionUniqueName="[Dealer_State]" displayFolder="" count="0" memberValueDatatype="130" unbalanced="0"/>
    <cacheHierarchy uniqueName="[Dealer_State].[Level16_Desc]" caption="Level16_Desc" attribute="1" defaultMemberUniqueName="[Dealer_State].[Level16_Desc].[All]" allUniqueName="[Dealer_State].[Level16_Desc].[All]" dimensionUniqueName="[Dealer_State]" displayFolder="" count="0" memberValueDatatype="130" unbalanced="0"/>
    <cacheHierarchy uniqueName="[Dealer_State].[Level17]" caption="Level17" attribute="1" defaultMemberUniqueName="[Dealer_State].[Level17].[All]" allUniqueName="[Dealer_State].[Level17].[All]" dimensionUniqueName="[Dealer_State]" displayFolder="" count="0" memberValueDatatype="130" unbalanced="0"/>
    <cacheHierarchy uniqueName="[Dealer_State].[Level17_Code]" caption="Level17_Code" attribute="1" defaultMemberUniqueName="[Dealer_State].[Level17_Code].[All]" allUniqueName="[Dealer_State].[Level17_Code].[All]" dimensionUniqueName="[Dealer_State]" displayFolder="" count="0" memberValueDatatype="130" unbalanced="0"/>
    <cacheHierarchy uniqueName="[Dealer_State].[Level17_Desc]" caption="Level17_Desc" attribute="1" defaultMemberUniqueName="[Dealer_State].[Level17_Desc].[All]" allUniqueName="[Dealer_State].[Level17_Desc].[All]" dimensionUniqueName="[Dealer_State]" displayFolder="" count="0" memberValueDatatype="130" unbalanced="0"/>
    <cacheHierarchy uniqueName="[Dealer_State].[Level18]" caption="Level18" attribute="1" defaultMemberUniqueName="[Dealer_State].[Level18].[All]" allUniqueName="[Dealer_State].[Level18].[All]" dimensionUniqueName="[Dealer_State]" displayFolder="" count="0" memberValueDatatype="130" unbalanced="0"/>
    <cacheHierarchy uniqueName="[Dealer_State].[Level18_Code]" caption="Level18_Code" attribute="1" defaultMemberUniqueName="[Dealer_State].[Level18_Code].[All]" allUniqueName="[Dealer_State].[Level18_Code].[All]" dimensionUniqueName="[Dealer_State]" displayFolder="" count="0" memberValueDatatype="130" unbalanced="0"/>
    <cacheHierarchy uniqueName="[Dealer_State].[Level18_Desc]" caption="Level18_Desc" attribute="1" defaultMemberUniqueName="[Dealer_State].[Level18_Desc].[All]" allUniqueName="[Dealer_State].[Level18_Desc].[All]" dimensionUniqueName="[Dealer_State]" displayFolder="" count="0" memberValueDatatype="130" unbalanced="0"/>
    <cacheHierarchy uniqueName="[Dealer_State].[Level19]" caption="Level19" attribute="1" defaultMemberUniqueName="[Dealer_State].[Level19].[All]" allUniqueName="[Dealer_State].[Level19].[All]" dimensionUniqueName="[Dealer_State]" displayFolder="" count="0" memberValueDatatype="130" unbalanced="0"/>
    <cacheHierarchy uniqueName="[Dealer_State].[Level19_Code]" caption="Level19_Code" attribute="1" defaultMemberUniqueName="[Dealer_State].[Level19_Code].[All]" allUniqueName="[Dealer_State].[Level19_Code].[All]" dimensionUniqueName="[Dealer_State]" displayFolder="" count="0" memberValueDatatype="130" unbalanced="0"/>
    <cacheHierarchy uniqueName="[Dealer_State].[Level19_Desc]" caption="Level19_Desc" attribute="1" defaultMemberUniqueName="[Dealer_State].[Level19_Desc].[All]" allUniqueName="[Dealer_State].[Level19_Desc].[All]" dimensionUniqueName="[Dealer_State]" displayFolder="" count="0" memberValueDatatype="130" unbalanced="0"/>
    <cacheHierarchy uniqueName="[Dealer_State].[Level20]" caption="Level20" attribute="1" defaultMemberUniqueName="[Dealer_State].[Level20].[All]" allUniqueName="[Dealer_State].[Level20].[All]" dimensionUniqueName="[Dealer_State]" displayFolder="" count="0" memberValueDatatype="130" unbalanced="0"/>
    <cacheHierarchy uniqueName="[Dealer_State].[Level20_Code]" caption="Level20_Code" attribute="1" defaultMemberUniqueName="[Dealer_State].[Level20_Code].[All]" allUniqueName="[Dealer_State].[Level20_Code].[All]" dimensionUniqueName="[Dealer_State]" displayFolder="" count="0" memberValueDatatype="130" unbalanced="0"/>
    <cacheHierarchy uniqueName="[Dealer_State].[Level20_Desc]" caption="Level20_Desc" attribute="1" defaultMemberUniqueName="[Dealer_State].[Level20_Desc].[All]" allUniqueName="[Dealer_State].[Level20_Desc].[All]" dimensionUniqueName="[Dealer_State]" displayFolder="" count="0" memberValueDatatype="130" unbalanced="0"/>
    <cacheHierarchy uniqueName="[Entity_GAAP].[Elimination_Entity]" caption="Elimination_Entity" attribute="1" defaultMemberUniqueName="[Entity_GAAP].[Elimination_Entity].[All]" allUniqueName="[Entity_GAAP].[Elimination_Entity].[All]" dimensionUniqueName="[Entity_GAAP]" displayFolder="" count="0" memberValueDatatype="130" unbalanced="0"/>
    <cacheHierarchy uniqueName="[Entity_GAAP].[Entity_Code]" caption="Entity_Code" attribute="1" defaultMemberUniqueName="[Entity_GAAP].[Entity_Code].[All]" allUniqueName="[Entity_GAAP].[Entity_Code].[All]" dimensionUniqueName="[Entity_GAAP]" displayFolder="" count="0" memberValueDatatype="130" unbalanced="0"/>
    <cacheHierarchy uniqueName="[Entity_GAAP].[Entity_Code_Desc]" caption="Entity_Code_Desc" attribute="1" defaultMemberUniqueName="[Entity_GAAP].[Entity_Code_Desc].[All]" allUniqueName="[Entity_GAAP].[Entity_Code_Desc].[All]" dimensionUniqueName="[Entity_GAAP]" displayFolder="" count="0" memberValueDatatype="130" unbalanced="0"/>
    <cacheHierarchy uniqueName="[Entity_GAAP].[Entity_Desc]" caption="Entity_Desc" attribute="1" defaultMemberUniqueName="[Entity_GAAP].[Entity_Desc].[All]" allUniqueName="[Entity_GAAP].[Entity_Desc].[All]" dimensionUniqueName="[Entity_GAAP]" displayFolder="" count="0" memberValueDatatype="130" unbalanced="0"/>
    <cacheHierarchy uniqueName="[Entity_GAAP].[Entity_Hier_Name]" caption="Entity_Hier_Name" attribute="1" defaultMemberUniqueName="[Entity_GAAP].[Entity_Hier_Name].[All]" allUniqueName="[Entity_GAAP].[Entity_Hier_Name].[All]" dimensionUniqueName="[Entity_GAAP]" displayFolder="" count="0" memberValueDatatype="130" unbalanced="0"/>
    <cacheHierarchy uniqueName="[Entity_GAAP].[Exclude_from_ERP]" caption="Exclude_from_ERP" attribute="1" defaultMemberUniqueName="[Entity_GAAP].[Exclude_from_ERP].[All]" allUniqueName="[Entity_GAAP].[Exclude_from_ERP].[All]" dimensionUniqueName="[Entity_GAAP]" displayFolder="" count="0" memberValueDatatype="130" unbalanced="0"/>
    <cacheHierarchy uniqueName="[Entity_GAAP].[GAAP Entity Code]" caption="GAAP Entity Code" defaultMemberUniqueName="[Entity_GAAP].[GAAP Entity Code].[All]" allUniqueName="[Entity_GAAP].[GAAP Entity Code].[All]" dimensionUniqueName="[Entity_GAAP]" displayFolder="" count="0" unbalanced="0"/>
    <cacheHierarchy uniqueName="[Entity_GAAP].[GAAP Entity Code Desc]" caption="GAAP Entity Code Desc" defaultMemberUniqueName="[Entity_GAAP].[GAAP Entity Code Desc].[All]" allUniqueName="[Entity_GAAP].[GAAP Entity Code Desc].[All]" dimensionUniqueName="[Entity_GAAP]" displayFolder="" count="2" unbalanced="0">
      <fieldsUsage count="2">
        <fieldUsage x="-1"/>
        <fieldUsage x="27"/>
      </fieldsUsage>
    </cacheHierarchy>
    <cacheHierarchy uniqueName="[Entity_GAAP].[GAAP Entity Desc]" caption="GAAP Entity Desc" defaultMemberUniqueName="[Entity_GAAP].[GAAP Entity Desc].[All]" allUniqueName="[Entity_GAAP].[GAAP Entity Desc].[All]" dimensionUniqueName="[Entity_GAAP]" displayFolder="" count="0" unbalanced="0"/>
    <cacheHierarchy uniqueName="[Entity_GAAP].[Hier_GAAP Entity Code]" caption="Hier_GAAP Entity Code" defaultMemberUniqueName="[Entity_GAAP].[Hier_GAAP Entity Code].[All]" allUniqueName="[Entity_GAAP].[Hier_GAAP Entity Code].[All]" dimensionUniqueName="[Entity_GAAP]" displayFolder="" count="0" unbalanced="0"/>
    <cacheHierarchy uniqueName="[Entity_GAAP].[Hier_GAAP Entity Code Desc]" caption="Hier_GAAP Entity Code Desc" defaultMemberUniqueName="[Entity_GAAP].[Hier_GAAP Entity Code Desc].[All]" allUniqueName="[Entity_GAAP].[Hier_GAAP Entity Code Desc].[All]" dimensionUniqueName="[Entity_GAAP]" displayFolder="" count="0" unbalanced="0"/>
    <cacheHierarchy uniqueName="[Entity_GAAP].[Hier_GAAP Entity Desc]" caption="Hier_GAAP Entity Desc" defaultMemberUniqueName="[Entity_GAAP].[Hier_GAAP Entity Desc].[All]" allUniqueName="[Entity_GAAP].[Hier_GAAP Entity Desc].[All]" dimensionUniqueName="[Entity_GAAP]" displayFolder="" count="0" unbalanced="0"/>
    <cacheHierarchy uniqueName="[Entity_GAAP].[Level01]" caption="Level01" attribute="1" defaultMemberUniqueName="[Entity_GAAP].[Level01].[All]" allUniqueName="[Entity_GAAP].[Level01].[All]" dimensionUniqueName="[Entity_GAAP]" displayFolder="" count="0" memberValueDatatype="130" unbalanced="0"/>
    <cacheHierarchy uniqueName="[Entity_GAAP].[Level01_Code]" caption="Level01_Code" attribute="1" defaultMemberUniqueName="[Entity_GAAP].[Level01_Code].[All]" allUniqueName="[Entity_GAAP].[Level01_Code].[All]" dimensionUniqueName="[Entity_GAAP]" displayFolder="" count="0" memberValueDatatype="130" unbalanced="0"/>
    <cacheHierarchy uniqueName="[Entity_GAAP].[Level01_Desc]" caption="Level01_Desc" attribute="1" defaultMemberUniqueName="[Entity_GAAP].[Level01_Desc].[All]" allUniqueName="[Entity_GAAP].[Level01_Desc].[All]" dimensionUniqueName="[Entity_GAAP]" displayFolder="" count="0" memberValueDatatype="130" unbalanced="0"/>
    <cacheHierarchy uniqueName="[Entity_GAAP].[Level02]" caption="Level02" attribute="1" defaultMemberUniqueName="[Entity_GAAP].[Level02].[All]" allUniqueName="[Entity_GAAP].[Level02].[All]" dimensionUniqueName="[Entity_GAAP]" displayFolder="" count="0" memberValueDatatype="130" unbalanced="0"/>
    <cacheHierarchy uniqueName="[Entity_GAAP].[Level02_Code]" caption="Level02_Code" attribute="1" defaultMemberUniqueName="[Entity_GAAP].[Level02_Code].[All]" allUniqueName="[Entity_GAAP].[Level02_Code].[All]" dimensionUniqueName="[Entity_GAAP]" displayFolder="" count="0" memberValueDatatype="130" unbalanced="0"/>
    <cacheHierarchy uniqueName="[Entity_GAAP].[Level02_Desc]" caption="Level02_Desc" attribute="1" defaultMemberUniqueName="[Entity_GAAP].[Level02_Desc].[All]" allUniqueName="[Entity_GAAP].[Level02_Desc].[All]" dimensionUniqueName="[Entity_GAAP]" displayFolder="" count="0" memberValueDatatype="130" unbalanced="0"/>
    <cacheHierarchy uniqueName="[Entity_GAAP].[Level03]" caption="Level03" attribute="1" defaultMemberUniqueName="[Entity_GAAP].[Level03].[All]" allUniqueName="[Entity_GAAP].[Level03].[All]" dimensionUniqueName="[Entity_GAAP]" displayFolder="" count="0" memberValueDatatype="130" unbalanced="0"/>
    <cacheHierarchy uniqueName="[Entity_GAAP].[Level03_Code]" caption="Level03_Code" attribute="1" defaultMemberUniqueName="[Entity_GAAP].[Level03_Code].[All]" allUniqueName="[Entity_GAAP].[Level03_Code].[All]" dimensionUniqueName="[Entity_GAAP]" displayFolder="" count="0" memberValueDatatype="130" unbalanced="0"/>
    <cacheHierarchy uniqueName="[Entity_GAAP].[Level03_Desc]" caption="Level03_Desc" attribute="1" defaultMemberUniqueName="[Entity_GAAP].[Level03_Desc].[All]" allUniqueName="[Entity_GAAP].[Level03_Desc].[All]" dimensionUniqueName="[Entity_GAAP]" displayFolder="" count="0" memberValueDatatype="130" unbalanced="0"/>
    <cacheHierarchy uniqueName="[Entity_GAAP].[Level04]" caption="Level04" attribute="1" defaultMemberUniqueName="[Entity_GAAP].[Level04].[All]" allUniqueName="[Entity_GAAP].[Level04].[All]" dimensionUniqueName="[Entity_GAAP]" displayFolder="" count="0" memberValueDatatype="130" unbalanced="0"/>
    <cacheHierarchy uniqueName="[Entity_GAAP].[Level04_Code]" caption="Level04_Code" attribute="1" defaultMemberUniqueName="[Entity_GAAP].[Level04_Code].[All]" allUniqueName="[Entity_GAAP].[Level04_Code].[All]" dimensionUniqueName="[Entity_GAAP]" displayFolder="" count="0" memberValueDatatype="130" unbalanced="0"/>
    <cacheHierarchy uniqueName="[Entity_GAAP].[Level04_Desc]" caption="Level04_Desc" attribute="1" defaultMemberUniqueName="[Entity_GAAP].[Level04_Desc].[All]" allUniqueName="[Entity_GAAP].[Level04_Desc].[All]" dimensionUniqueName="[Entity_GAAP]" displayFolder="" count="0" memberValueDatatype="130" unbalanced="0"/>
    <cacheHierarchy uniqueName="[Entity_GAAP].[Level05]" caption="Level05" attribute="1" defaultMemberUniqueName="[Entity_GAAP].[Level05].[All]" allUniqueName="[Entity_GAAP].[Level05].[All]" dimensionUniqueName="[Entity_GAAP]" displayFolder="" count="0" memberValueDatatype="130" unbalanced="0"/>
    <cacheHierarchy uniqueName="[Entity_GAAP].[Level05_Code]" caption="Level05_Code" attribute="1" defaultMemberUniqueName="[Entity_GAAP].[Level05_Code].[All]" allUniqueName="[Entity_GAAP].[Level05_Code].[All]" dimensionUniqueName="[Entity_GAAP]" displayFolder="" count="0" memberValueDatatype="130" unbalanced="0"/>
    <cacheHierarchy uniqueName="[Entity_GAAP].[Level05_Desc]" caption="Level05_Desc" attribute="1" defaultMemberUniqueName="[Entity_GAAP].[Level05_Desc].[All]" allUniqueName="[Entity_GAAP].[Level05_Desc].[All]" dimensionUniqueName="[Entity_GAAP]" displayFolder="" count="0" memberValueDatatype="130" unbalanced="0"/>
    <cacheHierarchy uniqueName="[Entity_GAAP].[Level06]" caption="Level06" attribute="1" defaultMemberUniqueName="[Entity_GAAP].[Level06].[All]" allUniqueName="[Entity_GAAP].[Level06].[All]" dimensionUniqueName="[Entity_GAAP]" displayFolder="" count="0" memberValueDatatype="130" unbalanced="0"/>
    <cacheHierarchy uniqueName="[Entity_GAAP].[Level06_Code]" caption="Level06_Code" attribute="1" defaultMemberUniqueName="[Entity_GAAP].[Level06_Code].[All]" allUniqueName="[Entity_GAAP].[Level06_Code].[All]" dimensionUniqueName="[Entity_GAAP]" displayFolder="" count="0" memberValueDatatype="130" unbalanced="0"/>
    <cacheHierarchy uniqueName="[Entity_GAAP].[Level06_Desc]" caption="Level06_Desc" attribute="1" defaultMemberUniqueName="[Entity_GAAP].[Level06_Desc].[All]" allUniqueName="[Entity_GAAP].[Level06_Desc].[All]" dimensionUniqueName="[Entity_GAAP]" displayFolder="" count="0" memberValueDatatype="130" unbalanced="0"/>
    <cacheHierarchy uniqueName="[Entity_GAAP].[Level07]" caption="Level07" attribute="1" defaultMemberUniqueName="[Entity_GAAP].[Level07].[All]" allUniqueName="[Entity_GAAP].[Level07].[All]" dimensionUniqueName="[Entity_GAAP]" displayFolder="" count="0" memberValueDatatype="130" unbalanced="0"/>
    <cacheHierarchy uniqueName="[Entity_GAAP].[Level07_Code]" caption="Level07_Code" attribute="1" defaultMemberUniqueName="[Entity_GAAP].[Level07_Code].[All]" allUniqueName="[Entity_GAAP].[Level07_Code].[All]" dimensionUniqueName="[Entity_GAAP]" displayFolder="" count="0" memberValueDatatype="130" unbalanced="0"/>
    <cacheHierarchy uniqueName="[Entity_GAAP].[Level07_Desc]" caption="Level07_Desc" attribute="1" defaultMemberUniqueName="[Entity_GAAP].[Level07_Desc].[All]" allUniqueName="[Entity_GAAP].[Level07_Desc].[All]" dimensionUniqueName="[Entity_GAAP]" displayFolder="" count="0" memberValueDatatype="130" unbalanced="0"/>
    <cacheHierarchy uniqueName="[Entity_GAAP].[Level08]" caption="Level08" attribute="1" defaultMemberUniqueName="[Entity_GAAP].[Level08].[All]" allUniqueName="[Entity_GAAP].[Level08].[All]" dimensionUniqueName="[Entity_GAAP]" displayFolder="" count="0" memberValueDatatype="130" unbalanced="0"/>
    <cacheHierarchy uniqueName="[Entity_GAAP].[Level08_Code]" caption="Level08_Code" attribute="1" defaultMemberUniqueName="[Entity_GAAP].[Level08_Code].[All]" allUniqueName="[Entity_GAAP].[Level08_Code].[All]" dimensionUniqueName="[Entity_GAAP]" displayFolder="" count="0" memberValueDatatype="130" unbalanced="0"/>
    <cacheHierarchy uniqueName="[Entity_GAAP].[Level08_Desc]" caption="Level08_Desc" attribute="1" defaultMemberUniqueName="[Entity_GAAP].[Level08_Desc].[All]" allUniqueName="[Entity_GAAP].[Level08_Desc].[All]" dimensionUniqueName="[Entity_GAAP]" displayFolder="" count="0" memberValueDatatype="130" unbalanced="0"/>
    <cacheHierarchy uniqueName="[Entity_GAAP].[Level09]" caption="Level09" attribute="1" defaultMemberUniqueName="[Entity_GAAP].[Level09].[All]" allUniqueName="[Entity_GAAP].[Level09].[All]" dimensionUniqueName="[Entity_GAAP]" displayFolder="" count="0" memberValueDatatype="130" unbalanced="0"/>
    <cacheHierarchy uniqueName="[Entity_GAAP].[Level09_Code]" caption="Level09_Code" attribute="1" defaultMemberUniqueName="[Entity_GAAP].[Level09_Code].[All]" allUniqueName="[Entity_GAAP].[Level09_Code].[All]" dimensionUniqueName="[Entity_GAAP]" displayFolder="" count="0" memberValueDatatype="130" unbalanced="0"/>
    <cacheHierarchy uniqueName="[Entity_GAAP].[Level09_Desc]" caption="Level09_Desc" attribute="1" defaultMemberUniqueName="[Entity_GAAP].[Level09_Desc].[All]" allUniqueName="[Entity_GAAP].[Level09_Desc].[All]" dimensionUniqueName="[Entity_GAAP]" displayFolder="" count="0" memberValueDatatype="130" unbalanced="0"/>
    <cacheHierarchy uniqueName="[Entity_GAAP].[Level10]" caption="Level10" attribute="1" defaultMemberUniqueName="[Entity_GAAP].[Level10].[All]" allUniqueName="[Entity_GAAP].[Level10].[All]" dimensionUniqueName="[Entity_GAAP]" displayFolder="" count="0" memberValueDatatype="130" unbalanced="0"/>
    <cacheHierarchy uniqueName="[Entity_GAAP].[Level10_Code]" caption="Level10_Code" attribute="1" defaultMemberUniqueName="[Entity_GAAP].[Level10_Code].[All]" allUniqueName="[Entity_GAAP].[Level10_Code].[All]" dimensionUniqueName="[Entity_GAAP]" displayFolder="" count="0" memberValueDatatype="130" unbalanced="0"/>
    <cacheHierarchy uniqueName="[Entity_GAAP].[Level10_Desc]" caption="Level10_Desc" attribute="1" defaultMemberUniqueName="[Entity_GAAP].[Level10_Desc].[All]" allUniqueName="[Entity_GAAP].[Level10_Desc].[All]" dimensionUniqueName="[Entity_GAAP]" displayFolder="" count="0" memberValueDatatype="130" unbalanced="0"/>
    <cacheHierarchy uniqueName="[Entity_GAAP].[Level11]" caption="Level11" attribute="1" defaultMemberUniqueName="[Entity_GAAP].[Level11].[All]" allUniqueName="[Entity_GAAP].[Level11].[All]" dimensionUniqueName="[Entity_GAAP]" displayFolder="" count="0" memberValueDatatype="130" unbalanced="0"/>
    <cacheHierarchy uniqueName="[Entity_GAAP].[Level11_Code]" caption="Level11_Code" attribute="1" defaultMemberUniqueName="[Entity_GAAP].[Level11_Code].[All]" allUniqueName="[Entity_GAAP].[Level11_Code].[All]" dimensionUniqueName="[Entity_GAAP]" displayFolder="" count="0" memberValueDatatype="130" unbalanced="0"/>
    <cacheHierarchy uniqueName="[Entity_GAAP].[Level11_Desc]" caption="Level11_Desc" attribute="1" defaultMemberUniqueName="[Entity_GAAP].[Level11_Desc].[All]" allUniqueName="[Entity_GAAP].[Level11_Desc].[All]" dimensionUniqueName="[Entity_GAAP]" displayFolder="" count="0" memberValueDatatype="130" unbalanced="0"/>
    <cacheHierarchy uniqueName="[Entity_GAAP].[Level12]" caption="Level12" attribute="1" defaultMemberUniqueName="[Entity_GAAP].[Level12].[All]" allUniqueName="[Entity_GAAP].[Level12].[All]" dimensionUniqueName="[Entity_GAAP]" displayFolder="" count="0" memberValueDatatype="130" unbalanced="0"/>
    <cacheHierarchy uniqueName="[Entity_GAAP].[Level12_Code]" caption="Level12_Code" attribute="1" defaultMemberUniqueName="[Entity_GAAP].[Level12_Code].[All]" allUniqueName="[Entity_GAAP].[Level12_Code].[All]" dimensionUniqueName="[Entity_GAAP]" displayFolder="" count="0" memberValueDatatype="130" unbalanced="0"/>
    <cacheHierarchy uniqueName="[Entity_GAAP].[Level12_Desc]" caption="Level12_Desc" attribute="1" defaultMemberUniqueName="[Entity_GAAP].[Level12_Desc].[All]" allUniqueName="[Entity_GAAP].[Level12_Desc].[All]" dimensionUniqueName="[Entity_GAAP]" displayFolder="" count="0" memberValueDatatype="130" unbalanced="0"/>
    <cacheHierarchy uniqueName="[Entity_GAAP].[Level13]" caption="Level13" attribute="1" defaultMemberUniqueName="[Entity_GAAP].[Level13].[All]" allUniqueName="[Entity_GAAP].[Level13].[All]" dimensionUniqueName="[Entity_GAAP]" displayFolder="" count="0" memberValueDatatype="130" unbalanced="0"/>
    <cacheHierarchy uniqueName="[Entity_GAAP].[Level13_Code]" caption="Level13_Code" attribute="1" defaultMemberUniqueName="[Entity_GAAP].[Level13_Code].[All]" allUniqueName="[Entity_GAAP].[Level13_Code].[All]" dimensionUniqueName="[Entity_GAAP]" displayFolder="" count="0" memberValueDatatype="130" unbalanced="0"/>
    <cacheHierarchy uniqueName="[Entity_GAAP].[Level13_Desc]" caption="Level13_Desc" attribute="1" defaultMemberUniqueName="[Entity_GAAP].[Level13_Desc].[All]" allUniqueName="[Entity_GAAP].[Level13_Desc].[All]" dimensionUniqueName="[Entity_GAAP]" displayFolder="" count="0" memberValueDatatype="130" unbalanced="0"/>
    <cacheHierarchy uniqueName="[Entity_GAAP].[Level14]" caption="Level14" attribute="1" defaultMemberUniqueName="[Entity_GAAP].[Level14].[All]" allUniqueName="[Entity_GAAP].[Level14].[All]" dimensionUniqueName="[Entity_GAAP]" displayFolder="" count="0" memberValueDatatype="130" unbalanced="0"/>
    <cacheHierarchy uniqueName="[Entity_GAAP].[Level14_Code]" caption="Level14_Code" attribute="1" defaultMemberUniqueName="[Entity_GAAP].[Level14_Code].[All]" allUniqueName="[Entity_GAAP].[Level14_Code].[All]" dimensionUniqueName="[Entity_GAAP]" displayFolder="" count="0" memberValueDatatype="130" unbalanced="0"/>
    <cacheHierarchy uniqueName="[Entity_GAAP].[Level14_Desc]" caption="Level14_Desc" attribute="1" defaultMemberUniqueName="[Entity_GAAP].[Level14_Desc].[All]" allUniqueName="[Entity_GAAP].[Level14_Desc].[All]" dimensionUniqueName="[Entity_GAAP]" displayFolder="" count="0" memberValueDatatype="130" unbalanced="0"/>
    <cacheHierarchy uniqueName="[Entity_GAAP].[Level15]" caption="Level15" attribute="1" defaultMemberUniqueName="[Entity_GAAP].[Level15].[All]" allUniqueName="[Entity_GAAP].[Level15].[All]" dimensionUniqueName="[Entity_GAAP]" displayFolder="" count="0" memberValueDatatype="130" unbalanced="0"/>
    <cacheHierarchy uniqueName="[Entity_GAAP].[Level15_Code]" caption="Level15_Code" attribute="1" defaultMemberUniqueName="[Entity_GAAP].[Level15_Code].[All]" allUniqueName="[Entity_GAAP].[Level15_Code].[All]" dimensionUniqueName="[Entity_GAAP]" displayFolder="" count="0" memberValueDatatype="130" unbalanced="0"/>
    <cacheHierarchy uniqueName="[Entity_GAAP].[Level15_Desc]" caption="Level15_Desc" attribute="1" defaultMemberUniqueName="[Entity_GAAP].[Level15_Desc].[All]" allUniqueName="[Entity_GAAP].[Level15_Desc].[All]" dimensionUniqueName="[Entity_GAAP]" displayFolder="" count="0" memberValueDatatype="130" unbalanced="0"/>
    <cacheHierarchy uniqueName="[Entity_GAAP].[Level16]" caption="Level16" attribute="1" defaultMemberUniqueName="[Entity_GAAP].[Level16].[All]" allUniqueName="[Entity_GAAP].[Level16].[All]" dimensionUniqueName="[Entity_GAAP]" displayFolder="" count="0" memberValueDatatype="130" unbalanced="0"/>
    <cacheHierarchy uniqueName="[Entity_GAAP].[Level16_Code]" caption="Level16_Code" attribute="1" defaultMemberUniqueName="[Entity_GAAP].[Level16_Code].[All]" allUniqueName="[Entity_GAAP].[Level16_Code].[All]" dimensionUniqueName="[Entity_GAAP]" displayFolder="" count="0" memberValueDatatype="130" unbalanced="0"/>
    <cacheHierarchy uniqueName="[Entity_GAAP].[Level16_Desc]" caption="Level16_Desc" attribute="1" defaultMemberUniqueName="[Entity_GAAP].[Level16_Desc].[All]" allUniqueName="[Entity_GAAP].[Level16_Desc].[All]" dimensionUniqueName="[Entity_GAAP]" displayFolder="" count="0" memberValueDatatype="130" unbalanced="0"/>
    <cacheHierarchy uniqueName="[Entity_GAAP].[Level17]" caption="Level17" attribute="1" defaultMemberUniqueName="[Entity_GAAP].[Level17].[All]" allUniqueName="[Entity_GAAP].[Level17].[All]" dimensionUniqueName="[Entity_GAAP]" displayFolder="" count="0" memberValueDatatype="130" unbalanced="0"/>
    <cacheHierarchy uniqueName="[Entity_GAAP].[Level17_Code]" caption="Level17_Code" attribute="1" defaultMemberUniqueName="[Entity_GAAP].[Level17_Code].[All]" allUniqueName="[Entity_GAAP].[Level17_Code].[All]" dimensionUniqueName="[Entity_GAAP]" displayFolder="" count="0" memberValueDatatype="130" unbalanced="0"/>
    <cacheHierarchy uniqueName="[Entity_GAAP].[Level17_Desc]" caption="Level17_Desc" attribute="1" defaultMemberUniqueName="[Entity_GAAP].[Level17_Desc].[All]" allUniqueName="[Entity_GAAP].[Level17_Desc].[All]" dimensionUniqueName="[Entity_GAAP]" displayFolder="" count="0" memberValueDatatype="130" unbalanced="0"/>
    <cacheHierarchy uniqueName="[Entity_GAAP].[Level18]" caption="Level18" attribute="1" defaultMemberUniqueName="[Entity_GAAP].[Level18].[All]" allUniqueName="[Entity_GAAP].[Level18].[All]" dimensionUniqueName="[Entity_GAAP]" displayFolder="" count="0" memberValueDatatype="130" unbalanced="0"/>
    <cacheHierarchy uniqueName="[Entity_GAAP].[Level18_Code]" caption="Level18_Code" attribute="1" defaultMemberUniqueName="[Entity_GAAP].[Level18_Code].[All]" allUniqueName="[Entity_GAAP].[Level18_Code].[All]" dimensionUniqueName="[Entity_GAAP]" displayFolder="" count="0" memberValueDatatype="130" unbalanced="0"/>
    <cacheHierarchy uniqueName="[Entity_GAAP].[Level18_Desc]" caption="Level18_Desc" attribute="1" defaultMemberUniqueName="[Entity_GAAP].[Level18_Desc].[All]" allUniqueName="[Entity_GAAP].[Level18_Desc].[All]" dimensionUniqueName="[Entity_GAAP]" displayFolder="" count="0" memberValueDatatype="130" unbalanced="0"/>
    <cacheHierarchy uniqueName="[Entity_GAAP].[Level19]" caption="Level19" attribute="1" defaultMemberUniqueName="[Entity_GAAP].[Level19].[All]" allUniqueName="[Entity_GAAP].[Level19].[All]" dimensionUniqueName="[Entity_GAAP]" displayFolder="" count="0" memberValueDatatype="130" unbalanced="0"/>
    <cacheHierarchy uniqueName="[Entity_GAAP].[Level19_Code]" caption="Level19_Code" attribute="1" defaultMemberUniqueName="[Entity_GAAP].[Level19_Code].[All]" allUniqueName="[Entity_GAAP].[Level19_Code].[All]" dimensionUniqueName="[Entity_GAAP]" displayFolder="" count="0" memberValueDatatype="130" unbalanced="0"/>
    <cacheHierarchy uniqueName="[Entity_GAAP].[Level19_Desc]" caption="Level19_Desc" attribute="1" defaultMemberUniqueName="[Entity_GAAP].[Level19_Desc].[All]" allUniqueName="[Entity_GAAP].[Level19_Desc].[All]" dimensionUniqueName="[Entity_GAAP]" displayFolder="" count="0" memberValueDatatype="130" unbalanced="0"/>
    <cacheHierarchy uniqueName="[Entity_GAAP].[Level20]" caption="Level20" attribute="1" defaultMemberUniqueName="[Entity_GAAP].[Level20].[All]" allUniqueName="[Entity_GAAP].[Level20].[All]" dimensionUniqueName="[Entity_GAAP]" displayFolder="" count="0" memberValueDatatype="130" unbalanced="0"/>
    <cacheHierarchy uniqueName="[Entity_GAAP].[Level20_Code]" caption="Level20_Code" attribute="1" defaultMemberUniqueName="[Entity_GAAP].[Level20_Code].[All]" allUniqueName="[Entity_GAAP].[Level20_Code].[All]" dimensionUniqueName="[Entity_GAAP]" displayFolder="" count="0" memberValueDatatype="130" unbalanced="0"/>
    <cacheHierarchy uniqueName="[Entity_GAAP].[Level20_Desc]" caption="Level20_Desc" attribute="1" defaultMemberUniqueName="[Entity_GAAP].[Level20_Desc].[All]" allUniqueName="[Entity_GAAP].[Level20_Desc].[All]" dimensionUniqueName="[Entity_GAAP]" displayFolder="" count="0" memberValueDatatype="130" unbalanced="0"/>
    <cacheHierarchy uniqueName="[Entity_GAAP].[PAM_ENTITY_FLAG]" caption="PAM_ENTITY_FLAG" attribute="1" defaultMemberUniqueName="[Entity_GAAP].[PAM_ENTITY_FLAG].[All]" allUniqueName="[Entity_GAAP].[PAM_ENTITY_FLAG].[All]" dimensionUniqueName="[Entity_GAAP]" displayFolder="" count="0" memberValueDatatype="130" unbalanced="0"/>
    <cacheHierarchy uniqueName="[Entity_GAAP].[TAX_COUNTRY_CODE]" caption="TAX_COUNTRY_CODE" attribute="1" defaultMemberUniqueName="[Entity_GAAP].[TAX_COUNTRY_CODE].[All]" allUniqueName="[Entity_GAAP].[TAX_COUNTRY_CODE].[All]" dimensionUniqueName="[Entity_GAAP]" displayFolder="" count="0" memberValueDatatype="130" unbalanced="0"/>
    <cacheHierarchy uniqueName="[Entity_GAAP].[TAX_COUNTRY_DESC]" caption="TAX_COUNTRY_DESC" attribute="1" defaultMemberUniqueName="[Entity_GAAP].[TAX_COUNTRY_DESC].[All]" allUniqueName="[Entity_GAAP].[TAX_COUNTRY_DESC].[All]" dimensionUniqueName="[Entity_GAAP]" displayFolder="" count="0" memberValueDatatype="130" unbalanced="0"/>
    <cacheHierarchy uniqueName="[Entity_GAAP].[TAX_ENTITY_CODE]" caption="TAX_ENTITY_CODE" attribute="1" defaultMemberUniqueName="[Entity_GAAP].[TAX_ENTITY_CODE].[All]" allUniqueName="[Entity_GAAP].[TAX_ENTITY_CODE].[All]" dimensionUniqueName="[Entity_GAAP]" displayFolder="" count="0" memberValueDatatype="130" unbalanced="0"/>
    <cacheHierarchy uniqueName="[Entity_GAAP].[TAX_ENTITY_DESC]" caption="TAX_ENTITY_DESC" attribute="1" defaultMemberUniqueName="[Entity_GAAP].[TAX_ENTITY_DESC].[All]" allUniqueName="[Entity_GAAP].[TAX_ENTITY_DESC].[All]" dimensionUniqueName="[Entity_GAAP]" displayFolder="" count="0" memberValueDatatype="130" unbalanced="0"/>
    <cacheHierarchy uniqueName="[Entity_STAT].[Elimination_Entity]" caption="Elimination_Entity" attribute="1" defaultMemberUniqueName="[Entity_STAT].[Elimination_Entity].[All]" allUniqueName="[Entity_STAT].[Elimination_Entity].[All]" dimensionUniqueName="[Entity_STAT]" displayFolder="" count="0" memberValueDatatype="130" unbalanced="0"/>
    <cacheHierarchy uniqueName="[Entity_STAT].[Entity_Code]" caption="Entity_Code" attribute="1" defaultMemberUniqueName="[Entity_STAT].[Entity_Code].[All]" allUniqueName="[Entity_STAT].[Entity_Code].[All]" dimensionUniqueName="[Entity_STAT]" displayFolder="" count="0" memberValueDatatype="130" unbalanced="0"/>
    <cacheHierarchy uniqueName="[Entity_STAT].[Entity_Code_Desc]" caption="Entity_Code_Desc" attribute="1" defaultMemberUniqueName="[Entity_STAT].[Entity_Code_Desc].[All]" allUniqueName="[Entity_STAT].[Entity_Code_Desc].[All]" dimensionUniqueName="[Entity_STAT]" displayFolder="" count="0" memberValueDatatype="130" unbalanced="0"/>
    <cacheHierarchy uniqueName="[Entity_STAT].[Entity_Desc]" caption="Entity_Desc" attribute="1" defaultMemberUniqueName="[Entity_STAT].[Entity_Desc].[All]" allUniqueName="[Entity_STAT].[Entity_Desc].[All]" dimensionUniqueName="[Entity_STAT]" displayFolder="" count="0" memberValueDatatype="130" unbalanced="0"/>
    <cacheHierarchy uniqueName="[Entity_STAT].[Entity_Hier_Name]" caption="Entity_Hier_Name" attribute="1" defaultMemberUniqueName="[Entity_STAT].[Entity_Hier_Name].[All]" allUniqueName="[Entity_STAT].[Entity_Hier_Name].[All]" dimensionUniqueName="[Entity_STAT]" displayFolder="" count="0" memberValueDatatype="130" unbalanced="0"/>
    <cacheHierarchy uniqueName="[Entity_STAT].[Exclude_from_ERP]" caption="Exclude_from_ERP" attribute="1" defaultMemberUniqueName="[Entity_STAT].[Exclude_from_ERP].[All]" allUniqueName="[Entity_STAT].[Exclude_from_ERP].[All]" dimensionUniqueName="[Entity_STAT]" displayFolder="" count="0" memberValueDatatype="130" unbalanced="0"/>
    <cacheHierarchy uniqueName="[Entity_STAT].[Hier_STAT Entity Code]" caption="Hier_STAT Entity Code" defaultMemberUniqueName="[Entity_STAT].[Hier_STAT Entity Code].[All]" allUniqueName="[Entity_STAT].[Hier_STAT Entity Code].[All]" dimensionUniqueName="[Entity_STAT]" displayFolder="" count="0" unbalanced="0"/>
    <cacheHierarchy uniqueName="[Entity_STAT].[Hier_STAT Entity Code Desc]" caption="Hier_STAT Entity Code Desc" defaultMemberUniqueName="[Entity_STAT].[Hier_STAT Entity Code Desc].[All]" allUniqueName="[Entity_STAT].[Hier_STAT Entity Code Desc].[All]" dimensionUniqueName="[Entity_STAT]" displayFolder="" count="0" unbalanced="0"/>
    <cacheHierarchy uniqueName="[Entity_STAT].[Hier_STAT Entity Desc]" caption="Hier_STAT Entity Desc" defaultMemberUniqueName="[Entity_STAT].[Hier_STAT Entity Desc].[All]" allUniqueName="[Entity_STAT].[Hier_STAT Entity Desc].[All]" dimensionUniqueName="[Entity_STAT]" displayFolder="" count="0" unbalanced="0"/>
    <cacheHierarchy uniqueName="[Entity_STAT].[Level01]" caption="Level01" attribute="1" defaultMemberUniqueName="[Entity_STAT].[Level01].[All]" allUniqueName="[Entity_STAT].[Level01].[All]" dimensionUniqueName="[Entity_STAT]" displayFolder="" count="0" memberValueDatatype="130" unbalanced="0"/>
    <cacheHierarchy uniqueName="[Entity_STAT].[Level01_Code]" caption="Level01_Code" attribute="1" defaultMemberUniqueName="[Entity_STAT].[Level01_Code].[All]" allUniqueName="[Entity_STAT].[Level01_Code].[All]" dimensionUniqueName="[Entity_STAT]" displayFolder="" count="0" memberValueDatatype="130" unbalanced="0"/>
    <cacheHierarchy uniqueName="[Entity_STAT].[Level01_Desc]" caption="Level01_Desc" attribute="1" defaultMemberUniqueName="[Entity_STAT].[Level01_Desc].[All]" allUniqueName="[Entity_STAT].[Level01_Desc].[All]" dimensionUniqueName="[Entity_STAT]" displayFolder="" count="0" memberValueDatatype="130" unbalanced="0"/>
    <cacheHierarchy uniqueName="[Entity_STAT].[Level02]" caption="Level02" attribute="1" defaultMemberUniqueName="[Entity_STAT].[Level02].[All]" allUniqueName="[Entity_STAT].[Level02].[All]" dimensionUniqueName="[Entity_STAT]" displayFolder="" count="0" memberValueDatatype="130" unbalanced="0"/>
    <cacheHierarchy uniqueName="[Entity_STAT].[Level02_Code]" caption="Level02_Code" attribute="1" defaultMemberUniqueName="[Entity_STAT].[Level02_Code].[All]" allUniqueName="[Entity_STAT].[Level02_Code].[All]" dimensionUniqueName="[Entity_STAT]" displayFolder="" count="0" memberValueDatatype="130" unbalanced="0"/>
    <cacheHierarchy uniqueName="[Entity_STAT].[Level02_Desc]" caption="Level02_Desc" attribute="1" defaultMemberUniqueName="[Entity_STAT].[Level02_Desc].[All]" allUniqueName="[Entity_STAT].[Level02_Desc].[All]" dimensionUniqueName="[Entity_STAT]" displayFolder="" count="0" memberValueDatatype="130" unbalanced="0"/>
    <cacheHierarchy uniqueName="[Entity_STAT].[Level03]" caption="Level03" attribute="1" defaultMemberUniqueName="[Entity_STAT].[Level03].[All]" allUniqueName="[Entity_STAT].[Level03].[All]" dimensionUniqueName="[Entity_STAT]" displayFolder="" count="0" memberValueDatatype="130" unbalanced="0"/>
    <cacheHierarchy uniqueName="[Entity_STAT].[Level03_Code]" caption="Level03_Code" attribute="1" defaultMemberUniqueName="[Entity_STAT].[Level03_Code].[All]" allUniqueName="[Entity_STAT].[Level03_Code].[All]" dimensionUniqueName="[Entity_STAT]" displayFolder="" count="0" memberValueDatatype="130" unbalanced="0"/>
    <cacheHierarchy uniqueName="[Entity_STAT].[Level03_Desc]" caption="Level03_Desc" attribute="1" defaultMemberUniqueName="[Entity_STAT].[Level03_Desc].[All]" allUniqueName="[Entity_STAT].[Level03_Desc].[All]" dimensionUniqueName="[Entity_STAT]" displayFolder="" count="0" memberValueDatatype="130" unbalanced="0"/>
    <cacheHierarchy uniqueName="[Entity_STAT].[Level04]" caption="Level04" attribute="1" defaultMemberUniqueName="[Entity_STAT].[Level04].[All]" allUniqueName="[Entity_STAT].[Level04].[All]" dimensionUniqueName="[Entity_STAT]" displayFolder="" count="0" memberValueDatatype="130" unbalanced="0"/>
    <cacheHierarchy uniqueName="[Entity_STAT].[Level04_Code]" caption="Level04_Code" attribute="1" defaultMemberUniqueName="[Entity_STAT].[Level04_Code].[All]" allUniqueName="[Entity_STAT].[Level04_Code].[All]" dimensionUniqueName="[Entity_STAT]" displayFolder="" count="0" memberValueDatatype="130" unbalanced="0"/>
    <cacheHierarchy uniqueName="[Entity_STAT].[Level04_Desc]" caption="Level04_Desc" attribute="1" defaultMemberUniqueName="[Entity_STAT].[Level04_Desc].[All]" allUniqueName="[Entity_STAT].[Level04_Desc].[All]" dimensionUniqueName="[Entity_STAT]" displayFolder="" count="0" memberValueDatatype="130" unbalanced="0"/>
    <cacheHierarchy uniqueName="[Entity_STAT].[Level05]" caption="Level05" attribute="1" defaultMemberUniqueName="[Entity_STAT].[Level05].[All]" allUniqueName="[Entity_STAT].[Level05].[All]" dimensionUniqueName="[Entity_STAT]" displayFolder="" count="0" memberValueDatatype="130" unbalanced="0"/>
    <cacheHierarchy uniqueName="[Entity_STAT].[Level05_Code]" caption="Level05_Code" attribute="1" defaultMemberUniqueName="[Entity_STAT].[Level05_Code].[All]" allUniqueName="[Entity_STAT].[Level05_Code].[All]" dimensionUniqueName="[Entity_STAT]" displayFolder="" count="0" memberValueDatatype="130" unbalanced="0"/>
    <cacheHierarchy uniqueName="[Entity_STAT].[Level05_Desc]" caption="Level05_Desc" attribute="1" defaultMemberUniqueName="[Entity_STAT].[Level05_Desc].[All]" allUniqueName="[Entity_STAT].[Level05_Desc].[All]" dimensionUniqueName="[Entity_STAT]" displayFolder="" count="0" memberValueDatatype="130" unbalanced="0"/>
    <cacheHierarchy uniqueName="[Entity_STAT].[Level06]" caption="Level06" attribute="1" defaultMemberUniqueName="[Entity_STAT].[Level06].[All]" allUniqueName="[Entity_STAT].[Level06].[All]" dimensionUniqueName="[Entity_STAT]" displayFolder="" count="0" memberValueDatatype="130" unbalanced="0"/>
    <cacheHierarchy uniqueName="[Entity_STAT].[Level06_Code]" caption="Level06_Code" attribute="1" defaultMemberUniqueName="[Entity_STAT].[Level06_Code].[All]" allUniqueName="[Entity_STAT].[Level06_Code].[All]" dimensionUniqueName="[Entity_STAT]" displayFolder="" count="0" memberValueDatatype="130" unbalanced="0"/>
    <cacheHierarchy uniqueName="[Entity_STAT].[Level06_Desc]" caption="Level06_Desc" attribute="1" defaultMemberUniqueName="[Entity_STAT].[Level06_Desc].[All]" allUniqueName="[Entity_STAT].[Level06_Desc].[All]" dimensionUniqueName="[Entity_STAT]" displayFolder="" count="0" memberValueDatatype="130" unbalanced="0"/>
    <cacheHierarchy uniqueName="[Entity_STAT].[Level07]" caption="Level07" attribute="1" defaultMemberUniqueName="[Entity_STAT].[Level07].[All]" allUniqueName="[Entity_STAT].[Level07].[All]" dimensionUniqueName="[Entity_STAT]" displayFolder="" count="0" memberValueDatatype="130" unbalanced="0"/>
    <cacheHierarchy uniqueName="[Entity_STAT].[Level07_Code]" caption="Level07_Code" attribute="1" defaultMemberUniqueName="[Entity_STAT].[Level07_Code].[All]" allUniqueName="[Entity_STAT].[Level07_Code].[All]" dimensionUniqueName="[Entity_STAT]" displayFolder="" count="0" memberValueDatatype="130" unbalanced="0"/>
    <cacheHierarchy uniqueName="[Entity_STAT].[Level07_Desc]" caption="Level07_Desc" attribute="1" defaultMemberUniqueName="[Entity_STAT].[Level07_Desc].[All]" allUniqueName="[Entity_STAT].[Level07_Desc].[All]" dimensionUniqueName="[Entity_STAT]" displayFolder="" count="0" memberValueDatatype="130" unbalanced="0"/>
    <cacheHierarchy uniqueName="[Entity_STAT].[Level08]" caption="Level08" attribute="1" defaultMemberUniqueName="[Entity_STAT].[Level08].[All]" allUniqueName="[Entity_STAT].[Level08].[All]" dimensionUniqueName="[Entity_STAT]" displayFolder="" count="0" memberValueDatatype="130" unbalanced="0"/>
    <cacheHierarchy uniqueName="[Entity_STAT].[Level08_Code]" caption="Level08_Code" attribute="1" defaultMemberUniqueName="[Entity_STAT].[Level08_Code].[All]" allUniqueName="[Entity_STAT].[Level08_Code].[All]" dimensionUniqueName="[Entity_STAT]" displayFolder="" count="0" memberValueDatatype="130" unbalanced="0"/>
    <cacheHierarchy uniqueName="[Entity_STAT].[Level08_Desc]" caption="Level08_Desc" attribute="1" defaultMemberUniqueName="[Entity_STAT].[Level08_Desc].[All]" allUniqueName="[Entity_STAT].[Level08_Desc].[All]" dimensionUniqueName="[Entity_STAT]" displayFolder="" count="0" memberValueDatatype="130" unbalanced="0"/>
    <cacheHierarchy uniqueName="[Entity_STAT].[Level09]" caption="Level09" attribute="1" defaultMemberUniqueName="[Entity_STAT].[Level09].[All]" allUniqueName="[Entity_STAT].[Level09].[All]" dimensionUniqueName="[Entity_STAT]" displayFolder="" count="0" memberValueDatatype="130" unbalanced="0"/>
    <cacheHierarchy uniqueName="[Entity_STAT].[Level09_Code]" caption="Level09_Code" attribute="1" defaultMemberUniqueName="[Entity_STAT].[Level09_Code].[All]" allUniqueName="[Entity_STAT].[Level09_Code].[All]" dimensionUniqueName="[Entity_STAT]" displayFolder="" count="0" memberValueDatatype="130" unbalanced="0"/>
    <cacheHierarchy uniqueName="[Entity_STAT].[Level09_Desc]" caption="Level09_Desc" attribute="1" defaultMemberUniqueName="[Entity_STAT].[Level09_Desc].[All]" allUniqueName="[Entity_STAT].[Level09_Desc].[All]" dimensionUniqueName="[Entity_STAT]" displayFolder="" count="0" memberValueDatatype="130" unbalanced="0"/>
    <cacheHierarchy uniqueName="[Entity_STAT].[Level10]" caption="Level10" attribute="1" defaultMemberUniqueName="[Entity_STAT].[Level10].[All]" allUniqueName="[Entity_STAT].[Level10].[All]" dimensionUniqueName="[Entity_STAT]" displayFolder="" count="0" memberValueDatatype="130" unbalanced="0"/>
    <cacheHierarchy uniqueName="[Entity_STAT].[Level10_Code]" caption="Level10_Code" attribute="1" defaultMemberUniqueName="[Entity_STAT].[Level10_Code].[All]" allUniqueName="[Entity_STAT].[Level10_Code].[All]" dimensionUniqueName="[Entity_STAT]" displayFolder="" count="0" memberValueDatatype="130" unbalanced="0"/>
    <cacheHierarchy uniqueName="[Entity_STAT].[Level10_Desc]" caption="Level10_Desc" attribute="1" defaultMemberUniqueName="[Entity_STAT].[Level10_Desc].[All]" allUniqueName="[Entity_STAT].[Level10_Desc].[All]" dimensionUniqueName="[Entity_STAT]" displayFolder="" count="0" memberValueDatatype="130" unbalanced="0"/>
    <cacheHierarchy uniqueName="[Entity_STAT].[Level11]" caption="Level11" attribute="1" defaultMemberUniqueName="[Entity_STAT].[Level11].[All]" allUniqueName="[Entity_STAT].[Level11].[All]" dimensionUniqueName="[Entity_STAT]" displayFolder="" count="0" memberValueDatatype="130" unbalanced="0"/>
    <cacheHierarchy uniqueName="[Entity_STAT].[Level11_Code]" caption="Level11_Code" attribute="1" defaultMemberUniqueName="[Entity_STAT].[Level11_Code].[All]" allUniqueName="[Entity_STAT].[Level11_Code].[All]" dimensionUniqueName="[Entity_STAT]" displayFolder="" count="0" memberValueDatatype="130" unbalanced="0"/>
    <cacheHierarchy uniqueName="[Entity_STAT].[Level11_Desc]" caption="Level11_Desc" attribute="1" defaultMemberUniqueName="[Entity_STAT].[Level11_Desc].[All]" allUniqueName="[Entity_STAT].[Level11_Desc].[All]" dimensionUniqueName="[Entity_STAT]" displayFolder="" count="0" memberValueDatatype="130" unbalanced="0"/>
    <cacheHierarchy uniqueName="[Entity_STAT].[Level12]" caption="Level12" attribute="1" defaultMemberUniqueName="[Entity_STAT].[Level12].[All]" allUniqueName="[Entity_STAT].[Level12].[All]" dimensionUniqueName="[Entity_STAT]" displayFolder="" count="0" memberValueDatatype="130" unbalanced="0"/>
    <cacheHierarchy uniqueName="[Entity_STAT].[Level12_Code]" caption="Level12_Code" attribute="1" defaultMemberUniqueName="[Entity_STAT].[Level12_Code].[All]" allUniqueName="[Entity_STAT].[Level12_Code].[All]" dimensionUniqueName="[Entity_STAT]" displayFolder="" count="0" memberValueDatatype="130" unbalanced="0"/>
    <cacheHierarchy uniqueName="[Entity_STAT].[Level12_Desc]" caption="Level12_Desc" attribute="1" defaultMemberUniqueName="[Entity_STAT].[Level12_Desc].[All]" allUniqueName="[Entity_STAT].[Level12_Desc].[All]" dimensionUniqueName="[Entity_STAT]" displayFolder="" count="0" memberValueDatatype="130" unbalanced="0"/>
    <cacheHierarchy uniqueName="[Entity_STAT].[Level13]" caption="Level13" attribute="1" defaultMemberUniqueName="[Entity_STAT].[Level13].[All]" allUniqueName="[Entity_STAT].[Level13].[All]" dimensionUniqueName="[Entity_STAT]" displayFolder="" count="0" memberValueDatatype="130" unbalanced="0"/>
    <cacheHierarchy uniqueName="[Entity_STAT].[Level13_Code]" caption="Level13_Code" attribute="1" defaultMemberUniqueName="[Entity_STAT].[Level13_Code].[All]" allUniqueName="[Entity_STAT].[Level13_Code].[All]" dimensionUniqueName="[Entity_STAT]" displayFolder="" count="0" memberValueDatatype="130" unbalanced="0"/>
    <cacheHierarchy uniqueName="[Entity_STAT].[Level13_Desc]" caption="Level13_Desc" attribute="1" defaultMemberUniqueName="[Entity_STAT].[Level13_Desc].[All]" allUniqueName="[Entity_STAT].[Level13_Desc].[All]" dimensionUniqueName="[Entity_STAT]" displayFolder="" count="0" memberValueDatatype="130" unbalanced="0"/>
    <cacheHierarchy uniqueName="[Entity_STAT].[Level14]" caption="Level14" attribute="1" defaultMemberUniqueName="[Entity_STAT].[Level14].[All]" allUniqueName="[Entity_STAT].[Level14].[All]" dimensionUniqueName="[Entity_STAT]" displayFolder="" count="0" memberValueDatatype="130" unbalanced="0"/>
    <cacheHierarchy uniqueName="[Entity_STAT].[Level14_Code]" caption="Level14_Code" attribute="1" defaultMemberUniqueName="[Entity_STAT].[Level14_Code].[All]" allUniqueName="[Entity_STAT].[Level14_Code].[All]" dimensionUniqueName="[Entity_STAT]" displayFolder="" count="0" memberValueDatatype="130" unbalanced="0"/>
    <cacheHierarchy uniqueName="[Entity_STAT].[Level14_Desc]" caption="Level14_Desc" attribute="1" defaultMemberUniqueName="[Entity_STAT].[Level14_Desc].[All]" allUniqueName="[Entity_STAT].[Level14_Desc].[All]" dimensionUniqueName="[Entity_STAT]" displayFolder="" count="0" memberValueDatatype="130" unbalanced="0"/>
    <cacheHierarchy uniqueName="[Entity_STAT].[Level15]" caption="Level15" attribute="1" defaultMemberUniqueName="[Entity_STAT].[Level15].[All]" allUniqueName="[Entity_STAT].[Level15].[All]" dimensionUniqueName="[Entity_STAT]" displayFolder="" count="0" memberValueDatatype="130" unbalanced="0"/>
    <cacheHierarchy uniqueName="[Entity_STAT].[Level15_Code]" caption="Level15_Code" attribute="1" defaultMemberUniqueName="[Entity_STAT].[Level15_Code].[All]" allUniqueName="[Entity_STAT].[Level15_Code].[All]" dimensionUniqueName="[Entity_STAT]" displayFolder="" count="0" memberValueDatatype="130" unbalanced="0"/>
    <cacheHierarchy uniqueName="[Entity_STAT].[Level15_Desc]" caption="Level15_Desc" attribute="1" defaultMemberUniqueName="[Entity_STAT].[Level15_Desc].[All]" allUniqueName="[Entity_STAT].[Level15_Desc].[All]" dimensionUniqueName="[Entity_STAT]" displayFolder="" count="0" memberValueDatatype="130" unbalanced="0"/>
    <cacheHierarchy uniqueName="[Entity_STAT].[Level16]" caption="Level16" attribute="1" defaultMemberUniqueName="[Entity_STAT].[Level16].[All]" allUniqueName="[Entity_STAT].[Level16].[All]" dimensionUniqueName="[Entity_STAT]" displayFolder="" count="0" memberValueDatatype="130" unbalanced="0"/>
    <cacheHierarchy uniqueName="[Entity_STAT].[Level16_Code]" caption="Level16_Code" attribute="1" defaultMemberUniqueName="[Entity_STAT].[Level16_Code].[All]" allUniqueName="[Entity_STAT].[Level16_Code].[All]" dimensionUniqueName="[Entity_STAT]" displayFolder="" count="0" memberValueDatatype="130" unbalanced="0"/>
    <cacheHierarchy uniqueName="[Entity_STAT].[Level16_Desc]" caption="Level16_Desc" attribute="1" defaultMemberUniqueName="[Entity_STAT].[Level16_Desc].[All]" allUniqueName="[Entity_STAT].[Level16_Desc].[All]" dimensionUniqueName="[Entity_STAT]" displayFolder="" count="0" memberValueDatatype="130" unbalanced="0"/>
    <cacheHierarchy uniqueName="[Entity_STAT].[Level17]" caption="Level17" attribute="1" defaultMemberUniqueName="[Entity_STAT].[Level17].[All]" allUniqueName="[Entity_STAT].[Level17].[All]" dimensionUniqueName="[Entity_STAT]" displayFolder="" count="0" memberValueDatatype="130" unbalanced="0"/>
    <cacheHierarchy uniqueName="[Entity_STAT].[Level17_Code]" caption="Level17_Code" attribute="1" defaultMemberUniqueName="[Entity_STAT].[Level17_Code].[All]" allUniqueName="[Entity_STAT].[Level17_Code].[All]" dimensionUniqueName="[Entity_STAT]" displayFolder="" count="0" memberValueDatatype="130" unbalanced="0"/>
    <cacheHierarchy uniqueName="[Entity_STAT].[Level17_Desc]" caption="Level17_Desc" attribute="1" defaultMemberUniqueName="[Entity_STAT].[Level17_Desc].[All]" allUniqueName="[Entity_STAT].[Level17_Desc].[All]" dimensionUniqueName="[Entity_STAT]" displayFolder="" count="0" memberValueDatatype="130" unbalanced="0"/>
    <cacheHierarchy uniqueName="[Entity_STAT].[Level18]" caption="Level18" attribute="1" defaultMemberUniqueName="[Entity_STAT].[Level18].[All]" allUniqueName="[Entity_STAT].[Level18].[All]" dimensionUniqueName="[Entity_STAT]" displayFolder="" count="0" memberValueDatatype="130" unbalanced="0"/>
    <cacheHierarchy uniqueName="[Entity_STAT].[Level18_Code]" caption="Level18_Code" attribute="1" defaultMemberUniqueName="[Entity_STAT].[Level18_Code].[All]" allUniqueName="[Entity_STAT].[Level18_Code].[All]" dimensionUniqueName="[Entity_STAT]" displayFolder="" count="0" memberValueDatatype="130" unbalanced="0"/>
    <cacheHierarchy uniqueName="[Entity_STAT].[Level18_Desc]" caption="Level18_Desc" attribute="1" defaultMemberUniqueName="[Entity_STAT].[Level18_Desc].[All]" allUniqueName="[Entity_STAT].[Level18_Desc].[All]" dimensionUniqueName="[Entity_STAT]" displayFolder="" count="0" memberValueDatatype="130" unbalanced="0"/>
    <cacheHierarchy uniqueName="[Entity_STAT].[Level19]" caption="Level19" attribute="1" defaultMemberUniqueName="[Entity_STAT].[Level19].[All]" allUniqueName="[Entity_STAT].[Level19].[All]" dimensionUniqueName="[Entity_STAT]" displayFolder="" count="0" memberValueDatatype="130" unbalanced="0"/>
    <cacheHierarchy uniqueName="[Entity_STAT].[Level19_Code]" caption="Level19_Code" attribute="1" defaultMemberUniqueName="[Entity_STAT].[Level19_Code].[All]" allUniqueName="[Entity_STAT].[Level19_Code].[All]" dimensionUniqueName="[Entity_STAT]" displayFolder="" count="0" memberValueDatatype="130" unbalanced="0"/>
    <cacheHierarchy uniqueName="[Entity_STAT].[Level19_Desc]" caption="Level19_Desc" attribute="1" defaultMemberUniqueName="[Entity_STAT].[Level19_Desc].[All]" allUniqueName="[Entity_STAT].[Level19_Desc].[All]" dimensionUniqueName="[Entity_STAT]" displayFolder="" count="0" memberValueDatatype="130" unbalanced="0"/>
    <cacheHierarchy uniqueName="[Entity_STAT].[Level20]" caption="Level20" attribute="1" defaultMemberUniqueName="[Entity_STAT].[Level20].[All]" allUniqueName="[Entity_STAT].[Level20].[All]" dimensionUniqueName="[Entity_STAT]" displayFolder="" count="0" memberValueDatatype="130" unbalanced="0"/>
    <cacheHierarchy uniqueName="[Entity_STAT].[Level20_Code]" caption="Level20_Code" attribute="1" defaultMemberUniqueName="[Entity_STAT].[Level20_Code].[All]" allUniqueName="[Entity_STAT].[Level20_Code].[All]" dimensionUniqueName="[Entity_STAT]" displayFolder="" count="0" memberValueDatatype="130" unbalanced="0"/>
    <cacheHierarchy uniqueName="[Entity_STAT].[Level20_Desc]" caption="Level20_Desc" attribute="1" defaultMemberUniqueName="[Entity_STAT].[Level20_Desc].[All]" allUniqueName="[Entity_STAT].[Level20_Desc].[All]" dimensionUniqueName="[Entity_STAT]" displayFolder="" count="0" memberValueDatatype="130" unbalanced="0"/>
    <cacheHierarchy uniqueName="[Entity_STAT].[PAM_ENTITY_FLAG]" caption="PAM_ENTITY_FLAG" attribute="1" defaultMemberUniqueName="[Entity_STAT].[PAM_ENTITY_FLAG].[All]" allUniqueName="[Entity_STAT].[PAM_ENTITY_FLAG].[All]" dimensionUniqueName="[Entity_STAT]" displayFolder="" count="0" memberValueDatatype="130" unbalanced="0"/>
    <cacheHierarchy uniqueName="[Entity_STAT].[STAT Entity Code]" caption="STAT Entity Code" defaultMemberUniqueName="[Entity_STAT].[STAT Entity Code].[All]" allUniqueName="[Entity_STAT].[STAT Entity Code].[All]" dimensionUniqueName="[Entity_STAT]" displayFolder="" count="0" unbalanced="0"/>
    <cacheHierarchy uniqueName="[Entity_STAT].[STAT Entity Code Desc]" caption="STAT Entity Code Desc" defaultMemberUniqueName="[Entity_STAT].[STAT Entity Code Desc].[All]" allUniqueName="[Entity_STAT].[STAT Entity Code Desc].[All]" dimensionUniqueName="[Entity_STAT]" displayFolder="" count="0" unbalanced="0"/>
    <cacheHierarchy uniqueName="[Entity_STAT].[STAT Entity Desc]" caption="STAT Entity Desc" defaultMemberUniqueName="[Entity_STAT].[STAT Entity Desc].[All]" allUniqueName="[Entity_STAT].[STAT Entity Desc].[All]" dimensionUniqueName="[Entity_STAT]" displayFolder="" count="0" unbalanced="0"/>
    <cacheHierarchy uniqueName="[Entity_STAT].[TAX_COUNTRY_CODE]" caption="TAX_COUNTRY_CODE" attribute="1" defaultMemberUniqueName="[Entity_STAT].[TAX_COUNTRY_CODE].[All]" allUniqueName="[Entity_STAT].[TAX_COUNTRY_CODE].[All]" dimensionUniqueName="[Entity_STAT]" displayFolder="" count="0" memberValueDatatype="130" unbalanced="0"/>
    <cacheHierarchy uniqueName="[Entity_STAT].[TAX_COUNTRY_DESC]" caption="TAX_COUNTRY_DESC" attribute="1" defaultMemberUniqueName="[Entity_STAT].[TAX_COUNTRY_DESC].[All]" allUniqueName="[Entity_STAT].[TAX_COUNTRY_DESC].[All]" dimensionUniqueName="[Entity_STAT]" displayFolder="" count="0" memberValueDatatype="130" unbalanced="0"/>
    <cacheHierarchy uniqueName="[Entity_STAT].[TAX_ENTITY_CODE]" caption="TAX_ENTITY_CODE" attribute="1" defaultMemberUniqueName="[Entity_STAT].[TAX_ENTITY_CODE].[All]" allUniqueName="[Entity_STAT].[TAX_ENTITY_CODE].[All]" dimensionUniqueName="[Entity_STAT]" displayFolder="" count="0" memberValueDatatype="130" unbalanced="0"/>
    <cacheHierarchy uniqueName="[Entity_STAT].[TAX_ENTITY_DESC]" caption="TAX_ENTITY_DESC" attribute="1" defaultMemberUniqueName="[Entity_STAT].[TAX_ENTITY_DESC].[All]" allUniqueName="[Entity_STAT].[TAX_ENTITY_DESC].[All]" dimensionUniqueName="[Entity_STAT]" displayFolder="" count="0" memberValueDatatype="130" unbalanced="0"/>
    <cacheHierarchy uniqueName="[Entity_STATGAAP].[Elimination_Entity]" caption="Elimination_Entity" attribute="1" defaultMemberUniqueName="[Entity_STATGAAP].[Elimination_Entity].[All]" allUniqueName="[Entity_STATGAAP].[Elimination_Entity].[All]" dimensionUniqueName="[Entity_STATGAAP]" displayFolder="" count="0" memberValueDatatype="130" unbalanced="0"/>
    <cacheHierarchy uniqueName="[Entity_STATGAAP].[Entity_Code]" caption="Entity_Code" attribute="1" defaultMemberUniqueName="[Entity_STATGAAP].[Entity_Code].[All]" allUniqueName="[Entity_STATGAAP].[Entity_Code].[All]" dimensionUniqueName="[Entity_STATGAAP]" displayFolder="" count="0" memberValueDatatype="130" unbalanced="0"/>
    <cacheHierarchy uniqueName="[Entity_STATGAAP].[Entity_Code_Desc]" caption="Entity_Code_Desc" attribute="1" defaultMemberUniqueName="[Entity_STATGAAP].[Entity_Code_Desc].[All]" allUniqueName="[Entity_STATGAAP].[Entity_Code_Desc].[All]" dimensionUniqueName="[Entity_STATGAAP]" displayFolder="" count="0" memberValueDatatype="130" unbalanced="0"/>
    <cacheHierarchy uniqueName="[Entity_STATGAAP].[Entity_Desc]" caption="Entity_Desc" attribute="1" defaultMemberUniqueName="[Entity_STATGAAP].[Entity_Desc].[All]" allUniqueName="[Entity_STATGAAP].[Entity_Desc].[All]" dimensionUniqueName="[Entity_STATGAAP]" displayFolder="" count="0" memberValueDatatype="130" unbalanced="0"/>
    <cacheHierarchy uniqueName="[Entity_STATGAAP].[Entity_Hier_Name]" caption="Entity_Hier_Name" attribute="1" defaultMemberUniqueName="[Entity_STATGAAP].[Entity_Hier_Name].[All]" allUniqueName="[Entity_STATGAAP].[Entity_Hier_Name].[All]" dimensionUniqueName="[Entity_STATGAAP]" displayFolder="" count="0" memberValueDatatype="130" unbalanced="0"/>
    <cacheHierarchy uniqueName="[Entity_STATGAAP].[Exclude_from_ERP]" caption="Exclude_from_ERP" attribute="1" defaultMemberUniqueName="[Entity_STATGAAP].[Exclude_from_ERP].[All]" allUniqueName="[Entity_STATGAAP].[Exclude_from_ERP].[All]" dimensionUniqueName="[Entity_STATGAAP]" displayFolder="" count="0" memberValueDatatype="130" unbalanced="0"/>
    <cacheHierarchy uniqueName="[Entity_STATGAAP].[Hier_STAT GAAP Entity Code]" caption="Hier_STAT GAAP Entity Code" defaultMemberUniqueName="[Entity_STATGAAP].[Hier_STAT GAAP Entity Code].[All]" allUniqueName="[Entity_STATGAAP].[Hier_STAT GAAP Entity Code].[All]" dimensionUniqueName="[Entity_STATGAAP]" displayFolder="" count="0" unbalanced="0"/>
    <cacheHierarchy uniqueName="[Entity_STATGAAP].[Hier_STAT GAAP Entity Code Desc]" caption="Hier_STAT GAAP Entity Code Desc" defaultMemberUniqueName="[Entity_STATGAAP].[Hier_STAT GAAP Entity Code Desc].[All]" allUniqueName="[Entity_STATGAAP].[Hier_STAT GAAP Entity Code Desc].[All]" dimensionUniqueName="[Entity_STATGAAP]" displayFolder="" count="0" unbalanced="0"/>
    <cacheHierarchy uniqueName="[Entity_STATGAAP].[Hier_STAT GAAP Entity Desc]" caption="Hier_STAT GAAP Entity Desc" defaultMemberUniqueName="[Entity_STATGAAP].[Hier_STAT GAAP Entity Desc].[All]" allUniqueName="[Entity_STATGAAP].[Hier_STAT GAAP Entity Desc].[All]" dimensionUniqueName="[Entity_STATGAAP]" displayFolder="" count="0" unbalanced="0"/>
    <cacheHierarchy uniqueName="[Entity_STATGAAP].[Level01]" caption="Level01" attribute="1" defaultMemberUniqueName="[Entity_STATGAAP].[Level01].[All]" allUniqueName="[Entity_STATGAAP].[Level01].[All]" dimensionUniqueName="[Entity_STATGAAP]" displayFolder="" count="0" memberValueDatatype="130" unbalanced="0"/>
    <cacheHierarchy uniqueName="[Entity_STATGAAP].[Level01_Code]" caption="Level01_Code" attribute="1" defaultMemberUniqueName="[Entity_STATGAAP].[Level01_Code].[All]" allUniqueName="[Entity_STATGAAP].[Level01_Code].[All]" dimensionUniqueName="[Entity_STATGAAP]" displayFolder="" count="0" memberValueDatatype="130" unbalanced="0"/>
    <cacheHierarchy uniqueName="[Entity_STATGAAP].[Level01_Desc]" caption="Level01_Desc" attribute="1" defaultMemberUniqueName="[Entity_STATGAAP].[Level01_Desc].[All]" allUniqueName="[Entity_STATGAAP].[Level01_Desc].[All]" dimensionUniqueName="[Entity_STATGAAP]" displayFolder="" count="0" memberValueDatatype="130" unbalanced="0"/>
    <cacheHierarchy uniqueName="[Entity_STATGAAP].[Level02]" caption="Level02" attribute="1" defaultMemberUniqueName="[Entity_STATGAAP].[Level02].[All]" allUniqueName="[Entity_STATGAAP].[Level02].[All]" dimensionUniqueName="[Entity_STATGAAP]" displayFolder="" count="0" memberValueDatatype="130" unbalanced="0"/>
    <cacheHierarchy uniqueName="[Entity_STATGAAP].[Level02_Code]" caption="Level02_Code" attribute="1" defaultMemberUniqueName="[Entity_STATGAAP].[Level02_Code].[All]" allUniqueName="[Entity_STATGAAP].[Level02_Code].[All]" dimensionUniqueName="[Entity_STATGAAP]" displayFolder="" count="0" memberValueDatatype="130" unbalanced="0"/>
    <cacheHierarchy uniqueName="[Entity_STATGAAP].[Level02_Desc]" caption="Level02_Desc" attribute="1" defaultMemberUniqueName="[Entity_STATGAAP].[Level02_Desc].[All]" allUniqueName="[Entity_STATGAAP].[Level02_Desc].[All]" dimensionUniqueName="[Entity_STATGAAP]" displayFolder="" count="0" memberValueDatatype="130" unbalanced="0"/>
    <cacheHierarchy uniqueName="[Entity_STATGAAP].[Level03]" caption="Level03" attribute="1" defaultMemberUniqueName="[Entity_STATGAAP].[Level03].[All]" allUniqueName="[Entity_STATGAAP].[Level03].[All]" dimensionUniqueName="[Entity_STATGAAP]" displayFolder="" count="0" memberValueDatatype="130" unbalanced="0"/>
    <cacheHierarchy uniqueName="[Entity_STATGAAP].[Level03_Code]" caption="Level03_Code" attribute="1" defaultMemberUniqueName="[Entity_STATGAAP].[Level03_Code].[All]" allUniqueName="[Entity_STATGAAP].[Level03_Code].[All]" dimensionUniqueName="[Entity_STATGAAP]" displayFolder="" count="0" memberValueDatatype="130" unbalanced="0"/>
    <cacheHierarchy uniqueName="[Entity_STATGAAP].[Level03_Desc]" caption="Level03_Desc" attribute="1" defaultMemberUniqueName="[Entity_STATGAAP].[Level03_Desc].[All]" allUniqueName="[Entity_STATGAAP].[Level03_Desc].[All]" dimensionUniqueName="[Entity_STATGAAP]" displayFolder="" count="0" memberValueDatatype="130" unbalanced="0"/>
    <cacheHierarchy uniqueName="[Entity_STATGAAP].[Level04]" caption="Level04" attribute="1" defaultMemberUniqueName="[Entity_STATGAAP].[Level04].[All]" allUniqueName="[Entity_STATGAAP].[Level04].[All]" dimensionUniqueName="[Entity_STATGAAP]" displayFolder="" count="0" memberValueDatatype="130" unbalanced="0"/>
    <cacheHierarchy uniqueName="[Entity_STATGAAP].[Level04_Code]" caption="Level04_Code" attribute="1" defaultMemberUniqueName="[Entity_STATGAAP].[Level04_Code].[All]" allUniqueName="[Entity_STATGAAP].[Level04_Code].[All]" dimensionUniqueName="[Entity_STATGAAP]" displayFolder="" count="0" memberValueDatatype="130" unbalanced="0"/>
    <cacheHierarchy uniqueName="[Entity_STATGAAP].[Level04_Desc]" caption="Level04_Desc" attribute="1" defaultMemberUniqueName="[Entity_STATGAAP].[Level04_Desc].[All]" allUniqueName="[Entity_STATGAAP].[Level04_Desc].[All]" dimensionUniqueName="[Entity_STATGAAP]" displayFolder="" count="0" memberValueDatatype="130" unbalanced="0"/>
    <cacheHierarchy uniqueName="[Entity_STATGAAP].[Level05]" caption="Level05" attribute="1" defaultMemberUniqueName="[Entity_STATGAAP].[Level05].[All]" allUniqueName="[Entity_STATGAAP].[Level05].[All]" dimensionUniqueName="[Entity_STATGAAP]" displayFolder="" count="0" memberValueDatatype="130" unbalanced="0"/>
    <cacheHierarchy uniqueName="[Entity_STATGAAP].[Level05_Code]" caption="Level05_Code" attribute="1" defaultMemberUniqueName="[Entity_STATGAAP].[Level05_Code].[All]" allUniqueName="[Entity_STATGAAP].[Level05_Code].[All]" dimensionUniqueName="[Entity_STATGAAP]" displayFolder="" count="0" memberValueDatatype="130" unbalanced="0"/>
    <cacheHierarchy uniqueName="[Entity_STATGAAP].[Level05_Desc]" caption="Level05_Desc" attribute="1" defaultMemberUniqueName="[Entity_STATGAAP].[Level05_Desc].[All]" allUniqueName="[Entity_STATGAAP].[Level05_Desc].[All]" dimensionUniqueName="[Entity_STATGAAP]" displayFolder="" count="0" memberValueDatatype="130" unbalanced="0"/>
    <cacheHierarchy uniqueName="[Entity_STATGAAP].[Level06]" caption="Level06" attribute="1" defaultMemberUniqueName="[Entity_STATGAAP].[Level06].[All]" allUniqueName="[Entity_STATGAAP].[Level06].[All]" dimensionUniqueName="[Entity_STATGAAP]" displayFolder="" count="0" memberValueDatatype="130" unbalanced="0"/>
    <cacheHierarchy uniqueName="[Entity_STATGAAP].[Level06_Code]" caption="Level06_Code" attribute="1" defaultMemberUniqueName="[Entity_STATGAAP].[Level06_Code].[All]" allUniqueName="[Entity_STATGAAP].[Level06_Code].[All]" dimensionUniqueName="[Entity_STATGAAP]" displayFolder="" count="0" memberValueDatatype="130" unbalanced="0"/>
    <cacheHierarchy uniqueName="[Entity_STATGAAP].[Level06_Desc]" caption="Level06_Desc" attribute="1" defaultMemberUniqueName="[Entity_STATGAAP].[Level06_Desc].[All]" allUniqueName="[Entity_STATGAAP].[Level06_Desc].[All]" dimensionUniqueName="[Entity_STATGAAP]" displayFolder="" count="0" memberValueDatatype="130" unbalanced="0"/>
    <cacheHierarchy uniqueName="[Entity_STATGAAP].[Level07]" caption="Level07" attribute="1" defaultMemberUniqueName="[Entity_STATGAAP].[Level07].[All]" allUniqueName="[Entity_STATGAAP].[Level07].[All]" dimensionUniqueName="[Entity_STATGAAP]" displayFolder="" count="0" memberValueDatatype="130" unbalanced="0"/>
    <cacheHierarchy uniqueName="[Entity_STATGAAP].[Level07_Code]" caption="Level07_Code" attribute="1" defaultMemberUniqueName="[Entity_STATGAAP].[Level07_Code].[All]" allUniqueName="[Entity_STATGAAP].[Level07_Code].[All]" dimensionUniqueName="[Entity_STATGAAP]" displayFolder="" count="0" memberValueDatatype="130" unbalanced="0"/>
    <cacheHierarchy uniqueName="[Entity_STATGAAP].[Level07_Desc]" caption="Level07_Desc" attribute="1" defaultMemberUniqueName="[Entity_STATGAAP].[Level07_Desc].[All]" allUniqueName="[Entity_STATGAAP].[Level07_Desc].[All]" dimensionUniqueName="[Entity_STATGAAP]" displayFolder="" count="0" memberValueDatatype="130" unbalanced="0"/>
    <cacheHierarchy uniqueName="[Entity_STATGAAP].[Level08]" caption="Level08" attribute="1" defaultMemberUniqueName="[Entity_STATGAAP].[Level08].[All]" allUniqueName="[Entity_STATGAAP].[Level08].[All]" dimensionUniqueName="[Entity_STATGAAP]" displayFolder="" count="0" memberValueDatatype="130" unbalanced="0"/>
    <cacheHierarchy uniqueName="[Entity_STATGAAP].[Level08_Code]" caption="Level08_Code" attribute="1" defaultMemberUniqueName="[Entity_STATGAAP].[Level08_Code].[All]" allUniqueName="[Entity_STATGAAP].[Level08_Code].[All]" dimensionUniqueName="[Entity_STATGAAP]" displayFolder="" count="0" memberValueDatatype="130" unbalanced="0"/>
    <cacheHierarchy uniqueName="[Entity_STATGAAP].[Level08_Desc]" caption="Level08_Desc" attribute="1" defaultMemberUniqueName="[Entity_STATGAAP].[Level08_Desc].[All]" allUniqueName="[Entity_STATGAAP].[Level08_Desc].[All]" dimensionUniqueName="[Entity_STATGAAP]" displayFolder="" count="0" memberValueDatatype="130" unbalanced="0"/>
    <cacheHierarchy uniqueName="[Entity_STATGAAP].[Level09]" caption="Level09" attribute="1" defaultMemberUniqueName="[Entity_STATGAAP].[Level09].[All]" allUniqueName="[Entity_STATGAAP].[Level09].[All]" dimensionUniqueName="[Entity_STATGAAP]" displayFolder="" count="0" memberValueDatatype="130" unbalanced="0"/>
    <cacheHierarchy uniqueName="[Entity_STATGAAP].[Level09_Code]" caption="Level09_Code" attribute="1" defaultMemberUniqueName="[Entity_STATGAAP].[Level09_Code].[All]" allUniqueName="[Entity_STATGAAP].[Level09_Code].[All]" dimensionUniqueName="[Entity_STATGAAP]" displayFolder="" count="0" memberValueDatatype="130" unbalanced="0"/>
    <cacheHierarchy uniqueName="[Entity_STATGAAP].[Level09_Desc]" caption="Level09_Desc" attribute="1" defaultMemberUniqueName="[Entity_STATGAAP].[Level09_Desc].[All]" allUniqueName="[Entity_STATGAAP].[Level09_Desc].[All]" dimensionUniqueName="[Entity_STATGAAP]" displayFolder="" count="0" memberValueDatatype="130" unbalanced="0"/>
    <cacheHierarchy uniqueName="[Entity_STATGAAP].[Level10]" caption="Level10" attribute="1" defaultMemberUniqueName="[Entity_STATGAAP].[Level10].[All]" allUniqueName="[Entity_STATGAAP].[Level10].[All]" dimensionUniqueName="[Entity_STATGAAP]" displayFolder="" count="0" memberValueDatatype="130" unbalanced="0"/>
    <cacheHierarchy uniqueName="[Entity_STATGAAP].[Level10_Code]" caption="Level10_Code" attribute="1" defaultMemberUniqueName="[Entity_STATGAAP].[Level10_Code].[All]" allUniqueName="[Entity_STATGAAP].[Level10_Code].[All]" dimensionUniqueName="[Entity_STATGAAP]" displayFolder="" count="0" memberValueDatatype="130" unbalanced="0"/>
    <cacheHierarchy uniqueName="[Entity_STATGAAP].[Level10_Desc]" caption="Level10_Desc" attribute="1" defaultMemberUniqueName="[Entity_STATGAAP].[Level10_Desc].[All]" allUniqueName="[Entity_STATGAAP].[Level10_Desc].[All]" dimensionUniqueName="[Entity_STATGAAP]" displayFolder="" count="0" memberValueDatatype="130" unbalanced="0"/>
    <cacheHierarchy uniqueName="[Entity_STATGAAP].[Level11]" caption="Level11" attribute="1" defaultMemberUniqueName="[Entity_STATGAAP].[Level11].[All]" allUniqueName="[Entity_STATGAAP].[Level11].[All]" dimensionUniqueName="[Entity_STATGAAP]" displayFolder="" count="0" memberValueDatatype="130" unbalanced="0"/>
    <cacheHierarchy uniqueName="[Entity_STATGAAP].[Level11_Code]" caption="Level11_Code" attribute="1" defaultMemberUniqueName="[Entity_STATGAAP].[Level11_Code].[All]" allUniqueName="[Entity_STATGAAP].[Level11_Code].[All]" dimensionUniqueName="[Entity_STATGAAP]" displayFolder="" count="0" memberValueDatatype="130" unbalanced="0"/>
    <cacheHierarchy uniqueName="[Entity_STATGAAP].[Level11_Desc]" caption="Level11_Desc" attribute="1" defaultMemberUniqueName="[Entity_STATGAAP].[Level11_Desc].[All]" allUniqueName="[Entity_STATGAAP].[Level11_Desc].[All]" dimensionUniqueName="[Entity_STATGAAP]" displayFolder="" count="0" memberValueDatatype="130" unbalanced="0"/>
    <cacheHierarchy uniqueName="[Entity_STATGAAP].[Level12]" caption="Level12" attribute="1" defaultMemberUniqueName="[Entity_STATGAAP].[Level12].[All]" allUniqueName="[Entity_STATGAAP].[Level12].[All]" dimensionUniqueName="[Entity_STATGAAP]" displayFolder="" count="0" memberValueDatatype="130" unbalanced="0"/>
    <cacheHierarchy uniqueName="[Entity_STATGAAP].[Level12_Code]" caption="Level12_Code" attribute="1" defaultMemberUniqueName="[Entity_STATGAAP].[Level12_Code].[All]" allUniqueName="[Entity_STATGAAP].[Level12_Code].[All]" dimensionUniqueName="[Entity_STATGAAP]" displayFolder="" count="0" memberValueDatatype="130" unbalanced="0"/>
    <cacheHierarchy uniqueName="[Entity_STATGAAP].[Level12_Desc]" caption="Level12_Desc" attribute="1" defaultMemberUniqueName="[Entity_STATGAAP].[Level12_Desc].[All]" allUniqueName="[Entity_STATGAAP].[Level12_Desc].[All]" dimensionUniqueName="[Entity_STATGAAP]" displayFolder="" count="0" memberValueDatatype="130" unbalanced="0"/>
    <cacheHierarchy uniqueName="[Entity_STATGAAP].[Level13]" caption="Level13" attribute="1" defaultMemberUniqueName="[Entity_STATGAAP].[Level13].[All]" allUniqueName="[Entity_STATGAAP].[Level13].[All]" dimensionUniqueName="[Entity_STATGAAP]" displayFolder="" count="0" memberValueDatatype="130" unbalanced="0"/>
    <cacheHierarchy uniqueName="[Entity_STATGAAP].[Level13_Code]" caption="Level13_Code" attribute="1" defaultMemberUniqueName="[Entity_STATGAAP].[Level13_Code].[All]" allUniqueName="[Entity_STATGAAP].[Level13_Code].[All]" dimensionUniqueName="[Entity_STATGAAP]" displayFolder="" count="0" memberValueDatatype="130" unbalanced="0"/>
    <cacheHierarchy uniqueName="[Entity_STATGAAP].[Level13_Desc]" caption="Level13_Desc" attribute="1" defaultMemberUniqueName="[Entity_STATGAAP].[Level13_Desc].[All]" allUniqueName="[Entity_STATGAAP].[Level13_Desc].[All]" dimensionUniqueName="[Entity_STATGAAP]" displayFolder="" count="0" memberValueDatatype="130" unbalanced="0"/>
    <cacheHierarchy uniqueName="[Entity_STATGAAP].[Level14]" caption="Level14" attribute="1" defaultMemberUniqueName="[Entity_STATGAAP].[Level14].[All]" allUniqueName="[Entity_STATGAAP].[Level14].[All]" dimensionUniqueName="[Entity_STATGAAP]" displayFolder="" count="0" memberValueDatatype="130" unbalanced="0"/>
    <cacheHierarchy uniqueName="[Entity_STATGAAP].[Level14_Code]" caption="Level14_Code" attribute="1" defaultMemberUniqueName="[Entity_STATGAAP].[Level14_Code].[All]" allUniqueName="[Entity_STATGAAP].[Level14_Code].[All]" dimensionUniqueName="[Entity_STATGAAP]" displayFolder="" count="0" memberValueDatatype="130" unbalanced="0"/>
    <cacheHierarchy uniqueName="[Entity_STATGAAP].[Level14_Desc]" caption="Level14_Desc" attribute="1" defaultMemberUniqueName="[Entity_STATGAAP].[Level14_Desc].[All]" allUniqueName="[Entity_STATGAAP].[Level14_Desc].[All]" dimensionUniqueName="[Entity_STATGAAP]" displayFolder="" count="0" memberValueDatatype="130" unbalanced="0"/>
    <cacheHierarchy uniqueName="[Entity_STATGAAP].[Level15]" caption="Level15" attribute="1" defaultMemberUniqueName="[Entity_STATGAAP].[Level15].[All]" allUniqueName="[Entity_STATGAAP].[Level15].[All]" dimensionUniqueName="[Entity_STATGAAP]" displayFolder="" count="0" memberValueDatatype="130" unbalanced="0"/>
    <cacheHierarchy uniqueName="[Entity_STATGAAP].[Level15_Code]" caption="Level15_Code" attribute="1" defaultMemberUniqueName="[Entity_STATGAAP].[Level15_Code].[All]" allUniqueName="[Entity_STATGAAP].[Level15_Code].[All]" dimensionUniqueName="[Entity_STATGAAP]" displayFolder="" count="0" memberValueDatatype="130" unbalanced="0"/>
    <cacheHierarchy uniqueName="[Entity_STATGAAP].[Level15_Desc]" caption="Level15_Desc" attribute="1" defaultMemberUniqueName="[Entity_STATGAAP].[Level15_Desc].[All]" allUniqueName="[Entity_STATGAAP].[Level15_Desc].[All]" dimensionUniqueName="[Entity_STATGAAP]" displayFolder="" count="0" memberValueDatatype="130" unbalanced="0"/>
    <cacheHierarchy uniqueName="[Entity_STATGAAP].[Level16]" caption="Level16" attribute="1" defaultMemberUniqueName="[Entity_STATGAAP].[Level16].[All]" allUniqueName="[Entity_STATGAAP].[Level16].[All]" dimensionUniqueName="[Entity_STATGAAP]" displayFolder="" count="0" memberValueDatatype="130" unbalanced="0"/>
    <cacheHierarchy uniqueName="[Entity_STATGAAP].[Level16_Code]" caption="Level16_Code" attribute="1" defaultMemberUniqueName="[Entity_STATGAAP].[Level16_Code].[All]" allUniqueName="[Entity_STATGAAP].[Level16_Code].[All]" dimensionUniqueName="[Entity_STATGAAP]" displayFolder="" count="0" memberValueDatatype="130" unbalanced="0"/>
    <cacheHierarchy uniqueName="[Entity_STATGAAP].[Level16_Desc]" caption="Level16_Desc" attribute="1" defaultMemberUniqueName="[Entity_STATGAAP].[Level16_Desc].[All]" allUniqueName="[Entity_STATGAAP].[Level16_Desc].[All]" dimensionUniqueName="[Entity_STATGAAP]" displayFolder="" count="0" memberValueDatatype="130" unbalanced="0"/>
    <cacheHierarchy uniqueName="[Entity_STATGAAP].[Level17]" caption="Level17" attribute="1" defaultMemberUniqueName="[Entity_STATGAAP].[Level17].[All]" allUniqueName="[Entity_STATGAAP].[Level17].[All]" dimensionUniqueName="[Entity_STATGAAP]" displayFolder="" count="0" memberValueDatatype="130" unbalanced="0"/>
    <cacheHierarchy uniqueName="[Entity_STATGAAP].[Level17_Code]" caption="Level17_Code" attribute="1" defaultMemberUniqueName="[Entity_STATGAAP].[Level17_Code].[All]" allUniqueName="[Entity_STATGAAP].[Level17_Code].[All]" dimensionUniqueName="[Entity_STATGAAP]" displayFolder="" count="0" memberValueDatatype="130" unbalanced="0"/>
    <cacheHierarchy uniqueName="[Entity_STATGAAP].[Level17_Desc]" caption="Level17_Desc" attribute="1" defaultMemberUniqueName="[Entity_STATGAAP].[Level17_Desc].[All]" allUniqueName="[Entity_STATGAAP].[Level17_Desc].[All]" dimensionUniqueName="[Entity_STATGAAP]" displayFolder="" count="0" memberValueDatatype="130" unbalanced="0"/>
    <cacheHierarchy uniqueName="[Entity_STATGAAP].[Level18]" caption="Level18" attribute="1" defaultMemberUniqueName="[Entity_STATGAAP].[Level18].[All]" allUniqueName="[Entity_STATGAAP].[Level18].[All]" dimensionUniqueName="[Entity_STATGAAP]" displayFolder="" count="0" memberValueDatatype="130" unbalanced="0"/>
    <cacheHierarchy uniqueName="[Entity_STATGAAP].[Level18_Code]" caption="Level18_Code" attribute="1" defaultMemberUniqueName="[Entity_STATGAAP].[Level18_Code].[All]" allUniqueName="[Entity_STATGAAP].[Level18_Code].[All]" dimensionUniqueName="[Entity_STATGAAP]" displayFolder="" count="0" memberValueDatatype="130" unbalanced="0"/>
    <cacheHierarchy uniqueName="[Entity_STATGAAP].[Level18_Desc]" caption="Level18_Desc" attribute="1" defaultMemberUniqueName="[Entity_STATGAAP].[Level18_Desc].[All]" allUniqueName="[Entity_STATGAAP].[Level18_Desc].[All]" dimensionUniqueName="[Entity_STATGAAP]" displayFolder="" count="0" memberValueDatatype="130" unbalanced="0"/>
    <cacheHierarchy uniqueName="[Entity_STATGAAP].[Level19]" caption="Level19" attribute="1" defaultMemberUniqueName="[Entity_STATGAAP].[Level19].[All]" allUniqueName="[Entity_STATGAAP].[Level19].[All]" dimensionUniqueName="[Entity_STATGAAP]" displayFolder="" count="0" memberValueDatatype="130" unbalanced="0"/>
    <cacheHierarchy uniqueName="[Entity_STATGAAP].[Level19_Code]" caption="Level19_Code" attribute="1" defaultMemberUniqueName="[Entity_STATGAAP].[Level19_Code].[All]" allUniqueName="[Entity_STATGAAP].[Level19_Code].[All]" dimensionUniqueName="[Entity_STATGAAP]" displayFolder="" count="0" memberValueDatatype="130" unbalanced="0"/>
    <cacheHierarchy uniqueName="[Entity_STATGAAP].[Level19_Desc]" caption="Level19_Desc" attribute="1" defaultMemberUniqueName="[Entity_STATGAAP].[Level19_Desc].[All]" allUniqueName="[Entity_STATGAAP].[Level19_Desc].[All]" dimensionUniqueName="[Entity_STATGAAP]" displayFolder="" count="0" memberValueDatatype="130" unbalanced="0"/>
    <cacheHierarchy uniqueName="[Entity_STATGAAP].[Level20]" caption="Level20" attribute="1" defaultMemberUniqueName="[Entity_STATGAAP].[Level20].[All]" allUniqueName="[Entity_STATGAAP].[Level20].[All]" dimensionUniqueName="[Entity_STATGAAP]" displayFolder="" count="0" memberValueDatatype="130" unbalanced="0"/>
    <cacheHierarchy uniqueName="[Entity_STATGAAP].[Level20_Code]" caption="Level20_Code" attribute="1" defaultMemberUniqueName="[Entity_STATGAAP].[Level20_Code].[All]" allUniqueName="[Entity_STATGAAP].[Level20_Code].[All]" dimensionUniqueName="[Entity_STATGAAP]" displayFolder="" count="0" memberValueDatatype="130" unbalanced="0"/>
    <cacheHierarchy uniqueName="[Entity_STATGAAP].[Level20_Desc]" caption="Level20_Desc" attribute="1" defaultMemberUniqueName="[Entity_STATGAAP].[Level20_Desc].[All]" allUniqueName="[Entity_STATGAAP].[Level20_Desc].[All]" dimensionUniqueName="[Entity_STATGAAP]" displayFolder="" count="0" memberValueDatatype="130" unbalanced="0"/>
    <cacheHierarchy uniqueName="[Entity_STATGAAP].[PAM_ENTITY_FLAG]" caption="PAM_ENTITY_FLAG" attribute="1" defaultMemberUniqueName="[Entity_STATGAAP].[PAM_ENTITY_FLAG].[All]" allUniqueName="[Entity_STATGAAP].[PAM_ENTITY_FLAG].[All]" dimensionUniqueName="[Entity_STATGAAP]" displayFolder="" count="0" memberValueDatatype="130" unbalanced="0"/>
    <cacheHierarchy uniqueName="[Entity_STATGAAP].[STAT GAAP Entity Code]" caption="STAT GAAP Entity Code" defaultMemberUniqueName="[Entity_STATGAAP].[STAT GAAP Entity Code].[All]" allUniqueName="[Entity_STATGAAP].[STAT GAAP Entity Code].[All]" dimensionUniqueName="[Entity_STATGAAP]" displayFolder="" count="0" unbalanced="0"/>
    <cacheHierarchy uniqueName="[Entity_STATGAAP].[STAT GAAP Entity Code Desc]" caption="STAT GAAP Entity Code Desc" defaultMemberUniqueName="[Entity_STATGAAP].[STAT GAAP Entity Code Desc].[All]" allUniqueName="[Entity_STATGAAP].[STAT GAAP Entity Code Desc].[All]" dimensionUniqueName="[Entity_STATGAAP]" displayFolder="" count="0" unbalanced="0"/>
    <cacheHierarchy uniqueName="[Entity_STATGAAP].[STAT GAAP Entity Desc]" caption="STAT GAAP Entity Desc" defaultMemberUniqueName="[Entity_STATGAAP].[STAT GAAP Entity Desc].[All]" allUniqueName="[Entity_STATGAAP].[STAT GAAP Entity Desc].[All]" dimensionUniqueName="[Entity_STATGAAP]" displayFolder="" count="0" unbalanced="0"/>
    <cacheHierarchy uniqueName="[Entity_STATGAAP].[TAX_COUNTRY_CODE]" caption="TAX_COUNTRY_CODE" attribute="1" defaultMemberUniqueName="[Entity_STATGAAP].[TAX_COUNTRY_CODE].[All]" allUniqueName="[Entity_STATGAAP].[TAX_COUNTRY_CODE].[All]" dimensionUniqueName="[Entity_STATGAAP]" displayFolder="" count="0" memberValueDatatype="130" unbalanced="0"/>
    <cacheHierarchy uniqueName="[Entity_STATGAAP].[TAX_COUNTRY_DESC]" caption="TAX_COUNTRY_DESC" attribute="1" defaultMemberUniqueName="[Entity_STATGAAP].[TAX_COUNTRY_DESC].[All]" allUniqueName="[Entity_STATGAAP].[TAX_COUNTRY_DESC].[All]" dimensionUniqueName="[Entity_STATGAAP]" displayFolder="" count="0" memberValueDatatype="130" unbalanced="0"/>
    <cacheHierarchy uniqueName="[Entity_STATGAAP].[TAX_ENTITY_CODE]" caption="TAX_ENTITY_CODE" attribute="1" defaultMemberUniqueName="[Entity_STATGAAP].[TAX_ENTITY_CODE].[All]" allUniqueName="[Entity_STATGAAP].[TAX_ENTITY_CODE].[All]" dimensionUniqueName="[Entity_STATGAAP]" displayFolder="" count="0" memberValueDatatype="130" unbalanced="0"/>
    <cacheHierarchy uniqueName="[Entity_STATGAAP].[TAX_ENTITY_DESC]" caption="TAX_ENTITY_DESC" attribute="1" defaultMemberUniqueName="[Entity_STATGAAP].[TAX_ENTITY_DESC].[All]" allUniqueName="[Entity_STATGAAP].[TAX_ENTITY_DESC].[All]" dimensionUniqueName="[Entity_STATGAAP]" displayFolder="" count="0" memberValueDatatype="130" unbalanced="0"/>
    <cacheHierarchy uniqueName="[GFS_Code].[GFS Code]" caption="GFS Code" defaultMemberUniqueName="[GFS_Code].[GFS Code].[All]" allUniqueName="[GFS_Code].[GFS Code].[All]" dimensionUniqueName="[GFS_Code]" displayFolder="" count="0" unbalanced="0"/>
    <cacheHierarchy uniqueName="[GFS_Code].[GFS Code Desc]" caption="GFS Code Desc" defaultMemberUniqueName="[GFS_Code].[GFS Code Desc].[All]" allUniqueName="[GFS_Code].[GFS Code Desc].[All]" dimensionUniqueName="[GFS_Code]" displayFolder="" count="0" unbalanced="0"/>
    <cacheHierarchy uniqueName="[GFS_Code].[GFS Desc]" caption="GFS Desc" defaultMemberUniqueName="[GFS_Code].[GFS Desc].[All]" allUniqueName="[GFS_Code].[GFS Desc].[All]" dimensionUniqueName="[GFS_Code]" displayFolder="" count="0" unbalanced="0"/>
    <cacheHierarchy uniqueName="[GFS_Code].[GFS_PAY_CODE_CODE]" caption="GFS_PAY_CODE_CODE" attribute="1" defaultMemberUniqueName="[GFS_Code].[GFS_PAY_CODE_CODE].[All]" allUniqueName="[GFS_Code].[GFS_PAY_CODE_CODE].[All]" dimensionUniqueName="[GFS_Code]" displayFolder="" count="0" memberValueDatatype="130" unbalanced="0"/>
    <cacheHierarchy uniqueName="[GFS_Code].[GFS_PAY_CODE_CODE_DESC]" caption="GFS_PAY_CODE_CODE_DESC" attribute="1" defaultMemberUniqueName="[GFS_Code].[GFS_PAY_CODE_CODE_DESC].[All]" allUniqueName="[GFS_Code].[GFS_PAY_CODE_CODE_DESC].[All]" dimensionUniqueName="[GFS_Code]" displayFolder="" count="0" memberValueDatatype="130" unbalanced="0"/>
    <cacheHierarchy uniqueName="[GFS_Code].[GFS_PAY_CODE_DESC]" caption="GFS_PAY_CODE_DESC" attribute="1" defaultMemberUniqueName="[GFS_Code].[GFS_PAY_CODE_DESC].[All]" allUniqueName="[GFS_Code].[GFS_PAY_CODE_DESC].[All]" dimensionUniqueName="[GFS_Code]" displayFolder="" count="0" memberValueDatatype="130" unbalanced="0"/>
    <cacheHierarchy uniqueName="[GFS_Code_Type].[GFS Code Type Code]" caption="GFS Code Type Code" defaultMemberUniqueName="[GFS_Code_Type].[GFS Code Type Code].[All]" allUniqueName="[GFS_Code_Type].[GFS Code Type Code].[All]" dimensionUniqueName="[GFS_Code_Type]" displayFolder="" count="0" unbalanced="0"/>
    <cacheHierarchy uniqueName="[GFS_Code_Type].[GFS Code Type Code Desc]" caption="GFS Code Type Code Desc" defaultMemberUniqueName="[GFS_Code_Type].[GFS Code Type Code Desc].[All]" allUniqueName="[GFS_Code_Type].[GFS Code Type Code Desc].[All]" dimensionUniqueName="[GFS_Code_Type]" displayFolder="" count="0" unbalanced="0"/>
    <cacheHierarchy uniqueName="[GFS_Code_Type].[GFS Code Type Desc]" caption="GFS Code Type Desc" defaultMemberUniqueName="[GFS_Code_Type].[GFS Code Type Desc].[All]" allUniqueName="[GFS_Code_Type].[GFS Code Type Desc].[All]" dimensionUniqueName="[GFS_Code_Type]" displayFolder="" count="0" unbalanced="0"/>
    <cacheHierarchy uniqueName="[GFS_Code_Type].[GFS_PAY_CODE_TYPE_CODE]" caption="GFS_PAY_CODE_TYPE_CODE" attribute="1" defaultMemberUniqueName="[GFS_Code_Type].[GFS_PAY_CODE_TYPE_CODE].[All]" allUniqueName="[GFS_Code_Type].[GFS_PAY_CODE_TYPE_CODE].[All]" dimensionUniqueName="[GFS_Code_Type]" displayFolder="" count="0" memberValueDatatype="130" unbalanced="0"/>
    <cacheHierarchy uniqueName="[GFS_Code_Type].[GFS_PAY_CODE_TYPE_CODE_DESC]" caption="GFS_PAY_CODE_TYPE_CODE_DESC" attribute="1" defaultMemberUniqueName="[GFS_Code_Type].[GFS_PAY_CODE_TYPE_CODE_DESC].[All]" allUniqueName="[GFS_Code_Type].[GFS_PAY_CODE_TYPE_CODE_DESC].[All]" dimensionUniqueName="[GFS_Code_Type]" displayFolder="" count="0" memberValueDatatype="130" unbalanced="0"/>
    <cacheHierarchy uniqueName="[GFS_Code_Type].[GFS_PAY_CODE_TYPE_DESC]" caption="GFS_PAY_CODE_TYPE_DESC" attribute="1" defaultMemberUniqueName="[GFS_Code_Type].[GFS_PAY_CODE_TYPE_DESC].[All]" allUniqueName="[GFS_Code_Type].[GFS_PAY_CODE_TYPE_DESC].[All]" dimensionUniqueName="[GFS_Code_Type]" displayFolder="" count="0" memberValueDatatype="130" unbalanced="0"/>
    <cacheHierarchy uniqueName="[Home_State].[Hier_Insured Location Code]" caption="Hier_Insured Location Code" defaultMemberUniqueName="[Home_State].[Hier_Insured Location Code].[All]" allUniqueName="[Home_State].[Hier_Insured Location Code].[All]" dimensionUniqueName="[Home_State]" displayFolder="" count="0" unbalanced="0"/>
    <cacheHierarchy uniqueName="[Home_State].[Hier_Insured Location Code Desc]" caption="Hier_Insured Location Code Desc" defaultMemberUniqueName="[Home_State].[Hier_Insured Location Code Desc].[All]" allUniqueName="[Home_State].[Hier_Insured Location Code Desc].[All]" dimensionUniqueName="[Home_State]" displayFolder="" count="0" unbalanced="0"/>
    <cacheHierarchy uniqueName="[Home_State].[Hier_Insured Location Desc]" caption="Hier_Insured Location Desc" defaultMemberUniqueName="[Home_State].[Hier_Insured Location Desc].[All]" allUniqueName="[Home_State].[Hier_Insured Location Desc].[All]" dimensionUniqueName="[Home_State]" displayFolder="" count="0" unbalanced="0"/>
    <cacheHierarchy uniqueName="[Home_State].[Hier_Name]" caption="Hier_Name" attribute="1" defaultMemberUniqueName="[Home_State].[Hier_Name].[All]" allUniqueName="[Home_State].[Hier_Name].[All]" dimensionUniqueName="[Home_State]" displayFolder="" count="0" memberValueDatatype="130" unbalanced="0"/>
    <cacheHierarchy uniqueName="[Home_State].[Insured Location Code]" caption="Insured Location Code" defaultMemberUniqueName="[Home_State].[Insured Location Code].[All]" allUniqueName="[Home_State].[Insured Location Code].[All]" dimensionUniqueName="[Home_State]" displayFolder="" count="0" unbalanced="0"/>
    <cacheHierarchy uniqueName="[Home_State].[Insured Location Code Desc]" caption="Insured Location Code Desc" defaultMemberUniqueName="[Home_State].[Insured Location Code Desc].[All]" allUniqueName="[Home_State].[Insured Location Code Desc].[All]" dimensionUniqueName="[Home_State]" displayFolder="" count="0" unbalanced="0"/>
    <cacheHierarchy uniqueName="[Home_State].[Insured Location Desc]" caption="Insured Location Desc" defaultMemberUniqueName="[Home_State].[Insured Location Desc].[All]" allUniqueName="[Home_State].[Insured Location Desc].[All]" dimensionUniqueName="[Home_State]" displayFolder="" count="0" unbalanced="0"/>
    <cacheHierarchy uniqueName="[Home_State].[Insured_Location_Code]" caption="Insured_Location_Code" attribute="1" defaultMemberUniqueName="[Home_State].[Insured_Location_Code].[All]" allUniqueName="[Home_State].[Insured_Location_Code].[All]" dimensionUniqueName="[Home_State]" displayFolder="" count="0" memberValueDatatype="130" unbalanced="0"/>
    <cacheHierarchy uniqueName="[Home_State].[Insured_Location_Code_Desc]" caption="Insured_Location_Code_Desc" attribute="1" defaultMemberUniqueName="[Home_State].[Insured_Location_Code_Desc].[All]" allUniqueName="[Home_State].[Insured_Location_Code_Desc].[All]" dimensionUniqueName="[Home_State]" displayFolder="" count="0" memberValueDatatype="130" unbalanced="0"/>
    <cacheHierarchy uniqueName="[Home_State].[Insured_Location_Desc]" caption="Insured_Location_Desc" attribute="1" defaultMemberUniqueName="[Home_State].[Insured_Location_Desc].[All]" allUniqueName="[Home_State].[Insured_Location_Desc].[All]" dimensionUniqueName="[Home_State]" displayFolder="" count="0" memberValueDatatype="130" unbalanced="0"/>
    <cacheHierarchy uniqueName="[Home_State].[Level01]" caption="Level01" attribute="1" defaultMemberUniqueName="[Home_State].[Level01].[All]" allUniqueName="[Home_State].[Level01].[All]" dimensionUniqueName="[Home_State]" displayFolder="" count="0" memberValueDatatype="130" unbalanced="0"/>
    <cacheHierarchy uniqueName="[Home_State].[Level01_Code]" caption="Level01_Code" attribute="1" defaultMemberUniqueName="[Home_State].[Level01_Code].[All]" allUniqueName="[Home_State].[Level01_Code].[All]" dimensionUniqueName="[Home_State]" displayFolder="" count="0" memberValueDatatype="130" unbalanced="0"/>
    <cacheHierarchy uniqueName="[Home_State].[Level01_Desc]" caption="Level01_Desc" attribute="1" defaultMemberUniqueName="[Home_State].[Level01_Desc].[All]" allUniqueName="[Home_State].[Level01_Desc].[All]" dimensionUniqueName="[Home_State]" displayFolder="" count="0" memberValueDatatype="130" unbalanced="0"/>
    <cacheHierarchy uniqueName="[Home_State].[Level02]" caption="Level02" attribute="1" defaultMemberUniqueName="[Home_State].[Level02].[All]" allUniqueName="[Home_State].[Level02].[All]" dimensionUniqueName="[Home_State]" displayFolder="" count="0" memberValueDatatype="130" unbalanced="0"/>
    <cacheHierarchy uniqueName="[Home_State].[Level02_Code]" caption="Level02_Code" attribute="1" defaultMemberUniqueName="[Home_State].[Level02_Code].[All]" allUniqueName="[Home_State].[Level02_Code].[All]" dimensionUniqueName="[Home_State]" displayFolder="" count="0" memberValueDatatype="130" unbalanced="0"/>
    <cacheHierarchy uniqueName="[Home_State].[Level02_Desc]" caption="Level02_Desc" attribute="1" defaultMemberUniqueName="[Home_State].[Level02_Desc].[All]" allUniqueName="[Home_State].[Level02_Desc].[All]" dimensionUniqueName="[Home_State]" displayFolder="" count="0" memberValueDatatype="130" unbalanced="0"/>
    <cacheHierarchy uniqueName="[Home_State].[Level03]" caption="Level03" attribute="1" defaultMemberUniqueName="[Home_State].[Level03].[All]" allUniqueName="[Home_State].[Level03].[All]" dimensionUniqueName="[Home_State]" displayFolder="" count="0" memberValueDatatype="130" unbalanced="0"/>
    <cacheHierarchy uniqueName="[Home_State].[Level03_Code]" caption="Level03_Code" attribute="1" defaultMemberUniqueName="[Home_State].[Level03_Code].[All]" allUniqueName="[Home_State].[Level03_Code].[All]" dimensionUniqueName="[Home_State]" displayFolder="" count="0" memberValueDatatype="130" unbalanced="0"/>
    <cacheHierarchy uniqueName="[Home_State].[Level03_Desc]" caption="Level03_Desc" attribute="1" defaultMemberUniqueName="[Home_State].[Level03_Desc].[All]" allUniqueName="[Home_State].[Level03_Desc].[All]" dimensionUniqueName="[Home_State]" displayFolder="" count="0" memberValueDatatype="130" unbalanced="0"/>
    <cacheHierarchy uniqueName="[Home_State].[Level04]" caption="Level04" attribute="1" defaultMemberUniqueName="[Home_State].[Level04].[All]" allUniqueName="[Home_State].[Level04].[All]" dimensionUniqueName="[Home_State]" displayFolder="" count="0" memberValueDatatype="130" unbalanced="0"/>
    <cacheHierarchy uniqueName="[Home_State].[Level04_Code]" caption="Level04_Code" attribute="1" defaultMemberUniqueName="[Home_State].[Level04_Code].[All]" allUniqueName="[Home_State].[Level04_Code].[All]" dimensionUniqueName="[Home_State]" displayFolder="" count="0" memberValueDatatype="130" unbalanced="0"/>
    <cacheHierarchy uniqueName="[Home_State].[Level04_Desc]" caption="Level04_Desc" attribute="1" defaultMemberUniqueName="[Home_State].[Level04_Desc].[All]" allUniqueName="[Home_State].[Level04_Desc].[All]" dimensionUniqueName="[Home_State]" displayFolder="" count="0" memberValueDatatype="130" unbalanced="0"/>
    <cacheHierarchy uniqueName="[Home_State].[Level05]" caption="Level05" attribute="1" defaultMemberUniqueName="[Home_State].[Level05].[All]" allUniqueName="[Home_State].[Level05].[All]" dimensionUniqueName="[Home_State]" displayFolder="" count="0" memberValueDatatype="130" unbalanced="0"/>
    <cacheHierarchy uniqueName="[Home_State].[Level05_Code]" caption="Level05_Code" attribute="1" defaultMemberUniqueName="[Home_State].[Level05_Code].[All]" allUniqueName="[Home_State].[Level05_Code].[All]" dimensionUniqueName="[Home_State]" displayFolder="" count="0" memberValueDatatype="130" unbalanced="0"/>
    <cacheHierarchy uniqueName="[Home_State].[Level05_Desc]" caption="Level05_Desc" attribute="1" defaultMemberUniqueName="[Home_State].[Level05_Desc].[All]" allUniqueName="[Home_State].[Level05_Desc].[All]" dimensionUniqueName="[Home_State]" displayFolder="" count="0" memberValueDatatype="130" unbalanced="0"/>
    <cacheHierarchy uniqueName="[Home_State].[Level06]" caption="Level06" attribute="1" defaultMemberUniqueName="[Home_State].[Level06].[All]" allUniqueName="[Home_State].[Level06].[All]" dimensionUniqueName="[Home_State]" displayFolder="" count="0" memberValueDatatype="130" unbalanced="0"/>
    <cacheHierarchy uniqueName="[Home_State].[Level06_Code]" caption="Level06_Code" attribute="1" defaultMemberUniqueName="[Home_State].[Level06_Code].[All]" allUniqueName="[Home_State].[Level06_Code].[All]" dimensionUniqueName="[Home_State]" displayFolder="" count="0" memberValueDatatype="130" unbalanced="0"/>
    <cacheHierarchy uniqueName="[Home_State].[Level06_Desc]" caption="Level06_Desc" attribute="1" defaultMemberUniqueName="[Home_State].[Level06_Desc].[All]" allUniqueName="[Home_State].[Level06_Desc].[All]" dimensionUniqueName="[Home_State]" displayFolder="" count="0" memberValueDatatype="130" unbalanced="0"/>
    <cacheHierarchy uniqueName="[Home_State].[Level07]" caption="Level07" attribute="1" defaultMemberUniqueName="[Home_State].[Level07].[All]" allUniqueName="[Home_State].[Level07].[All]" dimensionUniqueName="[Home_State]" displayFolder="" count="0" memberValueDatatype="130" unbalanced="0"/>
    <cacheHierarchy uniqueName="[Home_State].[Level07_Code]" caption="Level07_Code" attribute="1" defaultMemberUniqueName="[Home_State].[Level07_Code].[All]" allUniqueName="[Home_State].[Level07_Code].[All]" dimensionUniqueName="[Home_State]" displayFolder="" count="0" memberValueDatatype="130" unbalanced="0"/>
    <cacheHierarchy uniqueName="[Home_State].[Level07_Desc]" caption="Level07_Desc" attribute="1" defaultMemberUniqueName="[Home_State].[Level07_Desc].[All]" allUniqueName="[Home_State].[Level07_Desc].[All]" dimensionUniqueName="[Home_State]" displayFolder="" count="0" memberValueDatatype="130" unbalanced="0"/>
    <cacheHierarchy uniqueName="[Home_State].[Level08]" caption="Level08" attribute="1" defaultMemberUniqueName="[Home_State].[Level08].[All]" allUniqueName="[Home_State].[Level08].[All]" dimensionUniqueName="[Home_State]" displayFolder="" count="0" memberValueDatatype="130" unbalanced="0"/>
    <cacheHierarchy uniqueName="[Home_State].[Level08_Code]" caption="Level08_Code" attribute="1" defaultMemberUniqueName="[Home_State].[Level08_Code].[All]" allUniqueName="[Home_State].[Level08_Code].[All]" dimensionUniqueName="[Home_State]" displayFolder="" count="0" memberValueDatatype="130" unbalanced="0"/>
    <cacheHierarchy uniqueName="[Home_State].[Level08_Desc]" caption="Level08_Desc" attribute="1" defaultMemberUniqueName="[Home_State].[Level08_Desc].[All]" allUniqueName="[Home_State].[Level08_Desc].[All]" dimensionUniqueName="[Home_State]" displayFolder="" count="0" memberValueDatatype="130" unbalanced="0"/>
    <cacheHierarchy uniqueName="[Home_State].[Level09]" caption="Level09" attribute="1" defaultMemberUniqueName="[Home_State].[Level09].[All]" allUniqueName="[Home_State].[Level09].[All]" dimensionUniqueName="[Home_State]" displayFolder="" count="0" memberValueDatatype="130" unbalanced="0"/>
    <cacheHierarchy uniqueName="[Home_State].[Level09_Code]" caption="Level09_Code" attribute="1" defaultMemberUniqueName="[Home_State].[Level09_Code].[All]" allUniqueName="[Home_State].[Level09_Code].[All]" dimensionUniqueName="[Home_State]" displayFolder="" count="0" memberValueDatatype="130" unbalanced="0"/>
    <cacheHierarchy uniqueName="[Home_State].[Level09_Desc]" caption="Level09_Desc" attribute="1" defaultMemberUniqueName="[Home_State].[Level09_Desc].[All]" allUniqueName="[Home_State].[Level09_Desc].[All]" dimensionUniqueName="[Home_State]" displayFolder="" count="0" memberValueDatatype="130" unbalanced="0"/>
    <cacheHierarchy uniqueName="[Home_State].[Level10]" caption="Level10" attribute="1" defaultMemberUniqueName="[Home_State].[Level10].[All]" allUniqueName="[Home_State].[Level10].[All]" dimensionUniqueName="[Home_State]" displayFolder="" count="0" memberValueDatatype="130" unbalanced="0"/>
    <cacheHierarchy uniqueName="[Home_State].[Level10_Code]" caption="Level10_Code" attribute="1" defaultMemberUniqueName="[Home_State].[Level10_Code].[All]" allUniqueName="[Home_State].[Level10_Code].[All]" dimensionUniqueName="[Home_State]" displayFolder="" count="0" memberValueDatatype="130" unbalanced="0"/>
    <cacheHierarchy uniqueName="[Home_State].[Level10_Desc]" caption="Level10_Desc" attribute="1" defaultMemberUniqueName="[Home_State].[Level10_Desc].[All]" allUniqueName="[Home_State].[Level10_Desc].[All]" dimensionUniqueName="[Home_State]" displayFolder="" count="0" memberValueDatatype="130" unbalanced="0"/>
    <cacheHierarchy uniqueName="[Home_State].[Level11]" caption="Level11" attribute="1" defaultMemberUniqueName="[Home_State].[Level11].[All]" allUniqueName="[Home_State].[Level11].[All]" dimensionUniqueName="[Home_State]" displayFolder="" count="0" memberValueDatatype="130" unbalanced="0"/>
    <cacheHierarchy uniqueName="[Home_State].[Level11_Code]" caption="Level11_Code" attribute="1" defaultMemberUniqueName="[Home_State].[Level11_Code].[All]" allUniqueName="[Home_State].[Level11_Code].[All]" dimensionUniqueName="[Home_State]" displayFolder="" count="0" memberValueDatatype="130" unbalanced="0"/>
    <cacheHierarchy uniqueName="[Home_State].[Level11_Desc]" caption="Level11_Desc" attribute="1" defaultMemberUniqueName="[Home_State].[Level11_Desc].[All]" allUniqueName="[Home_State].[Level11_Desc].[All]" dimensionUniqueName="[Home_State]" displayFolder="" count="0" memberValueDatatype="130" unbalanced="0"/>
    <cacheHierarchy uniqueName="[Home_State].[Level12]" caption="Level12" attribute="1" defaultMemberUniqueName="[Home_State].[Level12].[All]" allUniqueName="[Home_State].[Level12].[All]" dimensionUniqueName="[Home_State]" displayFolder="" count="0" memberValueDatatype="130" unbalanced="0"/>
    <cacheHierarchy uniqueName="[Home_State].[Level12_Code]" caption="Level12_Code" attribute="1" defaultMemberUniqueName="[Home_State].[Level12_Code].[All]" allUniqueName="[Home_State].[Level12_Code].[All]" dimensionUniqueName="[Home_State]" displayFolder="" count="0" memberValueDatatype="130" unbalanced="0"/>
    <cacheHierarchy uniqueName="[Home_State].[Level12_Desc]" caption="Level12_Desc" attribute="1" defaultMemberUniqueName="[Home_State].[Level12_Desc].[All]" allUniqueName="[Home_State].[Level12_Desc].[All]" dimensionUniqueName="[Home_State]" displayFolder="" count="0" memberValueDatatype="130" unbalanced="0"/>
    <cacheHierarchy uniqueName="[Home_State].[Level13]" caption="Level13" attribute="1" defaultMemberUniqueName="[Home_State].[Level13].[All]" allUniqueName="[Home_State].[Level13].[All]" dimensionUniqueName="[Home_State]" displayFolder="" count="0" memberValueDatatype="130" unbalanced="0"/>
    <cacheHierarchy uniqueName="[Home_State].[Level13_Code]" caption="Level13_Code" attribute="1" defaultMemberUniqueName="[Home_State].[Level13_Code].[All]" allUniqueName="[Home_State].[Level13_Code].[All]" dimensionUniqueName="[Home_State]" displayFolder="" count="0" memberValueDatatype="130" unbalanced="0"/>
    <cacheHierarchy uniqueName="[Home_State].[Level13_Desc]" caption="Level13_Desc" attribute="1" defaultMemberUniqueName="[Home_State].[Level13_Desc].[All]" allUniqueName="[Home_State].[Level13_Desc].[All]" dimensionUniqueName="[Home_State]" displayFolder="" count="0" memberValueDatatype="130" unbalanced="0"/>
    <cacheHierarchy uniqueName="[Home_State].[Level14]" caption="Level14" attribute="1" defaultMemberUniqueName="[Home_State].[Level14].[All]" allUniqueName="[Home_State].[Level14].[All]" dimensionUniqueName="[Home_State]" displayFolder="" count="0" memberValueDatatype="130" unbalanced="0"/>
    <cacheHierarchy uniqueName="[Home_State].[Level14_Code]" caption="Level14_Code" attribute="1" defaultMemberUniqueName="[Home_State].[Level14_Code].[All]" allUniqueName="[Home_State].[Level14_Code].[All]" dimensionUniqueName="[Home_State]" displayFolder="" count="0" memberValueDatatype="130" unbalanced="0"/>
    <cacheHierarchy uniqueName="[Home_State].[Level14_Desc]" caption="Level14_Desc" attribute="1" defaultMemberUniqueName="[Home_State].[Level14_Desc].[All]" allUniqueName="[Home_State].[Level14_Desc].[All]" dimensionUniqueName="[Home_State]" displayFolder="" count="0" memberValueDatatype="130" unbalanced="0"/>
    <cacheHierarchy uniqueName="[Home_State].[Level15]" caption="Level15" attribute="1" defaultMemberUniqueName="[Home_State].[Level15].[All]" allUniqueName="[Home_State].[Level15].[All]" dimensionUniqueName="[Home_State]" displayFolder="" count="0" memberValueDatatype="130" unbalanced="0"/>
    <cacheHierarchy uniqueName="[Home_State].[Level15_Code]" caption="Level15_Code" attribute="1" defaultMemberUniqueName="[Home_State].[Level15_Code].[All]" allUniqueName="[Home_State].[Level15_Code].[All]" dimensionUniqueName="[Home_State]" displayFolder="" count="0" memberValueDatatype="130" unbalanced="0"/>
    <cacheHierarchy uniqueName="[Home_State].[Level15_Desc]" caption="Level15_Desc" attribute="1" defaultMemberUniqueName="[Home_State].[Level15_Desc].[All]" allUniqueName="[Home_State].[Level15_Desc].[All]" dimensionUniqueName="[Home_State]" displayFolder="" count="0" memberValueDatatype="130" unbalanced="0"/>
    <cacheHierarchy uniqueName="[Home_State].[Level16]" caption="Level16" attribute="1" defaultMemberUniqueName="[Home_State].[Level16].[All]" allUniqueName="[Home_State].[Level16].[All]" dimensionUniqueName="[Home_State]" displayFolder="" count="0" memberValueDatatype="130" unbalanced="0"/>
    <cacheHierarchy uniqueName="[Home_State].[Level16_Code]" caption="Level16_Code" attribute="1" defaultMemberUniqueName="[Home_State].[Level16_Code].[All]" allUniqueName="[Home_State].[Level16_Code].[All]" dimensionUniqueName="[Home_State]" displayFolder="" count="0" memberValueDatatype="130" unbalanced="0"/>
    <cacheHierarchy uniqueName="[Home_State].[Level16_Desc]" caption="Level16_Desc" attribute="1" defaultMemberUniqueName="[Home_State].[Level16_Desc].[All]" allUniqueName="[Home_State].[Level16_Desc].[All]" dimensionUniqueName="[Home_State]" displayFolder="" count="0" memberValueDatatype="130" unbalanced="0"/>
    <cacheHierarchy uniqueName="[Home_State].[Level17]" caption="Level17" attribute="1" defaultMemberUniqueName="[Home_State].[Level17].[All]" allUniqueName="[Home_State].[Level17].[All]" dimensionUniqueName="[Home_State]" displayFolder="" count="0" memberValueDatatype="130" unbalanced="0"/>
    <cacheHierarchy uniqueName="[Home_State].[Level17_Code]" caption="Level17_Code" attribute="1" defaultMemberUniqueName="[Home_State].[Level17_Code].[All]" allUniqueName="[Home_State].[Level17_Code].[All]" dimensionUniqueName="[Home_State]" displayFolder="" count="0" memberValueDatatype="130" unbalanced="0"/>
    <cacheHierarchy uniqueName="[Home_State].[Level17_Desc]" caption="Level17_Desc" attribute="1" defaultMemberUniqueName="[Home_State].[Level17_Desc].[All]" allUniqueName="[Home_State].[Level17_Desc].[All]" dimensionUniqueName="[Home_State]" displayFolder="" count="0" memberValueDatatype="130" unbalanced="0"/>
    <cacheHierarchy uniqueName="[Home_State].[Level18]" caption="Level18" attribute="1" defaultMemberUniqueName="[Home_State].[Level18].[All]" allUniqueName="[Home_State].[Level18].[All]" dimensionUniqueName="[Home_State]" displayFolder="" count="0" memberValueDatatype="130" unbalanced="0"/>
    <cacheHierarchy uniqueName="[Home_State].[Level18_Code]" caption="Level18_Code" attribute="1" defaultMemberUniqueName="[Home_State].[Level18_Code].[All]" allUniqueName="[Home_State].[Level18_Code].[All]" dimensionUniqueName="[Home_State]" displayFolder="" count="0" memberValueDatatype="130" unbalanced="0"/>
    <cacheHierarchy uniqueName="[Home_State].[Level18_Desc]" caption="Level18_Desc" attribute="1" defaultMemberUniqueName="[Home_State].[Level18_Desc].[All]" allUniqueName="[Home_State].[Level18_Desc].[All]" dimensionUniqueName="[Home_State]" displayFolder="" count="0" memberValueDatatype="130" unbalanced="0"/>
    <cacheHierarchy uniqueName="[Home_State].[Level19]" caption="Level19" attribute="1" defaultMemberUniqueName="[Home_State].[Level19].[All]" allUniqueName="[Home_State].[Level19].[All]" dimensionUniqueName="[Home_State]" displayFolder="" count="0" memberValueDatatype="130" unbalanced="0"/>
    <cacheHierarchy uniqueName="[Home_State].[Level19_Code]" caption="Level19_Code" attribute="1" defaultMemberUniqueName="[Home_State].[Level19_Code].[All]" allUniqueName="[Home_State].[Level19_Code].[All]" dimensionUniqueName="[Home_State]" displayFolder="" count="0" memberValueDatatype="130" unbalanced="0"/>
    <cacheHierarchy uniqueName="[Home_State].[Level19_Desc]" caption="Level19_Desc" attribute="1" defaultMemberUniqueName="[Home_State].[Level19_Desc].[All]" allUniqueName="[Home_State].[Level19_Desc].[All]" dimensionUniqueName="[Home_State]" displayFolder="" count="0" memberValueDatatype="130" unbalanced="0"/>
    <cacheHierarchy uniqueName="[Home_State].[Level20]" caption="Level20" attribute="1" defaultMemberUniqueName="[Home_State].[Level20].[All]" allUniqueName="[Home_State].[Level20].[All]" dimensionUniqueName="[Home_State]" displayFolder="" count="0" memberValueDatatype="130" unbalanced="0"/>
    <cacheHierarchy uniqueName="[Home_State].[Level20_Code]" caption="Level20_Code" attribute="1" defaultMemberUniqueName="[Home_State].[Level20_Code].[All]" allUniqueName="[Home_State].[Level20_Code].[All]" dimensionUniqueName="[Home_State]" displayFolder="" count="0" memberValueDatatype="130" unbalanced="0"/>
    <cacheHierarchy uniqueName="[Home_State].[Level20_Desc]" caption="Level20_Desc" attribute="1" defaultMemberUniqueName="[Home_State].[Level20_Desc].[All]" allUniqueName="[Home_State].[Level20_Desc].[All]" dimensionUniqueName="[Home_State]" displayFolder="" count="0" memberValueDatatype="130" unbalanced="0"/>
    <cacheHierarchy uniqueName="[Journal_Source].[GFS_SOURCE_INTERFACE_SYSTEM_CODE]" caption="GFS_SOURCE_INTERFACE_SYSTEM_CODE" attribute="1" defaultMemberUniqueName="[Journal_Source].[GFS_SOURCE_INTERFACE_SYSTEM_CODE].[All]" allUniqueName="[Journal_Source].[GFS_SOURCE_INTERFACE_SYSTEM_CODE].[All]" dimensionUniqueName="[Journal_Source]" displayFolder="" count="0" memberValueDatatype="130" unbalanced="0"/>
    <cacheHierarchy uniqueName="[Journal_Source].[GFS_SOURCE_INTERFACE_SYSTEM_CODE_DESC]" caption="GFS_SOURCE_INTERFACE_SYSTEM_CODE_DESC" attribute="1" defaultMemberUniqueName="[Journal_Source].[GFS_SOURCE_INTERFACE_SYSTEM_CODE_DESC].[All]" allUniqueName="[Journal_Source].[GFS_SOURCE_INTERFACE_SYSTEM_CODE_DESC].[All]" dimensionUniqueName="[Journal_Source]" displayFolder="" count="0" memberValueDatatype="130" unbalanced="0"/>
    <cacheHierarchy uniqueName="[Journal_Source].[GFS_SOURCE_INTERFACE_SYSTEM_DESC]" caption="GFS_SOURCE_INTERFACE_SYSTEM_DESC" attribute="1" defaultMemberUniqueName="[Journal_Source].[GFS_SOURCE_INTERFACE_SYSTEM_DESC].[All]" allUniqueName="[Journal_Source].[GFS_SOURCE_INTERFACE_SYSTEM_DESC].[All]" dimensionUniqueName="[Journal_Source]" displayFolder="" count="0" memberValueDatatype="130" unbalanced="0"/>
    <cacheHierarchy uniqueName="[Journal_Source].[Journal Source]" caption="Journal Source" defaultMemberUniqueName="[Journal_Source].[Journal Source].[All]" allUniqueName="[Journal_Source].[Journal Source].[All]" dimensionUniqueName="[Journal_Source]" displayFolder="" count="0" unbalanced="0"/>
    <cacheHierarchy uniqueName="[Ledger].[Ledger Code]" caption="Ledger Code" defaultMemberUniqueName="[Ledger].[Ledger Code].[All]" allUniqueName="[Ledger].[Ledger Code].[All]" dimensionUniqueName="[Ledger]" displayFolder="" count="0" unbalanced="0"/>
    <cacheHierarchy uniqueName="[Ledger].[Ledger Cur Code]" caption="Ledger Cur Code" defaultMemberUniqueName="[Ledger].[Ledger Cur Code].[All]" allUniqueName="[Ledger].[Ledger Cur Code].[All]" dimensionUniqueName="[Ledger]" displayFolder="" count="0" unbalanced="0"/>
    <cacheHierarchy uniqueName="[Ledger].[Ledger Hierarchy]" caption="Ledger Hierarchy" defaultMemberUniqueName="[Ledger].[Ledger Hierarchy].[All]" allUniqueName="[Ledger].[Ledger Hierarchy].[All]" dimensionUniqueName="[Ledger]" displayFolder="" count="0" unbalanced="0"/>
    <cacheHierarchy uniqueName="[Ledger].[Ledger Name]" caption="Ledger Name" defaultMemberUniqueName="[Ledger].[Ledger Name].[All]" allUniqueName="[Ledger].[Ledger Name].[All]" dimensionUniqueName="[Ledger]" displayFolder="" count="2" unbalanced="0">
      <fieldsUsage count="2">
        <fieldUsage x="-1"/>
        <fieldUsage x="26"/>
      </fieldsUsage>
    </cacheHierarchy>
    <cacheHierarchy uniqueName="[Ledger].[Ledger_CCY_Code]" caption="Ledger_CCY_Code" attribute="1" defaultMemberUniqueName="[Ledger].[Ledger_CCY_Code].[All]" allUniqueName="[Ledger].[Ledger_CCY_Code].[All]" dimensionUniqueName="[Ledger]" displayFolder="" count="0" memberValueDatatype="130" unbalanced="0"/>
    <cacheHierarchy uniqueName="[Ledger].[Ledger_Code]" caption="Ledger_Code" attribute="1" defaultMemberUniqueName="[Ledger].[Ledger_Code].[All]" allUniqueName="[Ledger].[Ledger_Code].[All]" dimensionUniqueName="[Ledger]" displayFolder="" count="0" memberValueDatatype="130" unbalanced="0"/>
    <cacheHierarchy uniqueName="[Ledger].[Ledger_Name]" caption="Ledger_Name" attribute="1" defaultMemberUniqueName="[Ledger].[Ledger_Name].[All]" allUniqueName="[Ledger].[Ledger_Name].[All]" dimensionUniqueName="[Ledger]" displayFolder="" count="0" memberValueDatatype="130" unbalanced="0"/>
    <cacheHierarchy uniqueName="[Ledger].[Ledger_Set_Code]" caption="Ledger_Set_Code" attribute="1" defaultMemberUniqueName="[Ledger].[Ledger_Set_Code].[All]" allUniqueName="[Ledger].[Ledger_Set_Code].[All]" dimensionUniqueName="[Ledger]" displayFolder="" count="0" memberValueDatatype="130" unbalanced="0"/>
    <cacheHierarchy uniqueName="[Location_Consolidated].[Consol Location Code]" caption="Consol Location Code" defaultMemberUniqueName="[Location_Consolidated].[Consol Location Code].[All]" allUniqueName="[Location_Consolidated].[Consol Location Code].[All]" dimensionUniqueName="[Location_Consolidated]" displayFolder="" count="0" unbalanced="0"/>
    <cacheHierarchy uniqueName="[Location_Consolidated].[Consol Location Code Desc]" caption="Consol Location Code Desc" defaultMemberUniqueName="[Location_Consolidated].[Consol Location Code Desc].[All]" allUniqueName="[Location_Consolidated].[Consol Location Code Desc].[All]" dimensionUniqueName="[Location_Consolidated]" displayFolder="" count="0" unbalanced="0"/>
    <cacheHierarchy uniqueName="[Location_Consolidated].[Consol Location Desc]" caption="Consol Location Desc" defaultMemberUniqueName="[Location_Consolidated].[Consol Location Desc].[All]" allUniqueName="[Location_Consolidated].[Consol Location Desc].[All]" dimensionUniqueName="[Location_Consolidated]" displayFolder="" count="0" unbalanced="0"/>
    <cacheHierarchy uniqueName="[Location_Consolidated].[Hier_Consol Location Code]" caption="Hier_Consol Location Code" defaultMemberUniqueName="[Location_Consolidated].[Hier_Consol Location Code].[All]" allUniqueName="[Location_Consolidated].[Hier_Consol Location Code].[All]" dimensionUniqueName="[Location_Consolidated]" displayFolder="" count="0" unbalanced="0"/>
    <cacheHierarchy uniqueName="[Location_Consolidated].[Hier_Consol Location Code Desc]" caption="Hier_Consol Location Code Desc" defaultMemberUniqueName="[Location_Consolidated].[Hier_Consol Location Code Desc].[All]" allUniqueName="[Location_Consolidated].[Hier_Consol Location Code Desc].[All]" dimensionUniqueName="[Location_Consolidated]" displayFolder="" count="0" unbalanced="0"/>
    <cacheHierarchy uniqueName="[Location_Consolidated].[Hier_Consol Location Desc]" caption="Hier_Consol Location Desc" defaultMemberUniqueName="[Location_Consolidated].[Hier_Consol Location Desc].[All]" allUniqueName="[Location_Consolidated].[Hier_Consol Location Desc].[All]" dimensionUniqueName="[Location_Consolidated]" displayFolder="" count="0" unbalanced="0"/>
    <cacheHierarchy uniqueName="[Location_Consolidated].[Level01]" caption="Level01" attribute="1" defaultMemberUniqueName="[Location_Consolidated].[Level01].[All]" allUniqueName="[Location_Consolidated].[Level01].[All]" dimensionUniqueName="[Location_Consolidated]" displayFolder="" count="0" memberValueDatatype="130" unbalanced="0"/>
    <cacheHierarchy uniqueName="[Location_Consolidated].[Level01_Code]" caption="Level01_Code" attribute="1" defaultMemberUniqueName="[Location_Consolidated].[Level01_Code].[All]" allUniqueName="[Location_Consolidated].[Level01_Code].[All]" dimensionUniqueName="[Location_Consolidated]" displayFolder="" count="0" memberValueDatatype="130" unbalanced="0"/>
    <cacheHierarchy uniqueName="[Location_Consolidated].[Level01_Desc]" caption="Level01_Desc" attribute="1" defaultMemberUniqueName="[Location_Consolidated].[Level01_Desc].[All]" allUniqueName="[Location_Consolidated].[Level01_Desc].[All]" dimensionUniqueName="[Location_Consolidated]" displayFolder="" count="0" memberValueDatatype="130" unbalanced="0"/>
    <cacheHierarchy uniqueName="[Location_Consolidated].[Level02]" caption="Level02" attribute="1" defaultMemberUniqueName="[Location_Consolidated].[Level02].[All]" allUniqueName="[Location_Consolidated].[Level02].[All]" dimensionUniqueName="[Location_Consolidated]" displayFolder="" count="0" memberValueDatatype="130" unbalanced="0"/>
    <cacheHierarchy uniqueName="[Location_Consolidated].[Level02_Code]" caption="Level02_Code" attribute="1" defaultMemberUniqueName="[Location_Consolidated].[Level02_Code].[All]" allUniqueName="[Location_Consolidated].[Level02_Code].[All]" dimensionUniqueName="[Location_Consolidated]" displayFolder="" count="0" memberValueDatatype="130" unbalanced="0"/>
    <cacheHierarchy uniqueName="[Location_Consolidated].[Level02_Desc]" caption="Level02_Desc" attribute="1" defaultMemberUniqueName="[Location_Consolidated].[Level02_Desc].[All]" allUniqueName="[Location_Consolidated].[Level02_Desc].[All]" dimensionUniqueName="[Location_Consolidated]" displayFolder="" count="0" memberValueDatatype="130" unbalanced="0"/>
    <cacheHierarchy uniqueName="[Location_Consolidated].[Level03]" caption="Level03" attribute="1" defaultMemberUniqueName="[Location_Consolidated].[Level03].[All]" allUniqueName="[Location_Consolidated].[Level03].[All]" dimensionUniqueName="[Location_Consolidated]" displayFolder="" count="0" memberValueDatatype="130" unbalanced="0"/>
    <cacheHierarchy uniqueName="[Location_Consolidated].[Level03_Code]" caption="Level03_Code" attribute="1" defaultMemberUniqueName="[Location_Consolidated].[Level03_Code].[All]" allUniqueName="[Location_Consolidated].[Level03_Code].[All]" dimensionUniqueName="[Location_Consolidated]" displayFolder="" count="0" memberValueDatatype="130" unbalanced="0"/>
    <cacheHierarchy uniqueName="[Location_Consolidated].[Level03_Desc]" caption="Level03_Desc" attribute="1" defaultMemberUniqueName="[Location_Consolidated].[Level03_Desc].[All]" allUniqueName="[Location_Consolidated].[Level03_Desc].[All]" dimensionUniqueName="[Location_Consolidated]" displayFolder="" count="0" memberValueDatatype="130" unbalanced="0"/>
    <cacheHierarchy uniqueName="[Location_Consolidated].[Level04]" caption="Level04" attribute="1" defaultMemberUniqueName="[Location_Consolidated].[Level04].[All]" allUniqueName="[Location_Consolidated].[Level04].[All]" dimensionUniqueName="[Location_Consolidated]" displayFolder="" count="0" memberValueDatatype="130" unbalanced="0"/>
    <cacheHierarchy uniqueName="[Location_Consolidated].[Level04_Code]" caption="Level04_Code" attribute="1" defaultMemberUniqueName="[Location_Consolidated].[Level04_Code].[All]" allUniqueName="[Location_Consolidated].[Level04_Code].[All]" dimensionUniqueName="[Location_Consolidated]" displayFolder="" count="0" memberValueDatatype="130" unbalanced="0"/>
    <cacheHierarchy uniqueName="[Location_Consolidated].[Level04_Desc]" caption="Level04_Desc" attribute="1" defaultMemberUniqueName="[Location_Consolidated].[Level04_Desc].[All]" allUniqueName="[Location_Consolidated].[Level04_Desc].[All]" dimensionUniqueName="[Location_Consolidated]" displayFolder="" count="0" memberValueDatatype="130" unbalanced="0"/>
    <cacheHierarchy uniqueName="[Location_Consolidated].[Level05]" caption="Level05" attribute="1" defaultMemberUniqueName="[Location_Consolidated].[Level05].[All]" allUniqueName="[Location_Consolidated].[Level05].[All]" dimensionUniqueName="[Location_Consolidated]" displayFolder="" count="0" memberValueDatatype="130" unbalanced="0"/>
    <cacheHierarchy uniqueName="[Location_Consolidated].[Level05_Code]" caption="Level05_Code" attribute="1" defaultMemberUniqueName="[Location_Consolidated].[Level05_Code].[All]" allUniqueName="[Location_Consolidated].[Level05_Code].[All]" dimensionUniqueName="[Location_Consolidated]" displayFolder="" count="0" memberValueDatatype="130" unbalanced="0"/>
    <cacheHierarchy uniqueName="[Location_Consolidated].[Level05_Desc]" caption="Level05_Desc" attribute="1" defaultMemberUniqueName="[Location_Consolidated].[Level05_Desc].[All]" allUniqueName="[Location_Consolidated].[Level05_Desc].[All]" dimensionUniqueName="[Location_Consolidated]" displayFolder="" count="0" memberValueDatatype="130" unbalanced="0"/>
    <cacheHierarchy uniqueName="[Location_Consolidated].[Level06]" caption="Level06" attribute="1" defaultMemberUniqueName="[Location_Consolidated].[Level06].[All]" allUniqueName="[Location_Consolidated].[Level06].[All]" dimensionUniqueName="[Location_Consolidated]" displayFolder="" count="0" memberValueDatatype="130" unbalanced="0"/>
    <cacheHierarchy uniqueName="[Location_Consolidated].[Level06_Code]" caption="Level06_Code" attribute="1" defaultMemberUniqueName="[Location_Consolidated].[Level06_Code].[All]" allUniqueName="[Location_Consolidated].[Level06_Code].[All]" dimensionUniqueName="[Location_Consolidated]" displayFolder="" count="0" memberValueDatatype="130" unbalanced="0"/>
    <cacheHierarchy uniqueName="[Location_Consolidated].[Level06_Desc]" caption="Level06_Desc" attribute="1" defaultMemberUniqueName="[Location_Consolidated].[Level06_Desc].[All]" allUniqueName="[Location_Consolidated].[Level06_Desc].[All]" dimensionUniqueName="[Location_Consolidated]" displayFolder="" count="0" memberValueDatatype="130" unbalanced="0"/>
    <cacheHierarchy uniqueName="[Location_Consolidated].[Level07]" caption="Level07" attribute="1" defaultMemberUniqueName="[Location_Consolidated].[Level07].[All]" allUniqueName="[Location_Consolidated].[Level07].[All]" dimensionUniqueName="[Location_Consolidated]" displayFolder="" count="0" memberValueDatatype="130" unbalanced="0"/>
    <cacheHierarchy uniqueName="[Location_Consolidated].[Level07_Code]" caption="Level07_Code" attribute="1" defaultMemberUniqueName="[Location_Consolidated].[Level07_Code].[All]" allUniqueName="[Location_Consolidated].[Level07_Code].[All]" dimensionUniqueName="[Location_Consolidated]" displayFolder="" count="0" memberValueDatatype="130" unbalanced="0"/>
    <cacheHierarchy uniqueName="[Location_Consolidated].[Level07_Desc]" caption="Level07_Desc" attribute="1" defaultMemberUniqueName="[Location_Consolidated].[Level07_Desc].[All]" allUniqueName="[Location_Consolidated].[Level07_Desc].[All]" dimensionUniqueName="[Location_Consolidated]" displayFolder="" count="0" memberValueDatatype="130" unbalanced="0"/>
    <cacheHierarchy uniqueName="[Location_Consolidated].[Level08]" caption="Level08" attribute="1" defaultMemberUniqueName="[Location_Consolidated].[Level08].[All]" allUniqueName="[Location_Consolidated].[Level08].[All]" dimensionUniqueName="[Location_Consolidated]" displayFolder="" count="0" memberValueDatatype="130" unbalanced="0"/>
    <cacheHierarchy uniqueName="[Location_Consolidated].[Level08_Code]" caption="Level08_Code" attribute="1" defaultMemberUniqueName="[Location_Consolidated].[Level08_Code].[All]" allUniqueName="[Location_Consolidated].[Level08_Code].[All]" dimensionUniqueName="[Location_Consolidated]" displayFolder="" count="0" memberValueDatatype="130" unbalanced="0"/>
    <cacheHierarchy uniqueName="[Location_Consolidated].[Level08_Desc]" caption="Level08_Desc" attribute="1" defaultMemberUniqueName="[Location_Consolidated].[Level08_Desc].[All]" allUniqueName="[Location_Consolidated].[Level08_Desc].[All]" dimensionUniqueName="[Location_Consolidated]" displayFolder="" count="0" memberValueDatatype="130" unbalanced="0"/>
    <cacheHierarchy uniqueName="[Location_Consolidated].[Level09]" caption="Level09" attribute="1" defaultMemberUniqueName="[Location_Consolidated].[Level09].[All]" allUniqueName="[Location_Consolidated].[Level09].[All]" dimensionUniqueName="[Location_Consolidated]" displayFolder="" count="0" memberValueDatatype="130" unbalanced="0"/>
    <cacheHierarchy uniqueName="[Location_Consolidated].[Level09_Code]" caption="Level09_Code" attribute="1" defaultMemberUniqueName="[Location_Consolidated].[Level09_Code].[All]" allUniqueName="[Location_Consolidated].[Level09_Code].[All]" dimensionUniqueName="[Location_Consolidated]" displayFolder="" count="0" memberValueDatatype="130" unbalanced="0"/>
    <cacheHierarchy uniqueName="[Location_Consolidated].[Level09_Desc]" caption="Level09_Desc" attribute="1" defaultMemberUniqueName="[Location_Consolidated].[Level09_Desc].[All]" allUniqueName="[Location_Consolidated].[Level09_Desc].[All]" dimensionUniqueName="[Location_Consolidated]" displayFolder="" count="0" memberValueDatatype="130" unbalanced="0"/>
    <cacheHierarchy uniqueName="[Location_Consolidated].[Level10]" caption="Level10" attribute="1" defaultMemberUniqueName="[Location_Consolidated].[Level10].[All]" allUniqueName="[Location_Consolidated].[Level10].[All]" dimensionUniqueName="[Location_Consolidated]" displayFolder="" count="0" memberValueDatatype="130" unbalanced="0"/>
    <cacheHierarchy uniqueName="[Location_Consolidated].[Level10_Code]" caption="Level10_Code" attribute="1" defaultMemberUniqueName="[Location_Consolidated].[Level10_Code].[All]" allUniqueName="[Location_Consolidated].[Level10_Code].[All]" dimensionUniqueName="[Location_Consolidated]" displayFolder="" count="0" memberValueDatatype="130" unbalanced="0"/>
    <cacheHierarchy uniqueName="[Location_Consolidated].[Level10_Desc]" caption="Level10_Desc" attribute="1" defaultMemberUniqueName="[Location_Consolidated].[Level10_Desc].[All]" allUniqueName="[Location_Consolidated].[Level10_Desc].[All]" dimensionUniqueName="[Location_Consolidated]" displayFolder="" count="0" memberValueDatatype="130" unbalanced="0"/>
    <cacheHierarchy uniqueName="[Location_Consolidated].[Level11]" caption="Level11" attribute="1" defaultMemberUniqueName="[Location_Consolidated].[Level11].[All]" allUniqueName="[Location_Consolidated].[Level11].[All]" dimensionUniqueName="[Location_Consolidated]" displayFolder="" count="0" memberValueDatatype="130" unbalanced="0"/>
    <cacheHierarchy uniqueName="[Location_Consolidated].[Level11_Code]" caption="Level11_Code" attribute="1" defaultMemberUniqueName="[Location_Consolidated].[Level11_Code].[All]" allUniqueName="[Location_Consolidated].[Level11_Code].[All]" dimensionUniqueName="[Location_Consolidated]" displayFolder="" count="0" memberValueDatatype="130" unbalanced="0"/>
    <cacheHierarchy uniqueName="[Location_Consolidated].[Level11_Desc]" caption="Level11_Desc" attribute="1" defaultMemberUniqueName="[Location_Consolidated].[Level11_Desc].[All]" allUniqueName="[Location_Consolidated].[Level11_Desc].[All]" dimensionUniqueName="[Location_Consolidated]" displayFolder="" count="0" memberValueDatatype="130" unbalanced="0"/>
    <cacheHierarchy uniqueName="[Location_Consolidated].[Level12]" caption="Level12" attribute="1" defaultMemberUniqueName="[Location_Consolidated].[Level12].[All]" allUniqueName="[Location_Consolidated].[Level12].[All]" dimensionUniqueName="[Location_Consolidated]" displayFolder="" count="0" memberValueDatatype="130" unbalanced="0"/>
    <cacheHierarchy uniqueName="[Location_Consolidated].[Level12_Code]" caption="Level12_Code" attribute="1" defaultMemberUniqueName="[Location_Consolidated].[Level12_Code].[All]" allUniqueName="[Location_Consolidated].[Level12_Code].[All]" dimensionUniqueName="[Location_Consolidated]" displayFolder="" count="0" memberValueDatatype="130" unbalanced="0"/>
    <cacheHierarchy uniqueName="[Location_Consolidated].[Level12_Desc]" caption="Level12_Desc" attribute="1" defaultMemberUniqueName="[Location_Consolidated].[Level12_Desc].[All]" allUniqueName="[Location_Consolidated].[Level12_Desc].[All]" dimensionUniqueName="[Location_Consolidated]" displayFolder="" count="0" memberValueDatatype="130" unbalanced="0"/>
    <cacheHierarchy uniqueName="[Location_Consolidated].[Level13]" caption="Level13" attribute="1" defaultMemberUniqueName="[Location_Consolidated].[Level13].[All]" allUniqueName="[Location_Consolidated].[Level13].[All]" dimensionUniqueName="[Location_Consolidated]" displayFolder="" count="0" memberValueDatatype="130" unbalanced="0"/>
    <cacheHierarchy uniqueName="[Location_Consolidated].[Level13_Code]" caption="Level13_Code" attribute="1" defaultMemberUniqueName="[Location_Consolidated].[Level13_Code].[All]" allUniqueName="[Location_Consolidated].[Level13_Code].[All]" dimensionUniqueName="[Location_Consolidated]" displayFolder="" count="0" memberValueDatatype="130" unbalanced="0"/>
    <cacheHierarchy uniqueName="[Location_Consolidated].[Level13_Desc]" caption="Level13_Desc" attribute="1" defaultMemberUniqueName="[Location_Consolidated].[Level13_Desc].[All]" allUniqueName="[Location_Consolidated].[Level13_Desc].[All]" dimensionUniqueName="[Location_Consolidated]" displayFolder="" count="0" memberValueDatatype="130" unbalanced="0"/>
    <cacheHierarchy uniqueName="[Location_Consolidated].[Level14]" caption="Level14" attribute="1" defaultMemberUniqueName="[Location_Consolidated].[Level14].[All]" allUniqueName="[Location_Consolidated].[Level14].[All]" dimensionUniqueName="[Location_Consolidated]" displayFolder="" count="0" memberValueDatatype="130" unbalanced="0"/>
    <cacheHierarchy uniqueName="[Location_Consolidated].[Level14_Code]" caption="Level14_Code" attribute="1" defaultMemberUniqueName="[Location_Consolidated].[Level14_Code].[All]" allUniqueName="[Location_Consolidated].[Level14_Code].[All]" dimensionUniqueName="[Location_Consolidated]" displayFolder="" count="0" memberValueDatatype="130" unbalanced="0"/>
    <cacheHierarchy uniqueName="[Location_Consolidated].[Level14_Desc]" caption="Level14_Desc" attribute="1" defaultMemberUniqueName="[Location_Consolidated].[Level14_Desc].[All]" allUniqueName="[Location_Consolidated].[Level14_Desc].[All]" dimensionUniqueName="[Location_Consolidated]" displayFolder="" count="0" memberValueDatatype="130" unbalanced="0"/>
    <cacheHierarchy uniqueName="[Location_Consolidated].[Level15]" caption="Level15" attribute="1" defaultMemberUniqueName="[Location_Consolidated].[Level15].[All]" allUniqueName="[Location_Consolidated].[Level15].[All]" dimensionUniqueName="[Location_Consolidated]" displayFolder="" count="0" memberValueDatatype="130" unbalanced="0"/>
    <cacheHierarchy uniqueName="[Location_Consolidated].[Level15_Code]" caption="Level15_Code" attribute="1" defaultMemberUniqueName="[Location_Consolidated].[Level15_Code].[All]" allUniqueName="[Location_Consolidated].[Level15_Code].[All]" dimensionUniqueName="[Location_Consolidated]" displayFolder="" count="0" memberValueDatatype="130" unbalanced="0"/>
    <cacheHierarchy uniqueName="[Location_Consolidated].[Level15_Desc]" caption="Level15_Desc" attribute="1" defaultMemberUniqueName="[Location_Consolidated].[Level15_Desc].[All]" allUniqueName="[Location_Consolidated].[Level15_Desc].[All]" dimensionUniqueName="[Location_Consolidated]" displayFolder="" count="0" memberValueDatatype="130" unbalanced="0"/>
    <cacheHierarchy uniqueName="[Location_Consolidated].[Level16]" caption="Level16" attribute="1" defaultMemberUniqueName="[Location_Consolidated].[Level16].[All]" allUniqueName="[Location_Consolidated].[Level16].[All]" dimensionUniqueName="[Location_Consolidated]" displayFolder="" count="0" memberValueDatatype="130" unbalanced="0"/>
    <cacheHierarchy uniqueName="[Location_Consolidated].[Level16_Code]" caption="Level16_Code" attribute="1" defaultMemberUniqueName="[Location_Consolidated].[Level16_Code].[All]" allUniqueName="[Location_Consolidated].[Level16_Code].[All]" dimensionUniqueName="[Location_Consolidated]" displayFolder="" count="0" memberValueDatatype="130" unbalanced="0"/>
    <cacheHierarchy uniqueName="[Location_Consolidated].[Level16_Desc]" caption="Level16_Desc" attribute="1" defaultMemberUniqueName="[Location_Consolidated].[Level16_Desc].[All]" allUniqueName="[Location_Consolidated].[Level16_Desc].[All]" dimensionUniqueName="[Location_Consolidated]" displayFolder="" count="0" memberValueDatatype="130" unbalanced="0"/>
    <cacheHierarchy uniqueName="[Location_Consolidated].[Level17]" caption="Level17" attribute="1" defaultMemberUniqueName="[Location_Consolidated].[Level17].[All]" allUniqueName="[Location_Consolidated].[Level17].[All]" dimensionUniqueName="[Location_Consolidated]" displayFolder="" count="0" memberValueDatatype="130" unbalanced="0"/>
    <cacheHierarchy uniqueName="[Location_Consolidated].[Level17_Code]" caption="Level17_Code" attribute="1" defaultMemberUniqueName="[Location_Consolidated].[Level17_Code].[All]" allUniqueName="[Location_Consolidated].[Level17_Code].[All]" dimensionUniqueName="[Location_Consolidated]" displayFolder="" count="0" memberValueDatatype="130" unbalanced="0"/>
    <cacheHierarchy uniqueName="[Location_Consolidated].[Level17_Desc]" caption="Level17_Desc" attribute="1" defaultMemberUniqueName="[Location_Consolidated].[Level17_Desc].[All]" allUniqueName="[Location_Consolidated].[Level17_Desc].[All]" dimensionUniqueName="[Location_Consolidated]" displayFolder="" count="0" memberValueDatatype="130" unbalanced="0"/>
    <cacheHierarchy uniqueName="[Location_Consolidated].[Level18]" caption="Level18" attribute="1" defaultMemberUniqueName="[Location_Consolidated].[Level18].[All]" allUniqueName="[Location_Consolidated].[Level18].[All]" dimensionUniqueName="[Location_Consolidated]" displayFolder="" count="0" memberValueDatatype="130" unbalanced="0"/>
    <cacheHierarchy uniqueName="[Location_Consolidated].[Level18_Code]" caption="Level18_Code" attribute="1" defaultMemberUniqueName="[Location_Consolidated].[Level18_Code].[All]" allUniqueName="[Location_Consolidated].[Level18_Code].[All]" dimensionUniqueName="[Location_Consolidated]" displayFolder="" count="0" memberValueDatatype="130" unbalanced="0"/>
    <cacheHierarchy uniqueName="[Location_Consolidated].[Level18_Desc]" caption="Level18_Desc" attribute="1" defaultMemberUniqueName="[Location_Consolidated].[Level18_Desc].[All]" allUniqueName="[Location_Consolidated].[Level18_Desc].[All]" dimensionUniqueName="[Location_Consolidated]" displayFolder="" count="0" memberValueDatatype="130" unbalanced="0"/>
    <cacheHierarchy uniqueName="[Location_Consolidated].[Level19]" caption="Level19" attribute="1" defaultMemberUniqueName="[Location_Consolidated].[Level19].[All]" allUniqueName="[Location_Consolidated].[Level19].[All]" dimensionUniqueName="[Location_Consolidated]" displayFolder="" count="0" memberValueDatatype="130" unbalanced="0"/>
    <cacheHierarchy uniqueName="[Location_Consolidated].[Level19_Code]" caption="Level19_Code" attribute="1" defaultMemberUniqueName="[Location_Consolidated].[Level19_Code].[All]" allUniqueName="[Location_Consolidated].[Level19_Code].[All]" dimensionUniqueName="[Location_Consolidated]" displayFolder="" count="0" memberValueDatatype="130" unbalanced="0"/>
    <cacheHierarchy uniqueName="[Location_Consolidated].[Level19_Desc]" caption="Level19_Desc" attribute="1" defaultMemberUniqueName="[Location_Consolidated].[Level19_Desc].[All]" allUniqueName="[Location_Consolidated].[Level19_Desc].[All]" dimensionUniqueName="[Location_Consolidated]" displayFolder="" count="0" memberValueDatatype="130" unbalanced="0"/>
    <cacheHierarchy uniqueName="[Location_Consolidated].[Level20]" caption="Level20" attribute="1" defaultMemberUniqueName="[Location_Consolidated].[Level20].[All]" allUniqueName="[Location_Consolidated].[Level20].[All]" dimensionUniqueName="[Location_Consolidated]" displayFolder="" count="0" memberValueDatatype="130" unbalanced="0"/>
    <cacheHierarchy uniqueName="[Location_Consolidated].[Level20_Code]" caption="Level20_Code" attribute="1" defaultMemberUniqueName="[Location_Consolidated].[Level20_Code].[All]" allUniqueName="[Location_Consolidated].[Level20_Code].[All]" dimensionUniqueName="[Location_Consolidated]" displayFolder="" count="0" memberValueDatatype="130" unbalanced="0"/>
    <cacheHierarchy uniqueName="[Location_Consolidated].[Level20_Desc]" caption="Level20_Desc" attribute="1" defaultMemberUniqueName="[Location_Consolidated].[Level20_Desc].[All]" allUniqueName="[Location_Consolidated].[Level20_Desc].[All]" dimensionUniqueName="[Location_Consolidated]" displayFolder="" count="0" memberValueDatatype="130" unbalanced="0"/>
    <cacheHierarchy uniqueName="[Location_Consolidated].[Location_Code]" caption="Location_Code" attribute="1" defaultMemberUniqueName="[Location_Consolidated].[Location_Code].[All]" allUniqueName="[Location_Consolidated].[Location_Code].[All]" dimensionUniqueName="[Location_Consolidated]" displayFolder="" count="0" memberValueDatatype="130" unbalanced="0"/>
    <cacheHierarchy uniqueName="[Location_Consolidated].[Location_Code_Desc]" caption="Location_Code_Desc" attribute="1" defaultMemberUniqueName="[Location_Consolidated].[Location_Code_Desc].[All]" allUniqueName="[Location_Consolidated].[Location_Code_Desc].[All]" dimensionUniqueName="[Location_Consolidated]" displayFolder="" count="0" memberValueDatatype="130" unbalanced="0"/>
    <cacheHierarchy uniqueName="[Location_Consolidated].[Location_Desc]" caption="Location_Desc" attribute="1" defaultMemberUniqueName="[Location_Consolidated].[Location_Desc].[All]" allUniqueName="[Location_Consolidated].[Location_Desc].[All]" dimensionUniqueName="[Location_Consolidated]" displayFolder="" count="0" memberValueDatatype="130" unbalanced="0"/>
    <cacheHierarchy uniqueName="[Location_Consolidated].[Location_Hier_Name]" caption="Location_Hier_Name" attribute="1" defaultMemberUniqueName="[Location_Consolidated].[Location_Hier_Name].[All]" allUniqueName="[Location_Consolidated].[Location_Hier_Name].[All]" dimensionUniqueName="[Location_Consolidated]" displayFolder="" count="0" memberValueDatatype="130" unbalanced="0"/>
    <cacheHierarchy uniqueName="[Location_Managerial].[Hier_MGR Location Code]" caption="Hier_MGR Location Code" defaultMemberUniqueName="[Location_Managerial].[Hier_MGR Location Code].[All]" allUniqueName="[Location_Managerial].[Hier_MGR Location Code].[All]" dimensionUniqueName="[Location_Managerial]" displayFolder="" count="0" unbalanced="0"/>
    <cacheHierarchy uniqueName="[Location_Managerial].[Hier_MGR Location Code Desc]" caption="Hier_MGR Location Code Desc" defaultMemberUniqueName="[Location_Managerial].[Hier_MGR Location Code Desc].[All]" allUniqueName="[Location_Managerial].[Hier_MGR Location Code Desc].[All]" dimensionUniqueName="[Location_Managerial]" displayFolder="" count="0" unbalanced="0"/>
    <cacheHierarchy uniqueName="[Location_Managerial].[Hier_MGR Location Desc]" caption="Hier_MGR Location Desc" defaultMemberUniqueName="[Location_Managerial].[Hier_MGR Location Desc].[All]" allUniqueName="[Location_Managerial].[Hier_MGR Location Desc].[All]" dimensionUniqueName="[Location_Managerial]" displayFolder="" count="0" unbalanced="0"/>
    <cacheHierarchy uniqueName="[Location_Managerial].[Level01]" caption="Level01" attribute="1" defaultMemberUniqueName="[Location_Managerial].[Level01].[All]" allUniqueName="[Location_Managerial].[Level01].[All]" dimensionUniqueName="[Location_Managerial]" displayFolder="" count="0" memberValueDatatype="130" unbalanced="0"/>
    <cacheHierarchy uniqueName="[Location_Managerial].[Level01_Code]" caption="Level01_Code" attribute="1" defaultMemberUniqueName="[Location_Managerial].[Level01_Code].[All]" allUniqueName="[Location_Managerial].[Level01_Code].[All]" dimensionUniqueName="[Location_Managerial]" displayFolder="" count="0" memberValueDatatype="130" unbalanced="0"/>
    <cacheHierarchy uniqueName="[Location_Managerial].[Level01_Desc]" caption="Level01_Desc" attribute="1" defaultMemberUniqueName="[Location_Managerial].[Level01_Desc].[All]" allUniqueName="[Location_Managerial].[Level01_Desc].[All]" dimensionUniqueName="[Location_Managerial]" displayFolder="" count="0" memberValueDatatype="130" unbalanced="0"/>
    <cacheHierarchy uniqueName="[Location_Managerial].[Level02]" caption="Level02" attribute="1" defaultMemberUniqueName="[Location_Managerial].[Level02].[All]" allUniqueName="[Location_Managerial].[Level02].[All]" dimensionUniqueName="[Location_Managerial]" displayFolder="" count="0" memberValueDatatype="130" unbalanced="0"/>
    <cacheHierarchy uniqueName="[Location_Managerial].[Level02_Code]" caption="Level02_Code" attribute="1" defaultMemberUniqueName="[Location_Managerial].[Level02_Code].[All]" allUniqueName="[Location_Managerial].[Level02_Code].[All]" dimensionUniqueName="[Location_Managerial]" displayFolder="" count="0" memberValueDatatype="130" unbalanced="0"/>
    <cacheHierarchy uniqueName="[Location_Managerial].[Level02_Desc]" caption="Level02_Desc" attribute="1" defaultMemberUniqueName="[Location_Managerial].[Level02_Desc].[All]" allUniqueName="[Location_Managerial].[Level02_Desc].[All]" dimensionUniqueName="[Location_Managerial]" displayFolder="" count="0" memberValueDatatype="130" unbalanced="0"/>
    <cacheHierarchy uniqueName="[Location_Managerial].[Level03]" caption="Level03" attribute="1" defaultMemberUniqueName="[Location_Managerial].[Level03].[All]" allUniqueName="[Location_Managerial].[Level03].[All]" dimensionUniqueName="[Location_Managerial]" displayFolder="" count="0" memberValueDatatype="130" unbalanced="0"/>
    <cacheHierarchy uniqueName="[Location_Managerial].[Level03_Code]" caption="Level03_Code" attribute="1" defaultMemberUniqueName="[Location_Managerial].[Level03_Code].[All]" allUniqueName="[Location_Managerial].[Level03_Code].[All]" dimensionUniqueName="[Location_Managerial]" displayFolder="" count="0" memberValueDatatype="130" unbalanced="0"/>
    <cacheHierarchy uniqueName="[Location_Managerial].[Level03_Desc]" caption="Level03_Desc" attribute="1" defaultMemberUniqueName="[Location_Managerial].[Level03_Desc].[All]" allUniqueName="[Location_Managerial].[Level03_Desc].[All]" dimensionUniqueName="[Location_Managerial]" displayFolder="" count="0" memberValueDatatype="130" unbalanced="0"/>
    <cacheHierarchy uniqueName="[Location_Managerial].[Level04]" caption="Level04" attribute="1" defaultMemberUniqueName="[Location_Managerial].[Level04].[All]" allUniqueName="[Location_Managerial].[Level04].[All]" dimensionUniqueName="[Location_Managerial]" displayFolder="" count="0" memberValueDatatype="130" unbalanced="0"/>
    <cacheHierarchy uniqueName="[Location_Managerial].[Level04_Code]" caption="Level04_Code" attribute="1" defaultMemberUniqueName="[Location_Managerial].[Level04_Code].[All]" allUniqueName="[Location_Managerial].[Level04_Code].[All]" dimensionUniqueName="[Location_Managerial]" displayFolder="" count="0" memberValueDatatype="130" unbalanced="0"/>
    <cacheHierarchy uniqueName="[Location_Managerial].[Level04_Desc]" caption="Level04_Desc" attribute="1" defaultMemberUniqueName="[Location_Managerial].[Level04_Desc].[All]" allUniqueName="[Location_Managerial].[Level04_Desc].[All]" dimensionUniqueName="[Location_Managerial]" displayFolder="" count="0" memberValueDatatype="130" unbalanced="0"/>
    <cacheHierarchy uniqueName="[Location_Managerial].[Level05]" caption="Level05" attribute="1" defaultMemberUniqueName="[Location_Managerial].[Level05].[All]" allUniqueName="[Location_Managerial].[Level05].[All]" dimensionUniqueName="[Location_Managerial]" displayFolder="" count="0" memberValueDatatype="130" unbalanced="0"/>
    <cacheHierarchy uniqueName="[Location_Managerial].[Level05_Code]" caption="Level05_Code" attribute="1" defaultMemberUniqueName="[Location_Managerial].[Level05_Code].[All]" allUniqueName="[Location_Managerial].[Level05_Code].[All]" dimensionUniqueName="[Location_Managerial]" displayFolder="" count="0" memberValueDatatype="130" unbalanced="0"/>
    <cacheHierarchy uniqueName="[Location_Managerial].[Level05_Desc]" caption="Level05_Desc" attribute="1" defaultMemberUniqueName="[Location_Managerial].[Level05_Desc].[All]" allUniqueName="[Location_Managerial].[Level05_Desc].[All]" dimensionUniqueName="[Location_Managerial]" displayFolder="" count="0" memberValueDatatype="130" unbalanced="0"/>
    <cacheHierarchy uniqueName="[Location_Managerial].[Level06]" caption="Level06" attribute="1" defaultMemberUniqueName="[Location_Managerial].[Level06].[All]" allUniqueName="[Location_Managerial].[Level06].[All]" dimensionUniqueName="[Location_Managerial]" displayFolder="" count="0" memberValueDatatype="130" unbalanced="0"/>
    <cacheHierarchy uniqueName="[Location_Managerial].[Level06_Code]" caption="Level06_Code" attribute="1" defaultMemberUniqueName="[Location_Managerial].[Level06_Code].[All]" allUniqueName="[Location_Managerial].[Level06_Code].[All]" dimensionUniqueName="[Location_Managerial]" displayFolder="" count="0" memberValueDatatype="130" unbalanced="0"/>
    <cacheHierarchy uniqueName="[Location_Managerial].[Level06_Desc]" caption="Level06_Desc" attribute="1" defaultMemberUniqueName="[Location_Managerial].[Level06_Desc].[All]" allUniqueName="[Location_Managerial].[Level06_Desc].[All]" dimensionUniqueName="[Location_Managerial]" displayFolder="" count="0" memberValueDatatype="130" unbalanced="0"/>
    <cacheHierarchy uniqueName="[Location_Managerial].[Level07]" caption="Level07" attribute="1" defaultMemberUniqueName="[Location_Managerial].[Level07].[All]" allUniqueName="[Location_Managerial].[Level07].[All]" dimensionUniqueName="[Location_Managerial]" displayFolder="" count="0" memberValueDatatype="130" unbalanced="0"/>
    <cacheHierarchy uniqueName="[Location_Managerial].[Level07_Code]" caption="Level07_Code" attribute="1" defaultMemberUniqueName="[Location_Managerial].[Level07_Code].[All]" allUniqueName="[Location_Managerial].[Level07_Code].[All]" dimensionUniqueName="[Location_Managerial]" displayFolder="" count="0" memberValueDatatype="130" unbalanced="0"/>
    <cacheHierarchy uniqueName="[Location_Managerial].[Level07_Desc]" caption="Level07_Desc" attribute="1" defaultMemberUniqueName="[Location_Managerial].[Level07_Desc].[All]" allUniqueName="[Location_Managerial].[Level07_Desc].[All]" dimensionUniqueName="[Location_Managerial]" displayFolder="" count="0" memberValueDatatype="130" unbalanced="0"/>
    <cacheHierarchy uniqueName="[Location_Managerial].[Level08]" caption="Level08" attribute="1" defaultMemberUniqueName="[Location_Managerial].[Level08].[All]" allUniqueName="[Location_Managerial].[Level08].[All]" dimensionUniqueName="[Location_Managerial]" displayFolder="" count="0" memberValueDatatype="130" unbalanced="0"/>
    <cacheHierarchy uniqueName="[Location_Managerial].[Level08_Code]" caption="Level08_Code" attribute="1" defaultMemberUniqueName="[Location_Managerial].[Level08_Code].[All]" allUniqueName="[Location_Managerial].[Level08_Code].[All]" dimensionUniqueName="[Location_Managerial]" displayFolder="" count="0" memberValueDatatype="130" unbalanced="0"/>
    <cacheHierarchy uniqueName="[Location_Managerial].[Level08_Desc]" caption="Level08_Desc" attribute="1" defaultMemberUniqueName="[Location_Managerial].[Level08_Desc].[All]" allUniqueName="[Location_Managerial].[Level08_Desc].[All]" dimensionUniqueName="[Location_Managerial]" displayFolder="" count="0" memberValueDatatype="130" unbalanced="0"/>
    <cacheHierarchy uniqueName="[Location_Managerial].[Level09]" caption="Level09" attribute="1" defaultMemberUniqueName="[Location_Managerial].[Level09].[All]" allUniqueName="[Location_Managerial].[Level09].[All]" dimensionUniqueName="[Location_Managerial]" displayFolder="" count="0" memberValueDatatype="130" unbalanced="0"/>
    <cacheHierarchy uniqueName="[Location_Managerial].[Level09_Code]" caption="Level09_Code" attribute="1" defaultMemberUniqueName="[Location_Managerial].[Level09_Code].[All]" allUniqueName="[Location_Managerial].[Level09_Code].[All]" dimensionUniqueName="[Location_Managerial]" displayFolder="" count="0" memberValueDatatype="130" unbalanced="0"/>
    <cacheHierarchy uniqueName="[Location_Managerial].[Level09_Desc]" caption="Level09_Desc" attribute="1" defaultMemberUniqueName="[Location_Managerial].[Level09_Desc].[All]" allUniqueName="[Location_Managerial].[Level09_Desc].[All]" dimensionUniqueName="[Location_Managerial]" displayFolder="" count="0" memberValueDatatype="130" unbalanced="0"/>
    <cacheHierarchy uniqueName="[Location_Managerial].[Level10]" caption="Level10" attribute="1" defaultMemberUniqueName="[Location_Managerial].[Level10].[All]" allUniqueName="[Location_Managerial].[Level10].[All]" dimensionUniqueName="[Location_Managerial]" displayFolder="" count="0" memberValueDatatype="130" unbalanced="0"/>
    <cacheHierarchy uniqueName="[Location_Managerial].[Level10_Code]" caption="Level10_Code" attribute="1" defaultMemberUniqueName="[Location_Managerial].[Level10_Code].[All]" allUniqueName="[Location_Managerial].[Level10_Code].[All]" dimensionUniqueName="[Location_Managerial]" displayFolder="" count="0" memberValueDatatype="130" unbalanced="0"/>
    <cacheHierarchy uniqueName="[Location_Managerial].[Level10_Desc]" caption="Level10_Desc" attribute="1" defaultMemberUniqueName="[Location_Managerial].[Level10_Desc].[All]" allUniqueName="[Location_Managerial].[Level10_Desc].[All]" dimensionUniqueName="[Location_Managerial]" displayFolder="" count="0" memberValueDatatype="130" unbalanced="0"/>
    <cacheHierarchy uniqueName="[Location_Managerial].[Level11]" caption="Level11" attribute="1" defaultMemberUniqueName="[Location_Managerial].[Level11].[All]" allUniqueName="[Location_Managerial].[Level11].[All]" dimensionUniqueName="[Location_Managerial]" displayFolder="" count="0" memberValueDatatype="130" unbalanced="0"/>
    <cacheHierarchy uniqueName="[Location_Managerial].[Level11_Code]" caption="Level11_Code" attribute="1" defaultMemberUniqueName="[Location_Managerial].[Level11_Code].[All]" allUniqueName="[Location_Managerial].[Level11_Code].[All]" dimensionUniqueName="[Location_Managerial]" displayFolder="" count="0" memberValueDatatype="130" unbalanced="0"/>
    <cacheHierarchy uniqueName="[Location_Managerial].[Level11_Desc]" caption="Level11_Desc" attribute="1" defaultMemberUniqueName="[Location_Managerial].[Level11_Desc].[All]" allUniqueName="[Location_Managerial].[Level11_Desc].[All]" dimensionUniqueName="[Location_Managerial]" displayFolder="" count="0" memberValueDatatype="130" unbalanced="0"/>
    <cacheHierarchy uniqueName="[Location_Managerial].[Level12]" caption="Level12" attribute="1" defaultMemberUniqueName="[Location_Managerial].[Level12].[All]" allUniqueName="[Location_Managerial].[Level12].[All]" dimensionUniqueName="[Location_Managerial]" displayFolder="" count="0" memberValueDatatype="130" unbalanced="0"/>
    <cacheHierarchy uniqueName="[Location_Managerial].[Level12_Code]" caption="Level12_Code" attribute="1" defaultMemberUniqueName="[Location_Managerial].[Level12_Code].[All]" allUniqueName="[Location_Managerial].[Level12_Code].[All]" dimensionUniqueName="[Location_Managerial]" displayFolder="" count="0" memberValueDatatype="130" unbalanced="0"/>
    <cacheHierarchy uniqueName="[Location_Managerial].[Level12_Desc]" caption="Level12_Desc" attribute="1" defaultMemberUniqueName="[Location_Managerial].[Level12_Desc].[All]" allUniqueName="[Location_Managerial].[Level12_Desc].[All]" dimensionUniqueName="[Location_Managerial]" displayFolder="" count="0" memberValueDatatype="130" unbalanced="0"/>
    <cacheHierarchy uniqueName="[Location_Managerial].[Level13]" caption="Level13" attribute="1" defaultMemberUniqueName="[Location_Managerial].[Level13].[All]" allUniqueName="[Location_Managerial].[Level13].[All]" dimensionUniqueName="[Location_Managerial]" displayFolder="" count="0" memberValueDatatype="130" unbalanced="0"/>
    <cacheHierarchy uniqueName="[Location_Managerial].[Level13_Code]" caption="Level13_Code" attribute="1" defaultMemberUniqueName="[Location_Managerial].[Level13_Code].[All]" allUniqueName="[Location_Managerial].[Level13_Code].[All]" dimensionUniqueName="[Location_Managerial]" displayFolder="" count="0" memberValueDatatype="130" unbalanced="0"/>
    <cacheHierarchy uniqueName="[Location_Managerial].[Level13_Desc]" caption="Level13_Desc" attribute="1" defaultMemberUniqueName="[Location_Managerial].[Level13_Desc].[All]" allUniqueName="[Location_Managerial].[Level13_Desc].[All]" dimensionUniqueName="[Location_Managerial]" displayFolder="" count="0" memberValueDatatype="130" unbalanced="0"/>
    <cacheHierarchy uniqueName="[Location_Managerial].[Level14]" caption="Level14" attribute="1" defaultMemberUniqueName="[Location_Managerial].[Level14].[All]" allUniqueName="[Location_Managerial].[Level14].[All]" dimensionUniqueName="[Location_Managerial]" displayFolder="" count="0" memberValueDatatype="130" unbalanced="0"/>
    <cacheHierarchy uniqueName="[Location_Managerial].[Level14_Code]" caption="Level14_Code" attribute="1" defaultMemberUniqueName="[Location_Managerial].[Level14_Code].[All]" allUniqueName="[Location_Managerial].[Level14_Code].[All]" dimensionUniqueName="[Location_Managerial]" displayFolder="" count="0" memberValueDatatype="130" unbalanced="0"/>
    <cacheHierarchy uniqueName="[Location_Managerial].[Level14_Desc]" caption="Level14_Desc" attribute="1" defaultMemberUniqueName="[Location_Managerial].[Level14_Desc].[All]" allUniqueName="[Location_Managerial].[Level14_Desc].[All]" dimensionUniqueName="[Location_Managerial]" displayFolder="" count="0" memberValueDatatype="130" unbalanced="0"/>
    <cacheHierarchy uniqueName="[Location_Managerial].[Level15]" caption="Level15" attribute="1" defaultMemberUniqueName="[Location_Managerial].[Level15].[All]" allUniqueName="[Location_Managerial].[Level15].[All]" dimensionUniqueName="[Location_Managerial]" displayFolder="" count="0" memberValueDatatype="130" unbalanced="0"/>
    <cacheHierarchy uniqueName="[Location_Managerial].[Level15_Code]" caption="Level15_Code" attribute="1" defaultMemberUniqueName="[Location_Managerial].[Level15_Code].[All]" allUniqueName="[Location_Managerial].[Level15_Code].[All]" dimensionUniqueName="[Location_Managerial]" displayFolder="" count="0" memberValueDatatype="130" unbalanced="0"/>
    <cacheHierarchy uniqueName="[Location_Managerial].[Level15_Desc]" caption="Level15_Desc" attribute="1" defaultMemberUniqueName="[Location_Managerial].[Level15_Desc].[All]" allUniqueName="[Location_Managerial].[Level15_Desc].[All]" dimensionUniqueName="[Location_Managerial]" displayFolder="" count="0" memberValueDatatype="130" unbalanced="0"/>
    <cacheHierarchy uniqueName="[Location_Managerial].[Level16]" caption="Level16" attribute="1" defaultMemberUniqueName="[Location_Managerial].[Level16].[All]" allUniqueName="[Location_Managerial].[Level16].[All]" dimensionUniqueName="[Location_Managerial]" displayFolder="" count="0" memberValueDatatype="130" unbalanced="0"/>
    <cacheHierarchy uniqueName="[Location_Managerial].[Level16_Code]" caption="Level16_Code" attribute="1" defaultMemberUniqueName="[Location_Managerial].[Level16_Code].[All]" allUniqueName="[Location_Managerial].[Level16_Code].[All]" dimensionUniqueName="[Location_Managerial]" displayFolder="" count="0" memberValueDatatype="130" unbalanced="0"/>
    <cacheHierarchy uniqueName="[Location_Managerial].[Level16_Desc]" caption="Level16_Desc" attribute="1" defaultMemberUniqueName="[Location_Managerial].[Level16_Desc].[All]" allUniqueName="[Location_Managerial].[Level16_Desc].[All]" dimensionUniqueName="[Location_Managerial]" displayFolder="" count="0" memberValueDatatype="130" unbalanced="0"/>
    <cacheHierarchy uniqueName="[Location_Managerial].[Level17]" caption="Level17" attribute="1" defaultMemberUniqueName="[Location_Managerial].[Level17].[All]" allUniqueName="[Location_Managerial].[Level17].[All]" dimensionUniqueName="[Location_Managerial]" displayFolder="" count="0" memberValueDatatype="130" unbalanced="0"/>
    <cacheHierarchy uniqueName="[Location_Managerial].[Level17_Code]" caption="Level17_Code" attribute="1" defaultMemberUniqueName="[Location_Managerial].[Level17_Code].[All]" allUniqueName="[Location_Managerial].[Level17_Code].[All]" dimensionUniqueName="[Location_Managerial]" displayFolder="" count="0" memberValueDatatype="130" unbalanced="0"/>
    <cacheHierarchy uniqueName="[Location_Managerial].[Level17_Desc]" caption="Level17_Desc" attribute="1" defaultMemberUniqueName="[Location_Managerial].[Level17_Desc].[All]" allUniqueName="[Location_Managerial].[Level17_Desc].[All]" dimensionUniqueName="[Location_Managerial]" displayFolder="" count="0" memberValueDatatype="130" unbalanced="0"/>
    <cacheHierarchy uniqueName="[Location_Managerial].[Level18]" caption="Level18" attribute="1" defaultMemberUniqueName="[Location_Managerial].[Level18].[All]" allUniqueName="[Location_Managerial].[Level18].[All]" dimensionUniqueName="[Location_Managerial]" displayFolder="" count="0" memberValueDatatype="130" unbalanced="0"/>
    <cacheHierarchy uniqueName="[Location_Managerial].[Level18_Code]" caption="Level18_Code" attribute="1" defaultMemberUniqueName="[Location_Managerial].[Level18_Code].[All]" allUniqueName="[Location_Managerial].[Level18_Code].[All]" dimensionUniqueName="[Location_Managerial]" displayFolder="" count="0" memberValueDatatype="130" unbalanced="0"/>
    <cacheHierarchy uniqueName="[Location_Managerial].[Level18_Desc]" caption="Level18_Desc" attribute="1" defaultMemberUniqueName="[Location_Managerial].[Level18_Desc].[All]" allUniqueName="[Location_Managerial].[Level18_Desc].[All]" dimensionUniqueName="[Location_Managerial]" displayFolder="" count="0" memberValueDatatype="130" unbalanced="0"/>
    <cacheHierarchy uniqueName="[Location_Managerial].[Level19]" caption="Level19" attribute="1" defaultMemberUniqueName="[Location_Managerial].[Level19].[All]" allUniqueName="[Location_Managerial].[Level19].[All]" dimensionUniqueName="[Location_Managerial]" displayFolder="" count="0" memberValueDatatype="130" unbalanced="0"/>
    <cacheHierarchy uniqueName="[Location_Managerial].[Level19_Code]" caption="Level19_Code" attribute="1" defaultMemberUniqueName="[Location_Managerial].[Level19_Code].[All]" allUniqueName="[Location_Managerial].[Level19_Code].[All]" dimensionUniqueName="[Location_Managerial]" displayFolder="" count="0" memberValueDatatype="130" unbalanced="0"/>
    <cacheHierarchy uniqueName="[Location_Managerial].[Level19_Desc]" caption="Level19_Desc" attribute="1" defaultMemberUniqueName="[Location_Managerial].[Level19_Desc].[All]" allUniqueName="[Location_Managerial].[Level19_Desc].[All]" dimensionUniqueName="[Location_Managerial]" displayFolder="" count="0" memberValueDatatype="130" unbalanced="0"/>
    <cacheHierarchy uniqueName="[Location_Managerial].[Level20]" caption="Level20" attribute="1" defaultMemberUniqueName="[Location_Managerial].[Level20].[All]" allUniqueName="[Location_Managerial].[Level20].[All]" dimensionUniqueName="[Location_Managerial]" displayFolder="" count="0" memberValueDatatype="130" unbalanced="0"/>
    <cacheHierarchy uniqueName="[Location_Managerial].[Level20_Code]" caption="Level20_Code" attribute="1" defaultMemberUniqueName="[Location_Managerial].[Level20_Code].[All]" allUniqueName="[Location_Managerial].[Level20_Code].[All]" dimensionUniqueName="[Location_Managerial]" displayFolder="" count="0" memberValueDatatype="130" unbalanced="0"/>
    <cacheHierarchy uniqueName="[Location_Managerial].[Level20_Desc]" caption="Level20_Desc" attribute="1" defaultMemberUniqueName="[Location_Managerial].[Level20_Desc].[All]" allUniqueName="[Location_Managerial].[Level20_Desc].[All]" dimensionUniqueName="[Location_Managerial]" displayFolder="" count="0" memberValueDatatype="130" unbalanced="0"/>
    <cacheHierarchy uniqueName="[Location_Managerial].[Location_Code]" caption="Location_Code" attribute="1" defaultMemberUniqueName="[Location_Managerial].[Location_Code].[All]" allUniqueName="[Location_Managerial].[Location_Code].[All]" dimensionUniqueName="[Location_Managerial]" displayFolder="" count="0" memberValueDatatype="130" unbalanced="0"/>
    <cacheHierarchy uniqueName="[Location_Managerial].[Location_Code_Desc]" caption="Location_Code_Desc" attribute="1" defaultMemberUniqueName="[Location_Managerial].[Location_Code_Desc].[All]" allUniqueName="[Location_Managerial].[Location_Code_Desc].[All]" dimensionUniqueName="[Location_Managerial]" displayFolder="" count="0" memberValueDatatype="130" unbalanced="0"/>
    <cacheHierarchy uniqueName="[Location_Managerial].[Location_Desc]" caption="Location_Desc" attribute="1" defaultMemberUniqueName="[Location_Managerial].[Location_Desc].[All]" allUniqueName="[Location_Managerial].[Location_Desc].[All]" dimensionUniqueName="[Location_Managerial]" displayFolder="" count="0" memberValueDatatype="130" unbalanced="0"/>
    <cacheHierarchy uniqueName="[Location_Managerial].[Location_Hier_Name]" caption="Location_Hier_Name" attribute="1" defaultMemberUniqueName="[Location_Managerial].[Location_Hier_Name].[All]" allUniqueName="[Location_Managerial].[Location_Hier_Name].[All]" dimensionUniqueName="[Location_Managerial]" displayFolder="" count="0" memberValueDatatype="130" unbalanced="0"/>
    <cacheHierarchy uniqueName="[Location_Managerial].[MGR Location Code]" caption="MGR Location Code" defaultMemberUniqueName="[Location_Managerial].[MGR Location Code].[All]" allUniqueName="[Location_Managerial].[MGR Location Code].[All]" dimensionUniqueName="[Location_Managerial]" displayFolder="" count="0" unbalanced="0"/>
    <cacheHierarchy uniqueName="[Location_Managerial].[MGR Location Code Desc]" caption="MGR Location Code Desc" defaultMemberUniqueName="[Location_Managerial].[MGR Location Code Desc].[All]" allUniqueName="[Location_Managerial].[MGR Location Code Desc].[All]" dimensionUniqueName="[Location_Managerial]" displayFolder="" count="0" unbalanced="0"/>
    <cacheHierarchy uniqueName="[Location_Managerial].[MGR Location Desc]" caption="MGR Location Desc" defaultMemberUniqueName="[Location_Managerial].[MGR Location Desc].[All]" allUniqueName="[Location_Managerial].[MGR Location Desc].[All]" dimensionUniqueName="[Location_Managerial]" displayFolder="" count="0" unbalanced="0"/>
    <cacheHierarchy uniqueName="[Marketing_Channel].[GFS_MARKETING_CHANNEL_CODE]" caption="GFS_MARKETING_CHANNEL_CODE" attribute="1" defaultMemberUniqueName="[Marketing_Channel].[GFS_MARKETING_CHANNEL_CODE].[All]" allUniqueName="[Marketing_Channel].[GFS_MARKETING_CHANNEL_CODE].[All]" dimensionUniqueName="[Marketing_Channel]" displayFolder="" count="0" memberValueDatatype="130" unbalanced="0"/>
    <cacheHierarchy uniqueName="[Marketing_Channel].[GFS_MARKETING_CHANNEL_CODE_DESC]" caption="GFS_MARKETING_CHANNEL_CODE_DESC" attribute="1" defaultMemberUniqueName="[Marketing_Channel].[GFS_MARKETING_CHANNEL_CODE_DESC].[All]" allUniqueName="[Marketing_Channel].[GFS_MARKETING_CHANNEL_CODE_DESC].[All]" dimensionUniqueName="[Marketing_Channel]" displayFolder="" count="0" memberValueDatatype="130" unbalanced="0"/>
    <cacheHierarchy uniqueName="[Marketing_Channel].[GFS_MARKETING_CHANNEL_DESC]" caption="GFS_MARKETING_CHANNEL_DESC" attribute="1" defaultMemberUniqueName="[Marketing_Channel].[GFS_MARKETING_CHANNEL_DESC].[All]" allUniqueName="[Marketing_Channel].[GFS_MARKETING_CHANNEL_DESC].[All]" dimensionUniqueName="[Marketing_Channel]" displayFolder="" count="0" memberValueDatatype="130" unbalanced="0"/>
    <cacheHierarchy uniqueName="[Marketing_Channel].[Marketing Channel Code]" caption="Marketing Channel Code" defaultMemberUniqueName="[Marketing_Channel].[Marketing Channel Code].[All]" allUniqueName="[Marketing_Channel].[Marketing Channel Code].[All]" dimensionUniqueName="[Marketing_Channel]" displayFolder="" count="0" unbalanced="0"/>
    <cacheHierarchy uniqueName="[Marketing_Channel].[Marketing Channel Code Desc]" caption="Marketing Channel Code Desc" defaultMemberUniqueName="[Marketing_Channel].[Marketing Channel Code Desc].[All]" allUniqueName="[Marketing_Channel].[Marketing Channel Code Desc].[All]" dimensionUniqueName="[Marketing_Channel]" displayFolder="" count="0" unbalanced="0"/>
    <cacheHierarchy uniqueName="[Marketing_Channel].[Marketing Channel Desc]" caption="Marketing Channel Desc" defaultMemberUniqueName="[Marketing_Channel].[Marketing Channel Desc].[All]" allUniqueName="[Marketing_Channel].[Marketing Channel Desc].[All]" dimensionUniqueName="[Marketing_Channel]" displayFolder="" count="0" unbalanced="0"/>
    <cacheHierarchy uniqueName="[Obligor_Code].[GFS_OBLIGOR_CODE]" caption="GFS_OBLIGOR_CODE" attribute="1" defaultMemberUniqueName="[Obligor_Code].[GFS_OBLIGOR_CODE].[All]" allUniqueName="[Obligor_Code].[GFS_OBLIGOR_CODE].[All]" dimensionUniqueName="[Obligor_Code]" displayFolder="" count="0" memberValueDatatype="130" unbalanced="0"/>
    <cacheHierarchy uniqueName="[Obligor_Code].[GFS_OBLIGOR_CODE_DESC]" caption="GFS_OBLIGOR_CODE_DESC" attribute="1" defaultMemberUniqueName="[Obligor_Code].[GFS_OBLIGOR_CODE_DESC].[All]" allUniqueName="[Obligor_Code].[GFS_OBLIGOR_CODE_DESC].[All]" dimensionUniqueName="[Obligor_Code]" displayFolder="" count="0" memberValueDatatype="130" unbalanced="0"/>
    <cacheHierarchy uniqueName="[Obligor_Code].[GFS_OBLIGOR_DESC]" caption="GFS_OBLIGOR_DESC" attribute="1" defaultMemberUniqueName="[Obligor_Code].[GFS_OBLIGOR_DESC].[All]" allUniqueName="[Obligor_Code].[GFS_OBLIGOR_DESC].[All]" dimensionUniqueName="[Obligor_Code]" displayFolder="" count="0" memberValueDatatype="130" unbalanced="0"/>
    <cacheHierarchy uniqueName="[Obligor_Code].[Obligor Code]" caption="Obligor Code" defaultMemberUniqueName="[Obligor_Code].[Obligor Code].[All]" allUniqueName="[Obligor_Code].[Obligor Code].[All]" dimensionUniqueName="[Obligor_Code]" displayFolder="" count="0" unbalanced="0"/>
    <cacheHierarchy uniqueName="[Obligor_Code].[Obligor Code Desc]" caption="Obligor Code Desc" defaultMemberUniqueName="[Obligor_Code].[Obligor Code Desc].[All]" allUniqueName="[Obligor_Code].[Obligor Code Desc].[All]" dimensionUniqueName="[Obligor_Code]" displayFolder="" count="0" unbalanced="0"/>
    <cacheHierarchy uniqueName="[Obligor_Code].[Obligor Desc]" caption="Obligor Desc" defaultMemberUniqueName="[Obligor_Code].[Obligor Desc].[All]" allUniqueName="[Obligor_Code].[Obligor Desc].[All]" dimensionUniqueName="[Obligor_Code]" displayFolder="" count="0" unbalanced="0"/>
    <cacheHierarchy uniqueName="[Policy].[Policy_Code]" caption="Policy_Code" attribute="1" defaultMemberUniqueName="[Policy].[Policy_Code].[All]" allUniqueName="[Policy].[Policy_Code].[All]" dimensionUniqueName="[Policy]" displayFolder="" count="0" memberValueDatatype="130" unbalanced="0"/>
    <cacheHierarchy uniqueName="[Policy].[Policy_Code_Desc]" caption="Policy_Code_Desc" attribute="1" defaultMemberUniqueName="[Policy].[Policy_Code_Desc].[All]" allUniqueName="[Policy].[Policy_Code_Desc].[All]" dimensionUniqueName="[Policy]" displayFolder="" count="0" memberValueDatatype="130" unbalanced="0"/>
    <cacheHierarchy uniqueName="[Policy].[Policy_Desc]" caption="Policy_Desc" attribute="1" defaultMemberUniqueName="[Policy].[Policy_Desc].[All]" allUniqueName="[Policy].[Policy_Desc].[All]" dimensionUniqueName="[Policy]" displayFolder="" count="0" memberValueDatatype="130" unbalanced="0"/>
    <cacheHierarchy uniqueName="[Product_Managerial].[Hier_MGR Product Code]" caption="Hier_MGR Product Code" defaultMemberUniqueName="[Product_Managerial].[Hier_MGR Product Code].[All]" allUniqueName="[Product_Managerial].[Hier_MGR Product Code].[All]" dimensionUniqueName="[Product_Managerial]" displayFolder="" count="0" unbalanced="0"/>
    <cacheHierarchy uniqueName="[Product_Managerial].[Hier_MGR Product Code Desc]" caption="Hier_MGR Product Code Desc" defaultMemberUniqueName="[Product_Managerial].[Hier_MGR Product Code Desc].[All]" allUniqueName="[Product_Managerial].[Hier_MGR Product Code Desc].[All]" dimensionUniqueName="[Product_Managerial]" displayFolder="" count="0" unbalanced="0"/>
    <cacheHierarchy uniqueName="[Product_Managerial].[Hier_MGR Product Desc]" caption="Hier_MGR Product Desc" defaultMemberUniqueName="[Product_Managerial].[Hier_MGR Product Desc].[All]" allUniqueName="[Product_Managerial].[Hier_MGR Product Desc].[All]" dimensionUniqueName="[Product_Managerial]" displayFolder="" count="0" unbalanced="0"/>
    <cacheHierarchy uniqueName="[Product_Managerial].[Level01]" caption="Level01" attribute="1" defaultMemberUniqueName="[Product_Managerial].[Level01].[All]" allUniqueName="[Product_Managerial].[Level01].[All]" dimensionUniqueName="[Product_Managerial]" displayFolder="" count="0" memberValueDatatype="130" unbalanced="0"/>
    <cacheHierarchy uniqueName="[Product_Managerial].[Level01_Code]" caption="Level01_Code" attribute="1" defaultMemberUniqueName="[Product_Managerial].[Level01_Code].[All]" allUniqueName="[Product_Managerial].[Level01_Code].[All]" dimensionUniqueName="[Product_Managerial]" displayFolder="" count="0" memberValueDatatype="130" unbalanced="0"/>
    <cacheHierarchy uniqueName="[Product_Managerial].[Level01_Desc]" caption="Level01_Desc" attribute="1" defaultMemberUniqueName="[Product_Managerial].[Level01_Desc].[All]" allUniqueName="[Product_Managerial].[Level01_Desc].[All]" dimensionUniqueName="[Product_Managerial]" displayFolder="" count="0" memberValueDatatype="130" unbalanced="0"/>
    <cacheHierarchy uniqueName="[Product_Managerial].[Level02]" caption="Level02" attribute="1" defaultMemberUniqueName="[Product_Managerial].[Level02].[All]" allUniqueName="[Product_Managerial].[Level02].[All]" dimensionUniqueName="[Product_Managerial]" displayFolder="" count="0" memberValueDatatype="130" unbalanced="0"/>
    <cacheHierarchy uniqueName="[Product_Managerial].[Level02_Code]" caption="Level02_Code" attribute="1" defaultMemberUniqueName="[Product_Managerial].[Level02_Code].[All]" allUniqueName="[Product_Managerial].[Level02_Code].[All]" dimensionUniqueName="[Product_Managerial]" displayFolder="" count="0" memberValueDatatype="130" unbalanced="0"/>
    <cacheHierarchy uniqueName="[Product_Managerial].[Level02_Desc]" caption="Level02_Desc" attribute="1" defaultMemberUniqueName="[Product_Managerial].[Level02_Desc].[All]" allUniqueName="[Product_Managerial].[Level02_Desc].[All]" dimensionUniqueName="[Product_Managerial]" displayFolder="" count="0" memberValueDatatype="130" unbalanced="0"/>
    <cacheHierarchy uniqueName="[Product_Managerial].[Level03]" caption="Level03" attribute="1" defaultMemberUniqueName="[Product_Managerial].[Level03].[All]" allUniqueName="[Product_Managerial].[Level03].[All]" dimensionUniqueName="[Product_Managerial]" displayFolder="" count="0" memberValueDatatype="130" unbalanced="0"/>
    <cacheHierarchy uniqueName="[Product_Managerial].[Level03_Code]" caption="Level03_Code" attribute="1" defaultMemberUniqueName="[Product_Managerial].[Level03_Code].[All]" allUniqueName="[Product_Managerial].[Level03_Code].[All]" dimensionUniqueName="[Product_Managerial]" displayFolder="" count="0" memberValueDatatype="130" unbalanced="0"/>
    <cacheHierarchy uniqueName="[Product_Managerial].[Level03_Desc]" caption="Level03_Desc" attribute="1" defaultMemberUniqueName="[Product_Managerial].[Level03_Desc].[All]" allUniqueName="[Product_Managerial].[Level03_Desc].[All]" dimensionUniqueName="[Product_Managerial]" displayFolder="" count="0" memberValueDatatype="130" unbalanced="0"/>
    <cacheHierarchy uniqueName="[Product_Managerial].[Level04]" caption="Level04" attribute="1" defaultMemberUniqueName="[Product_Managerial].[Level04].[All]" allUniqueName="[Product_Managerial].[Level04].[All]" dimensionUniqueName="[Product_Managerial]" displayFolder="" count="0" memberValueDatatype="130" unbalanced="0"/>
    <cacheHierarchy uniqueName="[Product_Managerial].[Level04_Code]" caption="Level04_Code" attribute="1" defaultMemberUniqueName="[Product_Managerial].[Level04_Code].[All]" allUniqueName="[Product_Managerial].[Level04_Code].[All]" dimensionUniqueName="[Product_Managerial]" displayFolder="" count="0" memberValueDatatype="130" unbalanced="0"/>
    <cacheHierarchy uniqueName="[Product_Managerial].[Level04_Desc]" caption="Level04_Desc" attribute="1" defaultMemberUniqueName="[Product_Managerial].[Level04_Desc].[All]" allUniqueName="[Product_Managerial].[Level04_Desc].[All]" dimensionUniqueName="[Product_Managerial]" displayFolder="" count="0" memberValueDatatype="130" unbalanced="0"/>
    <cacheHierarchy uniqueName="[Product_Managerial].[Level05]" caption="Level05" attribute="1" defaultMemberUniqueName="[Product_Managerial].[Level05].[All]" allUniqueName="[Product_Managerial].[Level05].[All]" dimensionUniqueName="[Product_Managerial]" displayFolder="" count="0" memberValueDatatype="130" unbalanced="0"/>
    <cacheHierarchy uniqueName="[Product_Managerial].[Level05_Code]" caption="Level05_Code" attribute="1" defaultMemberUniqueName="[Product_Managerial].[Level05_Code].[All]" allUniqueName="[Product_Managerial].[Level05_Code].[All]" dimensionUniqueName="[Product_Managerial]" displayFolder="" count="0" memberValueDatatype="130" unbalanced="0"/>
    <cacheHierarchy uniqueName="[Product_Managerial].[Level05_Desc]" caption="Level05_Desc" attribute="1" defaultMemberUniqueName="[Product_Managerial].[Level05_Desc].[All]" allUniqueName="[Product_Managerial].[Level05_Desc].[All]" dimensionUniqueName="[Product_Managerial]" displayFolder="" count="0" memberValueDatatype="130" unbalanced="0"/>
    <cacheHierarchy uniqueName="[Product_Managerial].[Level06]" caption="Level06" attribute="1" defaultMemberUniqueName="[Product_Managerial].[Level06].[All]" allUniqueName="[Product_Managerial].[Level06].[All]" dimensionUniqueName="[Product_Managerial]" displayFolder="" count="0" memberValueDatatype="130" unbalanced="0"/>
    <cacheHierarchy uniqueName="[Product_Managerial].[Level06_Code]" caption="Level06_Code" attribute="1" defaultMemberUniqueName="[Product_Managerial].[Level06_Code].[All]" allUniqueName="[Product_Managerial].[Level06_Code].[All]" dimensionUniqueName="[Product_Managerial]" displayFolder="" count="0" memberValueDatatype="130" unbalanced="0"/>
    <cacheHierarchy uniqueName="[Product_Managerial].[Level06_Desc]" caption="Level06_Desc" attribute="1" defaultMemberUniqueName="[Product_Managerial].[Level06_Desc].[All]" allUniqueName="[Product_Managerial].[Level06_Desc].[All]" dimensionUniqueName="[Product_Managerial]" displayFolder="" count="0" memberValueDatatype="130" unbalanced="0"/>
    <cacheHierarchy uniqueName="[Product_Managerial].[Level07]" caption="Level07" attribute="1" defaultMemberUniqueName="[Product_Managerial].[Level07].[All]" allUniqueName="[Product_Managerial].[Level07].[All]" dimensionUniqueName="[Product_Managerial]" displayFolder="" count="0" memberValueDatatype="130" unbalanced="0"/>
    <cacheHierarchy uniqueName="[Product_Managerial].[Level07_Code]" caption="Level07_Code" attribute="1" defaultMemberUniqueName="[Product_Managerial].[Level07_Code].[All]" allUniqueName="[Product_Managerial].[Level07_Code].[All]" dimensionUniqueName="[Product_Managerial]" displayFolder="" count="0" memberValueDatatype="130" unbalanced="0"/>
    <cacheHierarchy uniqueName="[Product_Managerial].[Level07_Desc]" caption="Level07_Desc" attribute="1" defaultMemberUniqueName="[Product_Managerial].[Level07_Desc].[All]" allUniqueName="[Product_Managerial].[Level07_Desc].[All]" dimensionUniqueName="[Product_Managerial]" displayFolder="" count="0" memberValueDatatype="130" unbalanced="0"/>
    <cacheHierarchy uniqueName="[Product_Managerial].[Level08]" caption="Level08" attribute="1" defaultMemberUniqueName="[Product_Managerial].[Level08].[All]" allUniqueName="[Product_Managerial].[Level08].[All]" dimensionUniqueName="[Product_Managerial]" displayFolder="" count="0" memberValueDatatype="130" unbalanced="0"/>
    <cacheHierarchy uniqueName="[Product_Managerial].[Level08_Code]" caption="Level08_Code" attribute="1" defaultMemberUniqueName="[Product_Managerial].[Level08_Code].[All]" allUniqueName="[Product_Managerial].[Level08_Code].[All]" dimensionUniqueName="[Product_Managerial]" displayFolder="" count="0" memberValueDatatype="130" unbalanced="0"/>
    <cacheHierarchy uniqueName="[Product_Managerial].[Level08_Desc]" caption="Level08_Desc" attribute="1" defaultMemberUniqueName="[Product_Managerial].[Level08_Desc].[All]" allUniqueName="[Product_Managerial].[Level08_Desc].[All]" dimensionUniqueName="[Product_Managerial]" displayFolder="" count="0" memberValueDatatype="130" unbalanced="0"/>
    <cacheHierarchy uniqueName="[Product_Managerial].[Level09]" caption="Level09" attribute="1" defaultMemberUniqueName="[Product_Managerial].[Level09].[All]" allUniqueName="[Product_Managerial].[Level09].[All]" dimensionUniqueName="[Product_Managerial]" displayFolder="" count="0" memberValueDatatype="130" unbalanced="0"/>
    <cacheHierarchy uniqueName="[Product_Managerial].[Level09_Code]" caption="Level09_Code" attribute="1" defaultMemberUniqueName="[Product_Managerial].[Level09_Code].[All]" allUniqueName="[Product_Managerial].[Level09_Code].[All]" dimensionUniqueName="[Product_Managerial]" displayFolder="" count="0" memberValueDatatype="130" unbalanced="0"/>
    <cacheHierarchy uniqueName="[Product_Managerial].[Level09_Desc]" caption="Level09_Desc" attribute="1" defaultMemberUniqueName="[Product_Managerial].[Level09_Desc].[All]" allUniqueName="[Product_Managerial].[Level09_Desc].[All]" dimensionUniqueName="[Product_Managerial]" displayFolder="" count="0" memberValueDatatype="130" unbalanced="0"/>
    <cacheHierarchy uniqueName="[Product_Managerial].[Level10]" caption="Level10" attribute="1" defaultMemberUniqueName="[Product_Managerial].[Level10].[All]" allUniqueName="[Product_Managerial].[Level10].[All]" dimensionUniqueName="[Product_Managerial]" displayFolder="" count="0" memberValueDatatype="130" unbalanced="0"/>
    <cacheHierarchy uniqueName="[Product_Managerial].[Level10_Code]" caption="Level10_Code" attribute="1" defaultMemberUniqueName="[Product_Managerial].[Level10_Code].[All]" allUniqueName="[Product_Managerial].[Level10_Code].[All]" dimensionUniqueName="[Product_Managerial]" displayFolder="" count="0" memberValueDatatype="130" unbalanced="0"/>
    <cacheHierarchy uniqueName="[Product_Managerial].[Level10_Desc]" caption="Level10_Desc" attribute="1" defaultMemberUniqueName="[Product_Managerial].[Level10_Desc].[All]" allUniqueName="[Product_Managerial].[Level10_Desc].[All]" dimensionUniqueName="[Product_Managerial]" displayFolder="" count="0" memberValueDatatype="130" unbalanced="0"/>
    <cacheHierarchy uniqueName="[Product_Managerial].[Level11]" caption="Level11" attribute="1" defaultMemberUniqueName="[Product_Managerial].[Level11].[All]" allUniqueName="[Product_Managerial].[Level11].[All]" dimensionUniqueName="[Product_Managerial]" displayFolder="" count="0" memberValueDatatype="130" unbalanced="0"/>
    <cacheHierarchy uniqueName="[Product_Managerial].[Level11_Code]" caption="Level11_Code" attribute="1" defaultMemberUniqueName="[Product_Managerial].[Level11_Code].[All]" allUniqueName="[Product_Managerial].[Level11_Code].[All]" dimensionUniqueName="[Product_Managerial]" displayFolder="" count="0" memberValueDatatype="130" unbalanced="0"/>
    <cacheHierarchy uniqueName="[Product_Managerial].[Level11_Desc]" caption="Level11_Desc" attribute="1" defaultMemberUniqueName="[Product_Managerial].[Level11_Desc].[All]" allUniqueName="[Product_Managerial].[Level11_Desc].[All]" dimensionUniqueName="[Product_Managerial]" displayFolder="" count="0" memberValueDatatype="130" unbalanced="0"/>
    <cacheHierarchy uniqueName="[Product_Managerial].[Level12]" caption="Level12" attribute="1" defaultMemberUniqueName="[Product_Managerial].[Level12].[All]" allUniqueName="[Product_Managerial].[Level12].[All]" dimensionUniqueName="[Product_Managerial]" displayFolder="" count="0" memberValueDatatype="130" unbalanced="0"/>
    <cacheHierarchy uniqueName="[Product_Managerial].[Level12_Code]" caption="Level12_Code" attribute="1" defaultMemberUniqueName="[Product_Managerial].[Level12_Code].[All]" allUniqueName="[Product_Managerial].[Level12_Code].[All]" dimensionUniqueName="[Product_Managerial]" displayFolder="" count="0" memberValueDatatype="130" unbalanced="0"/>
    <cacheHierarchy uniqueName="[Product_Managerial].[Level12_Desc]" caption="Level12_Desc" attribute="1" defaultMemberUniqueName="[Product_Managerial].[Level12_Desc].[All]" allUniqueName="[Product_Managerial].[Level12_Desc].[All]" dimensionUniqueName="[Product_Managerial]" displayFolder="" count="0" memberValueDatatype="130" unbalanced="0"/>
    <cacheHierarchy uniqueName="[Product_Managerial].[Level13]" caption="Level13" attribute="1" defaultMemberUniqueName="[Product_Managerial].[Level13].[All]" allUniqueName="[Product_Managerial].[Level13].[All]" dimensionUniqueName="[Product_Managerial]" displayFolder="" count="0" memberValueDatatype="130" unbalanced="0"/>
    <cacheHierarchy uniqueName="[Product_Managerial].[Level13_Code]" caption="Level13_Code" attribute="1" defaultMemberUniqueName="[Product_Managerial].[Level13_Code].[All]" allUniqueName="[Product_Managerial].[Level13_Code].[All]" dimensionUniqueName="[Product_Managerial]" displayFolder="" count="0" memberValueDatatype="130" unbalanced="0"/>
    <cacheHierarchy uniqueName="[Product_Managerial].[Level13_Desc]" caption="Level13_Desc" attribute="1" defaultMemberUniqueName="[Product_Managerial].[Level13_Desc].[All]" allUniqueName="[Product_Managerial].[Level13_Desc].[All]" dimensionUniqueName="[Product_Managerial]" displayFolder="" count="0" memberValueDatatype="130" unbalanced="0"/>
    <cacheHierarchy uniqueName="[Product_Managerial].[Level14]" caption="Level14" attribute="1" defaultMemberUniqueName="[Product_Managerial].[Level14].[All]" allUniqueName="[Product_Managerial].[Level14].[All]" dimensionUniqueName="[Product_Managerial]" displayFolder="" count="0" memberValueDatatype="130" unbalanced="0"/>
    <cacheHierarchy uniqueName="[Product_Managerial].[Level14_Code]" caption="Level14_Code" attribute="1" defaultMemberUniqueName="[Product_Managerial].[Level14_Code].[All]" allUniqueName="[Product_Managerial].[Level14_Code].[All]" dimensionUniqueName="[Product_Managerial]" displayFolder="" count="0" memberValueDatatype="130" unbalanced="0"/>
    <cacheHierarchy uniqueName="[Product_Managerial].[Level14_Desc]" caption="Level14_Desc" attribute="1" defaultMemberUniqueName="[Product_Managerial].[Level14_Desc].[All]" allUniqueName="[Product_Managerial].[Level14_Desc].[All]" dimensionUniqueName="[Product_Managerial]" displayFolder="" count="0" memberValueDatatype="130" unbalanced="0"/>
    <cacheHierarchy uniqueName="[Product_Managerial].[Level15]" caption="Level15" attribute="1" defaultMemberUniqueName="[Product_Managerial].[Level15].[All]" allUniqueName="[Product_Managerial].[Level15].[All]" dimensionUniqueName="[Product_Managerial]" displayFolder="" count="0" memberValueDatatype="130" unbalanced="0"/>
    <cacheHierarchy uniqueName="[Product_Managerial].[Level15_Code]" caption="Level15_Code" attribute="1" defaultMemberUniqueName="[Product_Managerial].[Level15_Code].[All]" allUniqueName="[Product_Managerial].[Level15_Code].[All]" dimensionUniqueName="[Product_Managerial]" displayFolder="" count="0" memberValueDatatype="130" unbalanced="0"/>
    <cacheHierarchy uniqueName="[Product_Managerial].[Level15_Desc]" caption="Level15_Desc" attribute="1" defaultMemberUniqueName="[Product_Managerial].[Level15_Desc].[All]" allUniqueName="[Product_Managerial].[Level15_Desc].[All]" dimensionUniqueName="[Product_Managerial]" displayFolder="" count="0" memberValueDatatype="130" unbalanced="0"/>
    <cacheHierarchy uniqueName="[Product_Managerial].[Level16]" caption="Level16" attribute="1" defaultMemberUniqueName="[Product_Managerial].[Level16].[All]" allUniqueName="[Product_Managerial].[Level16].[All]" dimensionUniqueName="[Product_Managerial]" displayFolder="" count="0" memberValueDatatype="130" unbalanced="0"/>
    <cacheHierarchy uniqueName="[Product_Managerial].[Level16_Code]" caption="Level16_Code" attribute="1" defaultMemberUniqueName="[Product_Managerial].[Level16_Code].[All]" allUniqueName="[Product_Managerial].[Level16_Code].[All]" dimensionUniqueName="[Product_Managerial]" displayFolder="" count="0" memberValueDatatype="130" unbalanced="0"/>
    <cacheHierarchy uniqueName="[Product_Managerial].[Level16_Desc]" caption="Level16_Desc" attribute="1" defaultMemberUniqueName="[Product_Managerial].[Level16_Desc].[All]" allUniqueName="[Product_Managerial].[Level16_Desc].[All]" dimensionUniqueName="[Product_Managerial]" displayFolder="" count="0" memberValueDatatype="130" unbalanced="0"/>
    <cacheHierarchy uniqueName="[Product_Managerial].[Level17]" caption="Level17" attribute="1" defaultMemberUniqueName="[Product_Managerial].[Level17].[All]" allUniqueName="[Product_Managerial].[Level17].[All]" dimensionUniqueName="[Product_Managerial]" displayFolder="" count="0" memberValueDatatype="130" unbalanced="0"/>
    <cacheHierarchy uniqueName="[Product_Managerial].[Level17_Code]" caption="Level17_Code" attribute="1" defaultMemberUniqueName="[Product_Managerial].[Level17_Code].[All]" allUniqueName="[Product_Managerial].[Level17_Code].[All]" dimensionUniqueName="[Product_Managerial]" displayFolder="" count="0" memberValueDatatype="130" unbalanced="0"/>
    <cacheHierarchy uniqueName="[Product_Managerial].[Level17_Desc]" caption="Level17_Desc" attribute="1" defaultMemberUniqueName="[Product_Managerial].[Level17_Desc].[All]" allUniqueName="[Product_Managerial].[Level17_Desc].[All]" dimensionUniqueName="[Product_Managerial]" displayFolder="" count="0" memberValueDatatype="130" unbalanced="0"/>
    <cacheHierarchy uniqueName="[Product_Managerial].[Level18]" caption="Level18" attribute="1" defaultMemberUniqueName="[Product_Managerial].[Level18].[All]" allUniqueName="[Product_Managerial].[Level18].[All]" dimensionUniqueName="[Product_Managerial]" displayFolder="" count="0" memberValueDatatype="130" unbalanced="0"/>
    <cacheHierarchy uniqueName="[Product_Managerial].[Level18_Code]" caption="Level18_Code" attribute="1" defaultMemberUniqueName="[Product_Managerial].[Level18_Code].[All]" allUniqueName="[Product_Managerial].[Level18_Code].[All]" dimensionUniqueName="[Product_Managerial]" displayFolder="" count="0" memberValueDatatype="130" unbalanced="0"/>
    <cacheHierarchy uniqueName="[Product_Managerial].[Level18_Desc]" caption="Level18_Desc" attribute="1" defaultMemberUniqueName="[Product_Managerial].[Level18_Desc].[All]" allUniqueName="[Product_Managerial].[Level18_Desc].[All]" dimensionUniqueName="[Product_Managerial]" displayFolder="" count="0" memberValueDatatype="130" unbalanced="0"/>
    <cacheHierarchy uniqueName="[Product_Managerial].[Level19]" caption="Level19" attribute="1" defaultMemberUniqueName="[Product_Managerial].[Level19].[All]" allUniqueName="[Product_Managerial].[Level19].[All]" dimensionUniqueName="[Product_Managerial]" displayFolder="" count="0" memberValueDatatype="130" unbalanced="0"/>
    <cacheHierarchy uniqueName="[Product_Managerial].[Level19_Code]" caption="Level19_Code" attribute="1" defaultMemberUniqueName="[Product_Managerial].[Level19_Code].[All]" allUniqueName="[Product_Managerial].[Level19_Code].[All]" dimensionUniqueName="[Product_Managerial]" displayFolder="" count="0" memberValueDatatype="130" unbalanced="0"/>
    <cacheHierarchy uniqueName="[Product_Managerial].[Level19_Desc]" caption="Level19_Desc" attribute="1" defaultMemberUniqueName="[Product_Managerial].[Level19_Desc].[All]" allUniqueName="[Product_Managerial].[Level19_Desc].[All]" dimensionUniqueName="[Product_Managerial]" displayFolder="" count="0" memberValueDatatype="130" unbalanced="0"/>
    <cacheHierarchy uniqueName="[Product_Managerial].[Level20]" caption="Level20" attribute="1" defaultMemberUniqueName="[Product_Managerial].[Level20].[All]" allUniqueName="[Product_Managerial].[Level20].[All]" dimensionUniqueName="[Product_Managerial]" displayFolder="" count="0" memberValueDatatype="130" unbalanced="0"/>
    <cacheHierarchy uniqueName="[Product_Managerial].[Level20_Code]" caption="Level20_Code" attribute="1" defaultMemberUniqueName="[Product_Managerial].[Level20_Code].[All]" allUniqueName="[Product_Managerial].[Level20_Code].[All]" dimensionUniqueName="[Product_Managerial]" displayFolder="" count="0" memberValueDatatype="130" unbalanced="0"/>
    <cacheHierarchy uniqueName="[Product_Managerial].[Level20_Desc]" caption="Level20_Desc" attribute="1" defaultMemberUniqueName="[Product_Managerial].[Level20_Desc].[All]" allUniqueName="[Product_Managerial].[Level20_Desc].[All]" dimensionUniqueName="[Product_Managerial]" displayFolder="" count="0" memberValueDatatype="130" unbalanced="0"/>
    <cacheHierarchy uniqueName="[Product_Managerial].[MGR Product Code]" caption="MGR Product Code" defaultMemberUniqueName="[Product_Managerial].[MGR Product Code].[All]" allUniqueName="[Product_Managerial].[MGR Product Code].[All]" dimensionUniqueName="[Product_Managerial]" displayFolder="" count="0" unbalanced="0"/>
    <cacheHierarchy uniqueName="[Product_Managerial].[MGR Product Code Desc]" caption="MGR Product Code Desc" defaultMemberUniqueName="[Product_Managerial].[MGR Product Code Desc].[All]" allUniqueName="[Product_Managerial].[MGR Product Code Desc].[All]" dimensionUniqueName="[Product_Managerial]" displayFolder="" count="0" unbalanced="0"/>
    <cacheHierarchy uniqueName="[Product_Managerial].[MGR Product Desc]" caption="MGR Product Desc" defaultMemberUniqueName="[Product_Managerial].[MGR Product Desc].[All]" allUniqueName="[Product_Managerial].[MGR Product Desc].[All]" dimensionUniqueName="[Product_Managerial]" displayFolder="" count="0" unbalanced="0"/>
    <cacheHierarchy uniqueName="[Product_Managerial].[Product_Code]" caption="Product_Code" attribute="1" defaultMemberUniqueName="[Product_Managerial].[Product_Code].[All]" allUniqueName="[Product_Managerial].[Product_Code].[All]" dimensionUniqueName="[Product_Managerial]" displayFolder="" count="0" memberValueDatatype="130" unbalanced="0"/>
    <cacheHierarchy uniqueName="[Product_Managerial].[Product_Code_Desc]" caption="Product_Code_Desc" attribute="1" defaultMemberUniqueName="[Product_Managerial].[Product_Code_Desc].[All]" allUniqueName="[Product_Managerial].[Product_Code_Desc].[All]" dimensionUniqueName="[Product_Managerial]" displayFolder="" count="0" memberValueDatatype="130" unbalanced="0"/>
    <cacheHierarchy uniqueName="[Product_Managerial].[Product_Desc]" caption="Product_Desc" attribute="1" defaultMemberUniqueName="[Product_Managerial].[Product_Desc].[All]" allUniqueName="[Product_Managerial].[Product_Desc].[All]" dimensionUniqueName="[Product_Managerial]" displayFolder="" count="0" memberValueDatatype="130" unbalanced="0"/>
    <cacheHierarchy uniqueName="[Product_Managerial].[Product_Hier_Name]" caption="Product_Hier_Name" attribute="1" defaultMemberUniqueName="[Product_Managerial].[Product_Hier_Name].[All]" allUniqueName="[Product_Managerial].[Product_Hier_Name].[All]" dimensionUniqueName="[Product_Managerial]" displayFolder="" count="0" memberValueDatatype="130" unbalanced="0"/>
    <cacheHierarchy uniqueName="[Program].[GFS_PROGRAM_CODE]" caption="GFS_PROGRAM_CODE" attribute="1" defaultMemberUniqueName="[Program].[GFS_PROGRAM_CODE].[All]" allUniqueName="[Program].[GFS_PROGRAM_CODE].[All]" dimensionUniqueName="[Program]" displayFolder="" count="0" memberValueDatatype="130" unbalanced="0"/>
    <cacheHierarchy uniqueName="[Program].[GFS_PROGRAM_CODE_DESC]" caption="GFS_PROGRAM_CODE_DESC" attribute="1" defaultMemberUniqueName="[Program].[GFS_PROGRAM_CODE_DESC].[All]" allUniqueName="[Program].[GFS_PROGRAM_CODE_DESC].[All]" dimensionUniqueName="[Program]" displayFolder="" count="0" memberValueDatatype="130" unbalanced="0"/>
    <cacheHierarchy uniqueName="[Program].[GFS_PROGRAM_DESC]" caption="GFS_PROGRAM_DESC" attribute="1" defaultMemberUniqueName="[Program].[GFS_PROGRAM_DESC].[All]" allUniqueName="[Program].[GFS_PROGRAM_DESC].[All]" dimensionUniqueName="[Program]" displayFolder="" count="0" memberValueDatatype="130" unbalanced="0"/>
    <cacheHierarchy uniqueName="[Program].[Program Code]" caption="Program Code" defaultMemberUniqueName="[Program].[Program Code].[All]" allUniqueName="[Program].[Program Code].[All]" dimensionUniqueName="[Program]" displayFolder="" count="0" unbalanced="0"/>
    <cacheHierarchy uniqueName="[Program].[Program Code Desc]" caption="Program Code Desc" defaultMemberUniqueName="[Program].[Program Code Desc].[All]" allUniqueName="[Program].[Program Code Desc].[All]" dimensionUniqueName="[Program]" displayFolder="" count="0" unbalanced="0"/>
    <cacheHierarchy uniqueName="[Program].[Program Desc]" caption="Program Desc" defaultMemberUniqueName="[Program].[Program Desc].[All]" allUniqueName="[Program].[Program Desc].[All]" dimensionUniqueName="[Program]" displayFolder="" count="0" unbalanced="0"/>
    <cacheHierarchy uniqueName="[Reinsurer].[GFS_REINSURER_CODE]" caption="GFS_REINSURER_CODE" attribute="1" defaultMemberUniqueName="[Reinsurer].[GFS_REINSURER_CODE].[All]" allUniqueName="[Reinsurer].[GFS_REINSURER_CODE].[All]" dimensionUniqueName="[Reinsurer]" displayFolder="" count="0" memberValueDatatype="130" unbalanced="0"/>
    <cacheHierarchy uniqueName="[Reinsurer].[GFS_REINSURER_CODE_DESC]" caption="GFS_REINSURER_CODE_DESC" attribute="1" defaultMemberUniqueName="[Reinsurer].[GFS_REINSURER_CODE_DESC].[All]" allUniqueName="[Reinsurer].[GFS_REINSURER_CODE_DESC].[All]" dimensionUniqueName="[Reinsurer]" displayFolder="" count="0" memberValueDatatype="130" unbalanced="0"/>
    <cacheHierarchy uniqueName="[Reinsurer].[GFS_REINSURER_DESC]" caption="GFS_REINSURER_DESC" attribute="1" defaultMemberUniqueName="[Reinsurer].[GFS_REINSURER_DESC].[All]" allUniqueName="[Reinsurer].[GFS_REINSURER_DESC].[All]" dimensionUniqueName="[Reinsurer]" displayFolder="" count="0" memberValueDatatype="130" unbalanced="0"/>
    <cacheHierarchy uniqueName="[Reinsurer].[Hier_Name]" caption="Hier_Name" attribute="1" defaultMemberUniqueName="[Reinsurer].[Hier_Name].[All]" allUniqueName="[Reinsurer].[Hier_Name].[All]" dimensionUniqueName="[Reinsurer]" displayFolder="" count="0" memberValueDatatype="130" unbalanced="0"/>
    <cacheHierarchy uniqueName="[Reinsurer].[Hier_Reinsurer Code]" caption="Hier_Reinsurer Code" defaultMemberUniqueName="[Reinsurer].[Hier_Reinsurer Code].[All]" allUniqueName="[Reinsurer].[Hier_Reinsurer Code].[All]" dimensionUniqueName="[Reinsurer]" displayFolder="" count="0" unbalanced="0"/>
    <cacheHierarchy uniqueName="[Reinsurer].[Hier_Reinsurer Code Desc]" caption="Hier_Reinsurer Code Desc" defaultMemberUniqueName="[Reinsurer].[Hier_Reinsurer Code Desc].[All]" allUniqueName="[Reinsurer].[Hier_Reinsurer Code Desc].[All]" dimensionUniqueName="[Reinsurer]" displayFolder="" count="0" unbalanced="0"/>
    <cacheHierarchy uniqueName="[Reinsurer].[Hier_Reinsurer Desc]" caption="Hier_Reinsurer Desc" defaultMemberUniqueName="[Reinsurer].[Hier_Reinsurer Desc].[All]" allUniqueName="[Reinsurer].[Hier_Reinsurer Desc].[All]" dimensionUniqueName="[Reinsurer]" displayFolder="" count="0" unbalanced="0"/>
    <cacheHierarchy uniqueName="[Reinsurer].[Level01]" caption="Level01" attribute="1" defaultMemberUniqueName="[Reinsurer].[Level01].[All]" allUniqueName="[Reinsurer].[Level01].[All]" dimensionUniqueName="[Reinsurer]" displayFolder="" count="0" memberValueDatatype="130" unbalanced="0"/>
    <cacheHierarchy uniqueName="[Reinsurer].[Level01_Code]" caption="Level01_Code" attribute="1" defaultMemberUniqueName="[Reinsurer].[Level01_Code].[All]" allUniqueName="[Reinsurer].[Level01_Code].[All]" dimensionUniqueName="[Reinsurer]" displayFolder="" count="0" memberValueDatatype="130" unbalanced="0"/>
    <cacheHierarchy uniqueName="[Reinsurer].[Level01_Desc]" caption="Level01_Desc" attribute="1" defaultMemberUniqueName="[Reinsurer].[Level01_Desc].[All]" allUniqueName="[Reinsurer].[Level01_Desc].[All]" dimensionUniqueName="[Reinsurer]" displayFolder="" count="0" memberValueDatatype="130" unbalanced="0"/>
    <cacheHierarchy uniqueName="[Reinsurer].[Level02]" caption="Level02" attribute="1" defaultMemberUniqueName="[Reinsurer].[Level02].[All]" allUniqueName="[Reinsurer].[Level02].[All]" dimensionUniqueName="[Reinsurer]" displayFolder="" count="0" memberValueDatatype="130" unbalanced="0"/>
    <cacheHierarchy uniqueName="[Reinsurer].[Level02_Code]" caption="Level02_Code" attribute="1" defaultMemberUniqueName="[Reinsurer].[Level02_Code].[All]" allUniqueName="[Reinsurer].[Level02_Code].[All]" dimensionUniqueName="[Reinsurer]" displayFolder="" count="0" memberValueDatatype="130" unbalanced="0"/>
    <cacheHierarchy uniqueName="[Reinsurer].[Level02_Desc]" caption="Level02_Desc" attribute="1" defaultMemberUniqueName="[Reinsurer].[Level02_Desc].[All]" allUniqueName="[Reinsurer].[Level02_Desc].[All]" dimensionUniqueName="[Reinsurer]" displayFolder="" count="0" memberValueDatatype="130" unbalanced="0"/>
    <cacheHierarchy uniqueName="[Reinsurer].[Level03]" caption="Level03" attribute="1" defaultMemberUniqueName="[Reinsurer].[Level03].[All]" allUniqueName="[Reinsurer].[Level03].[All]" dimensionUniqueName="[Reinsurer]" displayFolder="" count="0" memberValueDatatype="130" unbalanced="0"/>
    <cacheHierarchy uniqueName="[Reinsurer].[Level03_Code]" caption="Level03_Code" attribute="1" defaultMemberUniqueName="[Reinsurer].[Level03_Code].[All]" allUniqueName="[Reinsurer].[Level03_Code].[All]" dimensionUniqueName="[Reinsurer]" displayFolder="" count="0" memberValueDatatype="130" unbalanced="0"/>
    <cacheHierarchy uniqueName="[Reinsurer].[Level03_Desc]" caption="Level03_Desc" attribute="1" defaultMemberUniqueName="[Reinsurer].[Level03_Desc].[All]" allUniqueName="[Reinsurer].[Level03_Desc].[All]" dimensionUniqueName="[Reinsurer]" displayFolder="" count="0" memberValueDatatype="130" unbalanced="0"/>
    <cacheHierarchy uniqueName="[Reinsurer].[Level04]" caption="Level04" attribute="1" defaultMemberUniqueName="[Reinsurer].[Level04].[All]" allUniqueName="[Reinsurer].[Level04].[All]" dimensionUniqueName="[Reinsurer]" displayFolder="" count="0" memberValueDatatype="130" unbalanced="0"/>
    <cacheHierarchy uniqueName="[Reinsurer].[Level04_Code]" caption="Level04_Code" attribute="1" defaultMemberUniqueName="[Reinsurer].[Level04_Code].[All]" allUniqueName="[Reinsurer].[Level04_Code].[All]" dimensionUniqueName="[Reinsurer]" displayFolder="" count="0" memberValueDatatype="130" unbalanced="0"/>
    <cacheHierarchy uniqueName="[Reinsurer].[Level04_Desc]" caption="Level04_Desc" attribute="1" defaultMemberUniqueName="[Reinsurer].[Level04_Desc].[All]" allUniqueName="[Reinsurer].[Level04_Desc].[All]" dimensionUniqueName="[Reinsurer]" displayFolder="" count="0" memberValueDatatype="130" unbalanced="0"/>
    <cacheHierarchy uniqueName="[Reinsurer].[Level05]" caption="Level05" attribute="1" defaultMemberUniqueName="[Reinsurer].[Level05].[All]" allUniqueName="[Reinsurer].[Level05].[All]" dimensionUniqueName="[Reinsurer]" displayFolder="" count="0" memberValueDatatype="130" unbalanced="0"/>
    <cacheHierarchy uniqueName="[Reinsurer].[Level05_Code]" caption="Level05_Code" attribute="1" defaultMemberUniqueName="[Reinsurer].[Level05_Code].[All]" allUniqueName="[Reinsurer].[Level05_Code].[All]" dimensionUniqueName="[Reinsurer]" displayFolder="" count="0" memberValueDatatype="130" unbalanced="0"/>
    <cacheHierarchy uniqueName="[Reinsurer].[Level05_Desc]" caption="Level05_Desc" attribute="1" defaultMemberUniqueName="[Reinsurer].[Level05_Desc].[All]" allUniqueName="[Reinsurer].[Level05_Desc].[All]" dimensionUniqueName="[Reinsurer]" displayFolder="" count="0" memberValueDatatype="130" unbalanced="0"/>
    <cacheHierarchy uniqueName="[Reinsurer].[Level06]" caption="Level06" attribute="1" defaultMemberUniqueName="[Reinsurer].[Level06].[All]" allUniqueName="[Reinsurer].[Level06].[All]" dimensionUniqueName="[Reinsurer]" displayFolder="" count="0" memberValueDatatype="130" unbalanced="0"/>
    <cacheHierarchy uniqueName="[Reinsurer].[Level06_Code]" caption="Level06_Code" attribute="1" defaultMemberUniqueName="[Reinsurer].[Level06_Code].[All]" allUniqueName="[Reinsurer].[Level06_Code].[All]" dimensionUniqueName="[Reinsurer]" displayFolder="" count="0" memberValueDatatype="130" unbalanced="0"/>
    <cacheHierarchy uniqueName="[Reinsurer].[Level06_Desc]" caption="Level06_Desc" attribute="1" defaultMemberUniqueName="[Reinsurer].[Level06_Desc].[All]" allUniqueName="[Reinsurer].[Level06_Desc].[All]" dimensionUniqueName="[Reinsurer]" displayFolder="" count="0" memberValueDatatype="130" unbalanced="0"/>
    <cacheHierarchy uniqueName="[Reinsurer].[Level07]" caption="Level07" attribute="1" defaultMemberUniqueName="[Reinsurer].[Level07].[All]" allUniqueName="[Reinsurer].[Level07].[All]" dimensionUniqueName="[Reinsurer]" displayFolder="" count="0" memberValueDatatype="130" unbalanced="0"/>
    <cacheHierarchy uniqueName="[Reinsurer].[Level07_Code]" caption="Level07_Code" attribute="1" defaultMemberUniqueName="[Reinsurer].[Level07_Code].[All]" allUniqueName="[Reinsurer].[Level07_Code].[All]" dimensionUniqueName="[Reinsurer]" displayFolder="" count="0" memberValueDatatype="130" unbalanced="0"/>
    <cacheHierarchy uniqueName="[Reinsurer].[Level07_Desc]" caption="Level07_Desc" attribute="1" defaultMemberUniqueName="[Reinsurer].[Level07_Desc].[All]" allUniqueName="[Reinsurer].[Level07_Desc].[All]" dimensionUniqueName="[Reinsurer]" displayFolder="" count="0" memberValueDatatype="130" unbalanced="0"/>
    <cacheHierarchy uniqueName="[Reinsurer].[Level08]" caption="Level08" attribute="1" defaultMemberUniqueName="[Reinsurer].[Level08].[All]" allUniqueName="[Reinsurer].[Level08].[All]" dimensionUniqueName="[Reinsurer]" displayFolder="" count="0" memberValueDatatype="130" unbalanced="0"/>
    <cacheHierarchy uniqueName="[Reinsurer].[Level08_Code]" caption="Level08_Code" attribute="1" defaultMemberUniqueName="[Reinsurer].[Level08_Code].[All]" allUniqueName="[Reinsurer].[Level08_Code].[All]" dimensionUniqueName="[Reinsurer]" displayFolder="" count="0" memberValueDatatype="130" unbalanced="0"/>
    <cacheHierarchy uniqueName="[Reinsurer].[Level08_Desc]" caption="Level08_Desc" attribute="1" defaultMemberUniqueName="[Reinsurer].[Level08_Desc].[All]" allUniqueName="[Reinsurer].[Level08_Desc].[All]" dimensionUniqueName="[Reinsurer]" displayFolder="" count="0" memberValueDatatype="130" unbalanced="0"/>
    <cacheHierarchy uniqueName="[Reinsurer].[Level09]" caption="Level09" attribute="1" defaultMemberUniqueName="[Reinsurer].[Level09].[All]" allUniqueName="[Reinsurer].[Level09].[All]" dimensionUniqueName="[Reinsurer]" displayFolder="" count="0" memberValueDatatype="130" unbalanced="0"/>
    <cacheHierarchy uniqueName="[Reinsurer].[Level09_Code]" caption="Level09_Code" attribute="1" defaultMemberUniqueName="[Reinsurer].[Level09_Code].[All]" allUniqueName="[Reinsurer].[Level09_Code].[All]" dimensionUniqueName="[Reinsurer]" displayFolder="" count="0" memberValueDatatype="130" unbalanced="0"/>
    <cacheHierarchy uniqueName="[Reinsurer].[Level09_Desc]" caption="Level09_Desc" attribute="1" defaultMemberUniqueName="[Reinsurer].[Level09_Desc].[All]" allUniqueName="[Reinsurer].[Level09_Desc].[All]" dimensionUniqueName="[Reinsurer]" displayFolder="" count="0" memberValueDatatype="130" unbalanced="0"/>
    <cacheHierarchy uniqueName="[Reinsurer].[Level10]" caption="Level10" attribute="1" defaultMemberUniqueName="[Reinsurer].[Level10].[All]" allUniqueName="[Reinsurer].[Level10].[All]" dimensionUniqueName="[Reinsurer]" displayFolder="" count="0" memberValueDatatype="130" unbalanced="0"/>
    <cacheHierarchy uniqueName="[Reinsurer].[Level10_Code]" caption="Level10_Code" attribute="1" defaultMemberUniqueName="[Reinsurer].[Level10_Code].[All]" allUniqueName="[Reinsurer].[Level10_Code].[All]" dimensionUniqueName="[Reinsurer]" displayFolder="" count="0" memberValueDatatype="130" unbalanced="0"/>
    <cacheHierarchy uniqueName="[Reinsurer].[Level10_Desc]" caption="Level10_Desc" attribute="1" defaultMemberUniqueName="[Reinsurer].[Level10_Desc].[All]" allUniqueName="[Reinsurer].[Level10_Desc].[All]" dimensionUniqueName="[Reinsurer]" displayFolder="" count="0" memberValueDatatype="130" unbalanced="0"/>
    <cacheHierarchy uniqueName="[Reinsurer].[Level11]" caption="Level11" attribute="1" defaultMemberUniqueName="[Reinsurer].[Level11].[All]" allUniqueName="[Reinsurer].[Level11].[All]" dimensionUniqueName="[Reinsurer]" displayFolder="" count="0" memberValueDatatype="130" unbalanced="0"/>
    <cacheHierarchy uniqueName="[Reinsurer].[Level11_Code]" caption="Level11_Code" attribute="1" defaultMemberUniqueName="[Reinsurer].[Level11_Code].[All]" allUniqueName="[Reinsurer].[Level11_Code].[All]" dimensionUniqueName="[Reinsurer]" displayFolder="" count="0" memberValueDatatype="130" unbalanced="0"/>
    <cacheHierarchy uniqueName="[Reinsurer].[Level11_Desc]" caption="Level11_Desc" attribute="1" defaultMemberUniqueName="[Reinsurer].[Level11_Desc].[All]" allUniqueName="[Reinsurer].[Level11_Desc].[All]" dimensionUniqueName="[Reinsurer]" displayFolder="" count="0" memberValueDatatype="130" unbalanced="0"/>
    <cacheHierarchy uniqueName="[Reinsurer].[Level12]" caption="Level12" attribute="1" defaultMemberUniqueName="[Reinsurer].[Level12].[All]" allUniqueName="[Reinsurer].[Level12].[All]" dimensionUniqueName="[Reinsurer]" displayFolder="" count="0" memberValueDatatype="130" unbalanced="0"/>
    <cacheHierarchy uniqueName="[Reinsurer].[Level12_Code]" caption="Level12_Code" attribute="1" defaultMemberUniqueName="[Reinsurer].[Level12_Code].[All]" allUniqueName="[Reinsurer].[Level12_Code].[All]" dimensionUniqueName="[Reinsurer]" displayFolder="" count="0" memberValueDatatype="130" unbalanced="0"/>
    <cacheHierarchy uniqueName="[Reinsurer].[Level12_Desc]" caption="Level12_Desc" attribute="1" defaultMemberUniqueName="[Reinsurer].[Level12_Desc].[All]" allUniqueName="[Reinsurer].[Level12_Desc].[All]" dimensionUniqueName="[Reinsurer]" displayFolder="" count="0" memberValueDatatype="130" unbalanced="0"/>
    <cacheHierarchy uniqueName="[Reinsurer].[Level13]" caption="Level13" attribute="1" defaultMemberUniqueName="[Reinsurer].[Level13].[All]" allUniqueName="[Reinsurer].[Level13].[All]" dimensionUniqueName="[Reinsurer]" displayFolder="" count="0" memberValueDatatype="130" unbalanced="0"/>
    <cacheHierarchy uniqueName="[Reinsurer].[Level13_Code]" caption="Level13_Code" attribute="1" defaultMemberUniqueName="[Reinsurer].[Level13_Code].[All]" allUniqueName="[Reinsurer].[Level13_Code].[All]" dimensionUniqueName="[Reinsurer]" displayFolder="" count="0" memberValueDatatype="130" unbalanced="0"/>
    <cacheHierarchy uniqueName="[Reinsurer].[Level13_Desc]" caption="Level13_Desc" attribute="1" defaultMemberUniqueName="[Reinsurer].[Level13_Desc].[All]" allUniqueName="[Reinsurer].[Level13_Desc].[All]" dimensionUniqueName="[Reinsurer]" displayFolder="" count="0" memberValueDatatype="130" unbalanced="0"/>
    <cacheHierarchy uniqueName="[Reinsurer].[Level14]" caption="Level14" attribute="1" defaultMemberUniqueName="[Reinsurer].[Level14].[All]" allUniqueName="[Reinsurer].[Level14].[All]" dimensionUniqueName="[Reinsurer]" displayFolder="" count="0" memberValueDatatype="130" unbalanced="0"/>
    <cacheHierarchy uniqueName="[Reinsurer].[Level14_Code]" caption="Level14_Code" attribute="1" defaultMemberUniqueName="[Reinsurer].[Level14_Code].[All]" allUniqueName="[Reinsurer].[Level14_Code].[All]" dimensionUniqueName="[Reinsurer]" displayFolder="" count="0" memberValueDatatype="130" unbalanced="0"/>
    <cacheHierarchy uniqueName="[Reinsurer].[Level14_Desc]" caption="Level14_Desc" attribute="1" defaultMemberUniqueName="[Reinsurer].[Level14_Desc].[All]" allUniqueName="[Reinsurer].[Level14_Desc].[All]" dimensionUniqueName="[Reinsurer]" displayFolder="" count="0" memberValueDatatype="130" unbalanced="0"/>
    <cacheHierarchy uniqueName="[Reinsurer].[Level15]" caption="Level15" attribute="1" defaultMemberUniqueName="[Reinsurer].[Level15].[All]" allUniqueName="[Reinsurer].[Level15].[All]" dimensionUniqueName="[Reinsurer]" displayFolder="" count="0" memberValueDatatype="130" unbalanced="0"/>
    <cacheHierarchy uniqueName="[Reinsurer].[Level15_Code]" caption="Level15_Code" attribute="1" defaultMemberUniqueName="[Reinsurer].[Level15_Code].[All]" allUniqueName="[Reinsurer].[Level15_Code].[All]" dimensionUniqueName="[Reinsurer]" displayFolder="" count="0" memberValueDatatype="130" unbalanced="0"/>
    <cacheHierarchy uniqueName="[Reinsurer].[Level15_Desc]" caption="Level15_Desc" attribute="1" defaultMemberUniqueName="[Reinsurer].[Level15_Desc].[All]" allUniqueName="[Reinsurer].[Level15_Desc].[All]" dimensionUniqueName="[Reinsurer]" displayFolder="" count="0" memberValueDatatype="130" unbalanced="0"/>
    <cacheHierarchy uniqueName="[Reinsurer].[Level16]" caption="Level16" attribute="1" defaultMemberUniqueName="[Reinsurer].[Level16].[All]" allUniqueName="[Reinsurer].[Level16].[All]" dimensionUniqueName="[Reinsurer]" displayFolder="" count="0" memberValueDatatype="130" unbalanced="0"/>
    <cacheHierarchy uniqueName="[Reinsurer].[Level16_Code]" caption="Level16_Code" attribute="1" defaultMemberUniqueName="[Reinsurer].[Level16_Code].[All]" allUniqueName="[Reinsurer].[Level16_Code].[All]" dimensionUniqueName="[Reinsurer]" displayFolder="" count="0" memberValueDatatype="130" unbalanced="0"/>
    <cacheHierarchy uniqueName="[Reinsurer].[Level16_Desc]" caption="Level16_Desc" attribute="1" defaultMemberUniqueName="[Reinsurer].[Level16_Desc].[All]" allUniqueName="[Reinsurer].[Level16_Desc].[All]" dimensionUniqueName="[Reinsurer]" displayFolder="" count="0" memberValueDatatype="130" unbalanced="0"/>
    <cacheHierarchy uniqueName="[Reinsurer].[Level17]" caption="Level17" attribute="1" defaultMemberUniqueName="[Reinsurer].[Level17].[All]" allUniqueName="[Reinsurer].[Level17].[All]" dimensionUniqueName="[Reinsurer]" displayFolder="" count="0" memberValueDatatype="130" unbalanced="0"/>
    <cacheHierarchy uniqueName="[Reinsurer].[Level17_Code]" caption="Level17_Code" attribute="1" defaultMemberUniqueName="[Reinsurer].[Level17_Code].[All]" allUniqueName="[Reinsurer].[Level17_Code].[All]" dimensionUniqueName="[Reinsurer]" displayFolder="" count="0" memberValueDatatype="130" unbalanced="0"/>
    <cacheHierarchy uniqueName="[Reinsurer].[Level17_Desc]" caption="Level17_Desc" attribute="1" defaultMemberUniqueName="[Reinsurer].[Level17_Desc].[All]" allUniqueName="[Reinsurer].[Level17_Desc].[All]" dimensionUniqueName="[Reinsurer]" displayFolder="" count="0" memberValueDatatype="130" unbalanced="0"/>
    <cacheHierarchy uniqueName="[Reinsurer].[Level18]" caption="Level18" attribute="1" defaultMemberUniqueName="[Reinsurer].[Level18].[All]" allUniqueName="[Reinsurer].[Level18].[All]" dimensionUniqueName="[Reinsurer]" displayFolder="" count="0" memberValueDatatype="130" unbalanced="0"/>
    <cacheHierarchy uniqueName="[Reinsurer].[Level18_Code]" caption="Level18_Code" attribute="1" defaultMemberUniqueName="[Reinsurer].[Level18_Code].[All]" allUniqueName="[Reinsurer].[Level18_Code].[All]" dimensionUniqueName="[Reinsurer]" displayFolder="" count="0" memberValueDatatype="130" unbalanced="0"/>
    <cacheHierarchy uniqueName="[Reinsurer].[Level18_Desc]" caption="Level18_Desc" attribute="1" defaultMemberUniqueName="[Reinsurer].[Level18_Desc].[All]" allUniqueName="[Reinsurer].[Level18_Desc].[All]" dimensionUniqueName="[Reinsurer]" displayFolder="" count="0" memberValueDatatype="130" unbalanced="0"/>
    <cacheHierarchy uniqueName="[Reinsurer].[Level19]" caption="Level19" attribute="1" defaultMemberUniqueName="[Reinsurer].[Level19].[All]" allUniqueName="[Reinsurer].[Level19].[All]" dimensionUniqueName="[Reinsurer]" displayFolder="" count="0" memberValueDatatype="130" unbalanced="0"/>
    <cacheHierarchy uniqueName="[Reinsurer].[Level19_Code]" caption="Level19_Code" attribute="1" defaultMemberUniqueName="[Reinsurer].[Level19_Code].[All]" allUniqueName="[Reinsurer].[Level19_Code].[All]" dimensionUniqueName="[Reinsurer]" displayFolder="" count="0" memberValueDatatype="130" unbalanced="0"/>
    <cacheHierarchy uniqueName="[Reinsurer].[Level19_Desc]" caption="Level19_Desc" attribute="1" defaultMemberUniqueName="[Reinsurer].[Level19_Desc].[All]" allUniqueName="[Reinsurer].[Level19_Desc].[All]" dimensionUniqueName="[Reinsurer]" displayFolder="" count="0" memberValueDatatype="130" unbalanced="0"/>
    <cacheHierarchy uniqueName="[Reinsurer].[Level20]" caption="Level20" attribute="1" defaultMemberUniqueName="[Reinsurer].[Level20].[All]" allUniqueName="[Reinsurer].[Level20].[All]" dimensionUniqueName="[Reinsurer]" displayFolder="" count="0" memberValueDatatype="130" unbalanced="0"/>
    <cacheHierarchy uniqueName="[Reinsurer].[Level20_Code]" caption="Level20_Code" attribute="1" defaultMemberUniqueName="[Reinsurer].[Level20_Code].[All]" allUniqueName="[Reinsurer].[Level20_Code].[All]" dimensionUniqueName="[Reinsurer]" displayFolder="" count="0" memberValueDatatype="130" unbalanced="0"/>
    <cacheHierarchy uniqueName="[Reinsurer].[Level20_Desc]" caption="Level20_Desc" attribute="1" defaultMemberUniqueName="[Reinsurer].[Level20_Desc].[All]" allUniqueName="[Reinsurer].[Level20_Desc].[All]" dimensionUniqueName="[Reinsurer]" displayFolder="" count="0" memberValueDatatype="130" unbalanced="0"/>
    <cacheHierarchy uniqueName="[Reinsurer].[Reinsurer Code]" caption="Reinsurer Code" defaultMemberUniqueName="[Reinsurer].[Reinsurer Code].[All]" allUniqueName="[Reinsurer].[Reinsurer Code].[All]" dimensionUniqueName="[Reinsurer]" displayFolder="" count="0" unbalanced="0"/>
    <cacheHierarchy uniqueName="[Reinsurer].[Reinsurer Code Desc]" caption="Reinsurer Code Desc" defaultMemberUniqueName="[Reinsurer].[Reinsurer Code Desc].[All]" allUniqueName="[Reinsurer].[Reinsurer Code Desc].[All]" dimensionUniqueName="[Reinsurer]" displayFolder="" count="0" unbalanced="0"/>
    <cacheHierarchy uniqueName="[Reinsurer].[Reinsurer Desc]" caption="Reinsurer Desc" defaultMemberUniqueName="[Reinsurer].[Reinsurer Desc].[All]" allUniqueName="[Reinsurer].[Reinsurer Desc].[All]" dimensionUniqueName="[Reinsurer]" displayFolder="" count="0" unbalanced="0"/>
    <cacheHierarchy uniqueName="[Risk_Location].[Hier_Name]" caption="Hier_Name" attribute="1" defaultMemberUniqueName="[Risk_Location].[Hier_Name].[All]" allUniqueName="[Risk_Location].[Hier_Name].[All]" dimensionUniqueName="[Risk_Location]" displayFolder="" count="0" memberValueDatatype="130" unbalanced="0"/>
    <cacheHierarchy uniqueName="[Risk_Location].[Hier_Risk Location Code]" caption="Hier_Risk Location Code" defaultMemberUniqueName="[Risk_Location].[Hier_Risk Location Code].[All]" allUniqueName="[Risk_Location].[Hier_Risk Location Code].[All]" dimensionUniqueName="[Risk_Location]" displayFolder="" count="0" unbalanced="0"/>
    <cacheHierarchy uniqueName="[Risk_Location].[Hier_Risk Location Code Desc]" caption="Hier_Risk Location Code Desc" defaultMemberUniqueName="[Risk_Location].[Hier_Risk Location Code Desc].[All]" allUniqueName="[Risk_Location].[Hier_Risk Location Code Desc].[All]" dimensionUniqueName="[Risk_Location]" displayFolder="" count="0" unbalanced="0"/>
    <cacheHierarchy uniqueName="[Risk_Location].[Hier_Risk Location Desc]" caption="Hier_Risk Location Desc" defaultMemberUniqueName="[Risk_Location].[Hier_Risk Location Desc].[All]" allUniqueName="[Risk_Location].[Hier_Risk Location Desc].[All]" dimensionUniqueName="[Risk_Location]" displayFolder="" count="0" unbalanced="0"/>
    <cacheHierarchy uniqueName="[Risk_Location].[Level01]" caption="Level01" attribute="1" defaultMemberUniqueName="[Risk_Location].[Level01].[All]" allUniqueName="[Risk_Location].[Level01].[All]" dimensionUniqueName="[Risk_Location]" displayFolder="" count="0" memberValueDatatype="130" unbalanced="0"/>
    <cacheHierarchy uniqueName="[Risk_Location].[Level01_Code]" caption="Level01_Code" attribute="1" defaultMemberUniqueName="[Risk_Location].[Level01_Code].[All]" allUniqueName="[Risk_Location].[Level01_Code].[All]" dimensionUniqueName="[Risk_Location]" displayFolder="" count="0" memberValueDatatype="130" unbalanced="0"/>
    <cacheHierarchy uniqueName="[Risk_Location].[Level01_Desc]" caption="Level01_Desc" attribute="1" defaultMemberUniqueName="[Risk_Location].[Level01_Desc].[All]" allUniqueName="[Risk_Location].[Level01_Desc].[All]" dimensionUniqueName="[Risk_Location]" displayFolder="" count="0" memberValueDatatype="130" unbalanced="0"/>
    <cacheHierarchy uniqueName="[Risk_Location].[Level02]" caption="Level02" attribute="1" defaultMemberUniqueName="[Risk_Location].[Level02].[All]" allUniqueName="[Risk_Location].[Level02].[All]" dimensionUniqueName="[Risk_Location]" displayFolder="" count="0" memberValueDatatype="130" unbalanced="0"/>
    <cacheHierarchy uniqueName="[Risk_Location].[Level02_Code]" caption="Level02_Code" attribute="1" defaultMemberUniqueName="[Risk_Location].[Level02_Code].[All]" allUniqueName="[Risk_Location].[Level02_Code].[All]" dimensionUniqueName="[Risk_Location]" displayFolder="" count="0" memberValueDatatype="130" unbalanced="0"/>
    <cacheHierarchy uniqueName="[Risk_Location].[Level02_Desc]" caption="Level02_Desc" attribute="1" defaultMemberUniqueName="[Risk_Location].[Level02_Desc].[All]" allUniqueName="[Risk_Location].[Level02_Desc].[All]" dimensionUniqueName="[Risk_Location]" displayFolder="" count="0" memberValueDatatype="130" unbalanced="0"/>
    <cacheHierarchy uniqueName="[Risk_Location].[Level03]" caption="Level03" attribute="1" defaultMemberUniqueName="[Risk_Location].[Level03].[All]" allUniqueName="[Risk_Location].[Level03].[All]" dimensionUniqueName="[Risk_Location]" displayFolder="" count="0" memberValueDatatype="130" unbalanced="0"/>
    <cacheHierarchy uniqueName="[Risk_Location].[Level03_Code]" caption="Level03_Code" attribute="1" defaultMemberUniqueName="[Risk_Location].[Level03_Code].[All]" allUniqueName="[Risk_Location].[Level03_Code].[All]" dimensionUniqueName="[Risk_Location]" displayFolder="" count="0" memberValueDatatype="130" unbalanced="0"/>
    <cacheHierarchy uniqueName="[Risk_Location].[Level03_Desc]" caption="Level03_Desc" attribute="1" defaultMemberUniqueName="[Risk_Location].[Level03_Desc].[All]" allUniqueName="[Risk_Location].[Level03_Desc].[All]" dimensionUniqueName="[Risk_Location]" displayFolder="" count="0" memberValueDatatype="130" unbalanced="0"/>
    <cacheHierarchy uniqueName="[Risk_Location].[Level04]" caption="Level04" attribute="1" defaultMemberUniqueName="[Risk_Location].[Level04].[All]" allUniqueName="[Risk_Location].[Level04].[All]" dimensionUniqueName="[Risk_Location]" displayFolder="" count="0" memberValueDatatype="130" unbalanced="0"/>
    <cacheHierarchy uniqueName="[Risk_Location].[Level04_Code]" caption="Level04_Code" attribute="1" defaultMemberUniqueName="[Risk_Location].[Level04_Code].[All]" allUniqueName="[Risk_Location].[Level04_Code].[All]" dimensionUniqueName="[Risk_Location]" displayFolder="" count="0" memberValueDatatype="130" unbalanced="0"/>
    <cacheHierarchy uniqueName="[Risk_Location].[Level04_Desc]" caption="Level04_Desc" attribute="1" defaultMemberUniqueName="[Risk_Location].[Level04_Desc].[All]" allUniqueName="[Risk_Location].[Level04_Desc].[All]" dimensionUniqueName="[Risk_Location]" displayFolder="" count="0" memberValueDatatype="130" unbalanced="0"/>
    <cacheHierarchy uniqueName="[Risk_Location].[Level05]" caption="Level05" attribute="1" defaultMemberUniqueName="[Risk_Location].[Level05].[All]" allUniqueName="[Risk_Location].[Level05].[All]" dimensionUniqueName="[Risk_Location]" displayFolder="" count="0" memberValueDatatype="130" unbalanced="0"/>
    <cacheHierarchy uniqueName="[Risk_Location].[Level05_Code]" caption="Level05_Code" attribute="1" defaultMemberUniqueName="[Risk_Location].[Level05_Code].[All]" allUniqueName="[Risk_Location].[Level05_Code].[All]" dimensionUniqueName="[Risk_Location]" displayFolder="" count="0" memberValueDatatype="130" unbalanced="0"/>
    <cacheHierarchy uniqueName="[Risk_Location].[Level05_Desc]" caption="Level05_Desc" attribute="1" defaultMemberUniqueName="[Risk_Location].[Level05_Desc].[All]" allUniqueName="[Risk_Location].[Level05_Desc].[All]" dimensionUniqueName="[Risk_Location]" displayFolder="" count="0" memberValueDatatype="130" unbalanced="0"/>
    <cacheHierarchy uniqueName="[Risk_Location].[Level06]" caption="Level06" attribute="1" defaultMemberUniqueName="[Risk_Location].[Level06].[All]" allUniqueName="[Risk_Location].[Level06].[All]" dimensionUniqueName="[Risk_Location]" displayFolder="" count="0" memberValueDatatype="130" unbalanced="0"/>
    <cacheHierarchy uniqueName="[Risk_Location].[Level06_Code]" caption="Level06_Code" attribute="1" defaultMemberUniqueName="[Risk_Location].[Level06_Code].[All]" allUniqueName="[Risk_Location].[Level06_Code].[All]" dimensionUniqueName="[Risk_Location]" displayFolder="" count="0" memberValueDatatype="130" unbalanced="0"/>
    <cacheHierarchy uniqueName="[Risk_Location].[Level06_Desc]" caption="Level06_Desc" attribute="1" defaultMemberUniqueName="[Risk_Location].[Level06_Desc].[All]" allUniqueName="[Risk_Location].[Level06_Desc].[All]" dimensionUniqueName="[Risk_Location]" displayFolder="" count="0" memberValueDatatype="130" unbalanced="0"/>
    <cacheHierarchy uniqueName="[Risk_Location].[Level07]" caption="Level07" attribute="1" defaultMemberUniqueName="[Risk_Location].[Level07].[All]" allUniqueName="[Risk_Location].[Level07].[All]" dimensionUniqueName="[Risk_Location]" displayFolder="" count="0" memberValueDatatype="130" unbalanced="0"/>
    <cacheHierarchy uniqueName="[Risk_Location].[Level07_Code]" caption="Level07_Code" attribute="1" defaultMemberUniqueName="[Risk_Location].[Level07_Code].[All]" allUniqueName="[Risk_Location].[Level07_Code].[All]" dimensionUniqueName="[Risk_Location]" displayFolder="" count="0" memberValueDatatype="130" unbalanced="0"/>
    <cacheHierarchy uniqueName="[Risk_Location].[Level07_Desc]" caption="Level07_Desc" attribute="1" defaultMemberUniqueName="[Risk_Location].[Level07_Desc].[All]" allUniqueName="[Risk_Location].[Level07_Desc].[All]" dimensionUniqueName="[Risk_Location]" displayFolder="" count="0" memberValueDatatype="130" unbalanced="0"/>
    <cacheHierarchy uniqueName="[Risk_Location].[Level08]" caption="Level08" attribute="1" defaultMemberUniqueName="[Risk_Location].[Level08].[All]" allUniqueName="[Risk_Location].[Level08].[All]" dimensionUniqueName="[Risk_Location]" displayFolder="" count="0" memberValueDatatype="130" unbalanced="0"/>
    <cacheHierarchy uniqueName="[Risk_Location].[Level08_Code]" caption="Level08_Code" attribute="1" defaultMemberUniqueName="[Risk_Location].[Level08_Code].[All]" allUniqueName="[Risk_Location].[Level08_Code].[All]" dimensionUniqueName="[Risk_Location]" displayFolder="" count="0" memberValueDatatype="130" unbalanced="0"/>
    <cacheHierarchy uniqueName="[Risk_Location].[Level08_Desc]" caption="Level08_Desc" attribute="1" defaultMemberUniqueName="[Risk_Location].[Level08_Desc].[All]" allUniqueName="[Risk_Location].[Level08_Desc].[All]" dimensionUniqueName="[Risk_Location]" displayFolder="" count="0" memberValueDatatype="130" unbalanced="0"/>
    <cacheHierarchy uniqueName="[Risk_Location].[Level09]" caption="Level09" attribute="1" defaultMemberUniqueName="[Risk_Location].[Level09].[All]" allUniqueName="[Risk_Location].[Level09].[All]" dimensionUniqueName="[Risk_Location]" displayFolder="" count="0" memberValueDatatype="130" unbalanced="0"/>
    <cacheHierarchy uniqueName="[Risk_Location].[Level09_Code]" caption="Level09_Code" attribute="1" defaultMemberUniqueName="[Risk_Location].[Level09_Code].[All]" allUniqueName="[Risk_Location].[Level09_Code].[All]" dimensionUniqueName="[Risk_Location]" displayFolder="" count="0" memberValueDatatype="130" unbalanced="0"/>
    <cacheHierarchy uniqueName="[Risk_Location].[Level09_Desc]" caption="Level09_Desc" attribute="1" defaultMemberUniqueName="[Risk_Location].[Level09_Desc].[All]" allUniqueName="[Risk_Location].[Level09_Desc].[All]" dimensionUniqueName="[Risk_Location]" displayFolder="" count="0" memberValueDatatype="130" unbalanced="0"/>
    <cacheHierarchy uniqueName="[Risk_Location].[Level10]" caption="Level10" attribute="1" defaultMemberUniqueName="[Risk_Location].[Level10].[All]" allUniqueName="[Risk_Location].[Level10].[All]" dimensionUniqueName="[Risk_Location]" displayFolder="" count="0" memberValueDatatype="130" unbalanced="0"/>
    <cacheHierarchy uniqueName="[Risk_Location].[Level10_Code]" caption="Level10_Code" attribute="1" defaultMemberUniqueName="[Risk_Location].[Level10_Code].[All]" allUniqueName="[Risk_Location].[Level10_Code].[All]" dimensionUniqueName="[Risk_Location]" displayFolder="" count="0" memberValueDatatype="130" unbalanced="0"/>
    <cacheHierarchy uniqueName="[Risk_Location].[Level10_Desc]" caption="Level10_Desc" attribute="1" defaultMemberUniqueName="[Risk_Location].[Level10_Desc].[All]" allUniqueName="[Risk_Location].[Level10_Desc].[All]" dimensionUniqueName="[Risk_Location]" displayFolder="" count="0" memberValueDatatype="130" unbalanced="0"/>
    <cacheHierarchy uniqueName="[Risk_Location].[Level11]" caption="Level11" attribute="1" defaultMemberUniqueName="[Risk_Location].[Level11].[All]" allUniqueName="[Risk_Location].[Level11].[All]" dimensionUniqueName="[Risk_Location]" displayFolder="" count="0" memberValueDatatype="130" unbalanced="0"/>
    <cacheHierarchy uniqueName="[Risk_Location].[Level11_Code]" caption="Level11_Code" attribute="1" defaultMemberUniqueName="[Risk_Location].[Level11_Code].[All]" allUniqueName="[Risk_Location].[Level11_Code].[All]" dimensionUniqueName="[Risk_Location]" displayFolder="" count="0" memberValueDatatype="130" unbalanced="0"/>
    <cacheHierarchy uniqueName="[Risk_Location].[Level11_Desc]" caption="Level11_Desc" attribute="1" defaultMemberUniqueName="[Risk_Location].[Level11_Desc].[All]" allUniqueName="[Risk_Location].[Level11_Desc].[All]" dimensionUniqueName="[Risk_Location]" displayFolder="" count="0" memberValueDatatype="130" unbalanced="0"/>
    <cacheHierarchy uniqueName="[Risk_Location].[Level12]" caption="Level12" attribute="1" defaultMemberUniqueName="[Risk_Location].[Level12].[All]" allUniqueName="[Risk_Location].[Level12].[All]" dimensionUniqueName="[Risk_Location]" displayFolder="" count="0" memberValueDatatype="130" unbalanced="0"/>
    <cacheHierarchy uniqueName="[Risk_Location].[Level12_Code]" caption="Level12_Code" attribute="1" defaultMemberUniqueName="[Risk_Location].[Level12_Code].[All]" allUniqueName="[Risk_Location].[Level12_Code].[All]" dimensionUniqueName="[Risk_Location]" displayFolder="" count="0" memberValueDatatype="130" unbalanced="0"/>
    <cacheHierarchy uniqueName="[Risk_Location].[Level12_Desc]" caption="Level12_Desc" attribute="1" defaultMemberUniqueName="[Risk_Location].[Level12_Desc].[All]" allUniqueName="[Risk_Location].[Level12_Desc].[All]" dimensionUniqueName="[Risk_Location]" displayFolder="" count="0" memberValueDatatype="130" unbalanced="0"/>
    <cacheHierarchy uniqueName="[Risk_Location].[Level13]" caption="Level13" attribute="1" defaultMemberUniqueName="[Risk_Location].[Level13].[All]" allUniqueName="[Risk_Location].[Level13].[All]" dimensionUniqueName="[Risk_Location]" displayFolder="" count="0" memberValueDatatype="130" unbalanced="0"/>
    <cacheHierarchy uniqueName="[Risk_Location].[Level13_Code]" caption="Level13_Code" attribute="1" defaultMemberUniqueName="[Risk_Location].[Level13_Code].[All]" allUniqueName="[Risk_Location].[Level13_Code].[All]" dimensionUniqueName="[Risk_Location]" displayFolder="" count="0" memberValueDatatype="130" unbalanced="0"/>
    <cacheHierarchy uniqueName="[Risk_Location].[Level13_Desc]" caption="Level13_Desc" attribute="1" defaultMemberUniqueName="[Risk_Location].[Level13_Desc].[All]" allUniqueName="[Risk_Location].[Level13_Desc].[All]" dimensionUniqueName="[Risk_Location]" displayFolder="" count="0" memberValueDatatype="130" unbalanced="0"/>
    <cacheHierarchy uniqueName="[Risk_Location].[Level14]" caption="Level14" attribute="1" defaultMemberUniqueName="[Risk_Location].[Level14].[All]" allUniqueName="[Risk_Location].[Level14].[All]" dimensionUniqueName="[Risk_Location]" displayFolder="" count="0" memberValueDatatype="130" unbalanced="0"/>
    <cacheHierarchy uniqueName="[Risk_Location].[Level14_Code]" caption="Level14_Code" attribute="1" defaultMemberUniqueName="[Risk_Location].[Level14_Code].[All]" allUniqueName="[Risk_Location].[Level14_Code].[All]" dimensionUniqueName="[Risk_Location]" displayFolder="" count="0" memberValueDatatype="130" unbalanced="0"/>
    <cacheHierarchy uniqueName="[Risk_Location].[Level14_Desc]" caption="Level14_Desc" attribute="1" defaultMemberUniqueName="[Risk_Location].[Level14_Desc].[All]" allUniqueName="[Risk_Location].[Level14_Desc].[All]" dimensionUniqueName="[Risk_Location]" displayFolder="" count="0" memberValueDatatype="130" unbalanced="0"/>
    <cacheHierarchy uniqueName="[Risk_Location].[Level15]" caption="Level15" attribute="1" defaultMemberUniqueName="[Risk_Location].[Level15].[All]" allUniqueName="[Risk_Location].[Level15].[All]" dimensionUniqueName="[Risk_Location]" displayFolder="" count="0" memberValueDatatype="130" unbalanced="0"/>
    <cacheHierarchy uniqueName="[Risk_Location].[Level15_Code]" caption="Level15_Code" attribute="1" defaultMemberUniqueName="[Risk_Location].[Level15_Code].[All]" allUniqueName="[Risk_Location].[Level15_Code].[All]" dimensionUniqueName="[Risk_Location]" displayFolder="" count="0" memberValueDatatype="130" unbalanced="0"/>
    <cacheHierarchy uniqueName="[Risk_Location].[Level15_Desc]" caption="Level15_Desc" attribute="1" defaultMemberUniqueName="[Risk_Location].[Level15_Desc].[All]" allUniqueName="[Risk_Location].[Level15_Desc].[All]" dimensionUniqueName="[Risk_Location]" displayFolder="" count="0" memberValueDatatype="130" unbalanced="0"/>
    <cacheHierarchy uniqueName="[Risk_Location].[Level16]" caption="Level16" attribute="1" defaultMemberUniqueName="[Risk_Location].[Level16].[All]" allUniqueName="[Risk_Location].[Level16].[All]" dimensionUniqueName="[Risk_Location]" displayFolder="" count="0" memberValueDatatype="130" unbalanced="0"/>
    <cacheHierarchy uniqueName="[Risk_Location].[Level16_Code]" caption="Level16_Code" attribute="1" defaultMemberUniqueName="[Risk_Location].[Level16_Code].[All]" allUniqueName="[Risk_Location].[Level16_Code].[All]" dimensionUniqueName="[Risk_Location]" displayFolder="" count="0" memberValueDatatype="130" unbalanced="0"/>
    <cacheHierarchy uniqueName="[Risk_Location].[Level16_Desc]" caption="Level16_Desc" attribute="1" defaultMemberUniqueName="[Risk_Location].[Level16_Desc].[All]" allUniqueName="[Risk_Location].[Level16_Desc].[All]" dimensionUniqueName="[Risk_Location]" displayFolder="" count="0" memberValueDatatype="130" unbalanced="0"/>
    <cacheHierarchy uniqueName="[Risk_Location].[Level17]" caption="Level17" attribute="1" defaultMemberUniqueName="[Risk_Location].[Level17].[All]" allUniqueName="[Risk_Location].[Level17].[All]" dimensionUniqueName="[Risk_Location]" displayFolder="" count="0" memberValueDatatype="130" unbalanced="0"/>
    <cacheHierarchy uniqueName="[Risk_Location].[Level17_Code]" caption="Level17_Code" attribute="1" defaultMemberUniqueName="[Risk_Location].[Level17_Code].[All]" allUniqueName="[Risk_Location].[Level17_Code].[All]" dimensionUniqueName="[Risk_Location]" displayFolder="" count="0" memberValueDatatype="130" unbalanced="0"/>
    <cacheHierarchy uniqueName="[Risk_Location].[Level17_Desc]" caption="Level17_Desc" attribute="1" defaultMemberUniqueName="[Risk_Location].[Level17_Desc].[All]" allUniqueName="[Risk_Location].[Level17_Desc].[All]" dimensionUniqueName="[Risk_Location]" displayFolder="" count="0" memberValueDatatype="130" unbalanced="0"/>
    <cacheHierarchy uniqueName="[Risk_Location].[Level18]" caption="Level18" attribute="1" defaultMemberUniqueName="[Risk_Location].[Level18].[All]" allUniqueName="[Risk_Location].[Level18].[All]" dimensionUniqueName="[Risk_Location]" displayFolder="" count="0" memberValueDatatype="130" unbalanced="0"/>
    <cacheHierarchy uniqueName="[Risk_Location].[Level18_Code]" caption="Level18_Code" attribute="1" defaultMemberUniqueName="[Risk_Location].[Level18_Code].[All]" allUniqueName="[Risk_Location].[Level18_Code].[All]" dimensionUniqueName="[Risk_Location]" displayFolder="" count="0" memberValueDatatype="130" unbalanced="0"/>
    <cacheHierarchy uniqueName="[Risk_Location].[Level18_Desc]" caption="Level18_Desc" attribute="1" defaultMemberUniqueName="[Risk_Location].[Level18_Desc].[All]" allUniqueName="[Risk_Location].[Level18_Desc].[All]" dimensionUniqueName="[Risk_Location]" displayFolder="" count="0" memberValueDatatype="130" unbalanced="0"/>
    <cacheHierarchy uniqueName="[Risk_Location].[Level19]" caption="Level19" attribute="1" defaultMemberUniqueName="[Risk_Location].[Level19].[All]" allUniqueName="[Risk_Location].[Level19].[All]" dimensionUniqueName="[Risk_Location]" displayFolder="" count="0" memberValueDatatype="130" unbalanced="0"/>
    <cacheHierarchy uniqueName="[Risk_Location].[Level19_Code]" caption="Level19_Code" attribute="1" defaultMemberUniqueName="[Risk_Location].[Level19_Code].[All]" allUniqueName="[Risk_Location].[Level19_Code].[All]" dimensionUniqueName="[Risk_Location]" displayFolder="" count="0" memberValueDatatype="130" unbalanced="0"/>
    <cacheHierarchy uniqueName="[Risk_Location].[Level19_Desc]" caption="Level19_Desc" attribute="1" defaultMemberUniqueName="[Risk_Location].[Level19_Desc].[All]" allUniqueName="[Risk_Location].[Level19_Desc].[All]" dimensionUniqueName="[Risk_Location]" displayFolder="" count="0" memberValueDatatype="130" unbalanced="0"/>
    <cacheHierarchy uniqueName="[Risk_Location].[Level20]" caption="Level20" attribute="1" defaultMemberUniqueName="[Risk_Location].[Level20].[All]" allUniqueName="[Risk_Location].[Level20].[All]" dimensionUniqueName="[Risk_Location]" displayFolder="" count="0" memberValueDatatype="130" unbalanced="0"/>
    <cacheHierarchy uniqueName="[Risk_Location].[Level20_Code]" caption="Level20_Code" attribute="1" defaultMemberUniqueName="[Risk_Location].[Level20_Code].[All]" allUniqueName="[Risk_Location].[Level20_Code].[All]" dimensionUniqueName="[Risk_Location]" displayFolder="" count="0" memberValueDatatype="130" unbalanced="0"/>
    <cacheHierarchy uniqueName="[Risk_Location].[Level20_Desc]" caption="Level20_Desc" attribute="1" defaultMemberUniqueName="[Risk_Location].[Level20_Desc].[All]" allUniqueName="[Risk_Location].[Level20_Desc].[All]" dimensionUniqueName="[Risk_Location]" displayFolder="" count="0" memberValueDatatype="130" unbalanced="0"/>
    <cacheHierarchy uniqueName="[Risk_Location].[Risk Location Code]" caption="Risk Location Code" defaultMemberUniqueName="[Risk_Location].[Risk Location Code].[All]" allUniqueName="[Risk_Location].[Risk Location Code].[All]" dimensionUniqueName="[Risk_Location]" displayFolder="" count="0" unbalanced="0"/>
    <cacheHierarchy uniqueName="[Risk_Location].[Risk Location Code Desc]" caption="Risk Location Code Desc" defaultMemberUniqueName="[Risk_Location].[Risk Location Code Desc].[All]" allUniqueName="[Risk_Location].[Risk Location Code Desc].[All]" dimensionUniqueName="[Risk_Location]" displayFolder="" count="0" unbalanced="0"/>
    <cacheHierarchy uniqueName="[Risk_Location].[Risk Location Desc]" caption="Risk Location Desc" defaultMemberUniqueName="[Risk_Location].[Risk Location Desc].[All]" allUniqueName="[Risk_Location].[Risk Location Desc].[All]" dimensionUniqueName="[Risk_Location]" displayFolder="" count="0" unbalanced="0"/>
    <cacheHierarchy uniqueName="[Risk_Location].[Risk_Location_Code]" caption="Risk_Location_Code" attribute="1" defaultMemberUniqueName="[Risk_Location].[Risk_Location_Code].[All]" allUniqueName="[Risk_Location].[Risk_Location_Code].[All]" dimensionUniqueName="[Risk_Location]" displayFolder="" count="0" memberValueDatatype="130" unbalanced="0"/>
    <cacheHierarchy uniqueName="[Risk_Location].[Risk_Location_Code_Desc]" caption="Risk_Location_Code_Desc" attribute="1" defaultMemberUniqueName="[Risk_Location].[Risk_Location_Code_Desc].[All]" allUniqueName="[Risk_Location].[Risk_Location_Code_Desc].[All]" dimensionUniqueName="[Risk_Location]" displayFolder="" count="0" memberValueDatatype="130" unbalanced="0"/>
    <cacheHierarchy uniqueName="[Risk_Location].[Risk_Location_Desc]" caption="Risk_Location_Desc" attribute="1" defaultMemberUniqueName="[Risk_Location].[Risk_Location_Desc].[All]" allUniqueName="[Risk_Location].[Risk_Location_Desc].[All]" dimensionUniqueName="[Risk_Location]" displayFolder="" count="0" memberValueDatatype="130" unbalanced="0"/>
    <cacheHierarchy uniqueName="[Rounding].[Rounding]" caption="Rounding" attribute="1" defaultMemberUniqueName="[Rounding].[Rounding].[All]" allUniqueName="[Rounding].[Rounding].[All]" dimensionUniqueName="[Rounding]" displayFolder="" count="0" memberValueDatatype="130" unbalanced="0"/>
    <cacheHierarchy uniqueName="[Rounding].[Value]" caption="Value" attribute="1" defaultMemberUniqueName="[Rounding].[Value].[All]" allUniqueName="[Rounding].[Value].[All]" dimensionUniqueName="[Rounding]" displayFolder="" count="0" memberValueDatatype="20" unbalanced="0"/>
    <cacheHierarchy uniqueName="[SL_BALANCES].[Cat Indicator]" caption="Cat Indicator" attribute="1" defaultMemberUniqueName="[SL_BALANCES].[Cat Indicator].[All]" allUniqueName="[SL_BALANCES].[Cat Indicator].[All]" dimensionUniqueName="[SL_BALANCES]" displayFolder="Claims" count="0" memberValueDatatype="130" unbalanced="0"/>
    <cacheHierarchy uniqueName="[SL_BALANCES].[Functional Currency Code]" caption="Functional Currency Code" attribute="1" defaultMemberUniqueName="[SL_BALANCES].[Functional Currency Code].[All]" allUniqueName="[SL_BALANCES].[Functional Currency Code].[All]" dimensionUniqueName="[SL_BALANCES]" displayFolder="Currency Codes" count="0" memberValueDatatype="130" unbalanced="0"/>
    <cacheHierarchy uniqueName="[SL_BALANCES].[Journal Balance Date]" caption="Journal Balance Date" attribute="1" defaultMemberUniqueName="[SL_BALANCES].[Journal Balance Date].[All]" allUniqueName="[SL_BALANCES].[Journal Balance Date].[All]" dimensionUniqueName="[SL_BALANCES]" displayFolder="Balance Dates" count="0" memberValueDatatype="130" unbalanced="0"/>
    <cacheHierarchy uniqueName="[SL_BALANCES].[Loss_Qtr]" caption="Loss_Qtr" attribute="1" defaultMemberUniqueName="[SL_BALANCES].[Loss_Qtr].[All]" allUniqueName="[SL_BALANCES].[Loss_Qtr].[All]" dimensionUniqueName="[SL_BALANCES]" displayFolder="Claims" count="0" memberValueDatatype="130" unbalanced="0"/>
    <cacheHierarchy uniqueName="[SL_BALANCES].[Loss_Year]" caption="Loss_Year" attribute="1" defaultMemberUniqueName="[SL_BALANCES].[Loss_Year].[All]" allUniqueName="[SL_BALANCES].[Loss_Year].[All]" dimensionUniqueName="[SL_BALANCES]" displayFolder="Claims" count="0" memberValueDatatype="5" unbalanced="0"/>
    <cacheHierarchy uniqueName="[SL_BALANCES].[N_FUTURE1_SKEY]" caption="N_FUTURE1_SKEY" attribute="1" defaultMemberUniqueName="[SL_BALANCES].[N_FUTURE1_SKEY].[All]" allUniqueName="[SL_BALANCES].[N_FUTURE1_SKEY].[All]" dimensionUniqueName="[SL_BALANCES]" displayFolder="Future" count="0" memberValueDatatype="5" unbalanced="0"/>
    <cacheHierarchy uniqueName="[SL_BALANCES].[N_FUTURE2_SKEY]" caption="N_FUTURE2_SKEY" attribute="1" defaultMemberUniqueName="[SL_BALANCES].[N_FUTURE2_SKEY].[All]" allUniqueName="[SL_BALANCES].[N_FUTURE2_SKEY].[All]" dimensionUniqueName="[SL_BALANCES]" displayFolder="Future" count="0" memberValueDatatype="5" unbalanced="0"/>
    <cacheHierarchy uniqueName="[SL_BALANCES].[Reporting Currency Code]" caption="Reporting Currency Code" attribute="1" defaultMemberUniqueName="[SL_BALANCES].[Reporting Currency Code].[All]" allUniqueName="[SL_BALANCES].[Reporting Currency Code].[All]" dimensionUniqueName="[SL_BALANCES]" displayFolder="Currency Codes" count="0" memberValueDatatype="130" unbalanced="0"/>
    <cacheHierarchy uniqueName="[SL_BALANCES].[SL Journal Category]" caption="SL Journal Category" attribute="1" defaultMemberUniqueName="[SL_BALANCES].[SL Journal Category].[All]" allUniqueName="[SL_BALANCES].[SL Journal Category].[All]" dimensionUniqueName="[SL_BALANCES]" displayFolder="Journal Category" count="0" memberValueDatatype="130" unbalanced="0"/>
    <cacheHierarchy uniqueName="[SL_BALANCES].[SL Journal Source]" caption="SL Journal Source" attribute="1" defaultMemberUniqueName="[SL_BALANCES].[SL Journal Source].[All]" allUniqueName="[SL_BALANCES].[SL Journal Source].[All]" dimensionUniqueName="[SL_BALANCES]" displayFolder="Journal Source" count="0" memberValueDatatype="130" unbalanced="0"/>
    <cacheHierarchy uniqueName="[SL_BALANCES].[Source Type Flag]" caption="Source Type Flag" attribute="1" defaultMemberUniqueName="[SL_BALANCES].[Source Type Flag].[All]" allUniqueName="[SL_BALANCES].[Source Type Flag].[All]" dimensionUniqueName="[SL_BALANCES]" displayFolder="Journal Source" count="0" memberValueDatatype="130" unbalanced="0"/>
    <cacheHierarchy uniqueName="[SL_BALANCES].[Source Type Flag Desc]" caption="Source Type Flag Desc" attribute="1" defaultMemberUniqueName="[SL_BALANCES].[Source Type Flag Desc].[All]" allUniqueName="[SL_BALANCES].[Source Type Flag Desc].[All]" dimensionUniqueName="[SL_BALANCES]" displayFolder="Journal Source" count="0" memberValueDatatype="130" unbalanced="0"/>
    <cacheHierarchy uniqueName="[SL_BALANCES].[Transaction Currency Code]" caption="Transaction Currency Code" attribute="1" defaultMemberUniqueName="[SL_BALANCES].[Transaction Currency Code].[All]" allUniqueName="[SL_BALANCES].[Transaction Currency Code].[All]" dimensionUniqueName="[SL_BALANCES]" displayFolder="Currency Codes" count="0" memberValueDatatype="130" unbalanced="0"/>
    <cacheHierarchy uniqueName="[SL_BALANCES].[UW Year]" caption="UW Year" attribute="1" defaultMemberUniqueName="[SL_BALANCES].[UW Year].[All]" allUniqueName="[SL_BALANCES].[UW Year].[All]" dimensionUniqueName="[SL_BALANCES]" displayFolder="Policy" count="0" memberValueDatatype="5" unbalanced="0"/>
    <cacheHierarchy uniqueName="[Source_Interface_System_Code].[Source_Interface_System_Code]" caption="Source_Interface_System_Code" attribute="1" defaultMemberUniqueName="[Source_Interface_System_Code].[Source_Interface_System_Code].[All]" allUniqueName="[Source_Interface_System_Code].[Source_Interface_System_Code].[All]" dimensionUniqueName="[Source_Interface_System_Code]" displayFolder="" count="0" memberValueDatatype="130" unbalanced="0"/>
    <cacheHierarchy uniqueName="[Source_Interface_System_Code].[Source_Interface_System_Code_Desc]" caption="Source_Interface_System_Code_Desc" attribute="1" defaultMemberUniqueName="[Source_Interface_System_Code].[Source_Interface_System_Code_Desc].[All]" allUniqueName="[Source_Interface_System_Code].[Source_Interface_System_Code_Desc].[All]" dimensionUniqueName="[Source_Interface_System_Code]" displayFolder="" count="0" memberValueDatatype="130" unbalanced="0"/>
    <cacheHierarchy uniqueName="[Source_Interface_System_Code].[Source_Interface_System_Desc]" caption="Source_Interface_System_Desc" attribute="1" defaultMemberUniqueName="[Source_Interface_System_Code].[Source_Interface_System_Desc].[All]" allUniqueName="[Source_Interface_System_Code].[Source_Interface_System_Desc].[All]" dimensionUniqueName="[Source_Interface_System_Code]" displayFolder="" count="0" memberValueDatatype="130" unbalanced="0"/>
    <cacheHierarchy uniqueName="[Source_Interface_System_Code].[SSI ID Code]" caption="SSI ID Code" defaultMemberUniqueName="[Source_Interface_System_Code].[SSI ID Code].[All]" allUniqueName="[Source_Interface_System_Code].[SSI ID Code].[All]" dimensionUniqueName="[Source_Interface_System_Code]" displayFolder="" count="0" unbalanced="0"/>
    <cacheHierarchy uniqueName="[Source_Interface_System_Code].[SSI ID Code Desc]" caption="SSI ID Code Desc" defaultMemberUniqueName="[Source_Interface_System_Code].[SSI ID Code Desc].[All]" allUniqueName="[Source_Interface_System_Code].[SSI ID Code Desc].[All]" dimensionUniqueName="[Source_Interface_System_Code]" displayFolder="" count="0" unbalanced="0"/>
    <cacheHierarchy uniqueName="[Source_Interface_System_Code].[SSI ID Desc]" caption="SSI ID Desc" defaultMemberUniqueName="[Source_Interface_System_Code].[SSI ID Desc].[All]" allUniqueName="[Source_Interface_System_Code].[SSI ID Desc].[All]" dimensionUniqueName="[Source_Interface_System_Code]" displayFolder="" count="0" unbalanced="0"/>
    <cacheHierarchy uniqueName="[Sub_Product_CIEE].[CIEE Sub Product Code]" caption="CIEE Sub Product Code" defaultMemberUniqueName="[Sub_Product_CIEE].[CIEE Sub Product Code].[All]" allUniqueName="[Sub_Product_CIEE].[CIEE Sub Product Code].[All]" dimensionUniqueName="[Sub_Product_CIEE]" displayFolder="" count="0" unbalanced="0"/>
    <cacheHierarchy uniqueName="[Sub_Product_CIEE].[CIEE Sub Product Code Desc]" caption="CIEE Sub Product Code Desc" defaultMemberUniqueName="[Sub_Product_CIEE].[CIEE Sub Product Code Desc].[All]" allUniqueName="[Sub_Product_CIEE].[CIEE Sub Product Code Desc].[All]" dimensionUniqueName="[Sub_Product_CIEE]" displayFolder="" count="0" unbalanced="0"/>
    <cacheHierarchy uniqueName="[Sub_Product_CIEE].[CIEE Sub Product Desc]" caption="CIEE Sub Product Desc" defaultMemberUniqueName="[Sub_Product_CIEE].[CIEE Sub Product Desc].[All]" allUniqueName="[Sub_Product_CIEE].[CIEE Sub Product Desc].[All]" dimensionUniqueName="[Sub_Product_CIEE]" displayFolder="" count="0" unbalanced="0"/>
    <cacheHierarchy uniqueName="[Sub_Product_CIEE].[Hier_CIEE Sub Product Code]" caption="Hier_CIEE Sub Product Code" defaultMemberUniqueName="[Sub_Product_CIEE].[Hier_CIEE Sub Product Code].[All]" allUniqueName="[Sub_Product_CIEE].[Hier_CIEE Sub Product Code].[All]" dimensionUniqueName="[Sub_Product_CIEE]" displayFolder="" count="0" unbalanced="0"/>
    <cacheHierarchy uniqueName="[Sub_Product_CIEE].[Hier_CIEE Sub Product Code Desc]" caption="Hier_CIEE Sub Product Code Desc" defaultMemberUniqueName="[Sub_Product_CIEE].[Hier_CIEE Sub Product Code Desc].[All]" allUniqueName="[Sub_Product_CIEE].[Hier_CIEE Sub Product Code Desc].[All]" dimensionUniqueName="[Sub_Product_CIEE]" displayFolder="" count="0" unbalanced="0"/>
    <cacheHierarchy uniqueName="[Sub_Product_CIEE].[Hier_CIEE Sub Product Desc]" caption="Hier_CIEE Sub Product Desc" defaultMemberUniqueName="[Sub_Product_CIEE].[Hier_CIEE Sub Product Desc].[All]" allUniqueName="[Sub_Product_CIEE].[Hier_CIEE Sub Product Desc].[All]" dimensionUniqueName="[Sub_Product_CIEE]" displayFolder="" count="0" unbalanced="0"/>
    <cacheHierarchy uniqueName="[Sub_Product_CIEE].[Level01]" caption="Level01" attribute="1" defaultMemberUniqueName="[Sub_Product_CIEE].[Level01].[All]" allUniqueName="[Sub_Product_CIEE].[Level01].[All]" dimensionUniqueName="[Sub_Product_CIEE]" displayFolder="" count="0" memberValueDatatype="130" unbalanced="0"/>
    <cacheHierarchy uniqueName="[Sub_Product_CIEE].[Level01_Code]" caption="Level01_Code" attribute="1" defaultMemberUniqueName="[Sub_Product_CIEE].[Level01_Code].[All]" allUniqueName="[Sub_Product_CIEE].[Level01_Code].[All]" dimensionUniqueName="[Sub_Product_CIEE]" displayFolder="" count="0" memberValueDatatype="130" unbalanced="0"/>
    <cacheHierarchy uniqueName="[Sub_Product_CIEE].[Level01_Desc]" caption="Level01_Desc" attribute="1" defaultMemberUniqueName="[Sub_Product_CIEE].[Level01_Desc].[All]" allUniqueName="[Sub_Product_CIEE].[Level01_Desc].[All]" dimensionUniqueName="[Sub_Product_CIEE]" displayFolder="" count="0" memberValueDatatype="130" unbalanced="0"/>
    <cacheHierarchy uniqueName="[Sub_Product_CIEE].[Level02]" caption="Level02" attribute="1" defaultMemberUniqueName="[Sub_Product_CIEE].[Level02].[All]" allUniqueName="[Sub_Product_CIEE].[Level02].[All]" dimensionUniqueName="[Sub_Product_CIEE]" displayFolder="" count="0" memberValueDatatype="130" unbalanced="0"/>
    <cacheHierarchy uniqueName="[Sub_Product_CIEE].[Level02_Code]" caption="Level02_Code" attribute="1" defaultMemberUniqueName="[Sub_Product_CIEE].[Level02_Code].[All]" allUniqueName="[Sub_Product_CIEE].[Level02_Code].[All]" dimensionUniqueName="[Sub_Product_CIEE]" displayFolder="" count="0" memberValueDatatype="130" unbalanced="0"/>
    <cacheHierarchy uniqueName="[Sub_Product_CIEE].[Level02_Desc]" caption="Level02_Desc" attribute="1" defaultMemberUniqueName="[Sub_Product_CIEE].[Level02_Desc].[All]" allUniqueName="[Sub_Product_CIEE].[Level02_Desc].[All]" dimensionUniqueName="[Sub_Product_CIEE]" displayFolder="" count="0" memberValueDatatype="130" unbalanced="0"/>
    <cacheHierarchy uniqueName="[Sub_Product_CIEE].[Level03]" caption="Level03" attribute="1" defaultMemberUniqueName="[Sub_Product_CIEE].[Level03].[All]" allUniqueName="[Sub_Product_CIEE].[Level03].[All]" dimensionUniqueName="[Sub_Product_CIEE]" displayFolder="" count="0" memberValueDatatype="130" unbalanced="0"/>
    <cacheHierarchy uniqueName="[Sub_Product_CIEE].[Level03_Code]" caption="Level03_Code" attribute="1" defaultMemberUniqueName="[Sub_Product_CIEE].[Level03_Code].[All]" allUniqueName="[Sub_Product_CIEE].[Level03_Code].[All]" dimensionUniqueName="[Sub_Product_CIEE]" displayFolder="" count="0" memberValueDatatype="130" unbalanced="0"/>
    <cacheHierarchy uniqueName="[Sub_Product_CIEE].[Level03_Desc]" caption="Level03_Desc" attribute="1" defaultMemberUniqueName="[Sub_Product_CIEE].[Level03_Desc].[All]" allUniqueName="[Sub_Product_CIEE].[Level03_Desc].[All]" dimensionUniqueName="[Sub_Product_CIEE]" displayFolder="" count="0" memberValueDatatype="130" unbalanced="0"/>
    <cacheHierarchy uniqueName="[Sub_Product_CIEE].[Level04]" caption="Level04" attribute="1" defaultMemberUniqueName="[Sub_Product_CIEE].[Level04].[All]" allUniqueName="[Sub_Product_CIEE].[Level04].[All]" dimensionUniqueName="[Sub_Product_CIEE]" displayFolder="" count="0" memberValueDatatype="130" unbalanced="0"/>
    <cacheHierarchy uniqueName="[Sub_Product_CIEE].[Level04_Code]" caption="Level04_Code" attribute="1" defaultMemberUniqueName="[Sub_Product_CIEE].[Level04_Code].[All]" allUniqueName="[Sub_Product_CIEE].[Level04_Code].[All]" dimensionUniqueName="[Sub_Product_CIEE]" displayFolder="" count="0" memberValueDatatype="130" unbalanced="0"/>
    <cacheHierarchy uniqueName="[Sub_Product_CIEE].[Level04_Desc]" caption="Level04_Desc" attribute="1" defaultMemberUniqueName="[Sub_Product_CIEE].[Level04_Desc].[All]" allUniqueName="[Sub_Product_CIEE].[Level04_Desc].[All]" dimensionUniqueName="[Sub_Product_CIEE]" displayFolder="" count="0" memberValueDatatype="130" unbalanced="0"/>
    <cacheHierarchy uniqueName="[Sub_Product_CIEE].[Level05]" caption="Level05" attribute="1" defaultMemberUniqueName="[Sub_Product_CIEE].[Level05].[All]" allUniqueName="[Sub_Product_CIEE].[Level05].[All]" dimensionUniqueName="[Sub_Product_CIEE]" displayFolder="" count="0" memberValueDatatype="130" unbalanced="0"/>
    <cacheHierarchy uniqueName="[Sub_Product_CIEE].[Level05_Code]" caption="Level05_Code" attribute="1" defaultMemberUniqueName="[Sub_Product_CIEE].[Level05_Code].[All]" allUniqueName="[Sub_Product_CIEE].[Level05_Code].[All]" dimensionUniqueName="[Sub_Product_CIEE]" displayFolder="" count="0" memberValueDatatype="130" unbalanced="0"/>
    <cacheHierarchy uniqueName="[Sub_Product_CIEE].[Level05_Desc]" caption="Level05_Desc" attribute="1" defaultMemberUniqueName="[Sub_Product_CIEE].[Level05_Desc].[All]" allUniqueName="[Sub_Product_CIEE].[Level05_Desc].[All]" dimensionUniqueName="[Sub_Product_CIEE]" displayFolder="" count="0" memberValueDatatype="130" unbalanced="0"/>
    <cacheHierarchy uniqueName="[Sub_Product_CIEE].[Level06]" caption="Level06" attribute="1" defaultMemberUniqueName="[Sub_Product_CIEE].[Level06].[All]" allUniqueName="[Sub_Product_CIEE].[Level06].[All]" dimensionUniqueName="[Sub_Product_CIEE]" displayFolder="" count="0" memberValueDatatype="130" unbalanced="0"/>
    <cacheHierarchy uniqueName="[Sub_Product_CIEE].[Level06_Code]" caption="Level06_Code" attribute="1" defaultMemberUniqueName="[Sub_Product_CIEE].[Level06_Code].[All]" allUniqueName="[Sub_Product_CIEE].[Level06_Code].[All]" dimensionUniqueName="[Sub_Product_CIEE]" displayFolder="" count="0" memberValueDatatype="130" unbalanced="0"/>
    <cacheHierarchy uniqueName="[Sub_Product_CIEE].[Level06_Desc]" caption="Level06_Desc" attribute="1" defaultMemberUniqueName="[Sub_Product_CIEE].[Level06_Desc].[All]" allUniqueName="[Sub_Product_CIEE].[Level06_Desc].[All]" dimensionUniqueName="[Sub_Product_CIEE]" displayFolder="" count="0" memberValueDatatype="130" unbalanced="0"/>
    <cacheHierarchy uniqueName="[Sub_Product_CIEE].[Level07]" caption="Level07" attribute="1" defaultMemberUniqueName="[Sub_Product_CIEE].[Level07].[All]" allUniqueName="[Sub_Product_CIEE].[Level07].[All]" dimensionUniqueName="[Sub_Product_CIEE]" displayFolder="" count="0" memberValueDatatype="130" unbalanced="0"/>
    <cacheHierarchy uniqueName="[Sub_Product_CIEE].[Level07_Code]" caption="Level07_Code" attribute="1" defaultMemberUniqueName="[Sub_Product_CIEE].[Level07_Code].[All]" allUniqueName="[Sub_Product_CIEE].[Level07_Code].[All]" dimensionUniqueName="[Sub_Product_CIEE]" displayFolder="" count="0" memberValueDatatype="130" unbalanced="0"/>
    <cacheHierarchy uniqueName="[Sub_Product_CIEE].[Level07_Desc]" caption="Level07_Desc" attribute="1" defaultMemberUniqueName="[Sub_Product_CIEE].[Level07_Desc].[All]" allUniqueName="[Sub_Product_CIEE].[Level07_Desc].[All]" dimensionUniqueName="[Sub_Product_CIEE]" displayFolder="" count="0" memberValueDatatype="130" unbalanced="0"/>
    <cacheHierarchy uniqueName="[Sub_Product_CIEE].[Level08]" caption="Level08" attribute="1" defaultMemberUniqueName="[Sub_Product_CIEE].[Level08].[All]" allUniqueName="[Sub_Product_CIEE].[Level08].[All]" dimensionUniqueName="[Sub_Product_CIEE]" displayFolder="" count="0" memberValueDatatype="130" unbalanced="0"/>
    <cacheHierarchy uniqueName="[Sub_Product_CIEE].[Level08_Code]" caption="Level08_Code" attribute="1" defaultMemberUniqueName="[Sub_Product_CIEE].[Level08_Code].[All]" allUniqueName="[Sub_Product_CIEE].[Level08_Code].[All]" dimensionUniqueName="[Sub_Product_CIEE]" displayFolder="" count="0" memberValueDatatype="130" unbalanced="0"/>
    <cacheHierarchy uniqueName="[Sub_Product_CIEE].[Level08_Desc]" caption="Level08_Desc" attribute="1" defaultMemberUniqueName="[Sub_Product_CIEE].[Level08_Desc].[All]" allUniqueName="[Sub_Product_CIEE].[Level08_Desc].[All]" dimensionUniqueName="[Sub_Product_CIEE]" displayFolder="" count="0" memberValueDatatype="130" unbalanced="0"/>
    <cacheHierarchy uniqueName="[Sub_Product_CIEE].[Level09]" caption="Level09" attribute="1" defaultMemberUniqueName="[Sub_Product_CIEE].[Level09].[All]" allUniqueName="[Sub_Product_CIEE].[Level09].[All]" dimensionUniqueName="[Sub_Product_CIEE]" displayFolder="" count="0" memberValueDatatype="130" unbalanced="0"/>
    <cacheHierarchy uniqueName="[Sub_Product_CIEE].[Level09_Code]" caption="Level09_Code" attribute="1" defaultMemberUniqueName="[Sub_Product_CIEE].[Level09_Code].[All]" allUniqueName="[Sub_Product_CIEE].[Level09_Code].[All]" dimensionUniqueName="[Sub_Product_CIEE]" displayFolder="" count="0" memberValueDatatype="130" unbalanced="0"/>
    <cacheHierarchy uniqueName="[Sub_Product_CIEE].[Level09_Desc]" caption="Level09_Desc" attribute="1" defaultMemberUniqueName="[Sub_Product_CIEE].[Level09_Desc].[All]" allUniqueName="[Sub_Product_CIEE].[Level09_Desc].[All]" dimensionUniqueName="[Sub_Product_CIEE]" displayFolder="" count="0" memberValueDatatype="130" unbalanced="0"/>
    <cacheHierarchy uniqueName="[Sub_Product_CIEE].[Level10]" caption="Level10" attribute="1" defaultMemberUniqueName="[Sub_Product_CIEE].[Level10].[All]" allUniqueName="[Sub_Product_CIEE].[Level10].[All]" dimensionUniqueName="[Sub_Product_CIEE]" displayFolder="" count="0" memberValueDatatype="130" unbalanced="0"/>
    <cacheHierarchy uniqueName="[Sub_Product_CIEE].[Level10_Code]" caption="Level10_Code" attribute="1" defaultMemberUniqueName="[Sub_Product_CIEE].[Level10_Code].[All]" allUniqueName="[Sub_Product_CIEE].[Level10_Code].[All]" dimensionUniqueName="[Sub_Product_CIEE]" displayFolder="" count="0" memberValueDatatype="130" unbalanced="0"/>
    <cacheHierarchy uniqueName="[Sub_Product_CIEE].[Level10_Desc]" caption="Level10_Desc" attribute="1" defaultMemberUniqueName="[Sub_Product_CIEE].[Level10_Desc].[All]" allUniqueName="[Sub_Product_CIEE].[Level10_Desc].[All]" dimensionUniqueName="[Sub_Product_CIEE]" displayFolder="" count="0" memberValueDatatype="130" unbalanced="0"/>
    <cacheHierarchy uniqueName="[Sub_Product_CIEE].[Level11]" caption="Level11" attribute="1" defaultMemberUniqueName="[Sub_Product_CIEE].[Level11].[All]" allUniqueName="[Sub_Product_CIEE].[Level11].[All]" dimensionUniqueName="[Sub_Product_CIEE]" displayFolder="" count="0" memberValueDatatype="130" unbalanced="0"/>
    <cacheHierarchy uniqueName="[Sub_Product_CIEE].[Level11_Code]" caption="Level11_Code" attribute="1" defaultMemberUniqueName="[Sub_Product_CIEE].[Level11_Code].[All]" allUniqueName="[Sub_Product_CIEE].[Level11_Code].[All]" dimensionUniqueName="[Sub_Product_CIEE]" displayFolder="" count="0" memberValueDatatype="130" unbalanced="0"/>
    <cacheHierarchy uniqueName="[Sub_Product_CIEE].[Level11_Desc]" caption="Level11_Desc" attribute="1" defaultMemberUniqueName="[Sub_Product_CIEE].[Level11_Desc].[All]" allUniqueName="[Sub_Product_CIEE].[Level11_Desc].[All]" dimensionUniqueName="[Sub_Product_CIEE]" displayFolder="" count="0" memberValueDatatype="130" unbalanced="0"/>
    <cacheHierarchy uniqueName="[Sub_Product_CIEE].[Level12]" caption="Level12" attribute="1" defaultMemberUniqueName="[Sub_Product_CIEE].[Level12].[All]" allUniqueName="[Sub_Product_CIEE].[Level12].[All]" dimensionUniqueName="[Sub_Product_CIEE]" displayFolder="" count="0" memberValueDatatype="130" unbalanced="0"/>
    <cacheHierarchy uniqueName="[Sub_Product_CIEE].[Level12_Code]" caption="Level12_Code" attribute="1" defaultMemberUniqueName="[Sub_Product_CIEE].[Level12_Code].[All]" allUniqueName="[Sub_Product_CIEE].[Level12_Code].[All]" dimensionUniqueName="[Sub_Product_CIEE]" displayFolder="" count="0" memberValueDatatype="130" unbalanced="0"/>
    <cacheHierarchy uniqueName="[Sub_Product_CIEE].[Level12_Desc]" caption="Level12_Desc" attribute="1" defaultMemberUniqueName="[Sub_Product_CIEE].[Level12_Desc].[All]" allUniqueName="[Sub_Product_CIEE].[Level12_Desc].[All]" dimensionUniqueName="[Sub_Product_CIEE]" displayFolder="" count="0" memberValueDatatype="130" unbalanced="0"/>
    <cacheHierarchy uniqueName="[Sub_Product_CIEE].[Level13]" caption="Level13" attribute="1" defaultMemberUniqueName="[Sub_Product_CIEE].[Level13].[All]" allUniqueName="[Sub_Product_CIEE].[Level13].[All]" dimensionUniqueName="[Sub_Product_CIEE]" displayFolder="" count="0" memberValueDatatype="130" unbalanced="0"/>
    <cacheHierarchy uniqueName="[Sub_Product_CIEE].[Level13_Code]" caption="Level13_Code" attribute="1" defaultMemberUniqueName="[Sub_Product_CIEE].[Level13_Code].[All]" allUniqueName="[Sub_Product_CIEE].[Level13_Code].[All]" dimensionUniqueName="[Sub_Product_CIEE]" displayFolder="" count="0" memberValueDatatype="130" unbalanced="0"/>
    <cacheHierarchy uniqueName="[Sub_Product_CIEE].[Level13_Desc]" caption="Level13_Desc" attribute="1" defaultMemberUniqueName="[Sub_Product_CIEE].[Level13_Desc].[All]" allUniqueName="[Sub_Product_CIEE].[Level13_Desc].[All]" dimensionUniqueName="[Sub_Product_CIEE]" displayFolder="" count="0" memberValueDatatype="130" unbalanced="0"/>
    <cacheHierarchy uniqueName="[Sub_Product_CIEE].[Level14]" caption="Level14" attribute="1" defaultMemberUniqueName="[Sub_Product_CIEE].[Level14].[All]" allUniqueName="[Sub_Product_CIEE].[Level14].[All]" dimensionUniqueName="[Sub_Product_CIEE]" displayFolder="" count="0" memberValueDatatype="130" unbalanced="0"/>
    <cacheHierarchy uniqueName="[Sub_Product_CIEE].[Level14_Code]" caption="Level14_Code" attribute="1" defaultMemberUniqueName="[Sub_Product_CIEE].[Level14_Code].[All]" allUniqueName="[Sub_Product_CIEE].[Level14_Code].[All]" dimensionUniqueName="[Sub_Product_CIEE]" displayFolder="" count="0" memberValueDatatype="130" unbalanced="0"/>
    <cacheHierarchy uniqueName="[Sub_Product_CIEE].[Level14_Desc]" caption="Level14_Desc" attribute="1" defaultMemberUniqueName="[Sub_Product_CIEE].[Level14_Desc].[All]" allUniqueName="[Sub_Product_CIEE].[Level14_Desc].[All]" dimensionUniqueName="[Sub_Product_CIEE]" displayFolder="" count="0" memberValueDatatype="130" unbalanced="0"/>
    <cacheHierarchy uniqueName="[Sub_Product_CIEE].[Level15]" caption="Level15" attribute="1" defaultMemberUniqueName="[Sub_Product_CIEE].[Level15].[All]" allUniqueName="[Sub_Product_CIEE].[Level15].[All]" dimensionUniqueName="[Sub_Product_CIEE]" displayFolder="" count="0" memberValueDatatype="130" unbalanced="0"/>
    <cacheHierarchy uniqueName="[Sub_Product_CIEE].[Level15_Code]" caption="Level15_Code" attribute="1" defaultMemberUniqueName="[Sub_Product_CIEE].[Level15_Code].[All]" allUniqueName="[Sub_Product_CIEE].[Level15_Code].[All]" dimensionUniqueName="[Sub_Product_CIEE]" displayFolder="" count="0" memberValueDatatype="130" unbalanced="0"/>
    <cacheHierarchy uniqueName="[Sub_Product_CIEE].[Level15_Desc]" caption="Level15_Desc" attribute="1" defaultMemberUniqueName="[Sub_Product_CIEE].[Level15_Desc].[All]" allUniqueName="[Sub_Product_CIEE].[Level15_Desc].[All]" dimensionUniqueName="[Sub_Product_CIEE]" displayFolder="" count="0" memberValueDatatype="130" unbalanced="0"/>
    <cacheHierarchy uniqueName="[Sub_Product_CIEE].[Level16]" caption="Level16" attribute="1" defaultMemberUniqueName="[Sub_Product_CIEE].[Level16].[All]" allUniqueName="[Sub_Product_CIEE].[Level16].[All]" dimensionUniqueName="[Sub_Product_CIEE]" displayFolder="" count="0" memberValueDatatype="130" unbalanced="0"/>
    <cacheHierarchy uniqueName="[Sub_Product_CIEE].[Level16_Code]" caption="Level16_Code" attribute="1" defaultMemberUniqueName="[Sub_Product_CIEE].[Level16_Code].[All]" allUniqueName="[Sub_Product_CIEE].[Level16_Code].[All]" dimensionUniqueName="[Sub_Product_CIEE]" displayFolder="" count="0" memberValueDatatype="130" unbalanced="0"/>
    <cacheHierarchy uniqueName="[Sub_Product_CIEE].[Level16_Desc]" caption="Level16_Desc" attribute="1" defaultMemberUniqueName="[Sub_Product_CIEE].[Level16_Desc].[All]" allUniqueName="[Sub_Product_CIEE].[Level16_Desc].[All]" dimensionUniqueName="[Sub_Product_CIEE]" displayFolder="" count="0" memberValueDatatype="130" unbalanced="0"/>
    <cacheHierarchy uniqueName="[Sub_Product_CIEE].[Level17]" caption="Level17" attribute="1" defaultMemberUniqueName="[Sub_Product_CIEE].[Level17].[All]" allUniqueName="[Sub_Product_CIEE].[Level17].[All]" dimensionUniqueName="[Sub_Product_CIEE]" displayFolder="" count="0" memberValueDatatype="130" unbalanced="0"/>
    <cacheHierarchy uniqueName="[Sub_Product_CIEE].[Level17_Code]" caption="Level17_Code" attribute="1" defaultMemberUniqueName="[Sub_Product_CIEE].[Level17_Code].[All]" allUniqueName="[Sub_Product_CIEE].[Level17_Code].[All]" dimensionUniqueName="[Sub_Product_CIEE]" displayFolder="" count="0" memberValueDatatype="130" unbalanced="0"/>
    <cacheHierarchy uniqueName="[Sub_Product_CIEE].[Level17_Desc]" caption="Level17_Desc" attribute="1" defaultMemberUniqueName="[Sub_Product_CIEE].[Level17_Desc].[All]" allUniqueName="[Sub_Product_CIEE].[Level17_Desc].[All]" dimensionUniqueName="[Sub_Product_CIEE]" displayFolder="" count="0" memberValueDatatype="130" unbalanced="0"/>
    <cacheHierarchy uniqueName="[Sub_Product_CIEE].[Level18]" caption="Level18" attribute="1" defaultMemberUniqueName="[Sub_Product_CIEE].[Level18].[All]" allUniqueName="[Sub_Product_CIEE].[Level18].[All]" dimensionUniqueName="[Sub_Product_CIEE]" displayFolder="" count="0" memberValueDatatype="130" unbalanced="0"/>
    <cacheHierarchy uniqueName="[Sub_Product_CIEE].[Level18_Code]" caption="Level18_Code" attribute="1" defaultMemberUniqueName="[Sub_Product_CIEE].[Level18_Code].[All]" allUniqueName="[Sub_Product_CIEE].[Level18_Code].[All]" dimensionUniqueName="[Sub_Product_CIEE]" displayFolder="" count="0" memberValueDatatype="130" unbalanced="0"/>
    <cacheHierarchy uniqueName="[Sub_Product_CIEE].[Level18_Desc]" caption="Level18_Desc" attribute="1" defaultMemberUniqueName="[Sub_Product_CIEE].[Level18_Desc].[All]" allUniqueName="[Sub_Product_CIEE].[Level18_Desc].[All]" dimensionUniqueName="[Sub_Product_CIEE]" displayFolder="" count="0" memberValueDatatype="130" unbalanced="0"/>
    <cacheHierarchy uniqueName="[Sub_Product_CIEE].[Level19]" caption="Level19" attribute="1" defaultMemberUniqueName="[Sub_Product_CIEE].[Level19].[All]" allUniqueName="[Sub_Product_CIEE].[Level19].[All]" dimensionUniqueName="[Sub_Product_CIEE]" displayFolder="" count="0" memberValueDatatype="130" unbalanced="0"/>
    <cacheHierarchy uniqueName="[Sub_Product_CIEE].[Level19_Code]" caption="Level19_Code" attribute="1" defaultMemberUniqueName="[Sub_Product_CIEE].[Level19_Code].[All]" allUniqueName="[Sub_Product_CIEE].[Level19_Code].[All]" dimensionUniqueName="[Sub_Product_CIEE]" displayFolder="" count="0" memberValueDatatype="130" unbalanced="0"/>
    <cacheHierarchy uniqueName="[Sub_Product_CIEE].[Level19_Desc]" caption="Level19_Desc" attribute="1" defaultMemberUniqueName="[Sub_Product_CIEE].[Level19_Desc].[All]" allUniqueName="[Sub_Product_CIEE].[Level19_Desc].[All]" dimensionUniqueName="[Sub_Product_CIEE]" displayFolder="" count="0" memberValueDatatype="130" unbalanced="0"/>
    <cacheHierarchy uniqueName="[Sub_Product_CIEE].[Level20]" caption="Level20" attribute="1" defaultMemberUniqueName="[Sub_Product_CIEE].[Level20].[All]" allUniqueName="[Sub_Product_CIEE].[Level20].[All]" dimensionUniqueName="[Sub_Product_CIEE]" displayFolder="" count="0" memberValueDatatype="130" unbalanced="0"/>
    <cacheHierarchy uniqueName="[Sub_Product_CIEE].[Level20_Code]" caption="Level20_Code" attribute="1" defaultMemberUniqueName="[Sub_Product_CIEE].[Level20_Code].[All]" allUniqueName="[Sub_Product_CIEE].[Level20_Code].[All]" dimensionUniqueName="[Sub_Product_CIEE]" displayFolder="" count="0" memberValueDatatype="130" unbalanced="0"/>
    <cacheHierarchy uniqueName="[Sub_Product_CIEE].[Level20_Desc]" caption="Level20_Desc" attribute="1" defaultMemberUniqueName="[Sub_Product_CIEE].[Level20_Desc].[All]" allUniqueName="[Sub_Product_CIEE].[Level20_Desc].[All]" dimensionUniqueName="[Sub_Product_CIEE]" displayFolder="" count="0" memberValueDatatype="130" unbalanced="0"/>
    <cacheHierarchy uniqueName="[Sub_Product_CIEE].[Sub_Product_Code]" caption="Sub_Product_Code" attribute="1" defaultMemberUniqueName="[Sub_Product_CIEE].[Sub_Product_Code].[All]" allUniqueName="[Sub_Product_CIEE].[Sub_Product_Code].[All]" dimensionUniqueName="[Sub_Product_CIEE]" displayFolder="" count="0" memberValueDatatype="130" unbalanced="0"/>
    <cacheHierarchy uniqueName="[Sub_Product_CIEE].[Sub_Product_Code_Desc]" caption="Sub_Product_Code_Desc" attribute="1" defaultMemberUniqueName="[Sub_Product_CIEE].[Sub_Product_Code_Desc].[All]" allUniqueName="[Sub_Product_CIEE].[Sub_Product_Code_Desc].[All]" dimensionUniqueName="[Sub_Product_CIEE]" displayFolder="" count="0" memberValueDatatype="130" unbalanced="0"/>
    <cacheHierarchy uniqueName="[Sub_Product_CIEE].[Sub_Product_Desc]" caption="Sub_Product_Desc" attribute="1" defaultMemberUniqueName="[Sub_Product_CIEE].[Sub_Product_Desc].[All]" allUniqueName="[Sub_Product_CIEE].[Sub_Product_Desc].[All]" dimensionUniqueName="[Sub_Product_CIEE]" displayFolder="" count="0" memberValueDatatype="130" unbalanced="0"/>
    <cacheHierarchy uniqueName="[Sub_Product_CIEE].[Sub_Product_Hier_Name]" caption="Sub_Product_Hier_Name" attribute="1" defaultMemberUniqueName="[Sub_Product_CIEE].[Sub_Product_Hier_Name].[All]" allUniqueName="[Sub_Product_CIEE].[Sub_Product_Hier_Name].[All]" dimensionUniqueName="[Sub_Product_CIEE]" displayFolder="" count="0" memberValueDatatype="130" unbalanced="0"/>
    <cacheHierarchy uniqueName="[Sub_Product_Managerial].[Hier_MGR Sub Product Code]" caption="Hier_MGR Sub Product Code" defaultMemberUniqueName="[Sub_Product_Managerial].[Hier_MGR Sub Product Code].[All]" allUniqueName="[Sub_Product_Managerial].[Hier_MGR Sub Product Code].[All]" dimensionUniqueName="[Sub_Product_Managerial]" displayFolder="" count="0" unbalanced="0"/>
    <cacheHierarchy uniqueName="[Sub_Product_Managerial].[Hier_MGR Sub Product Code Desc]" caption="Hier_MGR Sub Product Code Desc" defaultMemberUniqueName="[Sub_Product_Managerial].[Hier_MGR Sub Product Code Desc].[All]" allUniqueName="[Sub_Product_Managerial].[Hier_MGR Sub Product Code Desc].[All]" dimensionUniqueName="[Sub_Product_Managerial]" displayFolder="" count="0" unbalanced="0"/>
    <cacheHierarchy uniqueName="[Sub_Product_Managerial].[Hier_MGR Sub Product Desc]" caption="Hier_MGR Sub Product Desc" defaultMemberUniqueName="[Sub_Product_Managerial].[Hier_MGR Sub Product Desc].[All]" allUniqueName="[Sub_Product_Managerial].[Hier_MGR Sub Product Desc].[All]" dimensionUniqueName="[Sub_Product_Managerial]" displayFolder="" count="0" unbalanced="0"/>
    <cacheHierarchy uniqueName="[Sub_Product_Managerial].[Level01]" caption="Level01" attribute="1" defaultMemberUniqueName="[Sub_Product_Managerial].[Level01].[All]" allUniqueName="[Sub_Product_Managerial].[Level01].[All]" dimensionUniqueName="[Sub_Product_Managerial]" displayFolder="" count="0" memberValueDatatype="130" unbalanced="0"/>
    <cacheHierarchy uniqueName="[Sub_Product_Managerial].[Level01_Code]" caption="Level01_Code" attribute="1" defaultMemberUniqueName="[Sub_Product_Managerial].[Level01_Code].[All]" allUniqueName="[Sub_Product_Managerial].[Level01_Code].[All]" dimensionUniqueName="[Sub_Product_Managerial]" displayFolder="" count="0" memberValueDatatype="130" unbalanced="0"/>
    <cacheHierarchy uniqueName="[Sub_Product_Managerial].[Level01_Desc]" caption="Level01_Desc" attribute="1" defaultMemberUniqueName="[Sub_Product_Managerial].[Level01_Desc].[All]" allUniqueName="[Sub_Product_Managerial].[Level01_Desc].[All]" dimensionUniqueName="[Sub_Product_Managerial]" displayFolder="" count="0" memberValueDatatype="130" unbalanced="0"/>
    <cacheHierarchy uniqueName="[Sub_Product_Managerial].[Level02]" caption="Level02" attribute="1" defaultMemberUniqueName="[Sub_Product_Managerial].[Level02].[All]" allUniqueName="[Sub_Product_Managerial].[Level02].[All]" dimensionUniqueName="[Sub_Product_Managerial]" displayFolder="" count="0" memberValueDatatype="130" unbalanced="0"/>
    <cacheHierarchy uniqueName="[Sub_Product_Managerial].[Level02_Code]" caption="Level02_Code" attribute="1" defaultMemberUniqueName="[Sub_Product_Managerial].[Level02_Code].[All]" allUniqueName="[Sub_Product_Managerial].[Level02_Code].[All]" dimensionUniqueName="[Sub_Product_Managerial]" displayFolder="" count="0" memberValueDatatype="130" unbalanced="0"/>
    <cacheHierarchy uniqueName="[Sub_Product_Managerial].[Level02_Desc]" caption="Level02_Desc" attribute="1" defaultMemberUniqueName="[Sub_Product_Managerial].[Level02_Desc].[All]" allUniqueName="[Sub_Product_Managerial].[Level02_Desc].[All]" dimensionUniqueName="[Sub_Product_Managerial]" displayFolder="" count="0" memberValueDatatype="130" unbalanced="0"/>
    <cacheHierarchy uniqueName="[Sub_Product_Managerial].[Level03]" caption="Level03" attribute="1" defaultMemberUniqueName="[Sub_Product_Managerial].[Level03].[All]" allUniqueName="[Sub_Product_Managerial].[Level03].[All]" dimensionUniqueName="[Sub_Product_Managerial]" displayFolder="" count="0" memberValueDatatype="130" unbalanced="0"/>
    <cacheHierarchy uniqueName="[Sub_Product_Managerial].[Level03_Code]" caption="Level03_Code" attribute="1" defaultMemberUniqueName="[Sub_Product_Managerial].[Level03_Code].[All]" allUniqueName="[Sub_Product_Managerial].[Level03_Code].[All]" dimensionUniqueName="[Sub_Product_Managerial]" displayFolder="" count="0" memberValueDatatype="130" unbalanced="0"/>
    <cacheHierarchy uniqueName="[Sub_Product_Managerial].[Level03_Desc]" caption="Level03_Desc" attribute="1" defaultMemberUniqueName="[Sub_Product_Managerial].[Level03_Desc].[All]" allUniqueName="[Sub_Product_Managerial].[Level03_Desc].[All]" dimensionUniqueName="[Sub_Product_Managerial]" displayFolder="" count="0" memberValueDatatype="130" unbalanced="0"/>
    <cacheHierarchy uniqueName="[Sub_Product_Managerial].[Level04]" caption="Level04" attribute="1" defaultMemberUniqueName="[Sub_Product_Managerial].[Level04].[All]" allUniqueName="[Sub_Product_Managerial].[Level04].[All]" dimensionUniqueName="[Sub_Product_Managerial]" displayFolder="" count="0" memberValueDatatype="130" unbalanced="0"/>
    <cacheHierarchy uniqueName="[Sub_Product_Managerial].[Level04_Code]" caption="Level04_Code" attribute="1" defaultMemberUniqueName="[Sub_Product_Managerial].[Level04_Code].[All]" allUniqueName="[Sub_Product_Managerial].[Level04_Code].[All]" dimensionUniqueName="[Sub_Product_Managerial]" displayFolder="" count="0" memberValueDatatype="130" unbalanced="0"/>
    <cacheHierarchy uniqueName="[Sub_Product_Managerial].[Level04_Desc]" caption="Level04_Desc" attribute="1" defaultMemberUniqueName="[Sub_Product_Managerial].[Level04_Desc].[All]" allUniqueName="[Sub_Product_Managerial].[Level04_Desc].[All]" dimensionUniqueName="[Sub_Product_Managerial]" displayFolder="" count="0" memberValueDatatype="130" unbalanced="0"/>
    <cacheHierarchy uniqueName="[Sub_Product_Managerial].[Level05]" caption="Level05" attribute="1" defaultMemberUniqueName="[Sub_Product_Managerial].[Level05].[All]" allUniqueName="[Sub_Product_Managerial].[Level05].[All]" dimensionUniqueName="[Sub_Product_Managerial]" displayFolder="" count="0" memberValueDatatype="130" unbalanced="0"/>
    <cacheHierarchy uniqueName="[Sub_Product_Managerial].[Level05_Code]" caption="Level05_Code" attribute="1" defaultMemberUniqueName="[Sub_Product_Managerial].[Level05_Code].[All]" allUniqueName="[Sub_Product_Managerial].[Level05_Code].[All]" dimensionUniqueName="[Sub_Product_Managerial]" displayFolder="" count="0" memberValueDatatype="130" unbalanced="0"/>
    <cacheHierarchy uniqueName="[Sub_Product_Managerial].[Level05_Desc]" caption="Level05_Desc" attribute="1" defaultMemberUniqueName="[Sub_Product_Managerial].[Level05_Desc].[All]" allUniqueName="[Sub_Product_Managerial].[Level05_Desc].[All]" dimensionUniqueName="[Sub_Product_Managerial]" displayFolder="" count="0" memberValueDatatype="130" unbalanced="0"/>
    <cacheHierarchy uniqueName="[Sub_Product_Managerial].[Level06]" caption="Level06" attribute="1" defaultMemberUniqueName="[Sub_Product_Managerial].[Level06].[All]" allUniqueName="[Sub_Product_Managerial].[Level06].[All]" dimensionUniqueName="[Sub_Product_Managerial]" displayFolder="" count="0" memberValueDatatype="130" unbalanced="0"/>
    <cacheHierarchy uniqueName="[Sub_Product_Managerial].[Level06_Code]" caption="Level06_Code" attribute="1" defaultMemberUniqueName="[Sub_Product_Managerial].[Level06_Code].[All]" allUniqueName="[Sub_Product_Managerial].[Level06_Code].[All]" dimensionUniqueName="[Sub_Product_Managerial]" displayFolder="" count="0" memberValueDatatype="130" unbalanced="0"/>
    <cacheHierarchy uniqueName="[Sub_Product_Managerial].[Level06_Desc]" caption="Level06_Desc" attribute="1" defaultMemberUniqueName="[Sub_Product_Managerial].[Level06_Desc].[All]" allUniqueName="[Sub_Product_Managerial].[Level06_Desc].[All]" dimensionUniqueName="[Sub_Product_Managerial]" displayFolder="" count="0" memberValueDatatype="130" unbalanced="0"/>
    <cacheHierarchy uniqueName="[Sub_Product_Managerial].[Level07]" caption="Level07" attribute="1" defaultMemberUniqueName="[Sub_Product_Managerial].[Level07].[All]" allUniqueName="[Sub_Product_Managerial].[Level07].[All]" dimensionUniqueName="[Sub_Product_Managerial]" displayFolder="" count="0" memberValueDatatype="130" unbalanced="0"/>
    <cacheHierarchy uniqueName="[Sub_Product_Managerial].[Level07_Code]" caption="Level07_Code" attribute="1" defaultMemberUniqueName="[Sub_Product_Managerial].[Level07_Code].[All]" allUniqueName="[Sub_Product_Managerial].[Level07_Code].[All]" dimensionUniqueName="[Sub_Product_Managerial]" displayFolder="" count="0" memberValueDatatype="130" unbalanced="0"/>
    <cacheHierarchy uniqueName="[Sub_Product_Managerial].[Level07_Desc]" caption="Level07_Desc" attribute="1" defaultMemberUniqueName="[Sub_Product_Managerial].[Level07_Desc].[All]" allUniqueName="[Sub_Product_Managerial].[Level07_Desc].[All]" dimensionUniqueName="[Sub_Product_Managerial]" displayFolder="" count="0" memberValueDatatype="130" unbalanced="0"/>
    <cacheHierarchy uniqueName="[Sub_Product_Managerial].[Level08]" caption="Level08" attribute="1" defaultMemberUniqueName="[Sub_Product_Managerial].[Level08].[All]" allUniqueName="[Sub_Product_Managerial].[Level08].[All]" dimensionUniqueName="[Sub_Product_Managerial]" displayFolder="" count="0" memberValueDatatype="130" unbalanced="0"/>
    <cacheHierarchy uniqueName="[Sub_Product_Managerial].[Level08_Code]" caption="Level08_Code" attribute="1" defaultMemberUniqueName="[Sub_Product_Managerial].[Level08_Code].[All]" allUniqueName="[Sub_Product_Managerial].[Level08_Code].[All]" dimensionUniqueName="[Sub_Product_Managerial]" displayFolder="" count="0" memberValueDatatype="130" unbalanced="0"/>
    <cacheHierarchy uniqueName="[Sub_Product_Managerial].[Level08_Desc]" caption="Level08_Desc" attribute="1" defaultMemberUniqueName="[Sub_Product_Managerial].[Level08_Desc].[All]" allUniqueName="[Sub_Product_Managerial].[Level08_Desc].[All]" dimensionUniqueName="[Sub_Product_Managerial]" displayFolder="" count="0" memberValueDatatype="130" unbalanced="0"/>
    <cacheHierarchy uniqueName="[Sub_Product_Managerial].[Level09]" caption="Level09" attribute="1" defaultMemberUniqueName="[Sub_Product_Managerial].[Level09].[All]" allUniqueName="[Sub_Product_Managerial].[Level09].[All]" dimensionUniqueName="[Sub_Product_Managerial]" displayFolder="" count="0" memberValueDatatype="130" unbalanced="0"/>
    <cacheHierarchy uniqueName="[Sub_Product_Managerial].[Level09_Code]" caption="Level09_Code" attribute="1" defaultMemberUniqueName="[Sub_Product_Managerial].[Level09_Code].[All]" allUniqueName="[Sub_Product_Managerial].[Level09_Code].[All]" dimensionUniqueName="[Sub_Product_Managerial]" displayFolder="" count="0" memberValueDatatype="130" unbalanced="0"/>
    <cacheHierarchy uniqueName="[Sub_Product_Managerial].[Level09_Desc]" caption="Level09_Desc" attribute="1" defaultMemberUniqueName="[Sub_Product_Managerial].[Level09_Desc].[All]" allUniqueName="[Sub_Product_Managerial].[Level09_Desc].[All]" dimensionUniqueName="[Sub_Product_Managerial]" displayFolder="" count="0" memberValueDatatype="130" unbalanced="0"/>
    <cacheHierarchy uniqueName="[Sub_Product_Managerial].[Level10]" caption="Level10" attribute="1" defaultMemberUniqueName="[Sub_Product_Managerial].[Level10].[All]" allUniqueName="[Sub_Product_Managerial].[Level10].[All]" dimensionUniqueName="[Sub_Product_Managerial]" displayFolder="" count="0" memberValueDatatype="130" unbalanced="0"/>
    <cacheHierarchy uniqueName="[Sub_Product_Managerial].[Level10_Code]" caption="Level10_Code" attribute="1" defaultMemberUniqueName="[Sub_Product_Managerial].[Level10_Code].[All]" allUniqueName="[Sub_Product_Managerial].[Level10_Code].[All]" dimensionUniqueName="[Sub_Product_Managerial]" displayFolder="" count="0" memberValueDatatype="130" unbalanced="0"/>
    <cacheHierarchy uniqueName="[Sub_Product_Managerial].[Level10_Desc]" caption="Level10_Desc" attribute="1" defaultMemberUniqueName="[Sub_Product_Managerial].[Level10_Desc].[All]" allUniqueName="[Sub_Product_Managerial].[Level10_Desc].[All]" dimensionUniqueName="[Sub_Product_Managerial]" displayFolder="" count="0" memberValueDatatype="130" unbalanced="0"/>
    <cacheHierarchy uniqueName="[Sub_Product_Managerial].[Level11]" caption="Level11" attribute="1" defaultMemberUniqueName="[Sub_Product_Managerial].[Level11].[All]" allUniqueName="[Sub_Product_Managerial].[Level11].[All]" dimensionUniqueName="[Sub_Product_Managerial]" displayFolder="" count="0" memberValueDatatype="130" unbalanced="0"/>
    <cacheHierarchy uniqueName="[Sub_Product_Managerial].[Level11_Code]" caption="Level11_Code" attribute="1" defaultMemberUniqueName="[Sub_Product_Managerial].[Level11_Code].[All]" allUniqueName="[Sub_Product_Managerial].[Level11_Code].[All]" dimensionUniqueName="[Sub_Product_Managerial]" displayFolder="" count="0" memberValueDatatype="130" unbalanced="0"/>
    <cacheHierarchy uniqueName="[Sub_Product_Managerial].[Level11_Desc]" caption="Level11_Desc" attribute="1" defaultMemberUniqueName="[Sub_Product_Managerial].[Level11_Desc].[All]" allUniqueName="[Sub_Product_Managerial].[Level11_Desc].[All]" dimensionUniqueName="[Sub_Product_Managerial]" displayFolder="" count="0" memberValueDatatype="130" unbalanced="0"/>
    <cacheHierarchy uniqueName="[Sub_Product_Managerial].[Level12]" caption="Level12" attribute="1" defaultMemberUniqueName="[Sub_Product_Managerial].[Level12].[All]" allUniqueName="[Sub_Product_Managerial].[Level12].[All]" dimensionUniqueName="[Sub_Product_Managerial]" displayFolder="" count="0" memberValueDatatype="130" unbalanced="0"/>
    <cacheHierarchy uniqueName="[Sub_Product_Managerial].[Level12_Code]" caption="Level12_Code" attribute="1" defaultMemberUniqueName="[Sub_Product_Managerial].[Level12_Code].[All]" allUniqueName="[Sub_Product_Managerial].[Level12_Code].[All]" dimensionUniqueName="[Sub_Product_Managerial]" displayFolder="" count="0" memberValueDatatype="130" unbalanced="0"/>
    <cacheHierarchy uniqueName="[Sub_Product_Managerial].[Level12_Desc]" caption="Level12_Desc" attribute="1" defaultMemberUniqueName="[Sub_Product_Managerial].[Level12_Desc].[All]" allUniqueName="[Sub_Product_Managerial].[Level12_Desc].[All]" dimensionUniqueName="[Sub_Product_Managerial]" displayFolder="" count="0" memberValueDatatype="130" unbalanced="0"/>
    <cacheHierarchy uniqueName="[Sub_Product_Managerial].[Level13]" caption="Level13" attribute="1" defaultMemberUniqueName="[Sub_Product_Managerial].[Level13].[All]" allUniqueName="[Sub_Product_Managerial].[Level13].[All]" dimensionUniqueName="[Sub_Product_Managerial]" displayFolder="" count="0" memberValueDatatype="130" unbalanced="0"/>
    <cacheHierarchy uniqueName="[Sub_Product_Managerial].[Level13_Code]" caption="Level13_Code" attribute="1" defaultMemberUniqueName="[Sub_Product_Managerial].[Level13_Code].[All]" allUniqueName="[Sub_Product_Managerial].[Level13_Code].[All]" dimensionUniqueName="[Sub_Product_Managerial]" displayFolder="" count="0" memberValueDatatype="130" unbalanced="0"/>
    <cacheHierarchy uniqueName="[Sub_Product_Managerial].[Level13_Desc]" caption="Level13_Desc" attribute="1" defaultMemberUniqueName="[Sub_Product_Managerial].[Level13_Desc].[All]" allUniqueName="[Sub_Product_Managerial].[Level13_Desc].[All]" dimensionUniqueName="[Sub_Product_Managerial]" displayFolder="" count="0" memberValueDatatype="130" unbalanced="0"/>
    <cacheHierarchy uniqueName="[Sub_Product_Managerial].[Level14]" caption="Level14" attribute="1" defaultMemberUniqueName="[Sub_Product_Managerial].[Level14].[All]" allUniqueName="[Sub_Product_Managerial].[Level14].[All]" dimensionUniqueName="[Sub_Product_Managerial]" displayFolder="" count="0" memberValueDatatype="130" unbalanced="0"/>
    <cacheHierarchy uniqueName="[Sub_Product_Managerial].[Level14_Code]" caption="Level14_Code" attribute="1" defaultMemberUniqueName="[Sub_Product_Managerial].[Level14_Code].[All]" allUniqueName="[Sub_Product_Managerial].[Level14_Code].[All]" dimensionUniqueName="[Sub_Product_Managerial]" displayFolder="" count="0" memberValueDatatype="130" unbalanced="0"/>
    <cacheHierarchy uniqueName="[Sub_Product_Managerial].[Level14_Desc]" caption="Level14_Desc" attribute="1" defaultMemberUniqueName="[Sub_Product_Managerial].[Level14_Desc].[All]" allUniqueName="[Sub_Product_Managerial].[Level14_Desc].[All]" dimensionUniqueName="[Sub_Product_Managerial]" displayFolder="" count="0" memberValueDatatype="130" unbalanced="0"/>
    <cacheHierarchy uniqueName="[Sub_Product_Managerial].[Level15]" caption="Level15" attribute="1" defaultMemberUniqueName="[Sub_Product_Managerial].[Level15].[All]" allUniqueName="[Sub_Product_Managerial].[Level15].[All]" dimensionUniqueName="[Sub_Product_Managerial]" displayFolder="" count="0" memberValueDatatype="130" unbalanced="0"/>
    <cacheHierarchy uniqueName="[Sub_Product_Managerial].[Level15_Code]" caption="Level15_Code" attribute="1" defaultMemberUniqueName="[Sub_Product_Managerial].[Level15_Code].[All]" allUniqueName="[Sub_Product_Managerial].[Level15_Code].[All]" dimensionUniqueName="[Sub_Product_Managerial]" displayFolder="" count="0" memberValueDatatype="130" unbalanced="0"/>
    <cacheHierarchy uniqueName="[Sub_Product_Managerial].[Level15_Desc]" caption="Level15_Desc" attribute="1" defaultMemberUniqueName="[Sub_Product_Managerial].[Level15_Desc].[All]" allUniqueName="[Sub_Product_Managerial].[Level15_Desc].[All]" dimensionUniqueName="[Sub_Product_Managerial]" displayFolder="" count="0" memberValueDatatype="130" unbalanced="0"/>
    <cacheHierarchy uniqueName="[Sub_Product_Managerial].[Level16]" caption="Level16" attribute="1" defaultMemberUniqueName="[Sub_Product_Managerial].[Level16].[All]" allUniqueName="[Sub_Product_Managerial].[Level16].[All]" dimensionUniqueName="[Sub_Product_Managerial]" displayFolder="" count="0" memberValueDatatype="130" unbalanced="0"/>
    <cacheHierarchy uniqueName="[Sub_Product_Managerial].[Level16_Code]" caption="Level16_Code" attribute="1" defaultMemberUniqueName="[Sub_Product_Managerial].[Level16_Code].[All]" allUniqueName="[Sub_Product_Managerial].[Level16_Code].[All]" dimensionUniqueName="[Sub_Product_Managerial]" displayFolder="" count="0" memberValueDatatype="130" unbalanced="0"/>
    <cacheHierarchy uniqueName="[Sub_Product_Managerial].[Level16_Desc]" caption="Level16_Desc" attribute="1" defaultMemberUniqueName="[Sub_Product_Managerial].[Level16_Desc].[All]" allUniqueName="[Sub_Product_Managerial].[Level16_Desc].[All]" dimensionUniqueName="[Sub_Product_Managerial]" displayFolder="" count="0" memberValueDatatype="130" unbalanced="0"/>
    <cacheHierarchy uniqueName="[Sub_Product_Managerial].[Level17]" caption="Level17" attribute="1" defaultMemberUniqueName="[Sub_Product_Managerial].[Level17].[All]" allUniqueName="[Sub_Product_Managerial].[Level17].[All]" dimensionUniqueName="[Sub_Product_Managerial]" displayFolder="" count="0" memberValueDatatype="130" unbalanced="0"/>
    <cacheHierarchy uniqueName="[Sub_Product_Managerial].[Level17_Code]" caption="Level17_Code" attribute="1" defaultMemberUniqueName="[Sub_Product_Managerial].[Level17_Code].[All]" allUniqueName="[Sub_Product_Managerial].[Level17_Code].[All]" dimensionUniqueName="[Sub_Product_Managerial]" displayFolder="" count="0" memberValueDatatype="130" unbalanced="0"/>
    <cacheHierarchy uniqueName="[Sub_Product_Managerial].[Level17_Desc]" caption="Level17_Desc" attribute="1" defaultMemberUniqueName="[Sub_Product_Managerial].[Level17_Desc].[All]" allUniqueName="[Sub_Product_Managerial].[Level17_Desc].[All]" dimensionUniqueName="[Sub_Product_Managerial]" displayFolder="" count="0" memberValueDatatype="130" unbalanced="0"/>
    <cacheHierarchy uniqueName="[Sub_Product_Managerial].[Level18]" caption="Level18" attribute="1" defaultMemberUniqueName="[Sub_Product_Managerial].[Level18].[All]" allUniqueName="[Sub_Product_Managerial].[Level18].[All]" dimensionUniqueName="[Sub_Product_Managerial]" displayFolder="" count="0" memberValueDatatype="130" unbalanced="0"/>
    <cacheHierarchy uniqueName="[Sub_Product_Managerial].[Level18_Code]" caption="Level18_Code" attribute="1" defaultMemberUniqueName="[Sub_Product_Managerial].[Level18_Code].[All]" allUniqueName="[Sub_Product_Managerial].[Level18_Code].[All]" dimensionUniqueName="[Sub_Product_Managerial]" displayFolder="" count="0" memberValueDatatype="130" unbalanced="0"/>
    <cacheHierarchy uniqueName="[Sub_Product_Managerial].[Level18_Desc]" caption="Level18_Desc" attribute="1" defaultMemberUniqueName="[Sub_Product_Managerial].[Level18_Desc].[All]" allUniqueName="[Sub_Product_Managerial].[Level18_Desc].[All]" dimensionUniqueName="[Sub_Product_Managerial]" displayFolder="" count="0" memberValueDatatype="130" unbalanced="0"/>
    <cacheHierarchy uniqueName="[Sub_Product_Managerial].[Level19]" caption="Level19" attribute="1" defaultMemberUniqueName="[Sub_Product_Managerial].[Level19].[All]" allUniqueName="[Sub_Product_Managerial].[Level19].[All]" dimensionUniqueName="[Sub_Product_Managerial]" displayFolder="" count="0" memberValueDatatype="130" unbalanced="0"/>
    <cacheHierarchy uniqueName="[Sub_Product_Managerial].[Level19_Code]" caption="Level19_Code" attribute="1" defaultMemberUniqueName="[Sub_Product_Managerial].[Level19_Code].[All]" allUniqueName="[Sub_Product_Managerial].[Level19_Code].[All]" dimensionUniqueName="[Sub_Product_Managerial]" displayFolder="" count="0" memberValueDatatype="130" unbalanced="0"/>
    <cacheHierarchy uniqueName="[Sub_Product_Managerial].[Level19_Desc]" caption="Level19_Desc" attribute="1" defaultMemberUniqueName="[Sub_Product_Managerial].[Level19_Desc].[All]" allUniqueName="[Sub_Product_Managerial].[Level19_Desc].[All]" dimensionUniqueName="[Sub_Product_Managerial]" displayFolder="" count="0" memberValueDatatype="130" unbalanced="0"/>
    <cacheHierarchy uniqueName="[Sub_Product_Managerial].[Level20]" caption="Level20" attribute="1" defaultMemberUniqueName="[Sub_Product_Managerial].[Level20].[All]" allUniqueName="[Sub_Product_Managerial].[Level20].[All]" dimensionUniqueName="[Sub_Product_Managerial]" displayFolder="" count="0" memberValueDatatype="130" unbalanced="0"/>
    <cacheHierarchy uniqueName="[Sub_Product_Managerial].[Level20_Code]" caption="Level20_Code" attribute="1" defaultMemberUniqueName="[Sub_Product_Managerial].[Level20_Code].[All]" allUniqueName="[Sub_Product_Managerial].[Level20_Code].[All]" dimensionUniqueName="[Sub_Product_Managerial]" displayFolder="" count="0" memberValueDatatype="130" unbalanced="0"/>
    <cacheHierarchy uniqueName="[Sub_Product_Managerial].[Level20_Desc]" caption="Level20_Desc" attribute="1" defaultMemberUniqueName="[Sub_Product_Managerial].[Level20_Desc].[All]" allUniqueName="[Sub_Product_Managerial].[Level20_Desc].[All]" dimensionUniqueName="[Sub_Product_Managerial]" displayFolder="" count="0" memberValueDatatype="130" unbalanced="0"/>
    <cacheHierarchy uniqueName="[Sub_Product_Managerial].[MGR Sub Product Code]" caption="MGR Sub Product Code" defaultMemberUniqueName="[Sub_Product_Managerial].[MGR Sub Product Code].[All]" allUniqueName="[Sub_Product_Managerial].[MGR Sub Product Code].[All]" dimensionUniqueName="[Sub_Product_Managerial]" displayFolder="" count="0" unbalanced="0"/>
    <cacheHierarchy uniqueName="[Sub_Product_Managerial].[MGR Sub Product Code Desc]" caption="MGR Sub Product Code Desc" defaultMemberUniqueName="[Sub_Product_Managerial].[MGR Sub Product Code Desc].[All]" allUniqueName="[Sub_Product_Managerial].[MGR Sub Product Code Desc].[All]" dimensionUniqueName="[Sub_Product_Managerial]" displayFolder="" count="0" unbalanced="0"/>
    <cacheHierarchy uniqueName="[Sub_Product_Managerial].[MGR Sub Product Desc]" caption="MGR Sub Product Desc" defaultMemberUniqueName="[Sub_Product_Managerial].[MGR Sub Product Desc].[All]" allUniqueName="[Sub_Product_Managerial].[MGR Sub Product Desc].[All]" dimensionUniqueName="[Sub_Product_Managerial]" displayFolder="" count="0" unbalanced="0"/>
    <cacheHierarchy uniqueName="[Sub_Product_Managerial].[Sub_Product_Code]" caption="Sub_Product_Code" attribute="1" defaultMemberUniqueName="[Sub_Product_Managerial].[Sub_Product_Code].[All]" allUniqueName="[Sub_Product_Managerial].[Sub_Product_Code].[All]" dimensionUniqueName="[Sub_Product_Managerial]" displayFolder="" count="0" memberValueDatatype="130" unbalanced="0"/>
    <cacheHierarchy uniqueName="[Sub_Product_Managerial].[Sub_Product_Code_Desc]" caption="Sub_Product_Code_Desc" attribute="1" defaultMemberUniqueName="[Sub_Product_Managerial].[Sub_Product_Code_Desc].[All]" allUniqueName="[Sub_Product_Managerial].[Sub_Product_Code_Desc].[All]" dimensionUniqueName="[Sub_Product_Managerial]" displayFolder="" count="0" memberValueDatatype="130" unbalanced="0"/>
    <cacheHierarchy uniqueName="[Sub_Product_Managerial].[Sub_Product_Desc]" caption="Sub_Product_Desc" attribute="1" defaultMemberUniqueName="[Sub_Product_Managerial].[Sub_Product_Desc].[All]" allUniqueName="[Sub_Product_Managerial].[Sub_Product_Desc].[All]" dimensionUniqueName="[Sub_Product_Managerial]" displayFolder="" count="0" memberValueDatatype="130" unbalanced="0"/>
    <cacheHierarchy uniqueName="[Sub_Product_Managerial].[Sub_Product_Hier_Name]" caption="Sub_Product_Hier_Name" attribute="1" defaultMemberUniqueName="[Sub_Product_Managerial].[Sub_Product_Hier_Name].[All]" allUniqueName="[Sub_Product_Managerial].[Sub_Product_Hier_Name].[All]" dimensionUniqueName="[Sub_Product_Managerial]" displayFolder="" count="0" memberValueDatatype="130" unbalanced="0"/>
    <cacheHierarchy uniqueName="[Sub_Product_STAT].[Hier_STAT Sub Product Code]" caption="Hier_STAT Sub Product Code" defaultMemberUniqueName="[Sub_Product_STAT].[Hier_STAT Sub Product Code].[All]" allUniqueName="[Sub_Product_STAT].[Hier_STAT Sub Product Code].[All]" dimensionUniqueName="[Sub_Product_STAT]" displayFolder="" count="0" unbalanced="0"/>
    <cacheHierarchy uniqueName="[Sub_Product_STAT].[Hier_STAT Sub Product Code Desc]" caption="Hier_STAT Sub Product Code Desc" defaultMemberUniqueName="[Sub_Product_STAT].[Hier_STAT Sub Product Code Desc].[All]" allUniqueName="[Sub_Product_STAT].[Hier_STAT Sub Product Code Desc].[All]" dimensionUniqueName="[Sub_Product_STAT]" displayFolder="" count="0" unbalanced="0"/>
    <cacheHierarchy uniqueName="[Sub_Product_STAT].[Hier_STAT Sub Product Desc]" caption="Hier_STAT Sub Product Desc" defaultMemberUniqueName="[Sub_Product_STAT].[Hier_STAT Sub Product Desc].[All]" allUniqueName="[Sub_Product_STAT].[Hier_STAT Sub Product Desc].[All]" dimensionUniqueName="[Sub_Product_STAT]" displayFolder="" count="0" unbalanced="0"/>
    <cacheHierarchy uniqueName="[Sub_Product_STAT].[Level01]" caption="Level01" attribute="1" defaultMemberUniqueName="[Sub_Product_STAT].[Level01].[All]" allUniqueName="[Sub_Product_STAT].[Level01].[All]" dimensionUniqueName="[Sub_Product_STAT]" displayFolder="" count="0" memberValueDatatype="130" unbalanced="0"/>
    <cacheHierarchy uniqueName="[Sub_Product_STAT].[Level01_Code]" caption="Level01_Code" attribute="1" defaultMemberUniqueName="[Sub_Product_STAT].[Level01_Code].[All]" allUniqueName="[Sub_Product_STAT].[Level01_Code].[All]" dimensionUniqueName="[Sub_Product_STAT]" displayFolder="" count="0" memberValueDatatype="130" unbalanced="0"/>
    <cacheHierarchy uniqueName="[Sub_Product_STAT].[Level01_Desc]" caption="Level01_Desc" attribute="1" defaultMemberUniqueName="[Sub_Product_STAT].[Level01_Desc].[All]" allUniqueName="[Sub_Product_STAT].[Level01_Desc].[All]" dimensionUniqueName="[Sub_Product_STAT]" displayFolder="" count="0" memberValueDatatype="130" unbalanced="0"/>
    <cacheHierarchy uniqueName="[Sub_Product_STAT].[Level02]" caption="Level02" attribute="1" defaultMemberUniqueName="[Sub_Product_STAT].[Level02].[All]" allUniqueName="[Sub_Product_STAT].[Level02].[All]" dimensionUniqueName="[Sub_Product_STAT]" displayFolder="" count="0" memberValueDatatype="130" unbalanced="0"/>
    <cacheHierarchy uniqueName="[Sub_Product_STAT].[Level02_Code]" caption="Level02_Code" attribute="1" defaultMemberUniqueName="[Sub_Product_STAT].[Level02_Code].[All]" allUniqueName="[Sub_Product_STAT].[Level02_Code].[All]" dimensionUniqueName="[Sub_Product_STAT]" displayFolder="" count="0" memberValueDatatype="130" unbalanced="0"/>
    <cacheHierarchy uniqueName="[Sub_Product_STAT].[Level02_Desc]" caption="Level02_Desc" attribute="1" defaultMemberUniqueName="[Sub_Product_STAT].[Level02_Desc].[All]" allUniqueName="[Sub_Product_STAT].[Level02_Desc].[All]" dimensionUniqueName="[Sub_Product_STAT]" displayFolder="" count="0" memberValueDatatype="130" unbalanced="0"/>
    <cacheHierarchy uniqueName="[Sub_Product_STAT].[Level03]" caption="Level03" attribute="1" defaultMemberUniqueName="[Sub_Product_STAT].[Level03].[All]" allUniqueName="[Sub_Product_STAT].[Level03].[All]" dimensionUniqueName="[Sub_Product_STAT]" displayFolder="" count="0" memberValueDatatype="130" unbalanced="0"/>
    <cacheHierarchy uniqueName="[Sub_Product_STAT].[Level03_Code]" caption="Level03_Code" attribute="1" defaultMemberUniqueName="[Sub_Product_STAT].[Level03_Code].[All]" allUniqueName="[Sub_Product_STAT].[Level03_Code].[All]" dimensionUniqueName="[Sub_Product_STAT]" displayFolder="" count="0" memberValueDatatype="130" unbalanced="0"/>
    <cacheHierarchy uniqueName="[Sub_Product_STAT].[Level03_Desc]" caption="Level03_Desc" attribute="1" defaultMemberUniqueName="[Sub_Product_STAT].[Level03_Desc].[All]" allUniqueName="[Sub_Product_STAT].[Level03_Desc].[All]" dimensionUniqueName="[Sub_Product_STAT]" displayFolder="" count="0" memberValueDatatype="130" unbalanced="0"/>
    <cacheHierarchy uniqueName="[Sub_Product_STAT].[Level04]" caption="Level04" attribute="1" defaultMemberUniqueName="[Sub_Product_STAT].[Level04].[All]" allUniqueName="[Sub_Product_STAT].[Level04].[All]" dimensionUniqueName="[Sub_Product_STAT]" displayFolder="" count="0" memberValueDatatype="130" unbalanced="0"/>
    <cacheHierarchy uniqueName="[Sub_Product_STAT].[Level04_Code]" caption="Level04_Code" attribute="1" defaultMemberUniqueName="[Sub_Product_STAT].[Level04_Code].[All]" allUniqueName="[Sub_Product_STAT].[Level04_Code].[All]" dimensionUniqueName="[Sub_Product_STAT]" displayFolder="" count="0" memberValueDatatype="130" unbalanced="0"/>
    <cacheHierarchy uniqueName="[Sub_Product_STAT].[Level04_Desc]" caption="Level04_Desc" attribute="1" defaultMemberUniqueName="[Sub_Product_STAT].[Level04_Desc].[All]" allUniqueName="[Sub_Product_STAT].[Level04_Desc].[All]" dimensionUniqueName="[Sub_Product_STAT]" displayFolder="" count="0" memberValueDatatype="130" unbalanced="0"/>
    <cacheHierarchy uniqueName="[Sub_Product_STAT].[Level05]" caption="Level05" attribute="1" defaultMemberUniqueName="[Sub_Product_STAT].[Level05].[All]" allUniqueName="[Sub_Product_STAT].[Level05].[All]" dimensionUniqueName="[Sub_Product_STAT]" displayFolder="" count="0" memberValueDatatype="130" unbalanced="0"/>
    <cacheHierarchy uniqueName="[Sub_Product_STAT].[Level05_Code]" caption="Level05_Code" attribute="1" defaultMemberUniqueName="[Sub_Product_STAT].[Level05_Code].[All]" allUniqueName="[Sub_Product_STAT].[Level05_Code].[All]" dimensionUniqueName="[Sub_Product_STAT]" displayFolder="" count="0" memberValueDatatype="130" unbalanced="0"/>
    <cacheHierarchy uniqueName="[Sub_Product_STAT].[Level05_Desc]" caption="Level05_Desc" attribute="1" defaultMemberUniqueName="[Sub_Product_STAT].[Level05_Desc].[All]" allUniqueName="[Sub_Product_STAT].[Level05_Desc].[All]" dimensionUniqueName="[Sub_Product_STAT]" displayFolder="" count="0" memberValueDatatype="130" unbalanced="0"/>
    <cacheHierarchy uniqueName="[Sub_Product_STAT].[Level06]" caption="Level06" attribute="1" defaultMemberUniqueName="[Sub_Product_STAT].[Level06].[All]" allUniqueName="[Sub_Product_STAT].[Level06].[All]" dimensionUniqueName="[Sub_Product_STAT]" displayFolder="" count="0" memberValueDatatype="130" unbalanced="0"/>
    <cacheHierarchy uniqueName="[Sub_Product_STAT].[Level06_Code]" caption="Level06_Code" attribute="1" defaultMemberUniqueName="[Sub_Product_STAT].[Level06_Code].[All]" allUniqueName="[Sub_Product_STAT].[Level06_Code].[All]" dimensionUniqueName="[Sub_Product_STAT]" displayFolder="" count="0" memberValueDatatype="130" unbalanced="0"/>
    <cacheHierarchy uniqueName="[Sub_Product_STAT].[Level06_Desc]" caption="Level06_Desc" attribute="1" defaultMemberUniqueName="[Sub_Product_STAT].[Level06_Desc].[All]" allUniqueName="[Sub_Product_STAT].[Level06_Desc].[All]" dimensionUniqueName="[Sub_Product_STAT]" displayFolder="" count="0" memberValueDatatype="130" unbalanced="0"/>
    <cacheHierarchy uniqueName="[Sub_Product_STAT].[Level07]" caption="Level07" attribute="1" defaultMemberUniqueName="[Sub_Product_STAT].[Level07].[All]" allUniqueName="[Sub_Product_STAT].[Level07].[All]" dimensionUniqueName="[Sub_Product_STAT]" displayFolder="" count="0" memberValueDatatype="130" unbalanced="0"/>
    <cacheHierarchy uniqueName="[Sub_Product_STAT].[Level07_Code]" caption="Level07_Code" attribute="1" defaultMemberUniqueName="[Sub_Product_STAT].[Level07_Code].[All]" allUniqueName="[Sub_Product_STAT].[Level07_Code].[All]" dimensionUniqueName="[Sub_Product_STAT]" displayFolder="" count="0" memberValueDatatype="130" unbalanced="0"/>
    <cacheHierarchy uniqueName="[Sub_Product_STAT].[Level07_Desc]" caption="Level07_Desc" attribute="1" defaultMemberUniqueName="[Sub_Product_STAT].[Level07_Desc].[All]" allUniqueName="[Sub_Product_STAT].[Level07_Desc].[All]" dimensionUniqueName="[Sub_Product_STAT]" displayFolder="" count="0" memberValueDatatype="130" unbalanced="0"/>
    <cacheHierarchy uniqueName="[Sub_Product_STAT].[Level08]" caption="Level08" attribute="1" defaultMemberUniqueName="[Sub_Product_STAT].[Level08].[All]" allUniqueName="[Sub_Product_STAT].[Level08].[All]" dimensionUniqueName="[Sub_Product_STAT]" displayFolder="" count="0" memberValueDatatype="130" unbalanced="0"/>
    <cacheHierarchy uniqueName="[Sub_Product_STAT].[Level08_Code]" caption="Level08_Code" attribute="1" defaultMemberUniqueName="[Sub_Product_STAT].[Level08_Code].[All]" allUniqueName="[Sub_Product_STAT].[Level08_Code].[All]" dimensionUniqueName="[Sub_Product_STAT]" displayFolder="" count="0" memberValueDatatype="130" unbalanced="0"/>
    <cacheHierarchy uniqueName="[Sub_Product_STAT].[Level08_Desc]" caption="Level08_Desc" attribute="1" defaultMemberUniqueName="[Sub_Product_STAT].[Level08_Desc].[All]" allUniqueName="[Sub_Product_STAT].[Level08_Desc].[All]" dimensionUniqueName="[Sub_Product_STAT]" displayFolder="" count="0" memberValueDatatype="130" unbalanced="0"/>
    <cacheHierarchy uniqueName="[Sub_Product_STAT].[Level09]" caption="Level09" attribute="1" defaultMemberUniqueName="[Sub_Product_STAT].[Level09].[All]" allUniqueName="[Sub_Product_STAT].[Level09].[All]" dimensionUniqueName="[Sub_Product_STAT]" displayFolder="" count="0" memberValueDatatype="130" unbalanced="0"/>
    <cacheHierarchy uniqueName="[Sub_Product_STAT].[Level09_Code]" caption="Level09_Code" attribute="1" defaultMemberUniqueName="[Sub_Product_STAT].[Level09_Code].[All]" allUniqueName="[Sub_Product_STAT].[Level09_Code].[All]" dimensionUniqueName="[Sub_Product_STAT]" displayFolder="" count="0" memberValueDatatype="130" unbalanced="0"/>
    <cacheHierarchy uniqueName="[Sub_Product_STAT].[Level09_Desc]" caption="Level09_Desc" attribute="1" defaultMemberUniqueName="[Sub_Product_STAT].[Level09_Desc].[All]" allUniqueName="[Sub_Product_STAT].[Level09_Desc].[All]" dimensionUniqueName="[Sub_Product_STAT]" displayFolder="" count="0" memberValueDatatype="130" unbalanced="0"/>
    <cacheHierarchy uniqueName="[Sub_Product_STAT].[Level10]" caption="Level10" attribute="1" defaultMemberUniqueName="[Sub_Product_STAT].[Level10].[All]" allUniqueName="[Sub_Product_STAT].[Level10].[All]" dimensionUniqueName="[Sub_Product_STAT]" displayFolder="" count="0" memberValueDatatype="130" unbalanced="0"/>
    <cacheHierarchy uniqueName="[Sub_Product_STAT].[Level10_Code]" caption="Level10_Code" attribute="1" defaultMemberUniqueName="[Sub_Product_STAT].[Level10_Code].[All]" allUniqueName="[Sub_Product_STAT].[Level10_Code].[All]" dimensionUniqueName="[Sub_Product_STAT]" displayFolder="" count="0" memberValueDatatype="130" unbalanced="0"/>
    <cacheHierarchy uniqueName="[Sub_Product_STAT].[Level10_Desc]" caption="Level10_Desc" attribute="1" defaultMemberUniqueName="[Sub_Product_STAT].[Level10_Desc].[All]" allUniqueName="[Sub_Product_STAT].[Level10_Desc].[All]" dimensionUniqueName="[Sub_Product_STAT]" displayFolder="" count="0" memberValueDatatype="130" unbalanced="0"/>
    <cacheHierarchy uniqueName="[Sub_Product_STAT].[Level11]" caption="Level11" attribute="1" defaultMemberUniqueName="[Sub_Product_STAT].[Level11].[All]" allUniqueName="[Sub_Product_STAT].[Level11].[All]" dimensionUniqueName="[Sub_Product_STAT]" displayFolder="" count="0" memberValueDatatype="130" unbalanced="0"/>
    <cacheHierarchy uniqueName="[Sub_Product_STAT].[Level11_Code]" caption="Level11_Code" attribute="1" defaultMemberUniqueName="[Sub_Product_STAT].[Level11_Code].[All]" allUniqueName="[Sub_Product_STAT].[Level11_Code].[All]" dimensionUniqueName="[Sub_Product_STAT]" displayFolder="" count="0" memberValueDatatype="130" unbalanced="0"/>
    <cacheHierarchy uniqueName="[Sub_Product_STAT].[Level11_Desc]" caption="Level11_Desc" attribute="1" defaultMemberUniqueName="[Sub_Product_STAT].[Level11_Desc].[All]" allUniqueName="[Sub_Product_STAT].[Level11_Desc].[All]" dimensionUniqueName="[Sub_Product_STAT]" displayFolder="" count="0" memberValueDatatype="130" unbalanced="0"/>
    <cacheHierarchy uniqueName="[Sub_Product_STAT].[Level12]" caption="Level12" attribute="1" defaultMemberUniqueName="[Sub_Product_STAT].[Level12].[All]" allUniqueName="[Sub_Product_STAT].[Level12].[All]" dimensionUniqueName="[Sub_Product_STAT]" displayFolder="" count="0" memberValueDatatype="130" unbalanced="0"/>
    <cacheHierarchy uniqueName="[Sub_Product_STAT].[Level12_Code]" caption="Level12_Code" attribute="1" defaultMemberUniqueName="[Sub_Product_STAT].[Level12_Code].[All]" allUniqueName="[Sub_Product_STAT].[Level12_Code].[All]" dimensionUniqueName="[Sub_Product_STAT]" displayFolder="" count="0" memberValueDatatype="130" unbalanced="0"/>
    <cacheHierarchy uniqueName="[Sub_Product_STAT].[Level12_Desc]" caption="Level12_Desc" attribute="1" defaultMemberUniqueName="[Sub_Product_STAT].[Level12_Desc].[All]" allUniqueName="[Sub_Product_STAT].[Level12_Desc].[All]" dimensionUniqueName="[Sub_Product_STAT]" displayFolder="" count="0" memberValueDatatype="130" unbalanced="0"/>
    <cacheHierarchy uniqueName="[Sub_Product_STAT].[Level13]" caption="Level13" attribute="1" defaultMemberUniqueName="[Sub_Product_STAT].[Level13].[All]" allUniqueName="[Sub_Product_STAT].[Level13].[All]" dimensionUniqueName="[Sub_Product_STAT]" displayFolder="" count="0" memberValueDatatype="130" unbalanced="0"/>
    <cacheHierarchy uniqueName="[Sub_Product_STAT].[Level13_Code]" caption="Level13_Code" attribute="1" defaultMemberUniqueName="[Sub_Product_STAT].[Level13_Code].[All]" allUniqueName="[Sub_Product_STAT].[Level13_Code].[All]" dimensionUniqueName="[Sub_Product_STAT]" displayFolder="" count="0" memberValueDatatype="130" unbalanced="0"/>
    <cacheHierarchy uniqueName="[Sub_Product_STAT].[Level13_Desc]" caption="Level13_Desc" attribute="1" defaultMemberUniqueName="[Sub_Product_STAT].[Level13_Desc].[All]" allUniqueName="[Sub_Product_STAT].[Level13_Desc].[All]" dimensionUniqueName="[Sub_Product_STAT]" displayFolder="" count="0" memberValueDatatype="130" unbalanced="0"/>
    <cacheHierarchy uniqueName="[Sub_Product_STAT].[Level14]" caption="Level14" attribute="1" defaultMemberUniqueName="[Sub_Product_STAT].[Level14].[All]" allUniqueName="[Sub_Product_STAT].[Level14].[All]" dimensionUniqueName="[Sub_Product_STAT]" displayFolder="" count="0" memberValueDatatype="130" unbalanced="0"/>
    <cacheHierarchy uniqueName="[Sub_Product_STAT].[Level14_Code]" caption="Level14_Code" attribute="1" defaultMemberUniqueName="[Sub_Product_STAT].[Level14_Code].[All]" allUniqueName="[Sub_Product_STAT].[Level14_Code].[All]" dimensionUniqueName="[Sub_Product_STAT]" displayFolder="" count="0" memberValueDatatype="130" unbalanced="0"/>
    <cacheHierarchy uniqueName="[Sub_Product_STAT].[Level14_Desc]" caption="Level14_Desc" attribute="1" defaultMemberUniqueName="[Sub_Product_STAT].[Level14_Desc].[All]" allUniqueName="[Sub_Product_STAT].[Level14_Desc].[All]" dimensionUniqueName="[Sub_Product_STAT]" displayFolder="" count="0" memberValueDatatype="130" unbalanced="0"/>
    <cacheHierarchy uniqueName="[Sub_Product_STAT].[Level15]" caption="Level15" attribute="1" defaultMemberUniqueName="[Sub_Product_STAT].[Level15].[All]" allUniqueName="[Sub_Product_STAT].[Level15].[All]" dimensionUniqueName="[Sub_Product_STAT]" displayFolder="" count="0" memberValueDatatype="130" unbalanced="0"/>
    <cacheHierarchy uniqueName="[Sub_Product_STAT].[Level15_Code]" caption="Level15_Code" attribute="1" defaultMemberUniqueName="[Sub_Product_STAT].[Level15_Code].[All]" allUniqueName="[Sub_Product_STAT].[Level15_Code].[All]" dimensionUniqueName="[Sub_Product_STAT]" displayFolder="" count="0" memberValueDatatype="130" unbalanced="0"/>
    <cacheHierarchy uniqueName="[Sub_Product_STAT].[Level15_Desc]" caption="Level15_Desc" attribute="1" defaultMemberUniqueName="[Sub_Product_STAT].[Level15_Desc].[All]" allUniqueName="[Sub_Product_STAT].[Level15_Desc].[All]" dimensionUniqueName="[Sub_Product_STAT]" displayFolder="" count="0" memberValueDatatype="130" unbalanced="0"/>
    <cacheHierarchy uniqueName="[Sub_Product_STAT].[Level16]" caption="Level16" attribute="1" defaultMemberUniqueName="[Sub_Product_STAT].[Level16].[All]" allUniqueName="[Sub_Product_STAT].[Level16].[All]" dimensionUniqueName="[Sub_Product_STAT]" displayFolder="" count="0" memberValueDatatype="130" unbalanced="0"/>
    <cacheHierarchy uniqueName="[Sub_Product_STAT].[Level16_Code]" caption="Level16_Code" attribute="1" defaultMemberUniqueName="[Sub_Product_STAT].[Level16_Code].[All]" allUniqueName="[Sub_Product_STAT].[Level16_Code].[All]" dimensionUniqueName="[Sub_Product_STAT]" displayFolder="" count="0" memberValueDatatype="130" unbalanced="0"/>
    <cacheHierarchy uniqueName="[Sub_Product_STAT].[Level16_Desc]" caption="Level16_Desc" attribute="1" defaultMemberUniqueName="[Sub_Product_STAT].[Level16_Desc].[All]" allUniqueName="[Sub_Product_STAT].[Level16_Desc].[All]" dimensionUniqueName="[Sub_Product_STAT]" displayFolder="" count="0" memberValueDatatype="130" unbalanced="0"/>
    <cacheHierarchy uniqueName="[Sub_Product_STAT].[Level17]" caption="Level17" attribute="1" defaultMemberUniqueName="[Sub_Product_STAT].[Level17].[All]" allUniqueName="[Sub_Product_STAT].[Level17].[All]" dimensionUniqueName="[Sub_Product_STAT]" displayFolder="" count="0" memberValueDatatype="130" unbalanced="0"/>
    <cacheHierarchy uniqueName="[Sub_Product_STAT].[Level17_Code]" caption="Level17_Code" attribute="1" defaultMemberUniqueName="[Sub_Product_STAT].[Level17_Code].[All]" allUniqueName="[Sub_Product_STAT].[Level17_Code].[All]" dimensionUniqueName="[Sub_Product_STAT]" displayFolder="" count="0" memberValueDatatype="130" unbalanced="0"/>
    <cacheHierarchy uniqueName="[Sub_Product_STAT].[Level17_Desc]" caption="Level17_Desc" attribute="1" defaultMemberUniqueName="[Sub_Product_STAT].[Level17_Desc].[All]" allUniqueName="[Sub_Product_STAT].[Level17_Desc].[All]" dimensionUniqueName="[Sub_Product_STAT]" displayFolder="" count="0" memberValueDatatype="130" unbalanced="0"/>
    <cacheHierarchy uniqueName="[Sub_Product_STAT].[Level18]" caption="Level18" attribute="1" defaultMemberUniqueName="[Sub_Product_STAT].[Level18].[All]" allUniqueName="[Sub_Product_STAT].[Level18].[All]" dimensionUniqueName="[Sub_Product_STAT]" displayFolder="" count="0" memberValueDatatype="130" unbalanced="0"/>
    <cacheHierarchy uniqueName="[Sub_Product_STAT].[Level18_Code]" caption="Level18_Code" attribute="1" defaultMemberUniqueName="[Sub_Product_STAT].[Level18_Code].[All]" allUniqueName="[Sub_Product_STAT].[Level18_Code].[All]" dimensionUniqueName="[Sub_Product_STAT]" displayFolder="" count="0" memberValueDatatype="130" unbalanced="0"/>
    <cacheHierarchy uniqueName="[Sub_Product_STAT].[Level18_Desc]" caption="Level18_Desc" attribute="1" defaultMemberUniqueName="[Sub_Product_STAT].[Level18_Desc].[All]" allUniqueName="[Sub_Product_STAT].[Level18_Desc].[All]" dimensionUniqueName="[Sub_Product_STAT]" displayFolder="" count="0" memberValueDatatype="130" unbalanced="0"/>
    <cacheHierarchy uniqueName="[Sub_Product_STAT].[Level19]" caption="Level19" attribute="1" defaultMemberUniqueName="[Sub_Product_STAT].[Level19].[All]" allUniqueName="[Sub_Product_STAT].[Level19].[All]" dimensionUniqueName="[Sub_Product_STAT]" displayFolder="" count="0" memberValueDatatype="130" unbalanced="0"/>
    <cacheHierarchy uniqueName="[Sub_Product_STAT].[Level19_Code]" caption="Level19_Code" attribute="1" defaultMemberUniqueName="[Sub_Product_STAT].[Level19_Code].[All]" allUniqueName="[Sub_Product_STAT].[Level19_Code].[All]" dimensionUniqueName="[Sub_Product_STAT]" displayFolder="" count="0" memberValueDatatype="130" unbalanced="0"/>
    <cacheHierarchy uniqueName="[Sub_Product_STAT].[Level19_Desc]" caption="Level19_Desc" attribute="1" defaultMemberUniqueName="[Sub_Product_STAT].[Level19_Desc].[All]" allUniqueName="[Sub_Product_STAT].[Level19_Desc].[All]" dimensionUniqueName="[Sub_Product_STAT]" displayFolder="" count="0" memberValueDatatype="130" unbalanced="0"/>
    <cacheHierarchy uniqueName="[Sub_Product_STAT].[Level20]" caption="Level20" attribute="1" defaultMemberUniqueName="[Sub_Product_STAT].[Level20].[All]" allUniqueName="[Sub_Product_STAT].[Level20].[All]" dimensionUniqueName="[Sub_Product_STAT]" displayFolder="" count="0" memberValueDatatype="130" unbalanced="0"/>
    <cacheHierarchy uniqueName="[Sub_Product_STAT].[Level20_Code]" caption="Level20_Code" attribute="1" defaultMemberUniqueName="[Sub_Product_STAT].[Level20_Code].[All]" allUniqueName="[Sub_Product_STAT].[Level20_Code].[All]" dimensionUniqueName="[Sub_Product_STAT]" displayFolder="" count="0" memberValueDatatype="130" unbalanced="0"/>
    <cacheHierarchy uniqueName="[Sub_Product_STAT].[Level20_Desc]" caption="Level20_Desc" attribute="1" defaultMemberUniqueName="[Sub_Product_STAT].[Level20_Desc].[All]" allUniqueName="[Sub_Product_STAT].[Level20_Desc].[All]" dimensionUniqueName="[Sub_Product_STAT]" displayFolder="" count="0" memberValueDatatype="130" unbalanced="0"/>
    <cacheHierarchy uniqueName="[Sub_Product_STAT].[STAT Sub Product Code]" caption="STAT Sub Product Code" defaultMemberUniqueName="[Sub_Product_STAT].[STAT Sub Product Code].[All]" allUniqueName="[Sub_Product_STAT].[STAT Sub Product Code].[All]" dimensionUniqueName="[Sub_Product_STAT]" displayFolder="" count="0" unbalanced="0"/>
    <cacheHierarchy uniqueName="[Sub_Product_STAT].[STAT Sub Product Code Desc]" caption="STAT Sub Product Code Desc" defaultMemberUniqueName="[Sub_Product_STAT].[STAT Sub Product Code Desc].[All]" allUniqueName="[Sub_Product_STAT].[STAT Sub Product Code Desc].[All]" dimensionUniqueName="[Sub_Product_STAT]" displayFolder="" count="0" unbalanced="0"/>
    <cacheHierarchy uniqueName="[Sub_Product_STAT].[STAT Sub Product Desc]" caption="STAT Sub Product Desc" defaultMemberUniqueName="[Sub_Product_STAT].[STAT Sub Product Desc].[All]" allUniqueName="[Sub_Product_STAT].[STAT Sub Product Desc].[All]" dimensionUniqueName="[Sub_Product_STAT]" displayFolder="" count="0" unbalanced="0"/>
    <cacheHierarchy uniqueName="[Sub_Product_STAT].[Sub_Product_Code]" caption="Sub_Product_Code" attribute="1" defaultMemberUniqueName="[Sub_Product_STAT].[Sub_Product_Code].[All]" allUniqueName="[Sub_Product_STAT].[Sub_Product_Code].[All]" dimensionUniqueName="[Sub_Product_STAT]" displayFolder="" count="0" memberValueDatatype="130" unbalanced="0"/>
    <cacheHierarchy uniqueName="[Sub_Product_STAT].[Sub_Product_Code_Desc]" caption="Sub_Product_Code_Desc" attribute="1" defaultMemberUniqueName="[Sub_Product_STAT].[Sub_Product_Code_Desc].[All]" allUniqueName="[Sub_Product_STAT].[Sub_Product_Code_Desc].[All]" dimensionUniqueName="[Sub_Product_STAT]" displayFolder="" count="0" memberValueDatatype="130" unbalanced="0"/>
    <cacheHierarchy uniqueName="[Sub_Product_STAT].[Sub_Product_Desc]" caption="Sub_Product_Desc" attribute="1" defaultMemberUniqueName="[Sub_Product_STAT].[Sub_Product_Desc].[All]" allUniqueName="[Sub_Product_STAT].[Sub_Product_Desc].[All]" dimensionUniqueName="[Sub_Product_STAT]" displayFolder="" count="0" memberValueDatatype="130" unbalanced="0"/>
    <cacheHierarchy uniqueName="[Sub_Product_STAT].[Sub_Product_Hier_Name]" caption="Sub_Product_Hier_Name" attribute="1" defaultMemberUniqueName="[Sub_Product_STAT].[Sub_Product_Hier_Name].[All]" allUniqueName="[Sub_Product_STAT].[Sub_Product_Hier_Name].[All]" dimensionUniqueName="[Sub_Product_STAT]" displayFolder="" count="0" memberValueDatatype="130" unbalanced="0"/>
    <cacheHierarchy uniqueName="[Validation].[CHECKCOUNT]" caption="CHECKCOUNT" attribute="1" defaultMemberUniqueName="[Validation].[CHECKCOUNT].[All]" allUniqueName="[Validation].[CHECKCOUNT].[All]" dimensionUniqueName="[Validation]" displayFolder="" count="0" memberValueDatatype="20" unbalanced="0"/>
    <cacheHierarchy uniqueName="[Validation].[ValidationCount]" caption="ValidationCount" attribute="1" defaultMemberUniqueName="[Validation].[ValidationCount].[All]" allUniqueName="[Validation].[ValidationCount].[All]" dimensionUniqueName="[Validation]" displayFolder="" count="0" memberValueDatatype="20" unbalanced="0"/>
    <cacheHierarchy uniqueName="[Validation].[ValidationDate]" caption="ValidationDate" attribute="1" time="1" defaultMemberUniqueName="[Validation].[ValidationDate].[All]" allUniqueName="[Validation].[ValidationDate].[All]" dimensionUniqueName="[Validation]" displayFolder="" count="0" memberValueDatatype="7" unbalanced="0"/>
    <cacheHierarchy uniqueName="[Validation].[VALIDATIONVARIANCE]" caption="VALIDATIONVARIANCE" attribute="1" defaultMemberUniqueName="[Validation].[VALIDATIONVARIANCE].[All]" allUniqueName="[Validation].[VALIDATIONVARIANCE].[All]" dimensionUniqueName="[Validation]" displayFolder="" count="0" memberValueDatatype="20" unbalanced="0"/>
    <cacheHierarchy uniqueName="[Accounting_Period].[Sort]" caption="Sort" attribute="1" time="1" defaultMemberUniqueName="[Accounting_Period].[Sort].[All]" allUniqueName="[Accounting_Period].[Sort].[All]" dimensionUniqueName="[Accounting_Period]" displayFolder="" count="0" memberValueDatatype="130" unbalanced="0" hidden="1"/>
    <cacheHierarchy uniqueName="[Acct_Sub_Account_Consolidated].[N_DISPLAY_ORDER_NUM_LEVEL01]" caption="N_DISPLAY_ORDER_NUM_LEVEL01" attribute="1" defaultMemberUniqueName="[Acct_Sub_Account_Consolidated].[N_DISPLAY_ORDER_NUM_LEVEL01].[All]" allUniqueName="[Acct_Sub_Account_Consolidated].[N_DISPLAY_ORDER_NUM_LEVEL01].[All]" dimensionUniqueName="[Acct_Sub_Account_Consolidated]" displayFolder="" count="0" memberValueDatatype="5" unbalanced="0" hidden="1"/>
    <cacheHierarchy uniqueName="[Acct_Sub_Account_Consolidated].[N_DISPLAY_ORDER_NUM_LEVEL02]" caption="N_DISPLAY_ORDER_NUM_LEVEL02" attribute="1" defaultMemberUniqueName="[Acct_Sub_Account_Consolidated].[N_DISPLAY_ORDER_NUM_LEVEL02].[All]" allUniqueName="[Acct_Sub_Account_Consolidated].[N_DISPLAY_ORDER_NUM_LEVEL02].[All]" dimensionUniqueName="[Acct_Sub_Account_Consolidated]" displayFolder="" count="0" memberValueDatatype="5" unbalanced="0" hidden="1"/>
    <cacheHierarchy uniqueName="[Acct_Sub_Account_Consolidated].[N_DISPLAY_ORDER_NUM_LEVEL03]" caption="N_DISPLAY_ORDER_NUM_LEVEL03" attribute="1" defaultMemberUniqueName="[Acct_Sub_Account_Consolidated].[N_DISPLAY_ORDER_NUM_LEVEL03].[All]" allUniqueName="[Acct_Sub_Account_Consolidated].[N_DISPLAY_ORDER_NUM_LEVEL03].[All]" dimensionUniqueName="[Acct_Sub_Account_Consolidated]" displayFolder="" count="0" memberValueDatatype="5" unbalanced="0" hidden="1"/>
    <cacheHierarchy uniqueName="[Acct_Sub_Account_Consolidated].[N_DISPLAY_ORDER_NUM_LEVEL04]" caption="N_DISPLAY_ORDER_NUM_LEVEL04" attribute="1" defaultMemberUniqueName="[Acct_Sub_Account_Consolidated].[N_DISPLAY_ORDER_NUM_LEVEL04].[All]" allUniqueName="[Acct_Sub_Account_Consolidated].[N_DISPLAY_ORDER_NUM_LEVEL04].[All]" dimensionUniqueName="[Acct_Sub_Account_Consolidated]" displayFolder="" count="0" memberValueDatatype="5" unbalanced="0" hidden="1"/>
    <cacheHierarchy uniqueName="[Acct_Sub_Account_Consolidated].[N_DISPLAY_ORDER_NUM_LEVEL05]" caption="N_DISPLAY_ORDER_NUM_LEVEL05" attribute="1" defaultMemberUniqueName="[Acct_Sub_Account_Consolidated].[N_DISPLAY_ORDER_NUM_LEVEL05].[All]" allUniqueName="[Acct_Sub_Account_Consolidated].[N_DISPLAY_ORDER_NUM_LEVEL05].[All]" dimensionUniqueName="[Acct_Sub_Account_Consolidated]" displayFolder="" count="0" memberValueDatatype="5" unbalanced="0" hidden="1"/>
    <cacheHierarchy uniqueName="[Acct_Sub_Account_Consolidated].[N_DISPLAY_ORDER_NUM_LEVEL06]" caption="N_DISPLAY_ORDER_NUM_LEVEL06" attribute="1" defaultMemberUniqueName="[Acct_Sub_Account_Consolidated].[N_DISPLAY_ORDER_NUM_LEVEL06].[All]" allUniqueName="[Acct_Sub_Account_Consolidated].[N_DISPLAY_ORDER_NUM_LEVEL06].[All]" dimensionUniqueName="[Acct_Sub_Account_Consolidated]" displayFolder="" count="0" memberValueDatatype="5" unbalanced="0" hidden="1"/>
    <cacheHierarchy uniqueName="[Acct_Sub_Account_Consolidated].[N_DISPLAY_ORDER_NUM_LEVEL07]" caption="N_DISPLAY_ORDER_NUM_LEVEL07" attribute="1" defaultMemberUniqueName="[Acct_Sub_Account_Consolidated].[N_DISPLAY_ORDER_NUM_LEVEL07].[All]" allUniqueName="[Acct_Sub_Account_Consolidated].[N_DISPLAY_ORDER_NUM_LEVEL07].[All]" dimensionUniqueName="[Acct_Sub_Account_Consolidated]" displayFolder="" count="0" memberValueDatatype="5" unbalanced="0" hidden="1"/>
    <cacheHierarchy uniqueName="[Acct_Sub_Account_Consolidated].[N_DISPLAY_ORDER_NUM_LEVEL08]" caption="N_DISPLAY_ORDER_NUM_LEVEL08" attribute="1" defaultMemberUniqueName="[Acct_Sub_Account_Consolidated].[N_DISPLAY_ORDER_NUM_LEVEL08].[All]" allUniqueName="[Acct_Sub_Account_Consolidated].[N_DISPLAY_ORDER_NUM_LEVEL08].[All]" dimensionUniqueName="[Acct_Sub_Account_Consolidated]" displayFolder="" count="0" memberValueDatatype="5" unbalanced="0" hidden="1"/>
    <cacheHierarchy uniqueName="[Acct_Sub_Account_Consolidated].[N_DISPLAY_ORDER_NUM_LEVEL09]" caption="N_DISPLAY_ORDER_NUM_LEVEL09" attribute="1" defaultMemberUniqueName="[Acct_Sub_Account_Consolidated].[N_DISPLAY_ORDER_NUM_LEVEL09].[All]" allUniqueName="[Acct_Sub_Account_Consolidated].[N_DISPLAY_ORDER_NUM_LEVEL09].[All]" dimensionUniqueName="[Acct_Sub_Account_Consolidated]" displayFolder="" count="0" memberValueDatatype="5" unbalanced="0" hidden="1"/>
    <cacheHierarchy uniqueName="[Acct_Sub_Account_Consolidated].[N_DISPLAY_ORDER_NUM_LEVEL10]" caption="N_DISPLAY_ORDER_NUM_LEVEL10" attribute="1" defaultMemberUniqueName="[Acct_Sub_Account_Consolidated].[N_DISPLAY_ORDER_NUM_LEVEL10].[All]" allUniqueName="[Acct_Sub_Account_Consolidated].[N_DISPLAY_ORDER_NUM_LEVEL10].[All]" dimensionUniqueName="[Acct_Sub_Account_Consolidated]" displayFolder="" count="0" memberValueDatatype="5" unbalanced="0" hidden="1"/>
    <cacheHierarchy uniqueName="[Acct_Sub_Account_Consolidated].[N_DISPLAY_ORDER_NUM_LEVEL11]" caption="N_DISPLAY_ORDER_NUM_LEVEL11" attribute="1" defaultMemberUniqueName="[Acct_Sub_Account_Consolidated].[N_DISPLAY_ORDER_NUM_LEVEL11].[All]" allUniqueName="[Acct_Sub_Account_Consolidated].[N_DISPLAY_ORDER_NUM_LEVEL11].[All]" dimensionUniqueName="[Acct_Sub_Account_Consolidated]" displayFolder="" count="0" memberValueDatatype="5" unbalanced="0" hidden="1"/>
    <cacheHierarchy uniqueName="[Acct_Sub_Account_Consolidated].[N_DISPLAY_ORDER_NUM_LEVEL12]" caption="N_DISPLAY_ORDER_NUM_LEVEL12" attribute="1" defaultMemberUniqueName="[Acct_Sub_Account_Consolidated].[N_DISPLAY_ORDER_NUM_LEVEL12].[All]" allUniqueName="[Acct_Sub_Account_Consolidated].[N_DISPLAY_ORDER_NUM_LEVEL12].[All]" dimensionUniqueName="[Acct_Sub_Account_Consolidated]" displayFolder="" count="0" memberValueDatatype="5" unbalanced="0" hidden="1"/>
    <cacheHierarchy uniqueName="[Acct_Sub_Account_Consolidated].[N_DISPLAY_ORDER_NUM_LEVEL13]" caption="N_DISPLAY_ORDER_NUM_LEVEL13" attribute="1" defaultMemberUniqueName="[Acct_Sub_Account_Consolidated].[N_DISPLAY_ORDER_NUM_LEVEL13].[All]" allUniqueName="[Acct_Sub_Account_Consolidated].[N_DISPLAY_ORDER_NUM_LEVEL13].[All]" dimensionUniqueName="[Acct_Sub_Account_Consolidated]" displayFolder="" count="0" memberValueDatatype="5" unbalanced="0" hidden="1"/>
    <cacheHierarchy uniqueName="[Acct_Sub_Account_Consolidated].[N_DISPLAY_ORDER_NUM_LEVEL14]" caption="N_DISPLAY_ORDER_NUM_LEVEL14" attribute="1" defaultMemberUniqueName="[Acct_Sub_Account_Consolidated].[N_DISPLAY_ORDER_NUM_LEVEL14].[All]" allUniqueName="[Acct_Sub_Account_Consolidated].[N_DISPLAY_ORDER_NUM_LEVEL14].[All]" dimensionUniqueName="[Acct_Sub_Account_Consolidated]" displayFolder="" count="0" memberValueDatatype="5" unbalanced="0" hidden="1"/>
    <cacheHierarchy uniqueName="[Acct_Sub_Account_Consolidated].[N_DISPLAY_ORDER_NUM_LEVEL15]" caption="N_DISPLAY_ORDER_NUM_LEVEL15" attribute="1" defaultMemberUniqueName="[Acct_Sub_Account_Consolidated].[N_DISPLAY_ORDER_NUM_LEVEL15].[All]" allUniqueName="[Acct_Sub_Account_Consolidated].[N_DISPLAY_ORDER_NUM_LEVEL15].[All]" dimensionUniqueName="[Acct_Sub_Account_Consolidated]" displayFolder="" count="0" memberValueDatatype="5" unbalanced="0" hidden="1"/>
    <cacheHierarchy uniqueName="[Acct_Sub_Account_Consolidated].[N_DISPLAY_ORDER_NUM_LEVEL16]" caption="N_DISPLAY_ORDER_NUM_LEVEL16" attribute="1" defaultMemberUniqueName="[Acct_Sub_Account_Consolidated].[N_DISPLAY_ORDER_NUM_LEVEL16].[All]" allUniqueName="[Acct_Sub_Account_Consolidated].[N_DISPLAY_ORDER_NUM_LEVEL16].[All]" dimensionUniqueName="[Acct_Sub_Account_Consolidated]" displayFolder="" count="0" memberValueDatatype="5" unbalanced="0" hidden="1"/>
    <cacheHierarchy uniqueName="[Acct_Sub_Account_Consolidated].[N_DISPLAY_ORDER_NUM_LEVEL17]" caption="N_DISPLAY_ORDER_NUM_LEVEL17" attribute="1" defaultMemberUniqueName="[Acct_Sub_Account_Consolidated].[N_DISPLAY_ORDER_NUM_LEVEL17].[All]" allUniqueName="[Acct_Sub_Account_Consolidated].[N_DISPLAY_ORDER_NUM_LEVEL17].[All]" dimensionUniqueName="[Acct_Sub_Account_Consolidated]" displayFolder="" count="0" memberValueDatatype="5" unbalanced="0" hidden="1"/>
    <cacheHierarchy uniqueName="[Acct_Sub_Account_Consolidated].[N_DISPLAY_ORDER_NUM_LEVEL18]" caption="N_DISPLAY_ORDER_NUM_LEVEL18" attribute="1" defaultMemberUniqueName="[Acct_Sub_Account_Consolidated].[N_DISPLAY_ORDER_NUM_LEVEL18].[All]" allUniqueName="[Acct_Sub_Account_Consolidated].[N_DISPLAY_ORDER_NUM_LEVEL18].[All]" dimensionUniqueName="[Acct_Sub_Account_Consolidated]" displayFolder="" count="0" memberValueDatatype="5" unbalanced="0" hidden="1"/>
    <cacheHierarchy uniqueName="[Acct_Sub_Account_Consolidated].[N_DISPLAY_ORDER_NUM_LEVEL19]" caption="N_DISPLAY_ORDER_NUM_LEVEL19" attribute="1" defaultMemberUniqueName="[Acct_Sub_Account_Consolidated].[N_DISPLAY_ORDER_NUM_LEVEL19].[All]" allUniqueName="[Acct_Sub_Account_Consolidated].[N_DISPLAY_ORDER_NUM_LEVEL19].[All]" dimensionUniqueName="[Acct_Sub_Account_Consolidated]" displayFolder="" count="0" memberValueDatatype="5" unbalanced="0" hidden="1"/>
    <cacheHierarchy uniqueName="[Acct_Sub_Account_Consolidated].[N_DISPLAY_ORDER_NUM_LEVEL20]" caption="N_DISPLAY_ORDER_NUM_LEVEL20" attribute="1" defaultMemberUniqueName="[Acct_Sub_Account_Consolidated].[N_DISPLAY_ORDER_NUM_LEVEL20].[All]" allUniqueName="[Acct_Sub_Account_Consolidated].[N_DISPLAY_ORDER_NUM_LEVEL20].[All]" dimensionUniqueName="[Acct_Sub_Account_Consolidated]" displayFolder="" count="0" memberValueDatatype="5" unbalanced="0" hidden="1"/>
    <cacheHierarchy uniqueName="[Acct_Sub_Account_Consolidated].[SL_ACCOUNT_ID]" caption="SL_ACCOUNT_ID" attribute="1" defaultMemberUniqueName="[Acct_Sub_Account_Consolidated].[SL_ACCOUNT_ID].[All]" allUniqueName="[Acct_Sub_Account_Consolidated].[SL_ACCOUNT_ID].[All]" dimensionUniqueName="[Acct_Sub_Account_Consolidated]" displayFolder="" count="0" memberValueDatatype="5" unbalanced="0" hidden="1"/>
    <cacheHierarchy uniqueName="[Acct_Sub_Account_GAAP].[N_DISPLAY_ORDER_NUM_LEVEL01]" caption="N_DISPLAY_ORDER_NUM_LEVEL01" attribute="1" defaultMemberUniqueName="[Acct_Sub_Account_GAAP].[N_DISPLAY_ORDER_NUM_LEVEL01].[All]" allUniqueName="[Acct_Sub_Account_GAAP].[N_DISPLAY_ORDER_NUM_LEVEL01].[All]" dimensionUniqueName="[Acct_Sub_Account_GAAP]" displayFolder="" count="0" memberValueDatatype="5" unbalanced="0" hidden="1"/>
    <cacheHierarchy uniqueName="[Acct_Sub_Account_GAAP].[N_DISPLAY_ORDER_NUM_LEVEL02]" caption="N_DISPLAY_ORDER_NUM_LEVEL02" attribute="1" defaultMemberUniqueName="[Acct_Sub_Account_GAAP].[N_DISPLAY_ORDER_NUM_LEVEL02].[All]" allUniqueName="[Acct_Sub_Account_GAAP].[N_DISPLAY_ORDER_NUM_LEVEL02].[All]" dimensionUniqueName="[Acct_Sub_Account_GAAP]" displayFolder="" count="0" memberValueDatatype="5" unbalanced="0" hidden="1"/>
    <cacheHierarchy uniqueName="[Acct_Sub_Account_GAAP].[N_DISPLAY_ORDER_NUM_LEVEL03]" caption="N_DISPLAY_ORDER_NUM_LEVEL03" attribute="1" defaultMemberUniqueName="[Acct_Sub_Account_GAAP].[N_DISPLAY_ORDER_NUM_LEVEL03].[All]" allUniqueName="[Acct_Sub_Account_GAAP].[N_DISPLAY_ORDER_NUM_LEVEL03].[All]" dimensionUniqueName="[Acct_Sub_Account_GAAP]" displayFolder="" count="0" memberValueDatatype="5" unbalanced="0" hidden="1"/>
    <cacheHierarchy uniqueName="[Acct_Sub_Account_GAAP].[N_DISPLAY_ORDER_NUM_LEVEL04]" caption="N_DISPLAY_ORDER_NUM_LEVEL04" attribute="1" defaultMemberUniqueName="[Acct_Sub_Account_GAAP].[N_DISPLAY_ORDER_NUM_LEVEL04].[All]" allUniqueName="[Acct_Sub_Account_GAAP].[N_DISPLAY_ORDER_NUM_LEVEL04].[All]" dimensionUniqueName="[Acct_Sub_Account_GAAP]" displayFolder="" count="0" memberValueDatatype="5" unbalanced="0" hidden="1"/>
    <cacheHierarchy uniqueName="[Acct_Sub_Account_GAAP].[N_DISPLAY_ORDER_NUM_LEVEL05]" caption="N_DISPLAY_ORDER_NUM_LEVEL05" attribute="1" defaultMemberUniqueName="[Acct_Sub_Account_GAAP].[N_DISPLAY_ORDER_NUM_LEVEL05].[All]" allUniqueName="[Acct_Sub_Account_GAAP].[N_DISPLAY_ORDER_NUM_LEVEL05].[All]" dimensionUniqueName="[Acct_Sub_Account_GAAP]" displayFolder="" count="0" memberValueDatatype="5" unbalanced="0" hidden="1"/>
    <cacheHierarchy uniqueName="[Acct_Sub_Account_GAAP].[N_DISPLAY_ORDER_NUM_LEVEL06]" caption="N_DISPLAY_ORDER_NUM_LEVEL06" attribute="1" defaultMemberUniqueName="[Acct_Sub_Account_GAAP].[N_DISPLAY_ORDER_NUM_LEVEL06].[All]" allUniqueName="[Acct_Sub_Account_GAAP].[N_DISPLAY_ORDER_NUM_LEVEL06].[All]" dimensionUniqueName="[Acct_Sub_Account_GAAP]" displayFolder="" count="0" memberValueDatatype="5" unbalanced="0" hidden="1"/>
    <cacheHierarchy uniqueName="[Acct_Sub_Account_GAAP].[N_DISPLAY_ORDER_NUM_LEVEL07]" caption="N_DISPLAY_ORDER_NUM_LEVEL07" attribute="1" defaultMemberUniqueName="[Acct_Sub_Account_GAAP].[N_DISPLAY_ORDER_NUM_LEVEL07].[All]" allUniqueName="[Acct_Sub_Account_GAAP].[N_DISPLAY_ORDER_NUM_LEVEL07].[All]" dimensionUniqueName="[Acct_Sub_Account_GAAP]" displayFolder="" count="0" memberValueDatatype="5" unbalanced="0" hidden="1"/>
    <cacheHierarchy uniqueName="[Acct_Sub_Account_GAAP].[N_DISPLAY_ORDER_NUM_LEVEL08]" caption="N_DISPLAY_ORDER_NUM_LEVEL08" attribute="1" defaultMemberUniqueName="[Acct_Sub_Account_GAAP].[N_DISPLAY_ORDER_NUM_LEVEL08].[All]" allUniqueName="[Acct_Sub_Account_GAAP].[N_DISPLAY_ORDER_NUM_LEVEL08].[All]" dimensionUniqueName="[Acct_Sub_Account_GAAP]" displayFolder="" count="0" memberValueDatatype="5" unbalanced="0" hidden="1"/>
    <cacheHierarchy uniqueName="[Acct_Sub_Account_GAAP].[N_DISPLAY_ORDER_NUM_LEVEL09]" caption="N_DISPLAY_ORDER_NUM_LEVEL09" attribute="1" defaultMemberUniqueName="[Acct_Sub_Account_GAAP].[N_DISPLAY_ORDER_NUM_LEVEL09].[All]" allUniqueName="[Acct_Sub_Account_GAAP].[N_DISPLAY_ORDER_NUM_LEVEL09].[All]" dimensionUniqueName="[Acct_Sub_Account_GAAP]" displayFolder="" count="0" memberValueDatatype="5" unbalanced="0" hidden="1"/>
    <cacheHierarchy uniqueName="[Acct_Sub_Account_GAAP].[N_DISPLAY_ORDER_NUM_LEVEL10]" caption="N_DISPLAY_ORDER_NUM_LEVEL10" attribute="1" defaultMemberUniqueName="[Acct_Sub_Account_GAAP].[N_DISPLAY_ORDER_NUM_LEVEL10].[All]" allUniqueName="[Acct_Sub_Account_GAAP].[N_DISPLAY_ORDER_NUM_LEVEL10].[All]" dimensionUniqueName="[Acct_Sub_Account_GAAP]" displayFolder="" count="0" memberValueDatatype="5" unbalanced="0" hidden="1"/>
    <cacheHierarchy uniqueName="[Acct_Sub_Account_GAAP].[N_DISPLAY_ORDER_NUM_LEVEL11]" caption="N_DISPLAY_ORDER_NUM_LEVEL11" attribute="1" defaultMemberUniqueName="[Acct_Sub_Account_GAAP].[N_DISPLAY_ORDER_NUM_LEVEL11].[All]" allUniqueName="[Acct_Sub_Account_GAAP].[N_DISPLAY_ORDER_NUM_LEVEL11].[All]" dimensionUniqueName="[Acct_Sub_Account_GAAP]" displayFolder="" count="0" memberValueDatatype="5" unbalanced="0" hidden="1"/>
    <cacheHierarchy uniqueName="[Acct_Sub_Account_GAAP].[N_DISPLAY_ORDER_NUM_LEVEL12]" caption="N_DISPLAY_ORDER_NUM_LEVEL12" attribute="1" defaultMemberUniqueName="[Acct_Sub_Account_GAAP].[N_DISPLAY_ORDER_NUM_LEVEL12].[All]" allUniqueName="[Acct_Sub_Account_GAAP].[N_DISPLAY_ORDER_NUM_LEVEL12].[All]" dimensionUniqueName="[Acct_Sub_Account_GAAP]" displayFolder="" count="0" memberValueDatatype="5" unbalanced="0" hidden="1"/>
    <cacheHierarchy uniqueName="[Acct_Sub_Account_GAAP].[N_DISPLAY_ORDER_NUM_LEVEL13]" caption="N_DISPLAY_ORDER_NUM_LEVEL13" attribute="1" defaultMemberUniqueName="[Acct_Sub_Account_GAAP].[N_DISPLAY_ORDER_NUM_LEVEL13].[All]" allUniqueName="[Acct_Sub_Account_GAAP].[N_DISPLAY_ORDER_NUM_LEVEL13].[All]" dimensionUniqueName="[Acct_Sub_Account_GAAP]" displayFolder="" count="0" memberValueDatatype="5" unbalanced="0" hidden="1"/>
    <cacheHierarchy uniqueName="[Acct_Sub_Account_GAAP].[N_DISPLAY_ORDER_NUM_LEVEL14]" caption="N_DISPLAY_ORDER_NUM_LEVEL14" attribute="1" defaultMemberUniqueName="[Acct_Sub_Account_GAAP].[N_DISPLAY_ORDER_NUM_LEVEL14].[All]" allUniqueName="[Acct_Sub_Account_GAAP].[N_DISPLAY_ORDER_NUM_LEVEL14].[All]" dimensionUniqueName="[Acct_Sub_Account_GAAP]" displayFolder="" count="0" memberValueDatatype="5" unbalanced="0" hidden="1"/>
    <cacheHierarchy uniqueName="[Acct_Sub_Account_GAAP].[N_DISPLAY_ORDER_NUM_LEVEL15]" caption="N_DISPLAY_ORDER_NUM_LEVEL15" attribute="1" defaultMemberUniqueName="[Acct_Sub_Account_GAAP].[N_DISPLAY_ORDER_NUM_LEVEL15].[All]" allUniqueName="[Acct_Sub_Account_GAAP].[N_DISPLAY_ORDER_NUM_LEVEL15].[All]" dimensionUniqueName="[Acct_Sub_Account_GAAP]" displayFolder="" count="0" memberValueDatatype="5" unbalanced="0" hidden="1"/>
    <cacheHierarchy uniqueName="[Acct_Sub_Account_GAAP].[N_DISPLAY_ORDER_NUM_LEVEL16]" caption="N_DISPLAY_ORDER_NUM_LEVEL16" attribute="1" defaultMemberUniqueName="[Acct_Sub_Account_GAAP].[N_DISPLAY_ORDER_NUM_LEVEL16].[All]" allUniqueName="[Acct_Sub_Account_GAAP].[N_DISPLAY_ORDER_NUM_LEVEL16].[All]" dimensionUniqueName="[Acct_Sub_Account_GAAP]" displayFolder="" count="0" memberValueDatatype="5" unbalanced="0" hidden="1"/>
    <cacheHierarchy uniqueName="[Acct_Sub_Account_GAAP].[N_DISPLAY_ORDER_NUM_LEVEL17]" caption="N_DISPLAY_ORDER_NUM_LEVEL17" attribute="1" defaultMemberUniqueName="[Acct_Sub_Account_GAAP].[N_DISPLAY_ORDER_NUM_LEVEL17].[All]" allUniqueName="[Acct_Sub_Account_GAAP].[N_DISPLAY_ORDER_NUM_LEVEL17].[All]" dimensionUniqueName="[Acct_Sub_Account_GAAP]" displayFolder="" count="0" memberValueDatatype="5" unbalanced="0" hidden="1"/>
    <cacheHierarchy uniqueName="[Acct_Sub_Account_GAAP].[N_DISPLAY_ORDER_NUM_LEVEL18]" caption="N_DISPLAY_ORDER_NUM_LEVEL18" attribute="1" defaultMemberUniqueName="[Acct_Sub_Account_GAAP].[N_DISPLAY_ORDER_NUM_LEVEL18].[All]" allUniqueName="[Acct_Sub_Account_GAAP].[N_DISPLAY_ORDER_NUM_LEVEL18].[All]" dimensionUniqueName="[Acct_Sub_Account_GAAP]" displayFolder="" count="0" memberValueDatatype="5" unbalanced="0" hidden="1"/>
    <cacheHierarchy uniqueName="[Acct_Sub_Account_GAAP].[N_DISPLAY_ORDER_NUM_LEVEL19]" caption="N_DISPLAY_ORDER_NUM_LEVEL19" attribute="1" defaultMemberUniqueName="[Acct_Sub_Account_GAAP].[N_DISPLAY_ORDER_NUM_LEVEL19].[All]" allUniqueName="[Acct_Sub_Account_GAAP].[N_DISPLAY_ORDER_NUM_LEVEL19].[All]" dimensionUniqueName="[Acct_Sub_Account_GAAP]" displayFolder="" count="0" memberValueDatatype="5" unbalanced="0" hidden="1"/>
    <cacheHierarchy uniqueName="[Acct_Sub_Account_GAAP].[N_DISPLAY_ORDER_NUM_LEVEL20]" caption="N_DISPLAY_ORDER_NUM_LEVEL20" attribute="1" defaultMemberUniqueName="[Acct_Sub_Account_GAAP].[N_DISPLAY_ORDER_NUM_LEVEL20].[All]" allUniqueName="[Acct_Sub_Account_GAAP].[N_DISPLAY_ORDER_NUM_LEVEL20].[All]" dimensionUniqueName="[Acct_Sub_Account_GAAP]" displayFolder="" count="0" memberValueDatatype="5" unbalanced="0" hidden="1"/>
    <cacheHierarchy uniqueName="[Acct_Sub_Account_GAAP].[Pam_Account_Flag]" caption="Pam_Account_Flag" attribute="1" defaultMemberUniqueName="[Acct_Sub_Account_GAAP].[Pam_Account_Flag].[All]" allUniqueName="[Acct_Sub_Account_GAAP].[Pam_Account_Flag].[All]" dimensionUniqueName="[Acct_Sub_Account_GAAP]" displayFolder="" count="0" memberValueDatatype="130" unbalanced="0" hidden="1"/>
    <cacheHierarchy uniqueName="[Acct_Sub_Account_GAAP].[SL_ACCOUNT_ID]" caption="SL_ACCOUNT_ID" attribute="1" defaultMemberUniqueName="[Acct_Sub_Account_GAAP].[SL_ACCOUNT_ID].[All]" allUniqueName="[Acct_Sub_Account_GAAP].[SL_ACCOUNT_ID].[All]" dimensionUniqueName="[Acct_Sub_Account_GAAP]" displayFolder="" count="0" memberValueDatatype="5" unbalanced="0" hidden="1"/>
    <cacheHierarchy uniqueName="[Acct_Sub_Account_GAAP].[Tax_Adj_Code]" caption="Tax_Adj_Code" attribute="1" defaultMemberUniqueName="[Acct_Sub_Account_GAAP].[Tax_Adj_Code].[All]" allUniqueName="[Acct_Sub_Account_GAAP].[Tax_Adj_Code].[All]" dimensionUniqueName="[Acct_Sub_Account_GAAP]" displayFolder="" count="0" memberValueDatatype="130" unbalanced="0" hidden="1"/>
    <cacheHierarchy uniqueName="[Acct_Sub_Account_Managerial].[N_DISPLAY_ORDER_NUM_LEVEL01]" caption="N_DISPLAY_ORDER_NUM_LEVEL01" attribute="1" defaultMemberUniqueName="[Acct_Sub_Account_Managerial].[N_DISPLAY_ORDER_NUM_LEVEL01].[All]" allUniqueName="[Acct_Sub_Account_Managerial].[N_DISPLAY_ORDER_NUM_LEVEL01].[All]" dimensionUniqueName="[Acct_Sub_Account_Managerial]" displayFolder="" count="0" memberValueDatatype="5" unbalanced="0" hidden="1"/>
    <cacheHierarchy uniqueName="[Acct_Sub_Account_Managerial].[N_DISPLAY_ORDER_NUM_LEVEL02]" caption="N_DISPLAY_ORDER_NUM_LEVEL02" attribute="1" defaultMemberUniqueName="[Acct_Sub_Account_Managerial].[N_DISPLAY_ORDER_NUM_LEVEL02].[All]" allUniqueName="[Acct_Sub_Account_Managerial].[N_DISPLAY_ORDER_NUM_LEVEL02].[All]" dimensionUniqueName="[Acct_Sub_Account_Managerial]" displayFolder="" count="0" memberValueDatatype="5" unbalanced="0" hidden="1"/>
    <cacheHierarchy uniqueName="[Acct_Sub_Account_Managerial].[N_DISPLAY_ORDER_NUM_LEVEL03]" caption="N_DISPLAY_ORDER_NUM_LEVEL03" attribute="1" defaultMemberUniqueName="[Acct_Sub_Account_Managerial].[N_DISPLAY_ORDER_NUM_LEVEL03].[All]" allUniqueName="[Acct_Sub_Account_Managerial].[N_DISPLAY_ORDER_NUM_LEVEL03].[All]" dimensionUniqueName="[Acct_Sub_Account_Managerial]" displayFolder="" count="0" memberValueDatatype="5" unbalanced="0" hidden="1"/>
    <cacheHierarchy uniqueName="[Acct_Sub_Account_Managerial].[N_DISPLAY_ORDER_NUM_LEVEL04]" caption="N_DISPLAY_ORDER_NUM_LEVEL04" attribute="1" defaultMemberUniqueName="[Acct_Sub_Account_Managerial].[N_DISPLAY_ORDER_NUM_LEVEL04].[All]" allUniqueName="[Acct_Sub_Account_Managerial].[N_DISPLAY_ORDER_NUM_LEVEL04].[All]" dimensionUniqueName="[Acct_Sub_Account_Managerial]" displayFolder="" count="0" memberValueDatatype="5" unbalanced="0" hidden="1"/>
    <cacheHierarchy uniqueName="[Acct_Sub_Account_Managerial].[N_DISPLAY_ORDER_NUM_LEVEL05]" caption="N_DISPLAY_ORDER_NUM_LEVEL05" attribute="1" defaultMemberUniqueName="[Acct_Sub_Account_Managerial].[N_DISPLAY_ORDER_NUM_LEVEL05].[All]" allUniqueName="[Acct_Sub_Account_Managerial].[N_DISPLAY_ORDER_NUM_LEVEL05].[All]" dimensionUniqueName="[Acct_Sub_Account_Managerial]" displayFolder="" count="0" memberValueDatatype="5" unbalanced="0" hidden="1"/>
    <cacheHierarchy uniqueName="[Acct_Sub_Account_Managerial].[N_DISPLAY_ORDER_NUM_LEVEL06]" caption="N_DISPLAY_ORDER_NUM_LEVEL06" attribute="1" defaultMemberUniqueName="[Acct_Sub_Account_Managerial].[N_DISPLAY_ORDER_NUM_LEVEL06].[All]" allUniqueName="[Acct_Sub_Account_Managerial].[N_DISPLAY_ORDER_NUM_LEVEL06].[All]" dimensionUniqueName="[Acct_Sub_Account_Managerial]" displayFolder="" count="0" memberValueDatatype="5" unbalanced="0" hidden="1"/>
    <cacheHierarchy uniqueName="[Acct_Sub_Account_Managerial].[N_DISPLAY_ORDER_NUM_LEVEL07]" caption="N_DISPLAY_ORDER_NUM_LEVEL07" attribute="1" defaultMemberUniqueName="[Acct_Sub_Account_Managerial].[N_DISPLAY_ORDER_NUM_LEVEL07].[All]" allUniqueName="[Acct_Sub_Account_Managerial].[N_DISPLAY_ORDER_NUM_LEVEL07].[All]" dimensionUniqueName="[Acct_Sub_Account_Managerial]" displayFolder="" count="0" memberValueDatatype="5" unbalanced="0" hidden="1"/>
    <cacheHierarchy uniqueName="[Acct_Sub_Account_Managerial].[N_DISPLAY_ORDER_NUM_LEVEL08]" caption="N_DISPLAY_ORDER_NUM_LEVEL08" attribute="1" defaultMemberUniqueName="[Acct_Sub_Account_Managerial].[N_DISPLAY_ORDER_NUM_LEVEL08].[All]" allUniqueName="[Acct_Sub_Account_Managerial].[N_DISPLAY_ORDER_NUM_LEVEL08].[All]" dimensionUniqueName="[Acct_Sub_Account_Managerial]" displayFolder="" count="0" memberValueDatatype="5" unbalanced="0" hidden="1"/>
    <cacheHierarchy uniqueName="[Acct_Sub_Account_Managerial].[N_DISPLAY_ORDER_NUM_LEVEL09]" caption="N_DISPLAY_ORDER_NUM_LEVEL09" attribute="1" defaultMemberUniqueName="[Acct_Sub_Account_Managerial].[N_DISPLAY_ORDER_NUM_LEVEL09].[All]" allUniqueName="[Acct_Sub_Account_Managerial].[N_DISPLAY_ORDER_NUM_LEVEL09].[All]" dimensionUniqueName="[Acct_Sub_Account_Managerial]" displayFolder="" count="0" memberValueDatatype="5" unbalanced="0" hidden="1"/>
    <cacheHierarchy uniqueName="[Acct_Sub_Account_Managerial].[N_DISPLAY_ORDER_NUM_LEVEL10]" caption="N_DISPLAY_ORDER_NUM_LEVEL10" attribute="1" defaultMemberUniqueName="[Acct_Sub_Account_Managerial].[N_DISPLAY_ORDER_NUM_LEVEL10].[All]" allUniqueName="[Acct_Sub_Account_Managerial].[N_DISPLAY_ORDER_NUM_LEVEL10].[All]" dimensionUniqueName="[Acct_Sub_Account_Managerial]" displayFolder="" count="0" memberValueDatatype="5" unbalanced="0" hidden="1"/>
    <cacheHierarchy uniqueName="[Acct_Sub_Account_Managerial].[N_DISPLAY_ORDER_NUM_LEVEL11]" caption="N_DISPLAY_ORDER_NUM_LEVEL11" attribute="1" defaultMemberUniqueName="[Acct_Sub_Account_Managerial].[N_DISPLAY_ORDER_NUM_LEVEL11].[All]" allUniqueName="[Acct_Sub_Account_Managerial].[N_DISPLAY_ORDER_NUM_LEVEL11].[All]" dimensionUniqueName="[Acct_Sub_Account_Managerial]" displayFolder="" count="0" memberValueDatatype="5" unbalanced="0" hidden="1"/>
    <cacheHierarchy uniqueName="[Acct_Sub_Account_Managerial].[N_DISPLAY_ORDER_NUM_LEVEL12]" caption="N_DISPLAY_ORDER_NUM_LEVEL12" attribute="1" defaultMemberUniqueName="[Acct_Sub_Account_Managerial].[N_DISPLAY_ORDER_NUM_LEVEL12].[All]" allUniqueName="[Acct_Sub_Account_Managerial].[N_DISPLAY_ORDER_NUM_LEVEL12].[All]" dimensionUniqueName="[Acct_Sub_Account_Managerial]" displayFolder="" count="0" memberValueDatatype="5" unbalanced="0" hidden="1"/>
    <cacheHierarchy uniqueName="[Acct_Sub_Account_Managerial].[N_DISPLAY_ORDER_NUM_LEVEL13]" caption="N_DISPLAY_ORDER_NUM_LEVEL13" attribute="1" defaultMemberUniqueName="[Acct_Sub_Account_Managerial].[N_DISPLAY_ORDER_NUM_LEVEL13].[All]" allUniqueName="[Acct_Sub_Account_Managerial].[N_DISPLAY_ORDER_NUM_LEVEL13].[All]" dimensionUniqueName="[Acct_Sub_Account_Managerial]" displayFolder="" count="0" memberValueDatatype="5" unbalanced="0" hidden="1"/>
    <cacheHierarchy uniqueName="[Acct_Sub_Account_Managerial].[N_DISPLAY_ORDER_NUM_LEVEL14]" caption="N_DISPLAY_ORDER_NUM_LEVEL14" attribute="1" defaultMemberUniqueName="[Acct_Sub_Account_Managerial].[N_DISPLAY_ORDER_NUM_LEVEL14].[All]" allUniqueName="[Acct_Sub_Account_Managerial].[N_DISPLAY_ORDER_NUM_LEVEL14].[All]" dimensionUniqueName="[Acct_Sub_Account_Managerial]" displayFolder="" count="0" memberValueDatatype="5" unbalanced="0" hidden="1"/>
    <cacheHierarchy uniqueName="[Acct_Sub_Account_Managerial].[N_DISPLAY_ORDER_NUM_LEVEL15]" caption="N_DISPLAY_ORDER_NUM_LEVEL15" attribute="1" defaultMemberUniqueName="[Acct_Sub_Account_Managerial].[N_DISPLAY_ORDER_NUM_LEVEL15].[All]" allUniqueName="[Acct_Sub_Account_Managerial].[N_DISPLAY_ORDER_NUM_LEVEL15].[All]" dimensionUniqueName="[Acct_Sub_Account_Managerial]" displayFolder="" count="0" memberValueDatatype="5" unbalanced="0" hidden="1"/>
    <cacheHierarchy uniqueName="[Acct_Sub_Account_Managerial].[N_DISPLAY_ORDER_NUM_LEVEL16]" caption="N_DISPLAY_ORDER_NUM_LEVEL16" attribute="1" defaultMemberUniqueName="[Acct_Sub_Account_Managerial].[N_DISPLAY_ORDER_NUM_LEVEL16].[All]" allUniqueName="[Acct_Sub_Account_Managerial].[N_DISPLAY_ORDER_NUM_LEVEL16].[All]" dimensionUniqueName="[Acct_Sub_Account_Managerial]" displayFolder="" count="0" memberValueDatatype="5" unbalanced="0" hidden="1"/>
    <cacheHierarchy uniqueName="[Acct_Sub_Account_Managerial].[N_DISPLAY_ORDER_NUM_LEVEL17]" caption="N_DISPLAY_ORDER_NUM_LEVEL17" attribute="1" defaultMemberUniqueName="[Acct_Sub_Account_Managerial].[N_DISPLAY_ORDER_NUM_LEVEL17].[All]" allUniqueName="[Acct_Sub_Account_Managerial].[N_DISPLAY_ORDER_NUM_LEVEL17].[All]" dimensionUniqueName="[Acct_Sub_Account_Managerial]" displayFolder="" count="0" memberValueDatatype="5" unbalanced="0" hidden="1"/>
    <cacheHierarchy uniqueName="[Acct_Sub_Account_Managerial].[N_DISPLAY_ORDER_NUM_LEVEL18]" caption="N_DISPLAY_ORDER_NUM_LEVEL18" attribute="1" defaultMemberUniqueName="[Acct_Sub_Account_Managerial].[N_DISPLAY_ORDER_NUM_LEVEL18].[All]" allUniqueName="[Acct_Sub_Account_Managerial].[N_DISPLAY_ORDER_NUM_LEVEL18].[All]" dimensionUniqueName="[Acct_Sub_Account_Managerial]" displayFolder="" count="0" memberValueDatatype="5" unbalanced="0" hidden="1"/>
    <cacheHierarchy uniqueName="[Acct_Sub_Account_Managerial].[N_DISPLAY_ORDER_NUM_LEVEL19]" caption="N_DISPLAY_ORDER_NUM_LEVEL19" attribute="1" defaultMemberUniqueName="[Acct_Sub_Account_Managerial].[N_DISPLAY_ORDER_NUM_LEVEL19].[All]" allUniqueName="[Acct_Sub_Account_Managerial].[N_DISPLAY_ORDER_NUM_LEVEL19].[All]" dimensionUniqueName="[Acct_Sub_Account_Managerial]" displayFolder="" count="0" memberValueDatatype="5" unbalanced="0" hidden="1"/>
    <cacheHierarchy uniqueName="[Acct_Sub_Account_Managerial].[N_DISPLAY_ORDER_NUM_LEVEL20]" caption="N_DISPLAY_ORDER_NUM_LEVEL20" attribute="1" defaultMemberUniqueName="[Acct_Sub_Account_Managerial].[N_DISPLAY_ORDER_NUM_LEVEL20].[All]" allUniqueName="[Acct_Sub_Account_Managerial].[N_DISPLAY_ORDER_NUM_LEVEL20].[All]" dimensionUniqueName="[Acct_Sub_Account_Managerial]" displayFolder="" count="0" memberValueDatatype="5" unbalanced="0" hidden="1"/>
    <cacheHierarchy uniqueName="[Acct_Sub_Account_Managerial].[SL_ACCOUNT_ID]" caption="SL_ACCOUNT_ID" attribute="1" defaultMemberUniqueName="[Acct_Sub_Account_Managerial].[SL_ACCOUNT_ID].[All]" allUniqueName="[Acct_Sub_Account_Managerial].[SL_ACCOUNT_ID].[All]" dimensionUniqueName="[Acct_Sub_Account_Managerial]" displayFolder="" count="0" memberValueDatatype="5" unbalanced="0" hidden="1"/>
    <cacheHierarchy uniqueName="[Acct_Sub_Account_STAT_LIFE].[N_DISPLAY_ORDER_NUM_LEVEL01]" caption="N_DISPLAY_ORDER_NUM_LEVEL01" attribute="1" defaultMemberUniqueName="[Acct_Sub_Account_STAT_LIFE].[N_DISPLAY_ORDER_NUM_LEVEL01].[All]" allUniqueName="[Acct_Sub_Account_STAT_LIFE].[N_DISPLAY_ORDER_NUM_LEVEL01].[All]" dimensionUniqueName="[Acct_Sub_Account_STAT_LIFE]" displayFolder="" count="0" memberValueDatatype="5" unbalanced="0" hidden="1"/>
    <cacheHierarchy uniqueName="[Acct_Sub_Account_STAT_LIFE].[N_DISPLAY_ORDER_NUM_LEVEL02]" caption="N_DISPLAY_ORDER_NUM_LEVEL02" attribute="1" defaultMemberUniqueName="[Acct_Sub_Account_STAT_LIFE].[N_DISPLAY_ORDER_NUM_LEVEL02].[All]" allUniqueName="[Acct_Sub_Account_STAT_LIFE].[N_DISPLAY_ORDER_NUM_LEVEL02].[All]" dimensionUniqueName="[Acct_Sub_Account_STAT_LIFE]" displayFolder="" count="0" memberValueDatatype="5" unbalanced="0" hidden="1"/>
    <cacheHierarchy uniqueName="[Acct_Sub_Account_STAT_LIFE].[N_DISPLAY_ORDER_NUM_LEVEL03]" caption="N_DISPLAY_ORDER_NUM_LEVEL03" attribute="1" defaultMemberUniqueName="[Acct_Sub_Account_STAT_LIFE].[N_DISPLAY_ORDER_NUM_LEVEL03].[All]" allUniqueName="[Acct_Sub_Account_STAT_LIFE].[N_DISPLAY_ORDER_NUM_LEVEL03].[All]" dimensionUniqueName="[Acct_Sub_Account_STAT_LIFE]" displayFolder="" count="0" memberValueDatatype="5" unbalanced="0" hidden="1"/>
    <cacheHierarchy uniqueName="[Acct_Sub_Account_STAT_LIFE].[N_DISPLAY_ORDER_NUM_LEVEL04]" caption="N_DISPLAY_ORDER_NUM_LEVEL04" attribute="1" defaultMemberUniqueName="[Acct_Sub_Account_STAT_LIFE].[N_DISPLAY_ORDER_NUM_LEVEL04].[All]" allUniqueName="[Acct_Sub_Account_STAT_LIFE].[N_DISPLAY_ORDER_NUM_LEVEL04].[All]" dimensionUniqueName="[Acct_Sub_Account_STAT_LIFE]" displayFolder="" count="0" memberValueDatatype="5" unbalanced="0" hidden="1"/>
    <cacheHierarchy uniqueName="[Acct_Sub_Account_STAT_LIFE].[N_DISPLAY_ORDER_NUM_LEVEL05]" caption="N_DISPLAY_ORDER_NUM_LEVEL05" attribute="1" defaultMemberUniqueName="[Acct_Sub_Account_STAT_LIFE].[N_DISPLAY_ORDER_NUM_LEVEL05].[All]" allUniqueName="[Acct_Sub_Account_STAT_LIFE].[N_DISPLAY_ORDER_NUM_LEVEL05].[All]" dimensionUniqueName="[Acct_Sub_Account_STAT_LIFE]" displayFolder="" count="0" memberValueDatatype="5" unbalanced="0" hidden="1"/>
    <cacheHierarchy uniqueName="[Acct_Sub_Account_STAT_LIFE].[N_DISPLAY_ORDER_NUM_LEVEL06]" caption="N_DISPLAY_ORDER_NUM_LEVEL06" attribute="1" defaultMemberUniqueName="[Acct_Sub_Account_STAT_LIFE].[N_DISPLAY_ORDER_NUM_LEVEL06].[All]" allUniqueName="[Acct_Sub_Account_STAT_LIFE].[N_DISPLAY_ORDER_NUM_LEVEL06].[All]" dimensionUniqueName="[Acct_Sub_Account_STAT_LIFE]" displayFolder="" count="0" memberValueDatatype="5" unbalanced="0" hidden="1"/>
    <cacheHierarchy uniqueName="[Acct_Sub_Account_STAT_LIFE].[N_DISPLAY_ORDER_NUM_LEVEL07]" caption="N_DISPLAY_ORDER_NUM_LEVEL07" attribute="1" defaultMemberUniqueName="[Acct_Sub_Account_STAT_LIFE].[N_DISPLAY_ORDER_NUM_LEVEL07].[All]" allUniqueName="[Acct_Sub_Account_STAT_LIFE].[N_DISPLAY_ORDER_NUM_LEVEL07].[All]" dimensionUniqueName="[Acct_Sub_Account_STAT_LIFE]" displayFolder="" count="0" memberValueDatatype="5" unbalanced="0" hidden="1"/>
    <cacheHierarchy uniqueName="[Acct_Sub_Account_STAT_LIFE].[N_DISPLAY_ORDER_NUM_LEVEL08]" caption="N_DISPLAY_ORDER_NUM_LEVEL08" attribute="1" defaultMemberUniqueName="[Acct_Sub_Account_STAT_LIFE].[N_DISPLAY_ORDER_NUM_LEVEL08].[All]" allUniqueName="[Acct_Sub_Account_STAT_LIFE].[N_DISPLAY_ORDER_NUM_LEVEL08].[All]" dimensionUniqueName="[Acct_Sub_Account_STAT_LIFE]" displayFolder="" count="0" memberValueDatatype="5" unbalanced="0" hidden="1"/>
    <cacheHierarchy uniqueName="[Acct_Sub_Account_STAT_LIFE].[N_DISPLAY_ORDER_NUM_LEVEL09]" caption="N_DISPLAY_ORDER_NUM_LEVEL09" attribute="1" defaultMemberUniqueName="[Acct_Sub_Account_STAT_LIFE].[N_DISPLAY_ORDER_NUM_LEVEL09].[All]" allUniqueName="[Acct_Sub_Account_STAT_LIFE].[N_DISPLAY_ORDER_NUM_LEVEL09].[All]" dimensionUniqueName="[Acct_Sub_Account_STAT_LIFE]" displayFolder="" count="0" memberValueDatatype="5" unbalanced="0" hidden="1"/>
    <cacheHierarchy uniqueName="[Acct_Sub_Account_STAT_LIFE].[N_DISPLAY_ORDER_NUM_LEVEL10]" caption="N_DISPLAY_ORDER_NUM_LEVEL10" attribute="1" defaultMemberUniqueName="[Acct_Sub_Account_STAT_LIFE].[N_DISPLAY_ORDER_NUM_LEVEL10].[All]" allUniqueName="[Acct_Sub_Account_STAT_LIFE].[N_DISPLAY_ORDER_NUM_LEVEL10].[All]" dimensionUniqueName="[Acct_Sub_Account_STAT_LIFE]" displayFolder="" count="0" memberValueDatatype="5" unbalanced="0" hidden="1"/>
    <cacheHierarchy uniqueName="[Acct_Sub_Account_STAT_LIFE].[N_DISPLAY_ORDER_NUM_LEVEL11]" caption="N_DISPLAY_ORDER_NUM_LEVEL11" attribute="1" defaultMemberUniqueName="[Acct_Sub_Account_STAT_LIFE].[N_DISPLAY_ORDER_NUM_LEVEL11].[All]" allUniqueName="[Acct_Sub_Account_STAT_LIFE].[N_DISPLAY_ORDER_NUM_LEVEL11].[All]" dimensionUniqueName="[Acct_Sub_Account_STAT_LIFE]" displayFolder="" count="0" memberValueDatatype="5" unbalanced="0" hidden="1"/>
    <cacheHierarchy uniqueName="[Acct_Sub_Account_STAT_LIFE].[N_DISPLAY_ORDER_NUM_LEVEL12]" caption="N_DISPLAY_ORDER_NUM_LEVEL12" attribute="1" defaultMemberUniqueName="[Acct_Sub_Account_STAT_LIFE].[N_DISPLAY_ORDER_NUM_LEVEL12].[All]" allUniqueName="[Acct_Sub_Account_STAT_LIFE].[N_DISPLAY_ORDER_NUM_LEVEL12].[All]" dimensionUniqueName="[Acct_Sub_Account_STAT_LIFE]" displayFolder="" count="0" memberValueDatatype="5" unbalanced="0" hidden="1"/>
    <cacheHierarchy uniqueName="[Acct_Sub_Account_STAT_LIFE].[N_DISPLAY_ORDER_NUM_LEVEL13]" caption="N_DISPLAY_ORDER_NUM_LEVEL13" attribute="1" defaultMemberUniqueName="[Acct_Sub_Account_STAT_LIFE].[N_DISPLAY_ORDER_NUM_LEVEL13].[All]" allUniqueName="[Acct_Sub_Account_STAT_LIFE].[N_DISPLAY_ORDER_NUM_LEVEL13].[All]" dimensionUniqueName="[Acct_Sub_Account_STAT_LIFE]" displayFolder="" count="0" memberValueDatatype="5" unbalanced="0" hidden="1"/>
    <cacheHierarchy uniqueName="[Acct_Sub_Account_STAT_LIFE].[N_DISPLAY_ORDER_NUM_LEVEL14]" caption="N_DISPLAY_ORDER_NUM_LEVEL14" attribute="1" defaultMemberUniqueName="[Acct_Sub_Account_STAT_LIFE].[N_DISPLAY_ORDER_NUM_LEVEL14].[All]" allUniqueName="[Acct_Sub_Account_STAT_LIFE].[N_DISPLAY_ORDER_NUM_LEVEL14].[All]" dimensionUniqueName="[Acct_Sub_Account_STAT_LIFE]" displayFolder="" count="0" memberValueDatatype="5" unbalanced="0" hidden="1"/>
    <cacheHierarchy uniqueName="[Acct_Sub_Account_STAT_LIFE].[N_DISPLAY_ORDER_NUM_LEVEL15]" caption="N_DISPLAY_ORDER_NUM_LEVEL15" attribute="1" defaultMemberUniqueName="[Acct_Sub_Account_STAT_LIFE].[N_DISPLAY_ORDER_NUM_LEVEL15].[All]" allUniqueName="[Acct_Sub_Account_STAT_LIFE].[N_DISPLAY_ORDER_NUM_LEVEL15].[All]" dimensionUniqueName="[Acct_Sub_Account_STAT_LIFE]" displayFolder="" count="0" memberValueDatatype="5" unbalanced="0" hidden="1"/>
    <cacheHierarchy uniqueName="[Acct_Sub_Account_STAT_LIFE].[N_DISPLAY_ORDER_NUM_LEVEL16]" caption="N_DISPLAY_ORDER_NUM_LEVEL16" attribute="1" defaultMemberUniqueName="[Acct_Sub_Account_STAT_LIFE].[N_DISPLAY_ORDER_NUM_LEVEL16].[All]" allUniqueName="[Acct_Sub_Account_STAT_LIFE].[N_DISPLAY_ORDER_NUM_LEVEL16].[All]" dimensionUniqueName="[Acct_Sub_Account_STAT_LIFE]" displayFolder="" count="0" memberValueDatatype="5" unbalanced="0" hidden="1"/>
    <cacheHierarchy uniqueName="[Acct_Sub_Account_STAT_LIFE].[N_DISPLAY_ORDER_NUM_LEVEL17]" caption="N_DISPLAY_ORDER_NUM_LEVEL17" attribute="1" defaultMemberUniqueName="[Acct_Sub_Account_STAT_LIFE].[N_DISPLAY_ORDER_NUM_LEVEL17].[All]" allUniqueName="[Acct_Sub_Account_STAT_LIFE].[N_DISPLAY_ORDER_NUM_LEVEL17].[All]" dimensionUniqueName="[Acct_Sub_Account_STAT_LIFE]" displayFolder="" count="0" memberValueDatatype="5" unbalanced="0" hidden="1"/>
    <cacheHierarchy uniqueName="[Acct_Sub_Account_STAT_LIFE].[N_DISPLAY_ORDER_NUM_LEVEL18]" caption="N_DISPLAY_ORDER_NUM_LEVEL18" attribute="1" defaultMemberUniqueName="[Acct_Sub_Account_STAT_LIFE].[N_DISPLAY_ORDER_NUM_LEVEL18].[All]" allUniqueName="[Acct_Sub_Account_STAT_LIFE].[N_DISPLAY_ORDER_NUM_LEVEL18].[All]" dimensionUniqueName="[Acct_Sub_Account_STAT_LIFE]" displayFolder="" count="0" memberValueDatatype="5" unbalanced="0" hidden="1"/>
    <cacheHierarchy uniqueName="[Acct_Sub_Account_STAT_LIFE].[N_DISPLAY_ORDER_NUM_LEVEL19]" caption="N_DISPLAY_ORDER_NUM_LEVEL19" attribute="1" defaultMemberUniqueName="[Acct_Sub_Account_STAT_LIFE].[N_DISPLAY_ORDER_NUM_LEVEL19].[All]" allUniqueName="[Acct_Sub_Account_STAT_LIFE].[N_DISPLAY_ORDER_NUM_LEVEL19].[All]" dimensionUniqueName="[Acct_Sub_Account_STAT_LIFE]" displayFolder="" count="0" memberValueDatatype="5" unbalanced="0" hidden="1"/>
    <cacheHierarchy uniqueName="[Acct_Sub_Account_STAT_LIFE].[N_DISPLAY_ORDER_NUM_LEVEL20]" caption="N_DISPLAY_ORDER_NUM_LEVEL20" attribute="1" defaultMemberUniqueName="[Acct_Sub_Account_STAT_LIFE].[N_DISPLAY_ORDER_NUM_LEVEL20].[All]" allUniqueName="[Acct_Sub_Account_STAT_LIFE].[N_DISPLAY_ORDER_NUM_LEVEL20].[All]" dimensionUniqueName="[Acct_Sub_Account_STAT_LIFE]" displayFolder="" count="0" memberValueDatatype="5" unbalanced="0" hidden="1"/>
    <cacheHierarchy uniqueName="[Acct_Sub_Account_STAT_LIFE].[Pam_Account_Flag]" caption="Pam_Account_Flag" attribute="1" defaultMemberUniqueName="[Acct_Sub_Account_STAT_LIFE].[Pam_Account_Flag].[All]" allUniqueName="[Acct_Sub_Account_STAT_LIFE].[Pam_Account_Flag].[All]" dimensionUniqueName="[Acct_Sub_Account_STAT_LIFE]" displayFolder="" count="0" memberValueDatatype="130" unbalanced="0" hidden="1"/>
    <cacheHierarchy uniqueName="[Acct_Sub_Account_STAT_LIFE].[SL_ACCOUNT_ID]" caption="SL_ACCOUNT_ID" attribute="1" defaultMemberUniqueName="[Acct_Sub_Account_STAT_LIFE].[SL_ACCOUNT_ID].[All]" allUniqueName="[Acct_Sub_Account_STAT_LIFE].[SL_ACCOUNT_ID].[All]" dimensionUniqueName="[Acct_Sub_Account_STAT_LIFE]" displayFolder="" count="0" memberValueDatatype="5" unbalanced="0" hidden="1"/>
    <cacheHierarchy uniqueName="[Acct_Sub_Account_STAT_LIFE].[Tax_Adj_Code]" caption="Tax_Adj_Code" attribute="1" defaultMemberUniqueName="[Acct_Sub_Account_STAT_LIFE].[Tax_Adj_Code].[All]" allUniqueName="[Acct_Sub_Account_STAT_LIFE].[Tax_Adj_Code].[All]" dimensionUniqueName="[Acct_Sub_Account_STAT_LIFE]" displayFolder="" count="0" memberValueDatatype="130" unbalanced="0" hidden="1"/>
    <cacheHierarchy uniqueName="[Acct_Sub_Account_STAT_PC].[N_DISPLAY_ORDER_NUM_LEVEL01]" caption="N_DISPLAY_ORDER_NUM_LEVEL01" attribute="1" defaultMemberUniqueName="[Acct_Sub_Account_STAT_PC].[N_DISPLAY_ORDER_NUM_LEVEL01].[All]" allUniqueName="[Acct_Sub_Account_STAT_PC].[N_DISPLAY_ORDER_NUM_LEVEL01].[All]" dimensionUniqueName="[Acct_Sub_Account_STAT_PC]" displayFolder="" count="0" memberValueDatatype="5" unbalanced="0" hidden="1"/>
    <cacheHierarchy uniqueName="[Acct_Sub_Account_STAT_PC].[N_DISPLAY_ORDER_NUM_LEVEL02]" caption="N_DISPLAY_ORDER_NUM_LEVEL02" attribute="1" defaultMemberUniqueName="[Acct_Sub_Account_STAT_PC].[N_DISPLAY_ORDER_NUM_LEVEL02].[All]" allUniqueName="[Acct_Sub_Account_STAT_PC].[N_DISPLAY_ORDER_NUM_LEVEL02].[All]" dimensionUniqueName="[Acct_Sub_Account_STAT_PC]" displayFolder="" count="0" memberValueDatatype="5" unbalanced="0" hidden="1"/>
    <cacheHierarchy uniqueName="[Acct_Sub_Account_STAT_PC].[N_DISPLAY_ORDER_NUM_LEVEL03]" caption="N_DISPLAY_ORDER_NUM_LEVEL03" attribute="1" defaultMemberUniqueName="[Acct_Sub_Account_STAT_PC].[N_DISPLAY_ORDER_NUM_LEVEL03].[All]" allUniqueName="[Acct_Sub_Account_STAT_PC].[N_DISPLAY_ORDER_NUM_LEVEL03].[All]" dimensionUniqueName="[Acct_Sub_Account_STAT_PC]" displayFolder="" count="0" memberValueDatatype="5" unbalanced="0" hidden="1"/>
    <cacheHierarchy uniqueName="[Acct_Sub_Account_STAT_PC].[N_DISPLAY_ORDER_NUM_LEVEL04]" caption="N_DISPLAY_ORDER_NUM_LEVEL04" attribute="1" defaultMemberUniqueName="[Acct_Sub_Account_STAT_PC].[N_DISPLAY_ORDER_NUM_LEVEL04].[All]" allUniqueName="[Acct_Sub_Account_STAT_PC].[N_DISPLAY_ORDER_NUM_LEVEL04].[All]" dimensionUniqueName="[Acct_Sub_Account_STAT_PC]" displayFolder="" count="0" memberValueDatatype="5" unbalanced="0" hidden="1"/>
    <cacheHierarchy uniqueName="[Acct_Sub_Account_STAT_PC].[N_DISPLAY_ORDER_NUM_LEVEL05]" caption="N_DISPLAY_ORDER_NUM_LEVEL05" attribute="1" defaultMemberUniqueName="[Acct_Sub_Account_STAT_PC].[N_DISPLAY_ORDER_NUM_LEVEL05].[All]" allUniqueName="[Acct_Sub_Account_STAT_PC].[N_DISPLAY_ORDER_NUM_LEVEL05].[All]" dimensionUniqueName="[Acct_Sub_Account_STAT_PC]" displayFolder="" count="0" memberValueDatatype="5" unbalanced="0" hidden="1"/>
    <cacheHierarchy uniqueName="[Acct_Sub_Account_STAT_PC].[N_DISPLAY_ORDER_NUM_LEVEL06]" caption="N_DISPLAY_ORDER_NUM_LEVEL06" attribute="1" defaultMemberUniqueName="[Acct_Sub_Account_STAT_PC].[N_DISPLAY_ORDER_NUM_LEVEL06].[All]" allUniqueName="[Acct_Sub_Account_STAT_PC].[N_DISPLAY_ORDER_NUM_LEVEL06].[All]" dimensionUniqueName="[Acct_Sub_Account_STAT_PC]" displayFolder="" count="0" memberValueDatatype="5" unbalanced="0" hidden="1"/>
    <cacheHierarchy uniqueName="[Acct_Sub_Account_STAT_PC].[N_DISPLAY_ORDER_NUM_LEVEL07]" caption="N_DISPLAY_ORDER_NUM_LEVEL07" attribute="1" defaultMemberUniqueName="[Acct_Sub_Account_STAT_PC].[N_DISPLAY_ORDER_NUM_LEVEL07].[All]" allUniqueName="[Acct_Sub_Account_STAT_PC].[N_DISPLAY_ORDER_NUM_LEVEL07].[All]" dimensionUniqueName="[Acct_Sub_Account_STAT_PC]" displayFolder="" count="0" memberValueDatatype="5" unbalanced="0" hidden="1"/>
    <cacheHierarchy uniqueName="[Acct_Sub_Account_STAT_PC].[N_DISPLAY_ORDER_NUM_LEVEL08]" caption="N_DISPLAY_ORDER_NUM_LEVEL08" attribute="1" defaultMemberUniqueName="[Acct_Sub_Account_STAT_PC].[N_DISPLAY_ORDER_NUM_LEVEL08].[All]" allUniqueName="[Acct_Sub_Account_STAT_PC].[N_DISPLAY_ORDER_NUM_LEVEL08].[All]" dimensionUniqueName="[Acct_Sub_Account_STAT_PC]" displayFolder="" count="0" memberValueDatatype="5" unbalanced="0" hidden="1"/>
    <cacheHierarchy uniqueName="[Acct_Sub_Account_STAT_PC].[N_DISPLAY_ORDER_NUM_LEVEL09]" caption="N_DISPLAY_ORDER_NUM_LEVEL09" attribute="1" defaultMemberUniqueName="[Acct_Sub_Account_STAT_PC].[N_DISPLAY_ORDER_NUM_LEVEL09].[All]" allUniqueName="[Acct_Sub_Account_STAT_PC].[N_DISPLAY_ORDER_NUM_LEVEL09].[All]" dimensionUniqueName="[Acct_Sub_Account_STAT_PC]" displayFolder="" count="0" memberValueDatatype="5" unbalanced="0" hidden="1"/>
    <cacheHierarchy uniqueName="[Acct_Sub_Account_STAT_PC].[N_DISPLAY_ORDER_NUM_LEVEL10]" caption="N_DISPLAY_ORDER_NUM_LEVEL10" attribute="1" defaultMemberUniqueName="[Acct_Sub_Account_STAT_PC].[N_DISPLAY_ORDER_NUM_LEVEL10].[All]" allUniqueName="[Acct_Sub_Account_STAT_PC].[N_DISPLAY_ORDER_NUM_LEVEL10].[All]" dimensionUniqueName="[Acct_Sub_Account_STAT_PC]" displayFolder="" count="0" memberValueDatatype="5" unbalanced="0" hidden="1"/>
    <cacheHierarchy uniqueName="[Acct_Sub_Account_STAT_PC].[N_DISPLAY_ORDER_NUM_LEVEL11]" caption="N_DISPLAY_ORDER_NUM_LEVEL11" attribute="1" defaultMemberUniqueName="[Acct_Sub_Account_STAT_PC].[N_DISPLAY_ORDER_NUM_LEVEL11].[All]" allUniqueName="[Acct_Sub_Account_STAT_PC].[N_DISPLAY_ORDER_NUM_LEVEL11].[All]" dimensionUniqueName="[Acct_Sub_Account_STAT_PC]" displayFolder="" count="0" memberValueDatatype="5" unbalanced="0" hidden="1"/>
    <cacheHierarchy uniqueName="[Acct_Sub_Account_STAT_PC].[N_DISPLAY_ORDER_NUM_LEVEL12]" caption="N_DISPLAY_ORDER_NUM_LEVEL12" attribute="1" defaultMemberUniqueName="[Acct_Sub_Account_STAT_PC].[N_DISPLAY_ORDER_NUM_LEVEL12].[All]" allUniqueName="[Acct_Sub_Account_STAT_PC].[N_DISPLAY_ORDER_NUM_LEVEL12].[All]" dimensionUniqueName="[Acct_Sub_Account_STAT_PC]" displayFolder="" count="0" memberValueDatatype="5" unbalanced="0" hidden="1"/>
    <cacheHierarchy uniqueName="[Acct_Sub_Account_STAT_PC].[N_DISPLAY_ORDER_NUM_LEVEL13]" caption="N_DISPLAY_ORDER_NUM_LEVEL13" attribute="1" defaultMemberUniqueName="[Acct_Sub_Account_STAT_PC].[N_DISPLAY_ORDER_NUM_LEVEL13].[All]" allUniqueName="[Acct_Sub_Account_STAT_PC].[N_DISPLAY_ORDER_NUM_LEVEL13].[All]" dimensionUniqueName="[Acct_Sub_Account_STAT_PC]" displayFolder="" count="0" memberValueDatatype="5" unbalanced="0" hidden="1"/>
    <cacheHierarchy uniqueName="[Acct_Sub_Account_STAT_PC].[N_DISPLAY_ORDER_NUM_LEVEL14]" caption="N_DISPLAY_ORDER_NUM_LEVEL14" attribute="1" defaultMemberUniqueName="[Acct_Sub_Account_STAT_PC].[N_DISPLAY_ORDER_NUM_LEVEL14].[All]" allUniqueName="[Acct_Sub_Account_STAT_PC].[N_DISPLAY_ORDER_NUM_LEVEL14].[All]" dimensionUniqueName="[Acct_Sub_Account_STAT_PC]" displayFolder="" count="0" memberValueDatatype="5" unbalanced="0" hidden="1"/>
    <cacheHierarchy uniqueName="[Acct_Sub_Account_STAT_PC].[N_DISPLAY_ORDER_NUM_LEVEL15]" caption="N_DISPLAY_ORDER_NUM_LEVEL15" attribute="1" defaultMemberUniqueName="[Acct_Sub_Account_STAT_PC].[N_DISPLAY_ORDER_NUM_LEVEL15].[All]" allUniqueName="[Acct_Sub_Account_STAT_PC].[N_DISPLAY_ORDER_NUM_LEVEL15].[All]" dimensionUniqueName="[Acct_Sub_Account_STAT_PC]" displayFolder="" count="0" memberValueDatatype="5" unbalanced="0" hidden="1"/>
    <cacheHierarchy uniqueName="[Acct_Sub_Account_STAT_PC].[N_DISPLAY_ORDER_NUM_LEVEL16]" caption="N_DISPLAY_ORDER_NUM_LEVEL16" attribute="1" defaultMemberUniqueName="[Acct_Sub_Account_STAT_PC].[N_DISPLAY_ORDER_NUM_LEVEL16].[All]" allUniqueName="[Acct_Sub_Account_STAT_PC].[N_DISPLAY_ORDER_NUM_LEVEL16].[All]" dimensionUniqueName="[Acct_Sub_Account_STAT_PC]" displayFolder="" count="0" memberValueDatatype="5" unbalanced="0" hidden="1"/>
    <cacheHierarchy uniqueName="[Acct_Sub_Account_STAT_PC].[N_DISPLAY_ORDER_NUM_LEVEL17]" caption="N_DISPLAY_ORDER_NUM_LEVEL17" attribute="1" defaultMemberUniqueName="[Acct_Sub_Account_STAT_PC].[N_DISPLAY_ORDER_NUM_LEVEL17].[All]" allUniqueName="[Acct_Sub_Account_STAT_PC].[N_DISPLAY_ORDER_NUM_LEVEL17].[All]" dimensionUniqueName="[Acct_Sub_Account_STAT_PC]" displayFolder="" count="0" memberValueDatatype="5" unbalanced="0" hidden="1"/>
    <cacheHierarchy uniqueName="[Acct_Sub_Account_STAT_PC].[N_DISPLAY_ORDER_NUM_LEVEL18]" caption="N_DISPLAY_ORDER_NUM_LEVEL18" attribute="1" defaultMemberUniqueName="[Acct_Sub_Account_STAT_PC].[N_DISPLAY_ORDER_NUM_LEVEL18].[All]" allUniqueName="[Acct_Sub_Account_STAT_PC].[N_DISPLAY_ORDER_NUM_LEVEL18].[All]" dimensionUniqueName="[Acct_Sub_Account_STAT_PC]" displayFolder="" count="0" memberValueDatatype="5" unbalanced="0" hidden="1"/>
    <cacheHierarchy uniqueName="[Acct_Sub_Account_STAT_PC].[N_DISPLAY_ORDER_NUM_LEVEL19]" caption="N_DISPLAY_ORDER_NUM_LEVEL19" attribute="1" defaultMemberUniqueName="[Acct_Sub_Account_STAT_PC].[N_DISPLAY_ORDER_NUM_LEVEL19].[All]" allUniqueName="[Acct_Sub_Account_STAT_PC].[N_DISPLAY_ORDER_NUM_LEVEL19].[All]" dimensionUniqueName="[Acct_Sub_Account_STAT_PC]" displayFolder="" count="0" memberValueDatatype="5" unbalanced="0" hidden="1"/>
    <cacheHierarchy uniqueName="[Acct_Sub_Account_STAT_PC].[N_DISPLAY_ORDER_NUM_LEVEL20]" caption="N_DISPLAY_ORDER_NUM_LEVEL20" attribute="1" defaultMemberUniqueName="[Acct_Sub_Account_STAT_PC].[N_DISPLAY_ORDER_NUM_LEVEL20].[All]" allUniqueName="[Acct_Sub_Account_STAT_PC].[N_DISPLAY_ORDER_NUM_LEVEL20].[All]" dimensionUniqueName="[Acct_Sub_Account_STAT_PC]" displayFolder="" count="0" memberValueDatatype="5" unbalanced="0" hidden="1"/>
    <cacheHierarchy uniqueName="[Acct_Sub_Account_STAT_PC].[Pam_Account_Flag]" caption="Pam_Account_Flag" attribute="1" defaultMemberUniqueName="[Acct_Sub_Account_STAT_PC].[Pam_Account_Flag].[All]" allUniqueName="[Acct_Sub_Account_STAT_PC].[Pam_Account_Flag].[All]" dimensionUniqueName="[Acct_Sub_Account_STAT_PC]" displayFolder="" count="0" memberValueDatatype="130" unbalanced="0" hidden="1"/>
    <cacheHierarchy uniqueName="[Acct_Sub_Account_STAT_PC].[SL_ACCOUNT_ID]" caption="SL_ACCOUNT_ID" attribute="1" defaultMemberUniqueName="[Acct_Sub_Account_STAT_PC].[SL_ACCOUNT_ID].[All]" allUniqueName="[Acct_Sub_Account_STAT_PC].[SL_ACCOUNT_ID].[All]" dimensionUniqueName="[Acct_Sub_Account_STAT_PC]" displayFolder="" count="0" memberValueDatatype="5" unbalanced="0" hidden="1"/>
    <cacheHierarchy uniqueName="[Acct_Sub_Account_STAT_PC].[Tax_Adj_Code]" caption="Tax_Adj_Code" attribute="1" defaultMemberUniqueName="[Acct_Sub_Account_STAT_PC].[Tax_Adj_Code].[All]" allUniqueName="[Acct_Sub_Account_STAT_PC].[Tax_Adj_Code].[All]" dimensionUniqueName="[Acct_Sub_Account_STAT_PC]" displayFolder="" count="0" memberValueDatatype="130" unbalanced="0" hidden="1"/>
    <cacheHierarchy uniqueName="[Acct_Sub_Account_STAT_RECON].[N_DISPLAY_ORDER_NUM_LEVEL01]" caption="N_DISPLAY_ORDER_NUM_LEVEL01" attribute="1" defaultMemberUniqueName="[Acct_Sub_Account_STAT_RECON].[N_DISPLAY_ORDER_NUM_LEVEL01].[All]" allUniqueName="[Acct_Sub_Account_STAT_RECON].[N_DISPLAY_ORDER_NUM_LEVEL01].[All]" dimensionUniqueName="[Acct_Sub_Account_STAT_RECON]" displayFolder="" count="0" memberValueDatatype="5" unbalanced="0" hidden="1"/>
    <cacheHierarchy uniqueName="[Acct_Sub_Account_STAT_RECON].[N_DISPLAY_ORDER_NUM_LEVEL02]" caption="N_DISPLAY_ORDER_NUM_LEVEL02" attribute="1" defaultMemberUniqueName="[Acct_Sub_Account_STAT_RECON].[N_DISPLAY_ORDER_NUM_LEVEL02].[All]" allUniqueName="[Acct_Sub_Account_STAT_RECON].[N_DISPLAY_ORDER_NUM_LEVEL02].[All]" dimensionUniqueName="[Acct_Sub_Account_STAT_RECON]" displayFolder="" count="0" memberValueDatatype="5" unbalanced="0" hidden="1"/>
    <cacheHierarchy uniqueName="[Acct_Sub_Account_STAT_RECON].[N_DISPLAY_ORDER_NUM_LEVEL03]" caption="N_DISPLAY_ORDER_NUM_LEVEL03" attribute="1" defaultMemberUniqueName="[Acct_Sub_Account_STAT_RECON].[N_DISPLAY_ORDER_NUM_LEVEL03].[All]" allUniqueName="[Acct_Sub_Account_STAT_RECON].[N_DISPLAY_ORDER_NUM_LEVEL03].[All]" dimensionUniqueName="[Acct_Sub_Account_STAT_RECON]" displayFolder="" count="0" memberValueDatatype="5" unbalanced="0" hidden="1"/>
    <cacheHierarchy uniqueName="[Acct_Sub_Account_STAT_RECON].[N_DISPLAY_ORDER_NUM_LEVEL04]" caption="N_DISPLAY_ORDER_NUM_LEVEL04" attribute="1" defaultMemberUniqueName="[Acct_Sub_Account_STAT_RECON].[N_DISPLAY_ORDER_NUM_LEVEL04].[All]" allUniqueName="[Acct_Sub_Account_STAT_RECON].[N_DISPLAY_ORDER_NUM_LEVEL04].[All]" dimensionUniqueName="[Acct_Sub_Account_STAT_RECON]" displayFolder="" count="0" memberValueDatatype="5" unbalanced="0" hidden="1"/>
    <cacheHierarchy uniqueName="[Acct_Sub_Account_STAT_RECON].[N_DISPLAY_ORDER_NUM_LEVEL05]" caption="N_DISPLAY_ORDER_NUM_LEVEL05" attribute="1" defaultMemberUniqueName="[Acct_Sub_Account_STAT_RECON].[N_DISPLAY_ORDER_NUM_LEVEL05].[All]" allUniqueName="[Acct_Sub_Account_STAT_RECON].[N_DISPLAY_ORDER_NUM_LEVEL05].[All]" dimensionUniqueName="[Acct_Sub_Account_STAT_RECON]" displayFolder="" count="0" memberValueDatatype="5" unbalanced="0" hidden="1"/>
    <cacheHierarchy uniqueName="[Acct_Sub_Account_STAT_RECON].[N_DISPLAY_ORDER_NUM_LEVEL06]" caption="N_DISPLAY_ORDER_NUM_LEVEL06" attribute="1" defaultMemberUniqueName="[Acct_Sub_Account_STAT_RECON].[N_DISPLAY_ORDER_NUM_LEVEL06].[All]" allUniqueName="[Acct_Sub_Account_STAT_RECON].[N_DISPLAY_ORDER_NUM_LEVEL06].[All]" dimensionUniqueName="[Acct_Sub_Account_STAT_RECON]" displayFolder="" count="0" memberValueDatatype="5" unbalanced="0" hidden="1"/>
    <cacheHierarchy uniqueName="[Acct_Sub_Account_STAT_RECON].[N_DISPLAY_ORDER_NUM_LEVEL07]" caption="N_DISPLAY_ORDER_NUM_LEVEL07" attribute="1" defaultMemberUniqueName="[Acct_Sub_Account_STAT_RECON].[N_DISPLAY_ORDER_NUM_LEVEL07].[All]" allUniqueName="[Acct_Sub_Account_STAT_RECON].[N_DISPLAY_ORDER_NUM_LEVEL07].[All]" dimensionUniqueName="[Acct_Sub_Account_STAT_RECON]" displayFolder="" count="0" memberValueDatatype="5" unbalanced="0" hidden="1"/>
    <cacheHierarchy uniqueName="[Acct_Sub_Account_STAT_RECON].[N_DISPLAY_ORDER_NUM_LEVEL08]" caption="N_DISPLAY_ORDER_NUM_LEVEL08" attribute="1" defaultMemberUniqueName="[Acct_Sub_Account_STAT_RECON].[N_DISPLAY_ORDER_NUM_LEVEL08].[All]" allUniqueName="[Acct_Sub_Account_STAT_RECON].[N_DISPLAY_ORDER_NUM_LEVEL08].[All]" dimensionUniqueName="[Acct_Sub_Account_STAT_RECON]" displayFolder="" count="0" memberValueDatatype="5" unbalanced="0" hidden="1"/>
    <cacheHierarchy uniqueName="[Acct_Sub_Account_STAT_RECON].[N_DISPLAY_ORDER_NUM_LEVEL09]" caption="N_DISPLAY_ORDER_NUM_LEVEL09" attribute="1" defaultMemberUniqueName="[Acct_Sub_Account_STAT_RECON].[N_DISPLAY_ORDER_NUM_LEVEL09].[All]" allUniqueName="[Acct_Sub_Account_STAT_RECON].[N_DISPLAY_ORDER_NUM_LEVEL09].[All]" dimensionUniqueName="[Acct_Sub_Account_STAT_RECON]" displayFolder="" count="0" memberValueDatatype="5" unbalanced="0" hidden="1"/>
    <cacheHierarchy uniqueName="[Acct_Sub_Account_STAT_RECON].[N_DISPLAY_ORDER_NUM_LEVEL10]" caption="N_DISPLAY_ORDER_NUM_LEVEL10" attribute="1" defaultMemberUniqueName="[Acct_Sub_Account_STAT_RECON].[N_DISPLAY_ORDER_NUM_LEVEL10].[All]" allUniqueName="[Acct_Sub_Account_STAT_RECON].[N_DISPLAY_ORDER_NUM_LEVEL10].[All]" dimensionUniqueName="[Acct_Sub_Account_STAT_RECON]" displayFolder="" count="0" memberValueDatatype="5" unbalanced="0" hidden="1"/>
    <cacheHierarchy uniqueName="[Acct_Sub_Account_STAT_RECON].[N_DISPLAY_ORDER_NUM_LEVEL11]" caption="N_DISPLAY_ORDER_NUM_LEVEL11" attribute="1" defaultMemberUniqueName="[Acct_Sub_Account_STAT_RECON].[N_DISPLAY_ORDER_NUM_LEVEL11].[All]" allUniqueName="[Acct_Sub_Account_STAT_RECON].[N_DISPLAY_ORDER_NUM_LEVEL11].[All]" dimensionUniqueName="[Acct_Sub_Account_STAT_RECON]" displayFolder="" count="0" memberValueDatatype="5" unbalanced="0" hidden="1"/>
    <cacheHierarchy uniqueName="[Acct_Sub_Account_STAT_RECON].[N_DISPLAY_ORDER_NUM_LEVEL12]" caption="N_DISPLAY_ORDER_NUM_LEVEL12" attribute="1" defaultMemberUniqueName="[Acct_Sub_Account_STAT_RECON].[N_DISPLAY_ORDER_NUM_LEVEL12].[All]" allUniqueName="[Acct_Sub_Account_STAT_RECON].[N_DISPLAY_ORDER_NUM_LEVEL12].[All]" dimensionUniqueName="[Acct_Sub_Account_STAT_RECON]" displayFolder="" count="0" memberValueDatatype="5" unbalanced="0" hidden="1"/>
    <cacheHierarchy uniqueName="[Acct_Sub_Account_STAT_RECON].[N_DISPLAY_ORDER_NUM_LEVEL13]" caption="N_DISPLAY_ORDER_NUM_LEVEL13" attribute="1" defaultMemberUniqueName="[Acct_Sub_Account_STAT_RECON].[N_DISPLAY_ORDER_NUM_LEVEL13].[All]" allUniqueName="[Acct_Sub_Account_STAT_RECON].[N_DISPLAY_ORDER_NUM_LEVEL13].[All]" dimensionUniqueName="[Acct_Sub_Account_STAT_RECON]" displayFolder="" count="0" memberValueDatatype="5" unbalanced="0" hidden="1"/>
    <cacheHierarchy uniqueName="[Acct_Sub_Account_STAT_RECON].[N_DISPLAY_ORDER_NUM_LEVEL14]" caption="N_DISPLAY_ORDER_NUM_LEVEL14" attribute="1" defaultMemberUniqueName="[Acct_Sub_Account_STAT_RECON].[N_DISPLAY_ORDER_NUM_LEVEL14].[All]" allUniqueName="[Acct_Sub_Account_STAT_RECON].[N_DISPLAY_ORDER_NUM_LEVEL14].[All]" dimensionUniqueName="[Acct_Sub_Account_STAT_RECON]" displayFolder="" count="0" memberValueDatatype="5" unbalanced="0" hidden="1"/>
    <cacheHierarchy uniqueName="[Acct_Sub_Account_STAT_RECON].[N_DISPLAY_ORDER_NUM_LEVEL15]" caption="N_DISPLAY_ORDER_NUM_LEVEL15" attribute="1" defaultMemberUniqueName="[Acct_Sub_Account_STAT_RECON].[N_DISPLAY_ORDER_NUM_LEVEL15].[All]" allUniqueName="[Acct_Sub_Account_STAT_RECON].[N_DISPLAY_ORDER_NUM_LEVEL15].[All]" dimensionUniqueName="[Acct_Sub_Account_STAT_RECON]" displayFolder="" count="0" memberValueDatatype="5" unbalanced="0" hidden="1"/>
    <cacheHierarchy uniqueName="[Acct_Sub_Account_STAT_RECON].[N_DISPLAY_ORDER_NUM_LEVEL16]" caption="N_DISPLAY_ORDER_NUM_LEVEL16" attribute="1" defaultMemberUniqueName="[Acct_Sub_Account_STAT_RECON].[N_DISPLAY_ORDER_NUM_LEVEL16].[All]" allUniqueName="[Acct_Sub_Account_STAT_RECON].[N_DISPLAY_ORDER_NUM_LEVEL16].[All]" dimensionUniqueName="[Acct_Sub_Account_STAT_RECON]" displayFolder="" count="0" memberValueDatatype="5" unbalanced="0" hidden="1"/>
    <cacheHierarchy uniqueName="[Acct_Sub_Account_STAT_RECON].[N_DISPLAY_ORDER_NUM_LEVEL17]" caption="N_DISPLAY_ORDER_NUM_LEVEL17" attribute="1" defaultMemberUniqueName="[Acct_Sub_Account_STAT_RECON].[N_DISPLAY_ORDER_NUM_LEVEL17].[All]" allUniqueName="[Acct_Sub_Account_STAT_RECON].[N_DISPLAY_ORDER_NUM_LEVEL17].[All]" dimensionUniqueName="[Acct_Sub_Account_STAT_RECON]" displayFolder="" count="0" memberValueDatatype="5" unbalanced="0" hidden="1"/>
    <cacheHierarchy uniqueName="[Acct_Sub_Account_STAT_RECON].[N_DISPLAY_ORDER_NUM_LEVEL18]" caption="N_DISPLAY_ORDER_NUM_LEVEL18" attribute="1" defaultMemberUniqueName="[Acct_Sub_Account_STAT_RECON].[N_DISPLAY_ORDER_NUM_LEVEL18].[All]" allUniqueName="[Acct_Sub_Account_STAT_RECON].[N_DISPLAY_ORDER_NUM_LEVEL18].[All]" dimensionUniqueName="[Acct_Sub_Account_STAT_RECON]" displayFolder="" count="0" memberValueDatatype="5" unbalanced="0" hidden="1"/>
    <cacheHierarchy uniqueName="[Acct_Sub_Account_STAT_RECON].[N_DISPLAY_ORDER_NUM_LEVEL19]" caption="N_DISPLAY_ORDER_NUM_LEVEL19" attribute="1" defaultMemberUniqueName="[Acct_Sub_Account_STAT_RECON].[N_DISPLAY_ORDER_NUM_LEVEL19].[All]" allUniqueName="[Acct_Sub_Account_STAT_RECON].[N_DISPLAY_ORDER_NUM_LEVEL19].[All]" dimensionUniqueName="[Acct_Sub_Account_STAT_RECON]" displayFolder="" count="0" memberValueDatatype="5" unbalanced="0" hidden="1"/>
    <cacheHierarchy uniqueName="[Acct_Sub_Account_STAT_RECON].[N_DISPLAY_ORDER_NUM_LEVEL20]" caption="N_DISPLAY_ORDER_NUM_LEVEL20" attribute="1" defaultMemberUniqueName="[Acct_Sub_Account_STAT_RECON].[N_DISPLAY_ORDER_NUM_LEVEL20].[All]" allUniqueName="[Acct_Sub_Account_STAT_RECON].[N_DISPLAY_ORDER_NUM_LEVEL20].[All]" dimensionUniqueName="[Acct_Sub_Account_STAT_RECON]" displayFolder="" count="0" memberValueDatatype="5" unbalanced="0" hidden="1"/>
    <cacheHierarchy uniqueName="[Acct_Sub_Account_STAT_RECON].[Pam_Account_Flag]" caption="Pam_Account_Flag" attribute="1" defaultMemberUniqueName="[Acct_Sub_Account_STAT_RECON].[Pam_Account_Flag].[All]" allUniqueName="[Acct_Sub_Account_STAT_RECON].[Pam_Account_Flag].[All]" dimensionUniqueName="[Acct_Sub_Account_STAT_RECON]" displayFolder="" count="0" memberValueDatatype="130" unbalanced="0" hidden="1"/>
    <cacheHierarchy uniqueName="[Acct_Sub_Account_STAT_RECON].[SL_ACCOUNT_ID]" caption="SL_ACCOUNT_ID" attribute="1" defaultMemberUniqueName="[Acct_Sub_Account_STAT_RECON].[SL_ACCOUNT_ID].[All]" allUniqueName="[Acct_Sub_Account_STAT_RECON].[SL_ACCOUNT_ID].[All]" dimensionUniqueName="[Acct_Sub_Account_STAT_RECON]" displayFolder="" count="0" memberValueDatatype="5" unbalanced="0" hidden="1"/>
    <cacheHierarchy uniqueName="[Acct_Sub_Account_STAT_RECON].[Tax_Adj_Code]" caption="Tax_Adj_Code" attribute="1" defaultMemberUniqueName="[Acct_Sub_Account_STAT_RECON].[Tax_Adj_Code].[All]" allUniqueName="[Acct_Sub_Account_STAT_RECON].[Tax_Adj_Code].[All]" dimensionUniqueName="[Acct_Sub_Account_STAT_RECON]" displayFolder="" count="0" memberValueDatatype="130" unbalanced="0" hidden="1"/>
    <cacheHierarchy uniqueName="[Affiliate_INTERCOMPANY].[Affiliate_ID]" caption="Affiliate_ID" attribute="1" defaultMemberUniqueName="[Affiliate_INTERCOMPANY].[Affiliate_ID].[All]" allUniqueName="[Affiliate_INTERCOMPANY].[Affiliate_ID].[All]" dimensionUniqueName="[Affiliate_INTERCOMPANY]" displayFolder="" count="0" memberValueDatatype="5" unbalanced="0" hidden="1"/>
    <cacheHierarchy uniqueName="[Affiliate_INTERCOMPANY].[N_DISPLAY_ORDER_NUM_LEVEL01]" caption="N_DISPLAY_ORDER_NUM_LEVEL01" attribute="1" defaultMemberUniqueName="[Affiliate_INTERCOMPANY].[N_DISPLAY_ORDER_NUM_LEVEL01].[All]" allUniqueName="[Affiliate_INTERCOMPANY].[N_DISPLAY_ORDER_NUM_LEVEL01].[All]" dimensionUniqueName="[Affiliate_INTERCOMPANY]" displayFolder="" count="0" memberValueDatatype="5" unbalanced="0" hidden="1"/>
    <cacheHierarchy uniqueName="[Affiliate_INTERCOMPANY].[N_DISPLAY_ORDER_NUM_LEVEL02]" caption="N_DISPLAY_ORDER_NUM_LEVEL02" attribute="1" defaultMemberUniqueName="[Affiliate_INTERCOMPANY].[N_DISPLAY_ORDER_NUM_LEVEL02].[All]" allUniqueName="[Affiliate_INTERCOMPANY].[N_DISPLAY_ORDER_NUM_LEVEL02].[All]" dimensionUniqueName="[Affiliate_INTERCOMPANY]" displayFolder="" count="0" memberValueDatatype="5" unbalanced="0" hidden="1"/>
    <cacheHierarchy uniqueName="[Affiliate_INTERCOMPANY].[N_DISPLAY_ORDER_NUM_LEVEL03]" caption="N_DISPLAY_ORDER_NUM_LEVEL03" attribute="1" defaultMemberUniqueName="[Affiliate_INTERCOMPANY].[N_DISPLAY_ORDER_NUM_LEVEL03].[All]" allUniqueName="[Affiliate_INTERCOMPANY].[N_DISPLAY_ORDER_NUM_LEVEL03].[All]" dimensionUniqueName="[Affiliate_INTERCOMPANY]" displayFolder="" count="0" memberValueDatatype="5" unbalanced="0" hidden="1"/>
    <cacheHierarchy uniqueName="[Affiliate_INTERCOMPANY].[N_DISPLAY_ORDER_NUM_LEVEL04]" caption="N_DISPLAY_ORDER_NUM_LEVEL04" attribute="1" defaultMemberUniqueName="[Affiliate_INTERCOMPANY].[N_DISPLAY_ORDER_NUM_LEVEL04].[All]" allUniqueName="[Affiliate_INTERCOMPANY].[N_DISPLAY_ORDER_NUM_LEVEL04].[All]" dimensionUniqueName="[Affiliate_INTERCOMPANY]" displayFolder="" count="0" memberValueDatatype="5" unbalanced="0" hidden="1"/>
    <cacheHierarchy uniqueName="[Affiliate_INTERCOMPANY].[N_DISPLAY_ORDER_NUM_LEVEL05]" caption="N_DISPLAY_ORDER_NUM_LEVEL05" attribute="1" defaultMemberUniqueName="[Affiliate_INTERCOMPANY].[N_DISPLAY_ORDER_NUM_LEVEL05].[All]" allUniqueName="[Affiliate_INTERCOMPANY].[N_DISPLAY_ORDER_NUM_LEVEL05].[All]" dimensionUniqueName="[Affiliate_INTERCOMPANY]" displayFolder="" count="0" memberValueDatatype="5" unbalanced="0" hidden="1"/>
    <cacheHierarchy uniqueName="[Affiliate_INTERCOMPANY].[N_DISPLAY_ORDER_NUM_LEVEL06]" caption="N_DISPLAY_ORDER_NUM_LEVEL06" attribute="1" defaultMemberUniqueName="[Affiliate_INTERCOMPANY].[N_DISPLAY_ORDER_NUM_LEVEL06].[All]" allUniqueName="[Affiliate_INTERCOMPANY].[N_DISPLAY_ORDER_NUM_LEVEL06].[All]" dimensionUniqueName="[Affiliate_INTERCOMPANY]" displayFolder="" count="0" memberValueDatatype="5" unbalanced="0" hidden="1"/>
    <cacheHierarchy uniqueName="[Affiliate_INTERCOMPANY].[N_DISPLAY_ORDER_NUM_LEVEL07]" caption="N_DISPLAY_ORDER_NUM_LEVEL07" attribute="1" defaultMemberUniqueName="[Affiliate_INTERCOMPANY].[N_DISPLAY_ORDER_NUM_LEVEL07].[All]" allUniqueName="[Affiliate_INTERCOMPANY].[N_DISPLAY_ORDER_NUM_LEVEL07].[All]" dimensionUniqueName="[Affiliate_INTERCOMPANY]" displayFolder="" count="0" memberValueDatatype="5" unbalanced="0" hidden="1"/>
    <cacheHierarchy uniqueName="[Affiliate_INTERCOMPANY].[N_DISPLAY_ORDER_NUM_LEVEL08]" caption="N_DISPLAY_ORDER_NUM_LEVEL08" attribute="1" defaultMemberUniqueName="[Affiliate_INTERCOMPANY].[N_DISPLAY_ORDER_NUM_LEVEL08].[All]" allUniqueName="[Affiliate_INTERCOMPANY].[N_DISPLAY_ORDER_NUM_LEVEL08].[All]" dimensionUniqueName="[Affiliate_INTERCOMPANY]" displayFolder="" count="0" memberValueDatatype="5" unbalanced="0" hidden="1"/>
    <cacheHierarchy uniqueName="[Affiliate_INTERCOMPANY].[N_DISPLAY_ORDER_NUM_LEVEL09]" caption="N_DISPLAY_ORDER_NUM_LEVEL09" attribute="1" defaultMemberUniqueName="[Affiliate_INTERCOMPANY].[N_DISPLAY_ORDER_NUM_LEVEL09].[All]" allUniqueName="[Affiliate_INTERCOMPANY].[N_DISPLAY_ORDER_NUM_LEVEL09].[All]" dimensionUniqueName="[Affiliate_INTERCOMPANY]" displayFolder="" count="0" memberValueDatatype="5" unbalanced="0" hidden="1"/>
    <cacheHierarchy uniqueName="[Affiliate_INTERCOMPANY].[N_DISPLAY_ORDER_NUM_LEVEL10]" caption="N_DISPLAY_ORDER_NUM_LEVEL10" attribute="1" defaultMemberUniqueName="[Affiliate_INTERCOMPANY].[N_DISPLAY_ORDER_NUM_LEVEL10].[All]" allUniqueName="[Affiliate_INTERCOMPANY].[N_DISPLAY_ORDER_NUM_LEVEL10].[All]" dimensionUniqueName="[Affiliate_INTERCOMPANY]" displayFolder="" count="0" memberValueDatatype="5" unbalanced="0" hidden="1"/>
    <cacheHierarchy uniqueName="[Affiliate_INTERCOMPANY].[N_DISPLAY_ORDER_NUM_LEVEL11]" caption="N_DISPLAY_ORDER_NUM_LEVEL11" attribute="1" defaultMemberUniqueName="[Affiliate_INTERCOMPANY].[N_DISPLAY_ORDER_NUM_LEVEL11].[All]" allUniqueName="[Affiliate_INTERCOMPANY].[N_DISPLAY_ORDER_NUM_LEVEL11].[All]" dimensionUniqueName="[Affiliate_INTERCOMPANY]" displayFolder="" count="0" memberValueDatatype="5" unbalanced="0" hidden="1"/>
    <cacheHierarchy uniqueName="[Affiliate_INTERCOMPANY].[N_DISPLAY_ORDER_NUM_LEVEL12]" caption="N_DISPLAY_ORDER_NUM_LEVEL12" attribute="1" defaultMemberUniqueName="[Affiliate_INTERCOMPANY].[N_DISPLAY_ORDER_NUM_LEVEL12].[All]" allUniqueName="[Affiliate_INTERCOMPANY].[N_DISPLAY_ORDER_NUM_LEVEL12].[All]" dimensionUniqueName="[Affiliate_INTERCOMPANY]" displayFolder="" count="0" memberValueDatatype="5" unbalanced="0" hidden="1"/>
    <cacheHierarchy uniqueName="[Affiliate_INTERCOMPANY].[N_DISPLAY_ORDER_NUM_LEVEL13]" caption="N_DISPLAY_ORDER_NUM_LEVEL13" attribute="1" defaultMemberUniqueName="[Affiliate_INTERCOMPANY].[N_DISPLAY_ORDER_NUM_LEVEL13].[All]" allUniqueName="[Affiliate_INTERCOMPANY].[N_DISPLAY_ORDER_NUM_LEVEL13].[All]" dimensionUniqueName="[Affiliate_INTERCOMPANY]" displayFolder="" count="0" memberValueDatatype="5" unbalanced="0" hidden="1"/>
    <cacheHierarchy uniqueName="[Affiliate_INTERCOMPANY].[N_DISPLAY_ORDER_NUM_LEVEL14]" caption="N_DISPLAY_ORDER_NUM_LEVEL14" attribute="1" defaultMemberUniqueName="[Affiliate_INTERCOMPANY].[N_DISPLAY_ORDER_NUM_LEVEL14].[All]" allUniqueName="[Affiliate_INTERCOMPANY].[N_DISPLAY_ORDER_NUM_LEVEL14].[All]" dimensionUniqueName="[Affiliate_INTERCOMPANY]" displayFolder="" count="0" memberValueDatatype="5" unbalanced="0" hidden="1"/>
    <cacheHierarchy uniqueName="[Affiliate_INTERCOMPANY].[N_DISPLAY_ORDER_NUM_LEVEL15]" caption="N_DISPLAY_ORDER_NUM_LEVEL15" attribute="1" defaultMemberUniqueName="[Affiliate_INTERCOMPANY].[N_DISPLAY_ORDER_NUM_LEVEL15].[All]" allUniqueName="[Affiliate_INTERCOMPANY].[N_DISPLAY_ORDER_NUM_LEVEL15].[All]" dimensionUniqueName="[Affiliate_INTERCOMPANY]" displayFolder="" count="0" memberValueDatatype="5" unbalanced="0" hidden="1"/>
    <cacheHierarchy uniqueName="[Affiliate_INTERCOMPANY].[N_DISPLAY_ORDER_NUM_LEVEL16]" caption="N_DISPLAY_ORDER_NUM_LEVEL16" attribute="1" defaultMemberUniqueName="[Affiliate_INTERCOMPANY].[N_DISPLAY_ORDER_NUM_LEVEL16].[All]" allUniqueName="[Affiliate_INTERCOMPANY].[N_DISPLAY_ORDER_NUM_LEVEL16].[All]" dimensionUniqueName="[Affiliate_INTERCOMPANY]" displayFolder="" count="0" memberValueDatatype="5" unbalanced="0" hidden="1"/>
    <cacheHierarchy uniqueName="[Affiliate_INTERCOMPANY].[N_DISPLAY_ORDER_NUM_LEVEL17]" caption="N_DISPLAY_ORDER_NUM_LEVEL17" attribute="1" defaultMemberUniqueName="[Affiliate_INTERCOMPANY].[N_DISPLAY_ORDER_NUM_LEVEL17].[All]" allUniqueName="[Affiliate_INTERCOMPANY].[N_DISPLAY_ORDER_NUM_LEVEL17].[All]" dimensionUniqueName="[Affiliate_INTERCOMPANY]" displayFolder="" count="0" memberValueDatatype="5" unbalanced="0" hidden="1"/>
    <cacheHierarchy uniqueName="[Affiliate_INTERCOMPANY].[N_DISPLAY_ORDER_NUM_LEVEL18]" caption="N_DISPLAY_ORDER_NUM_LEVEL18" attribute="1" defaultMemberUniqueName="[Affiliate_INTERCOMPANY].[N_DISPLAY_ORDER_NUM_LEVEL18].[All]" allUniqueName="[Affiliate_INTERCOMPANY].[N_DISPLAY_ORDER_NUM_LEVEL18].[All]" dimensionUniqueName="[Affiliate_INTERCOMPANY]" displayFolder="" count="0" memberValueDatatype="5" unbalanced="0" hidden="1"/>
    <cacheHierarchy uniqueName="[Affiliate_INTERCOMPANY].[N_DISPLAY_ORDER_NUM_LEVEL19]" caption="N_DISPLAY_ORDER_NUM_LEVEL19" attribute="1" defaultMemberUniqueName="[Affiliate_INTERCOMPANY].[N_DISPLAY_ORDER_NUM_LEVEL19].[All]" allUniqueName="[Affiliate_INTERCOMPANY].[N_DISPLAY_ORDER_NUM_LEVEL19].[All]" dimensionUniqueName="[Affiliate_INTERCOMPANY]" displayFolder="" count="0" memberValueDatatype="5" unbalanced="0" hidden="1"/>
    <cacheHierarchy uniqueName="[Affiliate_INTERCOMPANY].[N_DISPLAY_ORDER_NUM_LEVEL20]" caption="N_DISPLAY_ORDER_NUM_LEVEL20" attribute="1" defaultMemberUniqueName="[Affiliate_INTERCOMPANY].[N_DISPLAY_ORDER_NUM_LEVEL20].[All]" allUniqueName="[Affiliate_INTERCOMPANY].[N_DISPLAY_ORDER_NUM_LEVEL20].[All]" dimensionUniqueName="[Affiliate_INTERCOMPANY]" displayFolder="" count="0" memberValueDatatype="5" unbalanced="0" hidden="1"/>
    <cacheHierarchy uniqueName="[Agreement_ID].[N_COMM_SEGMENT_SKEY]" caption="N_COMM_SEGMENT_SKEY" attribute="1" defaultMemberUniqueName="[Agreement_ID].[N_COMM_SEGMENT_SKEY].[All]" allUniqueName="[Agreement_ID].[N_COMM_SEGMENT_SKEY].[All]" dimensionUniqueName="[Agreement_ID]" displayFolder="" count="0" memberValueDatatype="5" unbalanced="0" hidden="1"/>
    <cacheHierarchy uniqueName="[Amount_Class_All].[Amount_Class_ID]" caption="Amount_Class_ID" attribute="1" defaultMemberUniqueName="[Amount_Class_All].[Amount_Class_ID].[All]" allUniqueName="[Amount_Class_All].[Amount_Class_ID].[All]" dimensionUniqueName="[Amount_Class_All]" displayFolder="" count="0" memberValueDatatype="5" unbalanced="0" hidden="1"/>
    <cacheHierarchy uniqueName="[Amount_Class_All].[N_AMT_CLASS_SKEY]" caption="N_AMT_CLASS_SKEY" attribute="1" defaultMemberUniqueName="[Amount_Class_All].[N_AMT_CLASS_SKEY].[All]" allUniqueName="[Amount_Class_All].[N_AMT_CLASS_SKEY].[All]" dimensionUniqueName="[Amount_Class_All]" displayFolder="" count="0" memberValueDatatype="5" unbalanced="0" hidden="1"/>
    <cacheHierarchy uniqueName="[Amount_Class_All].[N_DISPLAY_ORDER_NUM_LEVEL01]" caption="N_DISPLAY_ORDER_NUM_LEVEL01" attribute="1" defaultMemberUniqueName="[Amount_Class_All].[N_DISPLAY_ORDER_NUM_LEVEL01].[All]" allUniqueName="[Amount_Class_All].[N_DISPLAY_ORDER_NUM_LEVEL01].[All]" dimensionUniqueName="[Amount_Class_All]" displayFolder="" count="0" memberValueDatatype="5" unbalanced="0" hidden="1"/>
    <cacheHierarchy uniqueName="[Amount_Class_All].[N_DISPLAY_ORDER_NUM_LEVEL02]" caption="N_DISPLAY_ORDER_NUM_LEVEL02" attribute="1" defaultMemberUniqueName="[Amount_Class_All].[N_DISPLAY_ORDER_NUM_LEVEL02].[All]" allUniqueName="[Amount_Class_All].[N_DISPLAY_ORDER_NUM_LEVEL02].[All]" dimensionUniqueName="[Amount_Class_All]" displayFolder="" count="0" memberValueDatatype="5" unbalanced="0" hidden="1"/>
    <cacheHierarchy uniqueName="[Amount_Class_All].[N_DISPLAY_ORDER_NUM_LEVEL03]" caption="N_DISPLAY_ORDER_NUM_LEVEL03" attribute="1" defaultMemberUniqueName="[Amount_Class_All].[N_DISPLAY_ORDER_NUM_LEVEL03].[All]" allUniqueName="[Amount_Class_All].[N_DISPLAY_ORDER_NUM_LEVEL03].[All]" dimensionUniqueName="[Amount_Class_All]" displayFolder="" count="0" memberValueDatatype="5" unbalanced="0" hidden="1"/>
    <cacheHierarchy uniqueName="[Amount_Class_All].[N_DISPLAY_ORDER_NUM_LEVEL04]" caption="N_DISPLAY_ORDER_NUM_LEVEL04" attribute="1" defaultMemberUniqueName="[Amount_Class_All].[N_DISPLAY_ORDER_NUM_LEVEL04].[All]" allUniqueName="[Amount_Class_All].[N_DISPLAY_ORDER_NUM_LEVEL04].[All]" dimensionUniqueName="[Amount_Class_All]" displayFolder="" count="0" memberValueDatatype="5" unbalanced="0" hidden="1"/>
    <cacheHierarchy uniqueName="[Amount_Class_All].[N_DISPLAY_ORDER_NUM_LEVEL05]" caption="N_DISPLAY_ORDER_NUM_LEVEL05" attribute="1" defaultMemberUniqueName="[Amount_Class_All].[N_DISPLAY_ORDER_NUM_LEVEL05].[All]" allUniqueName="[Amount_Class_All].[N_DISPLAY_ORDER_NUM_LEVEL05].[All]" dimensionUniqueName="[Amount_Class_All]" displayFolder="" count="0" memberValueDatatype="5" unbalanced="0" hidden="1"/>
    <cacheHierarchy uniqueName="[Amount_Class_All].[N_DISPLAY_ORDER_NUM_LEVEL06]" caption="N_DISPLAY_ORDER_NUM_LEVEL06" attribute="1" defaultMemberUniqueName="[Amount_Class_All].[N_DISPLAY_ORDER_NUM_LEVEL06].[All]" allUniqueName="[Amount_Class_All].[N_DISPLAY_ORDER_NUM_LEVEL06].[All]" dimensionUniqueName="[Amount_Class_All]" displayFolder="" count="0" memberValueDatatype="5" unbalanced="0" hidden="1"/>
    <cacheHierarchy uniqueName="[Amount_Class_All].[N_DISPLAY_ORDER_NUM_LEVEL07]" caption="N_DISPLAY_ORDER_NUM_LEVEL07" attribute="1" defaultMemberUniqueName="[Amount_Class_All].[N_DISPLAY_ORDER_NUM_LEVEL07].[All]" allUniqueName="[Amount_Class_All].[N_DISPLAY_ORDER_NUM_LEVEL07].[All]" dimensionUniqueName="[Amount_Class_All]" displayFolder="" count="0" memberValueDatatype="5" unbalanced="0" hidden="1"/>
    <cacheHierarchy uniqueName="[Amount_Class_All].[N_DISPLAY_ORDER_NUM_LEVEL08]" caption="N_DISPLAY_ORDER_NUM_LEVEL08" attribute="1" defaultMemberUniqueName="[Amount_Class_All].[N_DISPLAY_ORDER_NUM_LEVEL08].[All]" allUniqueName="[Amount_Class_All].[N_DISPLAY_ORDER_NUM_LEVEL08].[All]" dimensionUniqueName="[Amount_Class_All]" displayFolder="" count="0" memberValueDatatype="5" unbalanced="0" hidden="1"/>
    <cacheHierarchy uniqueName="[Amount_Class_All].[N_DISPLAY_ORDER_NUM_LEVEL09]" caption="N_DISPLAY_ORDER_NUM_LEVEL09" attribute="1" defaultMemberUniqueName="[Amount_Class_All].[N_DISPLAY_ORDER_NUM_LEVEL09].[All]" allUniqueName="[Amount_Class_All].[N_DISPLAY_ORDER_NUM_LEVEL09].[All]" dimensionUniqueName="[Amount_Class_All]" displayFolder="" count="0" memberValueDatatype="5" unbalanced="0" hidden="1"/>
    <cacheHierarchy uniqueName="[Amount_Class_All].[N_DISPLAY_ORDER_NUM_LEVEL10]" caption="N_DISPLAY_ORDER_NUM_LEVEL10" attribute="1" defaultMemberUniqueName="[Amount_Class_All].[N_DISPLAY_ORDER_NUM_LEVEL10].[All]" allUniqueName="[Amount_Class_All].[N_DISPLAY_ORDER_NUM_LEVEL10].[All]" dimensionUniqueName="[Amount_Class_All]" displayFolder="" count="0" memberValueDatatype="5" unbalanced="0" hidden="1"/>
    <cacheHierarchy uniqueName="[Amount_Class_All].[N_DISPLAY_ORDER_NUM_LEVEL11]" caption="N_DISPLAY_ORDER_NUM_LEVEL11" attribute="1" defaultMemberUniqueName="[Amount_Class_All].[N_DISPLAY_ORDER_NUM_LEVEL11].[All]" allUniqueName="[Amount_Class_All].[N_DISPLAY_ORDER_NUM_LEVEL11].[All]" dimensionUniqueName="[Amount_Class_All]" displayFolder="" count="0" memberValueDatatype="5" unbalanced="0" hidden="1"/>
    <cacheHierarchy uniqueName="[Amount_Class_All].[N_DISPLAY_ORDER_NUM_LEVEL12]" caption="N_DISPLAY_ORDER_NUM_LEVEL12" attribute="1" defaultMemberUniqueName="[Amount_Class_All].[N_DISPLAY_ORDER_NUM_LEVEL12].[All]" allUniqueName="[Amount_Class_All].[N_DISPLAY_ORDER_NUM_LEVEL12].[All]" dimensionUniqueName="[Amount_Class_All]" displayFolder="" count="0" memberValueDatatype="5" unbalanced="0" hidden="1"/>
    <cacheHierarchy uniqueName="[Amount_Class_All].[N_DISPLAY_ORDER_NUM_LEVEL13]" caption="N_DISPLAY_ORDER_NUM_LEVEL13" attribute="1" defaultMemberUniqueName="[Amount_Class_All].[N_DISPLAY_ORDER_NUM_LEVEL13].[All]" allUniqueName="[Amount_Class_All].[N_DISPLAY_ORDER_NUM_LEVEL13].[All]" dimensionUniqueName="[Amount_Class_All]" displayFolder="" count="0" memberValueDatatype="5" unbalanced="0" hidden="1"/>
    <cacheHierarchy uniqueName="[Amount_Class_All].[N_DISPLAY_ORDER_NUM_LEVEL14]" caption="N_DISPLAY_ORDER_NUM_LEVEL14" attribute="1" defaultMemberUniqueName="[Amount_Class_All].[N_DISPLAY_ORDER_NUM_LEVEL14].[All]" allUniqueName="[Amount_Class_All].[N_DISPLAY_ORDER_NUM_LEVEL14].[All]" dimensionUniqueName="[Amount_Class_All]" displayFolder="" count="0" memberValueDatatype="5" unbalanced="0" hidden="1"/>
    <cacheHierarchy uniqueName="[Amount_Class_All].[N_DISPLAY_ORDER_NUM_LEVEL15]" caption="N_DISPLAY_ORDER_NUM_LEVEL15" attribute="1" defaultMemberUniqueName="[Amount_Class_All].[N_DISPLAY_ORDER_NUM_LEVEL15].[All]" allUniqueName="[Amount_Class_All].[N_DISPLAY_ORDER_NUM_LEVEL15].[All]" dimensionUniqueName="[Amount_Class_All]" displayFolder="" count="0" memberValueDatatype="5" unbalanced="0" hidden="1"/>
    <cacheHierarchy uniqueName="[Amount_Class_All].[N_DISPLAY_ORDER_NUM_LEVEL16]" caption="N_DISPLAY_ORDER_NUM_LEVEL16" attribute="1" defaultMemberUniqueName="[Amount_Class_All].[N_DISPLAY_ORDER_NUM_LEVEL16].[All]" allUniqueName="[Amount_Class_All].[N_DISPLAY_ORDER_NUM_LEVEL16].[All]" dimensionUniqueName="[Amount_Class_All]" displayFolder="" count="0" memberValueDatatype="5" unbalanced="0" hidden="1"/>
    <cacheHierarchy uniqueName="[Amount_Class_All].[N_DISPLAY_ORDER_NUM_LEVEL17]" caption="N_DISPLAY_ORDER_NUM_LEVEL17" attribute="1" defaultMemberUniqueName="[Amount_Class_All].[N_DISPLAY_ORDER_NUM_LEVEL17].[All]" allUniqueName="[Amount_Class_All].[N_DISPLAY_ORDER_NUM_LEVEL17].[All]" dimensionUniqueName="[Amount_Class_All]" displayFolder="" count="0" memberValueDatatype="5" unbalanced="0" hidden="1"/>
    <cacheHierarchy uniqueName="[Amount_Class_All].[N_DISPLAY_ORDER_NUM_LEVEL18]" caption="N_DISPLAY_ORDER_NUM_LEVEL18" attribute="1" defaultMemberUniqueName="[Amount_Class_All].[N_DISPLAY_ORDER_NUM_LEVEL18].[All]" allUniqueName="[Amount_Class_All].[N_DISPLAY_ORDER_NUM_LEVEL18].[All]" dimensionUniqueName="[Amount_Class_All]" displayFolder="" count="0" memberValueDatatype="5" unbalanced="0" hidden="1"/>
    <cacheHierarchy uniqueName="[Amount_Class_All].[N_DISPLAY_ORDER_NUM_LEVEL19]" caption="N_DISPLAY_ORDER_NUM_LEVEL19" attribute="1" defaultMemberUniqueName="[Amount_Class_All].[N_DISPLAY_ORDER_NUM_LEVEL19].[All]" allUniqueName="[Amount_Class_All].[N_DISPLAY_ORDER_NUM_LEVEL19].[All]" dimensionUniqueName="[Amount_Class_All]" displayFolder="" count="0" memberValueDatatype="5" unbalanced="0" hidden="1"/>
    <cacheHierarchy uniqueName="[Amount_Class_All].[N_DISPLAY_ORDER_NUM_LEVEL20]" caption="N_DISPLAY_ORDER_NUM_LEVEL20" attribute="1" defaultMemberUniqueName="[Amount_Class_All].[N_DISPLAY_ORDER_NUM_LEVEL20].[All]" allUniqueName="[Amount_Class_All].[N_DISPLAY_ORDER_NUM_LEVEL20].[All]" dimensionUniqueName="[Amount_Class_All]" displayFolder="" count="0" memberValueDatatype="5" unbalanced="0" hidden="1"/>
    <cacheHierarchy uniqueName="[Amount_Class_All].[SubTotal_Consolidated_GAAP_sort]" caption="SubTotal_Consolidated_GAAP_sort" attribute="1" defaultMemberUniqueName="[Amount_Class_All].[SubTotal_Consolidated_GAAP_sort].[All]" allUniqueName="[Amount_Class_All].[SubTotal_Consolidated_GAAP_sort].[All]" dimensionUniqueName="[Amount_Class_All]" displayFolder="" count="0" memberValueDatatype="130" unbalanced="0" hidden="1"/>
    <cacheHierarchy uniqueName="[Amount_Class_All].[SubTotal_Consolidated_STAT_sort]" caption="SubTotal_Consolidated_STAT_sort" attribute="1" defaultMemberUniqueName="[Amount_Class_All].[SubTotal_Consolidated_STAT_sort].[All]" allUniqueName="[Amount_Class_All].[SubTotal_Consolidated_STAT_sort].[All]" dimensionUniqueName="[Amount_Class_All]" displayFolder="" count="0" memberValueDatatype="130" unbalanced="0" hidden="1"/>
    <cacheHierarchy uniqueName="[Amount_Class_All].[SubTotal_Core_sort]" caption="SubTotal_Core_sort" attribute="1" defaultMemberUniqueName="[Amount_Class_All].[SubTotal_Core_sort].[All]" allUniqueName="[Amount_Class_All].[SubTotal_Core_sort].[All]" dimensionUniqueName="[Amount_Class_All]" displayFolder="" count="0" memberValueDatatype="130" unbalanced="0" hidden="1"/>
    <cacheHierarchy uniqueName="[Amount_Class_All].[SubTotal_GAAP_sort]" caption="SubTotal_GAAP_sort" attribute="1" defaultMemberUniqueName="[Amount_Class_All].[SubTotal_GAAP_sort].[All]" allUniqueName="[Amount_Class_All].[SubTotal_GAAP_sort].[All]" dimensionUniqueName="[Amount_Class_All]" displayFolder="" count="0" memberValueDatatype="130" unbalanced="0" hidden="1"/>
    <cacheHierarchy uniqueName="[Amount_Class_All].[SubTotal_STAT_sort]" caption="SubTotal_STAT_sort" attribute="1" defaultMemberUniqueName="[Amount_Class_All].[SubTotal_STAT_sort].[All]" allUniqueName="[Amount_Class_All].[SubTotal_STAT_sort].[All]" dimensionUniqueName="[Amount_Class_All]" displayFolder="" count="0" memberValueDatatype="130" unbalanced="0" hidden="1"/>
    <cacheHierarchy uniqueName="[Batch_Status].[N_OUTPUT]" caption="N_OUTPUT" attribute="1" defaultMemberUniqueName="[Batch_Status].[N_OUTPUT].[All]" allUniqueName="[Batch_Status].[N_OUTPUT].[All]" dimensionUniqueName="[Batch_Status]" displayFolder="" count="0" memberValueDatatype="5" unbalanced="0" hidden="1"/>
    <cacheHierarchy uniqueName="[BOB_ID].[N_LGCY_HIERARCHY_ID]" caption="N_LGCY_HIERARCHY_ID" attribute="1" defaultMemberUniqueName="[BOB_ID].[N_LGCY_HIERARCHY_ID].[All]" allUniqueName="[BOB_ID].[N_LGCY_HIERARCHY_ID].[All]" dimensionUniqueName="[BOB_ID]" displayFolder="" count="0" memberValueDatatype="5" unbalanced="0" hidden="1"/>
    <cacheHierarchy uniqueName="[Cat_Event].[N_COMM_SEGMENT_SKEY]" caption="N_COMM_SEGMENT_SKEY" attribute="1" defaultMemberUniqueName="[Cat_Event].[N_COMM_SEGMENT_SKEY].[All]" allUniqueName="[Cat_Event].[N_COMM_SEGMENT_SKEY].[All]" dimensionUniqueName="[Cat_Event]" displayFolder="" count="0" memberValueDatatype="5" unbalanced="0" hidden="1"/>
    <cacheHierarchy uniqueName="[Center_Global].[Center_ID]" caption="Center_ID" attribute="1" defaultMemberUniqueName="[Center_Global].[Center_ID].[All]" allUniqueName="[Center_Global].[Center_ID].[All]" dimensionUniqueName="[Center_Global]" displayFolder="" count="0" memberValueDatatype="5" unbalanced="0" hidden="1"/>
    <cacheHierarchy uniqueName="[Center_Global].[N_DISPLAY_ORDER_NUM_LEVEL01]" caption="N_DISPLAY_ORDER_NUM_LEVEL01" attribute="1" defaultMemberUniqueName="[Center_Global].[N_DISPLAY_ORDER_NUM_LEVEL01].[All]" allUniqueName="[Center_Global].[N_DISPLAY_ORDER_NUM_LEVEL01].[All]" dimensionUniqueName="[Center_Global]" displayFolder="" count="0" memberValueDatatype="5" unbalanced="0" hidden="1"/>
    <cacheHierarchy uniqueName="[Center_Global].[N_DISPLAY_ORDER_NUM_LEVEL02]" caption="N_DISPLAY_ORDER_NUM_LEVEL02" attribute="1" defaultMemberUniqueName="[Center_Global].[N_DISPLAY_ORDER_NUM_LEVEL02].[All]" allUniqueName="[Center_Global].[N_DISPLAY_ORDER_NUM_LEVEL02].[All]" dimensionUniqueName="[Center_Global]" displayFolder="" count="0" memberValueDatatype="5" unbalanced="0" hidden="1"/>
    <cacheHierarchy uniqueName="[Center_Global].[N_DISPLAY_ORDER_NUM_LEVEL03]" caption="N_DISPLAY_ORDER_NUM_LEVEL03" attribute="1" defaultMemberUniqueName="[Center_Global].[N_DISPLAY_ORDER_NUM_LEVEL03].[All]" allUniqueName="[Center_Global].[N_DISPLAY_ORDER_NUM_LEVEL03].[All]" dimensionUniqueName="[Center_Global]" displayFolder="" count="0" memberValueDatatype="5" unbalanced="0" hidden="1"/>
    <cacheHierarchy uniqueName="[Center_Global].[N_DISPLAY_ORDER_NUM_LEVEL04]" caption="N_DISPLAY_ORDER_NUM_LEVEL04" attribute="1" defaultMemberUniqueName="[Center_Global].[N_DISPLAY_ORDER_NUM_LEVEL04].[All]" allUniqueName="[Center_Global].[N_DISPLAY_ORDER_NUM_LEVEL04].[All]" dimensionUniqueName="[Center_Global]" displayFolder="" count="0" memberValueDatatype="5" unbalanced="0" hidden="1"/>
    <cacheHierarchy uniqueName="[Center_Global].[N_DISPLAY_ORDER_NUM_LEVEL05]" caption="N_DISPLAY_ORDER_NUM_LEVEL05" attribute="1" defaultMemberUniqueName="[Center_Global].[N_DISPLAY_ORDER_NUM_LEVEL05].[All]" allUniqueName="[Center_Global].[N_DISPLAY_ORDER_NUM_LEVEL05].[All]" dimensionUniqueName="[Center_Global]" displayFolder="" count="0" memberValueDatatype="5" unbalanced="0" hidden="1"/>
    <cacheHierarchy uniqueName="[Center_Global].[N_DISPLAY_ORDER_NUM_LEVEL06]" caption="N_DISPLAY_ORDER_NUM_LEVEL06" attribute="1" defaultMemberUniqueName="[Center_Global].[N_DISPLAY_ORDER_NUM_LEVEL06].[All]" allUniqueName="[Center_Global].[N_DISPLAY_ORDER_NUM_LEVEL06].[All]" dimensionUniqueName="[Center_Global]" displayFolder="" count="0" memberValueDatatype="5" unbalanced="0" hidden="1"/>
    <cacheHierarchy uniqueName="[Center_Global].[N_DISPLAY_ORDER_NUM_LEVEL07]" caption="N_DISPLAY_ORDER_NUM_LEVEL07" attribute="1" defaultMemberUniqueName="[Center_Global].[N_DISPLAY_ORDER_NUM_LEVEL07].[All]" allUniqueName="[Center_Global].[N_DISPLAY_ORDER_NUM_LEVEL07].[All]" dimensionUniqueName="[Center_Global]" displayFolder="" count="0" memberValueDatatype="5" unbalanced="0" hidden="1"/>
    <cacheHierarchy uniqueName="[Center_Global].[N_DISPLAY_ORDER_NUM_LEVEL08]" caption="N_DISPLAY_ORDER_NUM_LEVEL08" attribute="1" defaultMemberUniqueName="[Center_Global].[N_DISPLAY_ORDER_NUM_LEVEL08].[All]" allUniqueName="[Center_Global].[N_DISPLAY_ORDER_NUM_LEVEL08].[All]" dimensionUniqueName="[Center_Global]" displayFolder="" count="0" memberValueDatatype="5" unbalanced="0" hidden="1"/>
    <cacheHierarchy uniqueName="[Center_Global].[N_DISPLAY_ORDER_NUM_LEVEL09]" caption="N_DISPLAY_ORDER_NUM_LEVEL09" attribute="1" defaultMemberUniqueName="[Center_Global].[N_DISPLAY_ORDER_NUM_LEVEL09].[All]" allUniqueName="[Center_Global].[N_DISPLAY_ORDER_NUM_LEVEL09].[All]" dimensionUniqueName="[Center_Global]" displayFolder="" count="0" memberValueDatatype="5" unbalanced="0" hidden="1"/>
    <cacheHierarchy uniqueName="[Center_Global].[N_DISPLAY_ORDER_NUM_LEVEL10]" caption="N_DISPLAY_ORDER_NUM_LEVEL10" attribute="1" defaultMemberUniqueName="[Center_Global].[N_DISPLAY_ORDER_NUM_LEVEL10].[All]" allUniqueName="[Center_Global].[N_DISPLAY_ORDER_NUM_LEVEL10].[All]" dimensionUniqueName="[Center_Global]" displayFolder="" count="0" memberValueDatatype="5" unbalanced="0" hidden="1"/>
    <cacheHierarchy uniqueName="[Center_Global].[N_DISPLAY_ORDER_NUM_LEVEL11]" caption="N_DISPLAY_ORDER_NUM_LEVEL11" attribute="1" defaultMemberUniqueName="[Center_Global].[N_DISPLAY_ORDER_NUM_LEVEL11].[All]" allUniqueName="[Center_Global].[N_DISPLAY_ORDER_NUM_LEVEL11].[All]" dimensionUniqueName="[Center_Global]" displayFolder="" count="0" memberValueDatatype="5" unbalanced="0" hidden="1"/>
    <cacheHierarchy uniqueName="[Center_Global].[N_DISPLAY_ORDER_NUM_LEVEL12]" caption="N_DISPLAY_ORDER_NUM_LEVEL12" attribute="1" defaultMemberUniqueName="[Center_Global].[N_DISPLAY_ORDER_NUM_LEVEL12].[All]" allUniqueName="[Center_Global].[N_DISPLAY_ORDER_NUM_LEVEL12].[All]" dimensionUniqueName="[Center_Global]" displayFolder="" count="0" memberValueDatatype="5" unbalanced="0" hidden="1"/>
    <cacheHierarchy uniqueName="[Center_Global].[N_DISPLAY_ORDER_NUM_LEVEL13]" caption="N_DISPLAY_ORDER_NUM_LEVEL13" attribute="1" defaultMemberUniqueName="[Center_Global].[N_DISPLAY_ORDER_NUM_LEVEL13].[All]" allUniqueName="[Center_Global].[N_DISPLAY_ORDER_NUM_LEVEL13].[All]" dimensionUniqueName="[Center_Global]" displayFolder="" count="0" memberValueDatatype="5" unbalanced="0" hidden="1"/>
    <cacheHierarchy uniqueName="[Center_Global].[N_DISPLAY_ORDER_NUM_LEVEL14]" caption="N_DISPLAY_ORDER_NUM_LEVEL14" attribute="1" defaultMemberUniqueName="[Center_Global].[N_DISPLAY_ORDER_NUM_LEVEL14].[All]" allUniqueName="[Center_Global].[N_DISPLAY_ORDER_NUM_LEVEL14].[All]" dimensionUniqueName="[Center_Global]" displayFolder="" count="0" memberValueDatatype="5" unbalanced="0" hidden="1"/>
    <cacheHierarchy uniqueName="[Center_Global].[N_DISPLAY_ORDER_NUM_LEVEL15]" caption="N_DISPLAY_ORDER_NUM_LEVEL15" attribute="1" defaultMemberUniqueName="[Center_Global].[N_DISPLAY_ORDER_NUM_LEVEL15].[All]" allUniqueName="[Center_Global].[N_DISPLAY_ORDER_NUM_LEVEL15].[All]" dimensionUniqueName="[Center_Global]" displayFolder="" count="0" memberValueDatatype="5" unbalanced="0" hidden="1"/>
    <cacheHierarchy uniqueName="[Center_Global].[N_DISPLAY_ORDER_NUM_LEVEL16]" caption="N_DISPLAY_ORDER_NUM_LEVEL16" attribute="1" defaultMemberUniqueName="[Center_Global].[N_DISPLAY_ORDER_NUM_LEVEL16].[All]" allUniqueName="[Center_Global].[N_DISPLAY_ORDER_NUM_LEVEL16].[All]" dimensionUniqueName="[Center_Global]" displayFolder="" count="0" memberValueDatatype="5" unbalanced="0" hidden="1"/>
    <cacheHierarchy uniqueName="[Center_Global].[N_DISPLAY_ORDER_NUM_LEVEL17]" caption="N_DISPLAY_ORDER_NUM_LEVEL17" attribute="1" defaultMemberUniqueName="[Center_Global].[N_DISPLAY_ORDER_NUM_LEVEL17].[All]" allUniqueName="[Center_Global].[N_DISPLAY_ORDER_NUM_LEVEL17].[All]" dimensionUniqueName="[Center_Global]" displayFolder="" count="0" memberValueDatatype="5" unbalanced="0" hidden="1"/>
    <cacheHierarchy uniqueName="[Center_Global].[N_DISPLAY_ORDER_NUM_LEVEL18]" caption="N_DISPLAY_ORDER_NUM_LEVEL18" attribute="1" defaultMemberUniqueName="[Center_Global].[N_DISPLAY_ORDER_NUM_LEVEL18].[All]" allUniqueName="[Center_Global].[N_DISPLAY_ORDER_NUM_LEVEL18].[All]" dimensionUniqueName="[Center_Global]" displayFolder="" count="0" memberValueDatatype="5" unbalanced="0" hidden="1"/>
    <cacheHierarchy uniqueName="[Center_Global].[N_DISPLAY_ORDER_NUM_LEVEL19]" caption="N_DISPLAY_ORDER_NUM_LEVEL19" attribute="1" defaultMemberUniqueName="[Center_Global].[N_DISPLAY_ORDER_NUM_LEVEL19].[All]" allUniqueName="[Center_Global].[N_DISPLAY_ORDER_NUM_LEVEL19].[All]" dimensionUniqueName="[Center_Global]" displayFolder="" count="0" memberValueDatatype="5" unbalanced="0" hidden="1"/>
    <cacheHierarchy uniqueName="[Center_Global].[N_DISPLAY_ORDER_NUM_LEVEL20]" caption="N_DISPLAY_ORDER_NUM_LEVEL20" attribute="1" defaultMemberUniqueName="[Center_Global].[N_DISPLAY_ORDER_NUM_LEVEL20].[All]" allUniqueName="[Center_Global].[N_DISPLAY_ORDER_NUM_LEVEL20].[All]" dimensionUniqueName="[Center_Global]" displayFolder="" count="0" memberValueDatatype="5" unbalanced="0" hidden="1"/>
    <cacheHierarchy uniqueName="[Center_MCOM].[Center_ID]" caption="Center_ID" attribute="1" defaultMemberUniqueName="[Center_MCOM].[Center_ID].[All]" allUniqueName="[Center_MCOM].[Center_ID].[All]" dimensionUniqueName="[Center_MCOM]" displayFolder="" count="0" memberValueDatatype="5" unbalanced="0" hidden="1"/>
    <cacheHierarchy uniqueName="[Center_MCOM].[N_DISPLAY_ORDER_NUM_LEVEL01]" caption="N_DISPLAY_ORDER_NUM_LEVEL01" attribute="1" defaultMemberUniqueName="[Center_MCOM].[N_DISPLAY_ORDER_NUM_LEVEL01].[All]" allUniqueName="[Center_MCOM].[N_DISPLAY_ORDER_NUM_LEVEL01].[All]" dimensionUniqueName="[Center_MCOM]" displayFolder="" count="0" memberValueDatatype="5" unbalanced="0" hidden="1"/>
    <cacheHierarchy uniqueName="[Center_MCOM].[N_DISPLAY_ORDER_NUM_LEVEL02]" caption="N_DISPLAY_ORDER_NUM_LEVEL02" attribute="1" defaultMemberUniqueName="[Center_MCOM].[N_DISPLAY_ORDER_NUM_LEVEL02].[All]" allUniqueName="[Center_MCOM].[N_DISPLAY_ORDER_NUM_LEVEL02].[All]" dimensionUniqueName="[Center_MCOM]" displayFolder="" count="0" memberValueDatatype="5" unbalanced="0" hidden="1"/>
    <cacheHierarchy uniqueName="[Center_MCOM].[N_DISPLAY_ORDER_NUM_LEVEL03]" caption="N_DISPLAY_ORDER_NUM_LEVEL03" attribute="1" defaultMemberUniqueName="[Center_MCOM].[N_DISPLAY_ORDER_NUM_LEVEL03].[All]" allUniqueName="[Center_MCOM].[N_DISPLAY_ORDER_NUM_LEVEL03].[All]" dimensionUniqueName="[Center_MCOM]" displayFolder="" count="0" memberValueDatatype="5" unbalanced="0" hidden="1"/>
    <cacheHierarchy uniqueName="[Center_MCOM].[N_DISPLAY_ORDER_NUM_LEVEL04]" caption="N_DISPLAY_ORDER_NUM_LEVEL04" attribute="1" defaultMemberUniqueName="[Center_MCOM].[N_DISPLAY_ORDER_NUM_LEVEL04].[All]" allUniqueName="[Center_MCOM].[N_DISPLAY_ORDER_NUM_LEVEL04].[All]" dimensionUniqueName="[Center_MCOM]" displayFolder="" count="0" memberValueDatatype="5" unbalanced="0" hidden="1"/>
    <cacheHierarchy uniqueName="[Center_MCOM].[N_DISPLAY_ORDER_NUM_LEVEL05]" caption="N_DISPLAY_ORDER_NUM_LEVEL05" attribute="1" defaultMemberUniqueName="[Center_MCOM].[N_DISPLAY_ORDER_NUM_LEVEL05].[All]" allUniqueName="[Center_MCOM].[N_DISPLAY_ORDER_NUM_LEVEL05].[All]" dimensionUniqueName="[Center_MCOM]" displayFolder="" count="0" memberValueDatatype="5" unbalanced="0" hidden="1"/>
    <cacheHierarchy uniqueName="[Center_MCOM].[N_DISPLAY_ORDER_NUM_LEVEL06]" caption="N_DISPLAY_ORDER_NUM_LEVEL06" attribute="1" defaultMemberUniqueName="[Center_MCOM].[N_DISPLAY_ORDER_NUM_LEVEL06].[All]" allUniqueName="[Center_MCOM].[N_DISPLAY_ORDER_NUM_LEVEL06].[All]" dimensionUniqueName="[Center_MCOM]" displayFolder="" count="0" memberValueDatatype="5" unbalanced="0" hidden="1"/>
    <cacheHierarchy uniqueName="[Center_MCOM].[N_DISPLAY_ORDER_NUM_LEVEL07]" caption="N_DISPLAY_ORDER_NUM_LEVEL07" attribute="1" defaultMemberUniqueName="[Center_MCOM].[N_DISPLAY_ORDER_NUM_LEVEL07].[All]" allUniqueName="[Center_MCOM].[N_DISPLAY_ORDER_NUM_LEVEL07].[All]" dimensionUniqueName="[Center_MCOM]" displayFolder="" count="0" memberValueDatatype="5" unbalanced="0" hidden="1"/>
    <cacheHierarchy uniqueName="[Center_MCOM].[N_DISPLAY_ORDER_NUM_LEVEL08]" caption="N_DISPLAY_ORDER_NUM_LEVEL08" attribute="1" defaultMemberUniqueName="[Center_MCOM].[N_DISPLAY_ORDER_NUM_LEVEL08].[All]" allUniqueName="[Center_MCOM].[N_DISPLAY_ORDER_NUM_LEVEL08].[All]" dimensionUniqueName="[Center_MCOM]" displayFolder="" count="0" memberValueDatatype="5" unbalanced="0" hidden="1"/>
    <cacheHierarchy uniqueName="[Center_MCOM].[N_DISPLAY_ORDER_NUM_LEVEL09]" caption="N_DISPLAY_ORDER_NUM_LEVEL09" attribute="1" defaultMemberUniqueName="[Center_MCOM].[N_DISPLAY_ORDER_NUM_LEVEL09].[All]" allUniqueName="[Center_MCOM].[N_DISPLAY_ORDER_NUM_LEVEL09].[All]" dimensionUniqueName="[Center_MCOM]" displayFolder="" count="0" memberValueDatatype="5" unbalanced="0" hidden="1"/>
    <cacheHierarchy uniqueName="[Center_MCOM].[N_DISPLAY_ORDER_NUM_LEVEL10]" caption="N_DISPLAY_ORDER_NUM_LEVEL10" attribute="1" defaultMemberUniqueName="[Center_MCOM].[N_DISPLAY_ORDER_NUM_LEVEL10].[All]" allUniqueName="[Center_MCOM].[N_DISPLAY_ORDER_NUM_LEVEL10].[All]" dimensionUniqueName="[Center_MCOM]" displayFolder="" count="0" memberValueDatatype="5" unbalanced="0" hidden="1"/>
    <cacheHierarchy uniqueName="[Center_MCOM].[N_DISPLAY_ORDER_NUM_LEVEL11]" caption="N_DISPLAY_ORDER_NUM_LEVEL11" attribute="1" defaultMemberUniqueName="[Center_MCOM].[N_DISPLAY_ORDER_NUM_LEVEL11].[All]" allUniqueName="[Center_MCOM].[N_DISPLAY_ORDER_NUM_LEVEL11].[All]" dimensionUniqueName="[Center_MCOM]" displayFolder="" count="0" memberValueDatatype="5" unbalanced="0" hidden="1"/>
    <cacheHierarchy uniqueName="[Center_MCOM].[N_DISPLAY_ORDER_NUM_LEVEL12]" caption="N_DISPLAY_ORDER_NUM_LEVEL12" attribute="1" defaultMemberUniqueName="[Center_MCOM].[N_DISPLAY_ORDER_NUM_LEVEL12].[All]" allUniqueName="[Center_MCOM].[N_DISPLAY_ORDER_NUM_LEVEL12].[All]" dimensionUniqueName="[Center_MCOM]" displayFolder="" count="0" memberValueDatatype="5" unbalanced="0" hidden="1"/>
    <cacheHierarchy uniqueName="[Center_MCOM].[N_DISPLAY_ORDER_NUM_LEVEL13]" caption="N_DISPLAY_ORDER_NUM_LEVEL13" attribute="1" defaultMemberUniqueName="[Center_MCOM].[N_DISPLAY_ORDER_NUM_LEVEL13].[All]" allUniqueName="[Center_MCOM].[N_DISPLAY_ORDER_NUM_LEVEL13].[All]" dimensionUniqueName="[Center_MCOM]" displayFolder="" count="0" memberValueDatatype="5" unbalanced="0" hidden="1"/>
    <cacheHierarchy uniqueName="[Center_MCOM].[N_DISPLAY_ORDER_NUM_LEVEL14]" caption="N_DISPLAY_ORDER_NUM_LEVEL14" attribute="1" defaultMemberUniqueName="[Center_MCOM].[N_DISPLAY_ORDER_NUM_LEVEL14].[All]" allUniqueName="[Center_MCOM].[N_DISPLAY_ORDER_NUM_LEVEL14].[All]" dimensionUniqueName="[Center_MCOM]" displayFolder="" count="0" memberValueDatatype="5" unbalanced="0" hidden="1"/>
    <cacheHierarchy uniqueName="[Center_MCOM].[N_DISPLAY_ORDER_NUM_LEVEL15]" caption="N_DISPLAY_ORDER_NUM_LEVEL15" attribute="1" defaultMemberUniqueName="[Center_MCOM].[N_DISPLAY_ORDER_NUM_LEVEL15].[All]" allUniqueName="[Center_MCOM].[N_DISPLAY_ORDER_NUM_LEVEL15].[All]" dimensionUniqueName="[Center_MCOM]" displayFolder="" count="0" memberValueDatatype="5" unbalanced="0" hidden="1"/>
    <cacheHierarchy uniqueName="[Center_MCOM].[N_DISPLAY_ORDER_NUM_LEVEL16]" caption="N_DISPLAY_ORDER_NUM_LEVEL16" attribute="1" defaultMemberUniqueName="[Center_MCOM].[N_DISPLAY_ORDER_NUM_LEVEL16].[All]" allUniqueName="[Center_MCOM].[N_DISPLAY_ORDER_NUM_LEVEL16].[All]" dimensionUniqueName="[Center_MCOM]" displayFolder="" count="0" memberValueDatatype="5" unbalanced="0" hidden="1"/>
    <cacheHierarchy uniqueName="[Center_MCOM].[N_DISPLAY_ORDER_NUM_LEVEL17]" caption="N_DISPLAY_ORDER_NUM_LEVEL17" attribute="1" defaultMemberUniqueName="[Center_MCOM].[N_DISPLAY_ORDER_NUM_LEVEL17].[All]" allUniqueName="[Center_MCOM].[N_DISPLAY_ORDER_NUM_LEVEL17].[All]" dimensionUniqueName="[Center_MCOM]" displayFolder="" count="0" memberValueDatatype="5" unbalanced="0" hidden="1"/>
    <cacheHierarchy uniqueName="[Center_MCOM].[N_DISPLAY_ORDER_NUM_LEVEL18]" caption="N_DISPLAY_ORDER_NUM_LEVEL18" attribute="1" defaultMemberUniqueName="[Center_MCOM].[N_DISPLAY_ORDER_NUM_LEVEL18].[All]" allUniqueName="[Center_MCOM].[N_DISPLAY_ORDER_NUM_LEVEL18].[All]" dimensionUniqueName="[Center_MCOM]" displayFolder="" count="0" memberValueDatatype="5" unbalanced="0" hidden="1"/>
    <cacheHierarchy uniqueName="[Center_MCOM].[N_DISPLAY_ORDER_NUM_LEVEL19]" caption="N_DISPLAY_ORDER_NUM_LEVEL19" attribute="1" defaultMemberUniqueName="[Center_MCOM].[N_DISPLAY_ORDER_NUM_LEVEL19].[All]" allUniqueName="[Center_MCOM].[N_DISPLAY_ORDER_NUM_LEVEL19].[All]" dimensionUniqueName="[Center_MCOM]" displayFolder="" count="0" memberValueDatatype="5" unbalanced="0" hidden="1"/>
    <cacheHierarchy uniqueName="[Center_MCOM].[N_DISPLAY_ORDER_NUM_LEVEL20]" caption="N_DISPLAY_ORDER_NUM_LEVEL20" attribute="1" defaultMemberUniqueName="[Center_MCOM].[N_DISPLAY_ORDER_NUM_LEVEL20].[All]" allUniqueName="[Center_MCOM].[N_DISPLAY_ORDER_NUM_LEVEL20].[All]" dimensionUniqueName="[Center_MCOM]" displayFolder="" count="0" memberValueDatatype="5" unbalanced="0" hidden="1"/>
    <cacheHierarchy uniqueName="[Charging_Center_Global].[Center_ID]" caption="Center_ID" attribute="1" defaultMemberUniqueName="[Charging_Center_Global].[Center_ID].[All]" allUniqueName="[Charging_Center_Global].[Center_ID].[All]" dimensionUniqueName="[Charging_Center_Global]" displayFolder="" count="0" memberValueDatatype="5" unbalanced="0" hidden="1"/>
    <cacheHierarchy uniqueName="[Charging_Center_MCOM].[Center_ID]" caption="Center_ID" attribute="1" defaultMemberUniqueName="[Charging_Center_MCOM].[Center_ID].[All]" allUniqueName="[Charging_Center_MCOM].[Center_ID].[All]" dimensionUniqueName="[Charging_Center_MCOM]" displayFolder="" count="0" memberValueDatatype="5" unbalanced="0" hidden="1"/>
    <cacheHierarchy uniqueName="[Client_ID].[N_CLIENT_SKEY]" caption="N_CLIENT_SKEY" attribute="1" defaultMemberUniqueName="[Client_ID].[N_CLIENT_SKEY].[All]" allUniqueName="[Client_ID].[N_CLIENT_SKEY].[All]" dimensionUniqueName="[Client_ID]" displayFolder="" count="0" memberValueDatatype="5" unbalanced="0" hidden="1"/>
    <cacheHierarchy uniqueName="[Covered_Equipment].[N_COMM_SEGMENT_SKEY]" caption="N_COMM_SEGMENT_SKEY" attribute="1" defaultMemberUniqueName="[Covered_Equipment].[N_COMM_SEGMENT_SKEY].[All]" allUniqueName="[Covered_Equipment].[N_COMM_SEGMENT_SKEY].[All]" dimensionUniqueName="[Covered_Equipment]" displayFolder="" count="0" memberValueDatatype="5" unbalanced="0" hidden="1"/>
    <cacheHierarchy uniqueName="[Dataset_Information].[DIKEY]" caption="DIKEY" attribute="1" defaultMemberUniqueName="[Dataset_Information].[DIKEY].[All]" allUniqueName="[Dataset_Information].[DIKEY].[All]" dimensionUniqueName="[Dataset_Information]" displayFolder="" count="0" memberValueDatatype="130" unbalanced="0" hidden="1"/>
    <cacheHierarchy uniqueName="[Dataset_Information].[MVIEW_NAME]" caption="MVIEW_NAME" attribute="1" defaultMemberUniqueName="[Dataset_Information].[MVIEW_NAME].[All]" allUniqueName="[Dataset_Information].[MVIEW_NAME].[All]" dimensionUniqueName="[Dataset_Information]" displayFolder="" count="0" memberValueDatatype="130" unbalanced="0" hidden="1"/>
    <cacheHierarchy uniqueName="[Dataset_Information].[OWNER]" caption="OWNER" attribute="1" defaultMemberUniqueName="[Dataset_Information].[OWNER].[All]" allUniqueName="[Dataset_Information].[OWNER].[All]" dimensionUniqueName="[Dataset_Information]" displayFolder="" count="0" memberValueDatatype="130" unbalanced="0" hidden="1"/>
    <cacheHierarchy uniqueName="[Dealer_State].[Dealer_State_ID]" caption="Dealer_State_ID" attribute="1" defaultMemberUniqueName="[Dealer_State].[Dealer_State_ID].[All]" allUniqueName="[Dealer_State].[Dealer_State_ID].[All]" dimensionUniqueName="[Dealer_State]" displayFolder="" count="0" memberValueDatatype="5" unbalanced="0" hidden="1"/>
    <cacheHierarchy uniqueName="[Entity_GAAP].[Entity_ID]" caption="Entity_ID" attribute="1" defaultMemberUniqueName="[Entity_GAAP].[Entity_ID].[All]" allUniqueName="[Entity_GAAP].[Entity_ID].[All]" dimensionUniqueName="[Entity_GAAP]" displayFolder="" count="0" memberValueDatatype="5" unbalanced="0" hidden="1"/>
    <cacheHierarchy uniqueName="[Entity_GAAP].[N_DISPLAY_ORDER_NUM_LEVEL01]" caption="N_DISPLAY_ORDER_NUM_LEVEL01" attribute="1" defaultMemberUniqueName="[Entity_GAAP].[N_DISPLAY_ORDER_NUM_LEVEL01].[All]" allUniqueName="[Entity_GAAP].[N_DISPLAY_ORDER_NUM_LEVEL01].[All]" dimensionUniqueName="[Entity_GAAP]" displayFolder="" count="0" memberValueDatatype="5" unbalanced="0" hidden="1"/>
    <cacheHierarchy uniqueName="[Entity_GAAP].[N_DISPLAY_ORDER_NUM_LEVEL02]" caption="N_DISPLAY_ORDER_NUM_LEVEL02" attribute="1" defaultMemberUniqueName="[Entity_GAAP].[N_DISPLAY_ORDER_NUM_LEVEL02].[All]" allUniqueName="[Entity_GAAP].[N_DISPLAY_ORDER_NUM_LEVEL02].[All]" dimensionUniqueName="[Entity_GAAP]" displayFolder="" count="0" memberValueDatatype="5" unbalanced="0" hidden="1"/>
    <cacheHierarchy uniqueName="[Entity_GAAP].[N_DISPLAY_ORDER_NUM_LEVEL03]" caption="N_DISPLAY_ORDER_NUM_LEVEL03" attribute="1" defaultMemberUniqueName="[Entity_GAAP].[N_DISPLAY_ORDER_NUM_LEVEL03].[All]" allUniqueName="[Entity_GAAP].[N_DISPLAY_ORDER_NUM_LEVEL03].[All]" dimensionUniqueName="[Entity_GAAP]" displayFolder="" count="0" memberValueDatatype="5" unbalanced="0" hidden="1"/>
    <cacheHierarchy uniqueName="[Entity_GAAP].[N_DISPLAY_ORDER_NUM_LEVEL04]" caption="N_DISPLAY_ORDER_NUM_LEVEL04" attribute="1" defaultMemberUniqueName="[Entity_GAAP].[N_DISPLAY_ORDER_NUM_LEVEL04].[All]" allUniqueName="[Entity_GAAP].[N_DISPLAY_ORDER_NUM_LEVEL04].[All]" dimensionUniqueName="[Entity_GAAP]" displayFolder="" count="0" memberValueDatatype="5" unbalanced="0" hidden="1"/>
    <cacheHierarchy uniqueName="[Entity_GAAP].[N_DISPLAY_ORDER_NUM_LEVEL05]" caption="N_DISPLAY_ORDER_NUM_LEVEL05" attribute="1" defaultMemberUniqueName="[Entity_GAAP].[N_DISPLAY_ORDER_NUM_LEVEL05].[All]" allUniqueName="[Entity_GAAP].[N_DISPLAY_ORDER_NUM_LEVEL05].[All]" dimensionUniqueName="[Entity_GAAP]" displayFolder="" count="0" memberValueDatatype="5" unbalanced="0" hidden="1"/>
    <cacheHierarchy uniqueName="[Entity_GAAP].[N_DISPLAY_ORDER_NUM_LEVEL06]" caption="N_DISPLAY_ORDER_NUM_LEVEL06" attribute="1" defaultMemberUniqueName="[Entity_GAAP].[N_DISPLAY_ORDER_NUM_LEVEL06].[All]" allUniqueName="[Entity_GAAP].[N_DISPLAY_ORDER_NUM_LEVEL06].[All]" dimensionUniqueName="[Entity_GAAP]" displayFolder="" count="0" memberValueDatatype="5" unbalanced="0" hidden="1"/>
    <cacheHierarchy uniqueName="[Entity_GAAP].[N_DISPLAY_ORDER_NUM_LEVEL07]" caption="N_DISPLAY_ORDER_NUM_LEVEL07" attribute="1" defaultMemberUniqueName="[Entity_GAAP].[N_DISPLAY_ORDER_NUM_LEVEL07].[All]" allUniqueName="[Entity_GAAP].[N_DISPLAY_ORDER_NUM_LEVEL07].[All]" dimensionUniqueName="[Entity_GAAP]" displayFolder="" count="0" memberValueDatatype="5" unbalanced="0" hidden="1"/>
    <cacheHierarchy uniqueName="[Entity_GAAP].[N_DISPLAY_ORDER_NUM_LEVEL08]" caption="N_DISPLAY_ORDER_NUM_LEVEL08" attribute="1" defaultMemberUniqueName="[Entity_GAAP].[N_DISPLAY_ORDER_NUM_LEVEL08].[All]" allUniqueName="[Entity_GAAP].[N_DISPLAY_ORDER_NUM_LEVEL08].[All]" dimensionUniqueName="[Entity_GAAP]" displayFolder="" count="0" memberValueDatatype="5" unbalanced="0" hidden="1"/>
    <cacheHierarchy uniqueName="[Entity_GAAP].[N_DISPLAY_ORDER_NUM_LEVEL09]" caption="N_DISPLAY_ORDER_NUM_LEVEL09" attribute="1" defaultMemberUniqueName="[Entity_GAAP].[N_DISPLAY_ORDER_NUM_LEVEL09].[All]" allUniqueName="[Entity_GAAP].[N_DISPLAY_ORDER_NUM_LEVEL09].[All]" dimensionUniqueName="[Entity_GAAP]" displayFolder="" count="0" memberValueDatatype="5" unbalanced="0" hidden="1"/>
    <cacheHierarchy uniqueName="[Entity_GAAP].[N_DISPLAY_ORDER_NUM_LEVEL10]" caption="N_DISPLAY_ORDER_NUM_LEVEL10" attribute="1" defaultMemberUniqueName="[Entity_GAAP].[N_DISPLAY_ORDER_NUM_LEVEL10].[All]" allUniqueName="[Entity_GAAP].[N_DISPLAY_ORDER_NUM_LEVEL10].[All]" dimensionUniqueName="[Entity_GAAP]" displayFolder="" count="0" memberValueDatatype="5" unbalanced="0" hidden="1"/>
    <cacheHierarchy uniqueName="[Entity_GAAP].[N_DISPLAY_ORDER_NUM_LEVEL11]" caption="N_DISPLAY_ORDER_NUM_LEVEL11" attribute="1" defaultMemberUniqueName="[Entity_GAAP].[N_DISPLAY_ORDER_NUM_LEVEL11].[All]" allUniqueName="[Entity_GAAP].[N_DISPLAY_ORDER_NUM_LEVEL11].[All]" dimensionUniqueName="[Entity_GAAP]" displayFolder="" count="0" memberValueDatatype="5" unbalanced="0" hidden="1"/>
    <cacheHierarchy uniqueName="[Entity_GAAP].[N_DISPLAY_ORDER_NUM_LEVEL12]" caption="N_DISPLAY_ORDER_NUM_LEVEL12" attribute="1" defaultMemberUniqueName="[Entity_GAAP].[N_DISPLAY_ORDER_NUM_LEVEL12].[All]" allUniqueName="[Entity_GAAP].[N_DISPLAY_ORDER_NUM_LEVEL12].[All]" dimensionUniqueName="[Entity_GAAP]" displayFolder="" count="0" memberValueDatatype="5" unbalanced="0" hidden="1"/>
    <cacheHierarchy uniqueName="[Entity_GAAP].[N_DISPLAY_ORDER_NUM_LEVEL13]" caption="N_DISPLAY_ORDER_NUM_LEVEL13" attribute="1" defaultMemberUniqueName="[Entity_GAAP].[N_DISPLAY_ORDER_NUM_LEVEL13].[All]" allUniqueName="[Entity_GAAP].[N_DISPLAY_ORDER_NUM_LEVEL13].[All]" dimensionUniqueName="[Entity_GAAP]" displayFolder="" count="0" memberValueDatatype="5" unbalanced="0" hidden="1"/>
    <cacheHierarchy uniqueName="[Entity_GAAP].[N_DISPLAY_ORDER_NUM_LEVEL14]" caption="N_DISPLAY_ORDER_NUM_LEVEL14" attribute="1" defaultMemberUniqueName="[Entity_GAAP].[N_DISPLAY_ORDER_NUM_LEVEL14].[All]" allUniqueName="[Entity_GAAP].[N_DISPLAY_ORDER_NUM_LEVEL14].[All]" dimensionUniqueName="[Entity_GAAP]" displayFolder="" count="0" memberValueDatatype="5" unbalanced="0" hidden="1"/>
    <cacheHierarchy uniqueName="[Entity_GAAP].[N_DISPLAY_ORDER_NUM_LEVEL15]" caption="N_DISPLAY_ORDER_NUM_LEVEL15" attribute="1" defaultMemberUniqueName="[Entity_GAAP].[N_DISPLAY_ORDER_NUM_LEVEL15].[All]" allUniqueName="[Entity_GAAP].[N_DISPLAY_ORDER_NUM_LEVEL15].[All]" dimensionUniqueName="[Entity_GAAP]" displayFolder="" count="0" memberValueDatatype="5" unbalanced="0" hidden="1"/>
    <cacheHierarchy uniqueName="[Entity_GAAP].[N_DISPLAY_ORDER_NUM_LEVEL16]" caption="N_DISPLAY_ORDER_NUM_LEVEL16" attribute="1" defaultMemberUniqueName="[Entity_GAAP].[N_DISPLAY_ORDER_NUM_LEVEL16].[All]" allUniqueName="[Entity_GAAP].[N_DISPLAY_ORDER_NUM_LEVEL16].[All]" dimensionUniqueName="[Entity_GAAP]" displayFolder="" count="0" memberValueDatatype="5" unbalanced="0" hidden="1"/>
    <cacheHierarchy uniqueName="[Entity_GAAP].[N_DISPLAY_ORDER_NUM_LEVEL17]" caption="N_DISPLAY_ORDER_NUM_LEVEL17" attribute="1" defaultMemberUniqueName="[Entity_GAAP].[N_DISPLAY_ORDER_NUM_LEVEL17].[All]" allUniqueName="[Entity_GAAP].[N_DISPLAY_ORDER_NUM_LEVEL17].[All]" dimensionUniqueName="[Entity_GAAP]" displayFolder="" count="0" memberValueDatatype="5" unbalanced="0" hidden="1"/>
    <cacheHierarchy uniqueName="[Entity_GAAP].[N_DISPLAY_ORDER_NUM_LEVEL18]" caption="N_DISPLAY_ORDER_NUM_LEVEL18" attribute="1" defaultMemberUniqueName="[Entity_GAAP].[N_DISPLAY_ORDER_NUM_LEVEL18].[All]" allUniqueName="[Entity_GAAP].[N_DISPLAY_ORDER_NUM_LEVEL18].[All]" dimensionUniqueName="[Entity_GAAP]" displayFolder="" count="0" memberValueDatatype="5" unbalanced="0" hidden="1"/>
    <cacheHierarchy uniqueName="[Entity_GAAP].[N_DISPLAY_ORDER_NUM_LEVEL19]" caption="N_DISPLAY_ORDER_NUM_LEVEL19" attribute="1" defaultMemberUniqueName="[Entity_GAAP].[N_DISPLAY_ORDER_NUM_LEVEL19].[All]" allUniqueName="[Entity_GAAP].[N_DISPLAY_ORDER_NUM_LEVEL19].[All]" dimensionUniqueName="[Entity_GAAP]" displayFolder="" count="0" memberValueDatatype="5" unbalanced="0" hidden="1"/>
    <cacheHierarchy uniqueName="[Entity_GAAP].[N_DISPLAY_ORDER_NUM_LEVEL20]" caption="N_DISPLAY_ORDER_NUM_LEVEL20" attribute="1" defaultMemberUniqueName="[Entity_GAAP].[N_DISPLAY_ORDER_NUM_LEVEL20].[All]" allUniqueName="[Entity_GAAP].[N_DISPLAY_ORDER_NUM_LEVEL20].[All]" dimensionUniqueName="[Entity_GAAP]" displayFolder="" count="0" memberValueDatatype="5" unbalanced="0" hidden="1"/>
    <cacheHierarchy uniqueName="[Entity_STAT].[Entity_ID]" caption="Entity_ID" attribute="1" defaultMemberUniqueName="[Entity_STAT].[Entity_ID].[All]" allUniqueName="[Entity_STAT].[Entity_ID].[All]" dimensionUniqueName="[Entity_STAT]" displayFolder="" count="0" memberValueDatatype="5" unbalanced="0" hidden="1"/>
    <cacheHierarchy uniqueName="[Entity_STAT].[N_DISPLAY_ORDER_NUM_LEVEL01]" caption="N_DISPLAY_ORDER_NUM_LEVEL01" attribute="1" defaultMemberUniqueName="[Entity_STAT].[N_DISPLAY_ORDER_NUM_LEVEL01].[All]" allUniqueName="[Entity_STAT].[N_DISPLAY_ORDER_NUM_LEVEL01].[All]" dimensionUniqueName="[Entity_STAT]" displayFolder="" count="0" memberValueDatatype="5" unbalanced="0" hidden="1"/>
    <cacheHierarchy uniqueName="[Entity_STAT].[N_DISPLAY_ORDER_NUM_LEVEL02]" caption="N_DISPLAY_ORDER_NUM_LEVEL02" attribute="1" defaultMemberUniqueName="[Entity_STAT].[N_DISPLAY_ORDER_NUM_LEVEL02].[All]" allUniqueName="[Entity_STAT].[N_DISPLAY_ORDER_NUM_LEVEL02].[All]" dimensionUniqueName="[Entity_STAT]" displayFolder="" count="0" memberValueDatatype="5" unbalanced="0" hidden="1"/>
    <cacheHierarchy uniqueName="[Entity_STAT].[N_DISPLAY_ORDER_NUM_LEVEL03]" caption="N_DISPLAY_ORDER_NUM_LEVEL03" attribute="1" defaultMemberUniqueName="[Entity_STAT].[N_DISPLAY_ORDER_NUM_LEVEL03].[All]" allUniqueName="[Entity_STAT].[N_DISPLAY_ORDER_NUM_LEVEL03].[All]" dimensionUniqueName="[Entity_STAT]" displayFolder="" count="0" memberValueDatatype="5" unbalanced="0" hidden="1"/>
    <cacheHierarchy uniqueName="[Entity_STAT].[N_DISPLAY_ORDER_NUM_LEVEL04]" caption="N_DISPLAY_ORDER_NUM_LEVEL04" attribute="1" defaultMemberUniqueName="[Entity_STAT].[N_DISPLAY_ORDER_NUM_LEVEL04].[All]" allUniqueName="[Entity_STAT].[N_DISPLAY_ORDER_NUM_LEVEL04].[All]" dimensionUniqueName="[Entity_STAT]" displayFolder="" count="0" memberValueDatatype="5" unbalanced="0" hidden="1"/>
    <cacheHierarchy uniqueName="[Entity_STAT].[N_DISPLAY_ORDER_NUM_LEVEL05]" caption="N_DISPLAY_ORDER_NUM_LEVEL05" attribute="1" defaultMemberUniqueName="[Entity_STAT].[N_DISPLAY_ORDER_NUM_LEVEL05].[All]" allUniqueName="[Entity_STAT].[N_DISPLAY_ORDER_NUM_LEVEL05].[All]" dimensionUniqueName="[Entity_STAT]" displayFolder="" count="0" memberValueDatatype="5" unbalanced="0" hidden="1"/>
    <cacheHierarchy uniqueName="[Entity_STAT].[N_DISPLAY_ORDER_NUM_LEVEL06]" caption="N_DISPLAY_ORDER_NUM_LEVEL06" attribute="1" defaultMemberUniqueName="[Entity_STAT].[N_DISPLAY_ORDER_NUM_LEVEL06].[All]" allUniqueName="[Entity_STAT].[N_DISPLAY_ORDER_NUM_LEVEL06].[All]" dimensionUniqueName="[Entity_STAT]" displayFolder="" count="0" memberValueDatatype="5" unbalanced="0" hidden="1"/>
    <cacheHierarchy uniqueName="[Entity_STAT].[N_DISPLAY_ORDER_NUM_LEVEL07]" caption="N_DISPLAY_ORDER_NUM_LEVEL07" attribute="1" defaultMemberUniqueName="[Entity_STAT].[N_DISPLAY_ORDER_NUM_LEVEL07].[All]" allUniqueName="[Entity_STAT].[N_DISPLAY_ORDER_NUM_LEVEL07].[All]" dimensionUniqueName="[Entity_STAT]" displayFolder="" count="0" memberValueDatatype="5" unbalanced="0" hidden="1"/>
    <cacheHierarchy uniqueName="[Entity_STAT].[N_DISPLAY_ORDER_NUM_LEVEL08]" caption="N_DISPLAY_ORDER_NUM_LEVEL08" attribute="1" defaultMemberUniqueName="[Entity_STAT].[N_DISPLAY_ORDER_NUM_LEVEL08].[All]" allUniqueName="[Entity_STAT].[N_DISPLAY_ORDER_NUM_LEVEL08].[All]" dimensionUniqueName="[Entity_STAT]" displayFolder="" count="0" memberValueDatatype="5" unbalanced="0" hidden="1"/>
    <cacheHierarchy uniqueName="[Entity_STAT].[N_DISPLAY_ORDER_NUM_LEVEL09]" caption="N_DISPLAY_ORDER_NUM_LEVEL09" attribute="1" defaultMemberUniqueName="[Entity_STAT].[N_DISPLAY_ORDER_NUM_LEVEL09].[All]" allUniqueName="[Entity_STAT].[N_DISPLAY_ORDER_NUM_LEVEL09].[All]" dimensionUniqueName="[Entity_STAT]" displayFolder="" count="0" memberValueDatatype="5" unbalanced="0" hidden="1"/>
    <cacheHierarchy uniqueName="[Entity_STAT].[N_DISPLAY_ORDER_NUM_LEVEL10]" caption="N_DISPLAY_ORDER_NUM_LEVEL10" attribute="1" defaultMemberUniqueName="[Entity_STAT].[N_DISPLAY_ORDER_NUM_LEVEL10].[All]" allUniqueName="[Entity_STAT].[N_DISPLAY_ORDER_NUM_LEVEL10].[All]" dimensionUniqueName="[Entity_STAT]" displayFolder="" count="0" memberValueDatatype="5" unbalanced="0" hidden="1"/>
    <cacheHierarchy uniqueName="[Entity_STAT].[N_DISPLAY_ORDER_NUM_LEVEL11]" caption="N_DISPLAY_ORDER_NUM_LEVEL11" attribute="1" defaultMemberUniqueName="[Entity_STAT].[N_DISPLAY_ORDER_NUM_LEVEL11].[All]" allUniqueName="[Entity_STAT].[N_DISPLAY_ORDER_NUM_LEVEL11].[All]" dimensionUniqueName="[Entity_STAT]" displayFolder="" count="0" memberValueDatatype="5" unbalanced="0" hidden="1"/>
    <cacheHierarchy uniqueName="[Entity_STAT].[N_DISPLAY_ORDER_NUM_LEVEL12]" caption="N_DISPLAY_ORDER_NUM_LEVEL12" attribute="1" defaultMemberUniqueName="[Entity_STAT].[N_DISPLAY_ORDER_NUM_LEVEL12].[All]" allUniqueName="[Entity_STAT].[N_DISPLAY_ORDER_NUM_LEVEL12].[All]" dimensionUniqueName="[Entity_STAT]" displayFolder="" count="0" memberValueDatatype="5" unbalanced="0" hidden="1"/>
    <cacheHierarchy uniqueName="[Entity_STAT].[N_DISPLAY_ORDER_NUM_LEVEL13]" caption="N_DISPLAY_ORDER_NUM_LEVEL13" attribute="1" defaultMemberUniqueName="[Entity_STAT].[N_DISPLAY_ORDER_NUM_LEVEL13].[All]" allUniqueName="[Entity_STAT].[N_DISPLAY_ORDER_NUM_LEVEL13].[All]" dimensionUniqueName="[Entity_STAT]" displayFolder="" count="0" memberValueDatatype="5" unbalanced="0" hidden="1"/>
    <cacheHierarchy uniqueName="[Entity_STAT].[N_DISPLAY_ORDER_NUM_LEVEL14]" caption="N_DISPLAY_ORDER_NUM_LEVEL14" attribute="1" defaultMemberUniqueName="[Entity_STAT].[N_DISPLAY_ORDER_NUM_LEVEL14].[All]" allUniqueName="[Entity_STAT].[N_DISPLAY_ORDER_NUM_LEVEL14].[All]" dimensionUniqueName="[Entity_STAT]" displayFolder="" count="0" memberValueDatatype="5" unbalanced="0" hidden="1"/>
    <cacheHierarchy uniqueName="[Entity_STAT].[N_DISPLAY_ORDER_NUM_LEVEL15]" caption="N_DISPLAY_ORDER_NUM_LEVEL15" attribute="1" defaultMemberUniqueName="[Entity_STAT].[N_DISPLAY_ORDER_NUM_LEVEL15].[All]" allUniqueName="[Entity_STAT].[N_DISPLAY_ORDER_NUM_LEVEL15].[All]" dimensionUniqueName="[Entity_STAT]" displayFolder="" count="0" memberValueDatatype="5" unbalanced="0" hidden="1"/>
    <cacheHierarchy uniqueName="[Entity_STAT].[N_DISPLAY_ORDER_NUM_LEVEL16]" caption="N_DISPLAY_ORDER_NUM_LEVEL16" attribute="1" defaultMemberUniqueName="[Entity_STAT].[N_DISPLAY_ORDER_NUM_LEVEL16].[All]" allUniqueName="[Entity_STAT].[N_DISPLAY_ORDER_NUM_LEVEL16].[All]" dimensionUniqueName="[Entity_STAT]" displayFolder="" count="0" memberValueDatatype="5" unbalanced="0" hidden="1"/>
    <cacheHierarchy uniqueName="[Entity_STAT].[N_DISPLAY_ORDER_NUM_LEVEL17]" caption="N_DISPLAY_ORDER_NUM_LEVEL17" attribute="1" defaultMemberUniqueName="[Entity_STAT].[N_DISPLAY_ORDER_NUM_LEVEL17].[All]" allUniqueName="[Entity_STAT].[N_DISPLAY_ORDER_NUM_LEVEL17].[All]" dimensionUniqueName="[Entity_STAT]" displayFolder="" count="0" memberValueDatatype="5" unbalanced="0" hidden="1"/>
    <cacheHierarchy uniqueName="[Entity_STAT].[N_DISPLAY_ORDER_NUM_LEVEL18]" caption="N_DISPLAY_ORDER_NUM_LEVEL18" attribute="1" defaultMemberUniqueName="[Entity_STAT].[N_DISPLAY_ORDER_NUM_LEVEL18].[All]" allUniqueName="[Entity_STAT].[N_DISPLAY_ORDER_NUM_LEVEL18].[All]" dimensionUniqueName="[Entity_STAT]" displayFolder="" count="0" memberValueDatatype="5" unbalanced="0" hidden="1"/>
    <cacheHierarchy uniqueName="[Entity_STAT].[N_DISPLAY_ORDER_NUM_LEVEL19]" caption="N_DISPLAY_ORDER_NUM_LEVEL19" attribute="1" defaultMemberUniqueName="[Entity_STAT].[N_DISPLAY_ORDER_NUM_LEVEL19].[All]" allUniqueName="[Entity_STAT].[N_DISPLAY_ORDER_NUM_LEVEL19].[All]" dimensionUniqueName="[Entity_STAT]" displayFolder="" count="0" memberValueDatatype="5" unbalanced="0" hidden="1"/>
    <cacheHierarchy uniqueName="[Entity_STAT].[N_DISPLAY_ORDER_NUM_LEVEL20]" caption="N_DISPLAY_ORDER_NUM_LEVEL20" attribute="1" defaultMemberUniqueName="[Entity_STAT].[N_DISPLAY_ORDER_NUM_LEVEL20].[All]" allUniqueName="[Entity_STAT].[N_DISPLAY_ORDER_NUM_LEVEL20].[All]" dimensionUniqueName="[Entity_STAT]" displayFolder="" count="0" memberValueDatatype="5" unbalanced="0" hidden="1"/>
    <cacheHierarchy uniqueName="[Entity_STATGAAP].[Entity_ID]" caption="Entity_ID" attribute="1" defaultMemberUniqueName="[Entity_STATGAAP].[Entity_ID].[All]" allUniqueName="[Entity_STATGAAP].[Entity_ID].[All]" dimensionUniqueName="[Entity_STATGAAP]" displayFolder="" count="0" memberValueDatatype="5" unbalanced="0" hidden="1"/>
    <cacheHierarchy uniqueName="[Entity_STATGAAP].[N_DISPLAY_ORDER_NUM_LEVEL01]" caption="N_DISPLAY_ORDER_NUM_LEVEL01" attribute="1" defaultMemberUniqueName="[Entity_STATGAAP].[N_DISPLAY_ORDER_NUM_LEVEL01].[All]" allUniqueName="[Entity_STATGAAP].[N_DISPLAY_ORDER_NUM_LEVEL01].[All]" dimensionUniqueName="[Entity_STATGAAP]" displayFolder="" count="0" memberValueDatatype="5" unbalanced="0" hidden="1"/>
    <cacheHierarchy uniqueName="[Entity_STATGAAP].[N_DISPLAY_ORDER_NUM_LEVEL02]" caption="N_DISPLAY_ORDER_NUM_LEVEL02" attribute="1" defaultMemberUniqueName="[Entity_STATGAAP].[N_DISPLAY_ORDER_NUM_LEVEL02].[All]" allUniqueName="[Entity_STATGAAP].[N_DISPLAY_ORDER_NUM_LEVEL02].[All]" dimensionUniqueName="[Entity_STATGAAP]" displayFolder="" count="0" memberValueDatatype="5" unbalanced="0" hidden="1"/>
    <cacheHierarchy uniqueName="[Entity_STATGAAP].[N_DISPLAY_ORDER_NUM_LEVEL03]" caption="N_DISPLAY_ORDER_NUM_LEVEL03" attribute="1" defaultMemberUniqueName="[Entity_STATGAAP].[N_DISPLAY_ORDER_NUM_LEVEL03].[All]" allUniqueName="[Entity_STATGAAP].[N_DISPLAY_ORDER_NUM_LEVEL03].[All]" dimensionUniqueName="[Entity_STATGAAP]" displayFolder="" count="0" memberValueDatatype="5" unbalanced="0" hidden="1"/>
    <cacheHierarchy uniqueName="[Entity_STATGAAP].[N_DISPLAY_ORDER_NUM_LEVEL04]" caption="N_DISPLAY_ORDER_NUM_LEVEL04" attribute="1" defaultMemberUniqueName="[Entity_STATGAAP].[N_DISPLAY_ORDER_NUM_LEVEL04].[All]" allUniqueName="[Entity_STATGAAP].[N_DISPLAY_ORDER_NUM_LEVEL04].[All]" dimensionUniqueName="[Entity_STATGAAP]" displayFolder="" count="0" memberValueDatatype="5" unbalanced="0" hidden="1"/>
    <cacheHierarchy uniqueName="[Entity_STATGAAP].[N_DISPLAY_ORDER_NUM_LEVEL05]" caption="N_DISPLAY_ORDER_NUM_LEVEL05" attribute="1" defaultMemberUniqueName="[Entity_STATGAAP].[N_DISPLAY_ORDER_NUM_LEVEL05].[All]" allUniqueName="[Entity_STATGAAP].[N_DISPLAY_ORDER_NUM_LEVEL05].[All]" dimensionUniqueName="[Entity_STATGAAP]" displayFolder="" count="0" memberValueDatatype="5" unbalanced="0" hidden="1"/>
    <cacheHierarchy uniqueName="[Entity_STATGAAP].[N_DISPLAY_ORDER_NUM_LEVEL06]" caption="N_DISPLAY_ORDER_NUM_LEVEL06" attribute="1" defaultMemberUniqueName="[Entity_STATGAAP].[N_DISPLAY_ORDER_NUM_LEVEL06].[All]" allUniqueName="[Entity_STATGAAP].[N_DISPLAY_ORDER_NUM_LEVEL06].[All]" dimensionUniqueName="[Entity_STATGAAP]" displayFolder="" count="0" memberValueDatatype="5" unbalanced="0" hidden="1"/>
    <cacheHierarchy uniqueName="[Entity_STATGAAP].[N_DISPLAY_ORDER_NUM_LEVEL07]" caption="N_DISPLAY_ORDER_NUM_LEVEL07" attribute="1" defaultMemberUniqueName="[Entity_STATGAAP].[N_DISPLAY_ORDER_NUM_LEVEL07].[All]" allUniqueName="[Entity_STATGAAP].[N_DISPLAY_ORDER_NUM_LEVEL07].[All]" dimensionUniqueName="[Entity_STATGAAP]" displayFolder="" count="0" memberValueDatatype="5" unbalanced="0" hidden="1"/>
    <cacheHierarchy uniqueName="[Entity_STATGAAP].[N_DISPLAY_ORDER_NUM_LEVEL08]" caption="N_DISPLAY_ORDER_NUM_LEVEL08" attribute="1" defaultMemberUniqueName="[Entity_STATGAAP].[N_DISPLAY_ORDER_NUM_LEVEL08].[All]" allUniqueName="[Entity_STATGAAP].[N_DISPLAY_ORDER_NUM_LEVEL08].[All]" dimensionUniqueName="[Entity_STATGAAP]" displayFolder="" count="0" memberValueDatatype="5" unbalanced="0" hidden="1"/>
    <cacheHierarchy uniqueName="[Entity_STATGAAP].[N_DISPLAY_ORDER_NUM_LEVEL09]" caption="N_DISPLAY_ORDER_NUM_LEVEL09" attribute="1" defaultMemberUniqueName="[Entity_STATGAAP].[N_DISPLAY_ORDER_NUM_LEVEL09].[All]" allUniqueName="[Entity_STATGAAP].[N_DISPLAY_ORDER_NUM_LEVEL09].[All]" dimensionUniqueName="[Entity_STATGAAP]" displayFolder="" count="0" memberValueDatatype="5" unbalanced="0" hidden="1"/>
    <cacheHierarchy uniqueName="[Entity_STATGAAP].[N_DISPLAY_ORDER_NUM_LEVEL10]" caption="N_DISPLAY_ORDER_NUM_LEVEL10" attribute="1" defaultMemberUniqueName="[Entity_STATGAAP].[N_DISPLAY_ORDER_NUM_LEVEL10].[All]" allUniqueName="[Entity_STATGAAP].[N_DISPLAY_ORDER_NUM_LEVEL10].[All]" dimensionUniqueName="[Entity_STATGAAP]" displayFolder="" count="0" memberValueDatatype="5" unbalanced="0" hidden="1"/>
    <cacheHierarchy uniqueName="[Entity_STATGAAP].[N_DISPLAY_ORDER_NUM_LEVEL11]" caption="N_DISPLAY_ORDER_NUM_LEVEL11" attribute="1" defaultMemberUniqueName="[Entity_STATGAAP].[N_DISPLAY_ORDER_NUM_LEVEL11].[All]" allUniqueName="[Entity_STATGAAP].[N_DISPLAY_ORDER_NUM_LEVEL11].[All]" dimensionUniqueName="[Entity_STATGAAP]" displayFolder="" count="0" memberValueDatatype="5" unbalanced="0" hidden="1"/>
    <cacheHierarchy uniqueName="[Entity_STATGAAP].[N_DISPLAY_ORDER_NUM_LEVEL12]" caption="N_DISPLAY_ORDER_NUM_LEVEL12" attribute="1" defaultMemberUniqueName="[Entity_STATGAAP].[N_DISPLAY_ORDER_NUM_LEVEL12].[All]" allUniqueName="[Entity_STATGAAP].[N_DISPLAY_ORDER_NUM_LEVEL12].[All]" dimensionUniqueName="[Entity_STATGAAP]" displayFolder="" count="0" memberValueDatatype="5" unbalanced="0" hidden="1"/>
    <cacheHierarchy uniqueName="[Entity_STATGAAP].[N_DISPLAY_ORDER_NUM_LEVEL13]" caption="N_DISPLAY_ORDER_NUM_LEVEL13" attribute="1" defaultMemberUniqueName="[Entity_STATGAAP].[N_DISPLAY_ORDER_NUM_LEVEL13].[All]" allUniqueName="[Entity_STATGAAP].[N_DISPLAY_ORDER_NUM_LEVEL13].[All]" dimensionUniqueName="[Entity_STATGAAP]" displayFolder="" count="0" memberValueDatatype="5" unbalanced="0" hidden="1"/>
    <cacheHierarchy uniqueName="[Entity_STATGAAP].[N_DISPLAY_ORDER_NUM_LEVEL14]" caption="N_DISPLAY_ORDER_NUM_LEVEL14" attribute="1" defaultMemberUniqueName="[Entity_STATGAAP].[N_DISPLAY_ORDER_NUM_LEVEL14].[All]" allUniqueName="[Entity_STATGAAP].[N_DISPLAY_ORDER_NUM_LEVEL14].[All]" dimensionUniqueName="[Entity_STATGAAP]" displayFolder="" count="0" memberValueDatatype="5" unbalanced="0" hidden="1"/>
    <cacheHierarchy uniqueName="[Entity_STATGAAP].[N_DISPLAY_ORDER_NUM_LEVEL15]" caption="N_DISPLAY_ORDER_NUM_LEVEL15" attribute="1" defaultMemberUniqueName="[Entity_STATGAAP].[N_DISPLAY_ORDER_NUM_LEVEL15].[All]" allUniqueName="[Entity_STATGAAP].[N_DISPLAY_ORDER_NUM_LEVEL15].[All]" dimensionUniqueName="[Entity_STATGAAP]" displayFolder="" count="0" memberValueDatatype="5" unbalanced="0" hidden="1"/>
    <cacheHierarchy uniqueName="[Entity_STATGAAP].[N_DISPLAY_ORDER_NUM_LEVEL16]" caption="N_DISPLAY_ORDER_NUM_LEVEL16" attribute="1" defaultMemberUniqueName="[Entity_STATGAAP].[N_DISPLAY_ORDER_NUM_LEVEL16].[All]" allUniqueName="[Entity_STATGAAP].[N_DISPLAY_ORDER_NUM_LEVEL16].[All]" dimensionUniqueName="[Entity_STATGAAP]" displayFolder="" count="0" memberValueDatatype="5" unbalanced="0" hidden="1"/>
    <cacheHierarchy uniqueName="[Entity_STATGAAP].[N_DISPLAY_ORDER_NUM_LEVEL17]" caption="N_DISPLAY_ORDER_NUM_LEVEL17" attribute="1" defaultMemberUniqueName="[Entity_STATGAAP].[N_DISPLAY_ORDER_NUM_LEVEL17].[All]" allUniqueName="[Entity_STATGAAP].[N_DISPLAY_ORDER_NUM_LEVEL17].[All]" dimensionUniqueName="[Entity_STATGAAP]" displayFolder="" count="0" memberValueDatatype="5" unbalanced="0" hidden="1"/>
    <cacheHierarchy uniqueName="[Entity_STATGAAP].[N_DISPLAY_ORDER_NUM_LEVEL18]" caption="N_DISPLAY_ORDER_NUM_LEVEL18" attribute="1" defaultMemberUniqueName="[Entity_STATGAAP].[N_DISPLAY_ORDER_NUM_LEVEL18].[All]" allUniqueName="[Entity_STATGAAP].[N_DISPLAY_ORDER_NUM_LEVEL18].[All]" dimensionUniqueName="[Entity_STATGAAP]" displayFolder="" count="0" memberValueDatatype="5" unbalanced="0" hidden="1"/>
    <cacheHierarchy uniqueName="[Entity_STATGAAP].[N_DISPLAY_ORDER_NUM_LEVEL19]" caption="N_DISPLAY_ORDER_NUM_LEVEL19" attribute="1" defaultMemberUniqueName="[Entity_STATGAAP].[N_DISPLAY_ORDER_NUM_LEVEL19].[All]" allUniqueName="[Entity_STATGAAP].[N_DISPLAY_ORDER_NUM_LEVEL19].[All]" dimensionUniqueName="[Entity_STATGAAP]" displayFolder="" count="0" memberValueDatatype="5" unbalanced="0" hidden="1"/>
    <cacheHierarchy uniqueName="[Entity_STATGAAP].[N_DISPLAY_ORDER_NUM_LEVEL20]" caption="N_DISPLAY_ORDER_NUM_LEVEL20" attribute="1" defaultMemberUniqueName="[Entity_STATGAAP].[N_DISPLAY_ORDER_NUM_LEVEL20].[All]" allUniqueName="[Entity_STATGAAP].[N_DISPLAY_ORDER_NUM_LEVEL20].[All]" dimensionUniqueName="[Entity_STATGAAP]" displayFolder="" count="0" memberValueDatatype="5" unbalanced="0" hidden="1"/>
    <cacheHierarchy uniqueName="[GFS_Code].[N_COMM_SEGMENT_SKEY]" caption="N_COMM_SEGMENT_SKEY" attribute="1" defaultMemberUniqueName="[GFS_Code].[N_COMM_SEGMENT_SKEY].[All]" allUniqueName="[GFS_Code].[N_COMM_SEGMENT_SKEY].[All]" dimensionUniqueName="[GFS_Code]" displayFolder="" count="0" memberValueDatatype="5" unbalanced="0" hidden="1"/>
    <cacheHierarchy uniqueName="[GFS_Code_Type].[N_COMM_SEGMENT_SKEY]" caption="N_COMM_SEGMENT_SKEY" attribute="1" defaultMemberUniqueName="[GFS_Code_Type].[N_COMM_SEGMENT_SKEY].[All]" allUniqueName="[GFS_Code_Type].[N_COMM_SEGMENT_SKEY].[All]" dimensionUniqueName="[GFS_Code_Type]" displayFolder="" count="0" memberValueDatatype="5" unbalanced="0" hidden="1"/>
    <cacheHierarchy uniqueName="[Home_State].[Insured_State_ID]" caption="Insured_State_ID" attribute="1" defaultMemberUniqueName="[Home_State].[Insured_State_ID].[All]" allUniqueName="[Home_State].[Insured_State_ID].[All]" dimensionUniqueName="[Home_State]" displayFolder="" count="0" memberValueDatatype="5" unbalanced="0" hidden="1"/>
    <cacheHierarchy uniqueName="[Journal_Source].[N_COMM_SEGMENT_ID]" caption="N_COMM_SEGMENT_ID" attribute="1" defaultMemberUniqueName="[Journal_Source].[N_COMM_SEGMENT_ID].[All]" allUniqueName="[Journal_Source].[N_COMM_SEGMENT_ID].[All]" dimensionUniqueName="[Journal_Source]" displayFolder="" count="0" memberValueDatatype="5" unbalanced="0" hidden="1"/>
    <cacheHierarchy uniqueName="[Ledger].[Ledger_ID]" caption="Ledger_ID" attribute="1" defaultMemberUniqueName="[Ledger].[Ledger_ID].[All]" allUniqueName="[Ledger].[Ledger_ID].[All]" dimensionUniqueName="[Ledger]" displayFolder="" count="0" memberValueDatatype="5" unbalanced="0" hidden="1"/>
    <cacheHierarchy uniqueName="[Location_Consolidated].[Location_ID]" caption="Location_ID" attribute="1" defaultMemberUniqueName="[Location_Consolidated].[Location_ID].[All]" allUniqueName="[Location_Consolidated].[Location_ID].[All]" dimensionUniqueName="[Location_Consolidated]" displayFolder="" count="0" memberValueDatatype="5" unbalanced="0" hidden="1"/>
    <cacheHierarchy uniqueName="[Location_Consolidated].[N_DISPLAY_ORDER_NUM_LEVEL01]" caption="N_DISPLAY_ORDER_NUM_LEVEL01" attribute="1" defaultMemberUniqueName="[Location_Consolidated].[N_DISPLAY_ORDER_NUM_LEVEL01].[All]" allUniqueName="[Location_Consolidated].[N_DISPLAY_ORDER_NUM_LEVEL01].[All]" dimensionUniqueName="[Location_Consolidated]" displayFolder="" count="0" memberValueDatatype="5" unbalanced="0" hidden="1"/>
    <cacheHierarchy uniqueName="[Location_Consolidated].[N_DISPLAY_ORDER_NUM_LEVEL02]" caption="N_DISPLAY_ORDER_NUM_LEVEL02" attribute="1" defaultMemberUniqueName="[Location_Consolidated].[N_DISPLAY_ORDER_NUM_LEVEL02].[All]" allUniqueName="[Location_Consolidated].[N_DISPLAY_ORDER_NUM_LEVEL02].[All]" dimensionUniqueName="[Location_Consolidated]" displayFolder="" count="0" memberValueDatatype="5" unbalanced="0" hidden="1"/>
    <cacheHierarchy uniqueName="[Location_Consolidated].[N_DISPLAY_ORDER_NUM_LEVEL03]" caption="N_DISPLAY_ORDER_NUM_LEVEL03" attribute="1" defaultMemberUniqueName="[Location_Consolidated].[N_DISPLAY_ORDER_NUM_LEVEL03].[All]" allUniqueName="[Location_Consolidated].[N_DISPLAY_ORDER_NUM_LEVEL03].[All]" dimensionUniqueName="[Location_Consolidated]" displayFolder="" count="0" memberValueDatatype="5" unbalanced="0" hidden="1"/>
    <cacheHierarchy uniqueName="[Location_Consolidated].[N_DISPLAY_ORDER_NUM_LEVEL04]" caption="N_DISPLAY_ORDER_NUM_LEVEL04" attribute="1" defaultMemberUniqueName="[Location_Consolidated].[N_DISPLAY_ORDER_NUM_LEVEL04].[All]" allUniqueName="[Location_Consolidated].[N_DISPLAY_ORDER_NUM_LEVEL04].[All]" dimensionUniqueName="[Location_Consolidated]" displayFolder="" count="0" memberValueDatatype="5" unbalanced="0" hidden="1"/>
    <cacheHierarchy uniqueName="[Location_Consolidated].[N_DISPLAY_ORDER_NUM_LEVEL05]" caption="N_DISPLAY_ORDER_NUM_LEVEL05" attribute="1" defaultMemberUniqueName="[Location_Consolidated].[N_DISPLAY_ORDER_NUM_LEVEL05].[All]" allUniqueName="[Location_Consolidated].[N_DISPLAY_ORDER_NUM_LEVEL05].[All]" dimensionUniqueName="[Location_Consolidated]" displayFolder="" count="0" memberValueDatatype="5" unbalanced="0" hidden="1"/>
    <cacheHierarchy uniqueName="[Location_Consolidated].[N_DISPLAY_ORDER_NUM_LEVEL06]" caption="N_DISPLAY_ORDER_NUM_LEVEL06" attribute="1" defaultMemberUniqueName="[Location_Consolidated].[N_DISPLAY_ORDER_NUM_LEVEL06].[All]" allUniqueName="[Location_Consolidated].[N_DISPLAY_ORDER_NUM_LEVEL06].[All]" dimensionUniqueName="[Location_Consolidated]" displayFolder="" count="0" memberValueDatatype="5" unbalanced="0" hidden="1"/>
    <cacheHierarchy uniqueName="[Location_Consolidated].[N_DISPLAY_ORDER_NUM_LEVEL07]" caption="N_DISPLAY_ORDER_NUM_LEVEL07" attribute="1" defaultMemberUniqueName="[Location_Consolidated].[N_DISPLAY_ORDER_NUM_LEVEL07].[All]" allUniqueName="[Location_Consolidated].[N_DISPLAY_ORDER_NUM_LEVEL07].[All]" dimensionUniqueName="[Location_Consolidated]" displayFolder="" count="0" memberValueDatatype="5" unbalanced="0" hidden="1"/>
    <cacheHierarchy uniqueName="[Location_Consolidated].[N_DISPLAY_ORDER_NUM_LEVEL08]" caption="N_DISPLAY_ORDER_NUM_LEVEL08" attribute="1" defaultMemberUniqueName="[Location_Consolidated].[N_DISPLAY_ORDER_NUM_LEVEL08].[All]" allUniqueName="[Location_Consolidated].[N_DISPLAY_ORDER_NUM_LEVEL08].[All]" dimensionUniqueName="[Location_Consolidated]" displayFolder="" count="0" memberValueDatatype="5" unbalanced="0" hidden="1"/>
    <cacheHierarchy uniqueName="[Location_Consolidated].[N_DISPLAY_ORDER_NUM_LEVEL09]" caption="N_DISPLAY_ORDER_NUM_LEVEL09" attribute="1" defaultMemberUniqueName="[Location_Consolidated].[N_DISPLAY_ORDER_NUM_LEVEL09].[All]" allUniqueName="[Location_Consolidated].[N_DISPLAY_ORDER_NUM_LEVEL09].[All]" dimensionUniqueName="[Location_Consolidated]" displayFolder="" count="0" memberValueDatatype="5" unbalanced="0" hidden="1"/>
    <cacheHierarchy uniqueName="[Location_Consolidated].[N_DISPLAY_ORDER_NUM_LEVEL10]" caption="N_DISPLAY_ORDER_NUM_LEVEL10" attribute="1" defaultMemberUniqueName="[Location_Consolidated].[N_DISPLAY_ORDER_NUM_LEVEL10].[All]" allUniqueName="[Location_Consolidated].[N_DISPLAY_ORDER_NUM_LEVEL10].[All]" dimensionUniqueName="[Location_Consolidated]" displayFolder="" count="0" memberValueDatatype="5" unbalanced="0" hidden="1"/>
    <cacheHierarchy uniqueName="[Location_Consolidated].[N_DISPLAY_ORDER_NUM_LEVEL11]" caption="N_DISPLAY_ORDER_NUM_LEVEL11" attribute="1" defaultMemberUniqueName="[Location_Consolidated].[N_DISPLAY_ORDER_NUM_LEVEL11].[All]" allUniqueName="[Location_Consolidated].[N_DISPLAY_ORDER_NUM_LEVEL11].[All]" dimensionUniqueName="[Location_Consolidated]" displayFolder="" count="0" memberValueDatatype="5" unbalanced="0" hidden="1"/>
    <cacheHierarchy uniqueName="[Location_Consolidated].[N_DISPLAY_ORDER_NUM_LEVEL12]" caption="N_DISPLAY_ORDER_NUM_LEVEL12" attribute="1" defaultMemberUniqueName="[Location_Consolidated].[N_DISPLAY_ORDER_NUM_LEVEL12].[All]" allUniqueName="[Location_Consolidated].[N_DISPLAY_ORDER_NUM_LEVEL12].[All]" dimensionUniqueName="[Location_Consolidated]" displayFolder="" count="0" memberValueDatatype="5" unbalanced="0" hidden="1"/>
    <cacheHierarchy uniqueName="[Location_Consolidated].[N_DISPLAY_ORDER_NUM_LEVEL13]" caption="N_DISPLAY_ORDER_NUM_LEVEL13" attribute="1" defaultMemberUniqueName="[Location_Consolidated].[N_DISPLAY_ORDER_NUM_LEVEL13].[All]" allUniqueName="[Location_Consolidated].[N_DISPLAY_ORDER_NUM_LEVEL13].[All]" dimensionUniqueName="[Location_Consolidated]" displayFolder="" count="0" memberValueDatatype="5" unbalanced="0" hidden="1"/>
    <cacheHierarchy uniqueName="[Location_Consolidated].[N_DISPLAY_ORDER_NUM_LEVEL14]" caption="N_DISPLAY_ORDER_NUM_LEVEL14" attribute="1" defaultMemberUniqueName="[Location_Consolidated].[N_DISPLAY_ORDER_NUM_LEVEL14].[All]" allUniqueName="[Location_Consolidated].[N_DISPLAY_ORDER_NUM_LEVEL14].[All]" dimensionUniqueName="[Location_Consolidated]" displayFolder="" count="0" memberValueDatatype="5" unbalanced="0" hidden="1"/>
    <cacheHierarchy uniqueName="[Location_Consolidated].[N_DISPLAY_ORDER_NUM_LEVEL15]" caption="N_DISPLAY_ORDER_NUM_LEVEL15" attribute="1" defaultMemberUniqueName="[Location_Consolidated].[N_DISPLAY_ORDER_NUM_LEVEL15].[All]" allUniqueName="[Location_Consolidated].[N_DISPLAY_ORDER_NUM_LEVEL15].[All]" dimensionUniqueName="[Location_Consolidated]" displayFolder="" count="0" memberValueDatatype="5" unbalanced="0" hidden="1"/>
    <cacheHierarchy uniqueName="[Location_Consolidated].[N_DISPLAY_ORDER_NUM_LEVEL16]" caption="N_DISPLAY_ORDER_NUM_LEVEL16" attribute="1" defaultMemberUniqueName="[Location_Consolidated].[N_DISPLAY_ORDER_NUM_LEVEL16].[All]" allUniqueName="[Location_Consolidated].[N_DISPLAY_ORDER_NUM_LEVEL16].[All]" dimensionUniqueName="[Location_Consolidated]" displayFolder="" count="0" memberValueDatatype="5" unbalanced="0" hidden="1"/>
    <cacheHierarchy uniqueName="[Location_Consolidated].[N_DISPLAY_ORDER_NUM_LEVEL17]" caption="N_DISPLAY_ORDER_NUM_LEVEL17" attribute="1" defaultMemberUniqueName="[Location_Consolidated].[N_DISPLAY_ORDER_NUM_LEVEL17].[All]" allUniqueName="[Location_Consolidated].[N_DISPLAY_ORDER_NUM_LEVEL17].[All]" dimensionUniqueName="[Location_Consolidated]" displayFolder="" count="0" memberValueDatatype="5" unbalanced="0" hidden="1"/>
    <cacheHierarchy uniqueName="[Location_Consolidated].[N_DISPLAY_ORDER_NUM_LEVEL18]" caption="N_DISPLAY_ORDER_NUM_LEVEL18" attribute="1" defaultMemberUniqueName="[Location_Consolidated].[N_DISPLAY_ORDER_NUM_LEVEL18].[All]" allUniqueName="[Location_Consolidated].[N_DISPLAY_ORDER_NUM_LEVEL18].[All]" dimensionUniqueName="[Location_Consolidated]" displayFolder="" count="0" memberValueDatatype="5" unbalanced="0" hidden="1"/>
    <cacheHierarchy uniqueName="[Location_Consolidated].[N_DISPLAY_ORDER_NUM_LEVEL19]" caption="N_DISPLAY_ORDER_NUM_LEVEL19" attribute="1" defaultMemberUniqueName="[Location_Consolidated].[N_DISPLAY_ORDER_NUM_LEVEL19].[All]" allUniqueName="[Location_Consolidated].[N_DISPLAY_ORDER_NUM_LEVEL19].[All]" dimensionUniqueName="[Location_Consolidated]" displayFolder="" count="0" memberValueDatatype="5" unbalanced="0" hidden="1"/>
    <cacheHierarchy uniqueName="[Location_Consolidated].[N_DISPLAY_ORDER_NUM_LEVEL20]" caption="N_DISPLAY_ORDER_NUM_LEVEL20" attribute="1" defaultMemberUniqueName="[Location_Consolidated].[N_DISPLAY_ORDER_NUM_LEVEL20].[All]" allUniqueName="[Location_Consolidated].[N_DISPLAY_ORDER_NUM_LEVEL20].[All]" dimensionUniqueName="[Location_Consolidated]" displayFolder="" count="0" memberValueDatatype="5" unbalanced="0" hidden="1"/>
    <cacheHierarchy uniqueName="[Location_Managerial].[Location_ID]" caption="Location_ID" attribute="1" defaultMemberUniqueName="[Location_Managerial].[Location_ID].[All]" allUniqueName="[Location_Managerial].[Location_ID].[All]" dimensionUniqueName="[Location_Managerial]" displayFolder="" count="0" memberValueDatatype="5" unbalanced="0" hidden="1"/>
    <cacheHierarchy uniqueName="[Location_Managerial].[N_DISPLAY_ORDER_NUM_LEVEL01]" caption="N_DISPLAY_ORDER_NUM_LEVEL01" attribute="1" defaultMemberUniqueName="[Location_Managerial].[N_DISPLAY_ORDER_NUM_LEVEL01].[All]" allUniqueName="[Location_Managerial].[N_DISPLAY_ORDER_NUM_LEVEL01].[All]" dimensionUniqueName="[Location_Managerial]" displayFolder="" count="0" memberValueDatatype="5" unbalanced="0" hidden="1"/>
    <cacheHierarchy uniqueName="[Location_Managerial].[N_DISPLAY_ORDER_NUM_LEVEL02]" caption="N_DISPLAY_ORDER_NUM_LEVEL02" attribute="1" defaultMemberUniqueName="[Location_Managerial].[N_DISPLAY_ORDER_NUM_LEVEL02].[All]" allUniqueName="[Location_Managerial].[N_DISPLAY_ORDER_NUM_LEVEL02].[All]" dimensionUniqueName="[Location_Managerial]" displayFolder="" count="0" memberValueDatatype="5" unbalanced="0" hidden="1"/>
    <cacheHierarchy uniqueName="[Location_Managerial].[N_DISPLAY_ORDER_NUM_LEVEL03]" caption="N_DISPLAY_ORDER_NUM_LEVEL03" attribute="1" defaultMemberUniqueName="[Location_Managerial].[N_DISPLAY_ORDER_NUM_LEVEL03].[All]" allUniqueName="[Location_Managerial].[N_DISPLAY_ORDER_NUM_LEVEL03].[All]" dimensionUniqueName="[Location_Managerial]" displayFolder="" count="0" memberValueDatatype="5" unbalanced="0" hidden="1"/>
    <cacheHierarchy uniqueName="[Location_Managerial].[N_DISPLAY_ORDER_NUM_LEVEL04]" caption="N_DISPLAY_ORDER_NUM_LEVEL04" attribute="1" defaultMemberUniqueName="[Location_Managerial].[N_DISPLAY_ORDER_NUM_LEVEL04].[All]" allUniqueName="[Location_Managerial].[N_DISPLAY_ORDER_NUM_LEVEL04].[All]" dimensionUniqueName="[Location_Managerial]" displayFolder="" count="0" memberValueDatatype="5" unbalanced="0" hidden="1"/>
    <cacheHierarchy uniqueName="[Location_Managerial].[N_DISPLAY_ORDER_NUM_LEVEL05]" caption="N_DISPLAY_ORDER_NUM_LEVEL05" attribute="1" defaultMemberUniqueName="[Location_Managerial].[N_DISPLAY_ORDER_NUM_LEVEL05].[All]" allUniqueName="[Location_Managerial].[N_DISPLAY_ORDER_NUM_LEVEL05].[All]" dimensionUniqueName="[Location_Managerial]" displayFolder="" count="0" memberValueDatatype="5" unbalanced="0" hidden="1"/>
    <cacheHierarchy uniqueName="[Location_Managerial].[N_DISPLAY_ORDER_NUM_LEVEL06]" caption="N_DISPLAY_ORDER_NUM_LEVEL06" attribute="1" defaultMemberUniqueName="[Location_Managerial].[N_DISPLAY_ORDER_NUM_LEVEL06].[All]" allUniqueName="[Location_Managerial].[N_DISPLAY_ORDER_NUM_LEVEL06].[All]" dimensionUniqueName="[Location_Managerial]" displayFolder="" count="0" memberValueDatatype="5" unbalanced="0" hidden="1"/>
    <cacheHierarchy uniqueName="[Location_Managerial].[N_DISPLAY_ORDER_NUM_LEVEL07]" caption="N_DISPLAY_ORDER_NUM_LEVEL07" attribute="1" defaultMemberUniqueName="[Location_Managerial].[N_DISPLAY_ORDER_NUM_LEVEL07].[All]" allUniqueName="[Location_Managerial].[N_DISPLAY_ORDER_NUM_LEVEL07].[All]" dimensionUniqueName="[Location_Managerial]" displayFolder="" count="0" memberValueDatatype="5" unbalanced="0" hidden="1"/>
    <cacheHierarchy uniqueName="[Location_Managerial].[N_DISPLAY_ORDER_NUM_LEVEL08]" caption="N_DISPLAY_ORDER_NUM_LEVEL08" attribute="1" defaultMemberUniqueName="[Location_Managerial].[N_DISPLAY_ORDER_NUM_LEVEL08].[All]" allUniqueName="[Location_Managerial].[N_DISPLAY_ORDER_NUM_LEVEL08].[All]" dimensionUniqueName="[Location_Managerial]" displayFolder="" count="0" memberValueDatatype="5" unbalanced="0" hidden="1"/>
    <cacheHierarchy uniqueName="[Location_Managerial].[N_DISPLAY_ORDER_NUM_LEVEL09]" caption="N_DISPLAY_ORDER_NUM_LEVEL09" attribute="1" defaultMemberUniqueName="[Location_Managerial].[N_DISPLAY_ORDER_NUM_LEVEL09].[All]" allUniqueName="[Location_Managerial].[N_DISPLAY_ORDER_NUM_LEVEL09].[All]" dimensionUniqueName="[Location_Managerial]" displayFolder="" count="0" memberValueDatatype="5" unbalanced="0" hidden="1"/>
    <cacheHierarchy uniqueName="[Location_Managerial].[N_DISPLAY_ORDER_NUM_LEVEL10]" caption="N_DISPLAY_ORDER_NUM_LEVEL10" attribute="1" defaultMemberUniqueName="[Location_Managerial].[N_DISPLAY_ORDER_NUM_LEVEL10].[All]" allUniqueName="[Location_Managerial].[N_DISPLAY_ORDER_NUM_LEVEL10].[All]" dimensionUniqueName="[Location_Managerial]" displayFolder="" count="0" memberValueDatatype="5" unbalanced="0" hidden="1"/>
    <cacheHierarchy uniqueName="[Location_Managerial].[N_DISPLAY_ORDER_NUM_LEVEL11]" caption="N_DISPLAY_ORDER_NUM_LEVEL11" attribute="1" defaultMemberUniqueName="[Location_Managerial].[N_DISPLAY_ORDER_NUM_LEVEL11].[All]" allUniqueName="[Location_Managerial].[N_DISPLAY_ORDER_NUM_LEVEL11].[All]" dimensionUniqueName="[Location_Managerial]" displayFolder="" count="0" memberValueDatatype="5" unbalanced="0" hidden="1"/>
    <cacheHierarchy uniqueName="[Location_Managerial].[N_DISPLAY_ORDER_NUM_LEVEL12]" caption="N_DISPLAY_ORDER_NUM_LEVEL12" attribute="1" defaultMemberUniqueName="[Location_Managerial].[N_DISPLAY_ORDER_NUM_LEVEL12].[All]" allUniqueName="[Location_Managerial].[N_DISPLAY_ORDER_NUM_LEVEL12].[All]" dimensionUniqueName="[Location_Managerial]" displayFolder="" count="0" memberValueDatatype="5" unbalanced="0" hidden="1"/>
    <cacheHierarchy uniqueName="[Location_Managerial].[N_DISPLAY_ORDER_NUM_LEVEL13]" caption="N_DISPLAY_ORDER_NUM_LEVEL13" attribute="1" defaultMemberUniqueName="[Location_Managerial].[N_DISPLAY_ORDER_NUM_LEVEL13].[All]" allUniqueName="[Location_Managerial].[N_DISPLAY_ORDER_NUM_LEVEL13].[All]" dimensionUniqueName="[Location_Managerial]" displayFolder="" count="0" memberValueDatatype="5" unbalanced="0" hidden="1"/>
    <cacheHierarchy uniqueName="[Location_Managerial].[N_DISPLAY_ORDER_NUM_LEVEL14]" caption="N_DISPLAY_ORDER_NUM_LEVEL14" attribute="1" defaultMemberUniqueName="[Location_Managerial].[N_DISPLAY_ORDER_NUM_LEVEL14].[All]" allUniqueName="[Location_Managerial].[N_DISPLAY_ORDER_NUM_LEVEL14].[All]" dimensionUniqueName="[Location_Managerial]" displayFolder="" count="0" memberValueDatatype="5" unbalanced="0" hidden="1"/>
    <cacheHierarchy uniqueName="[Location_Managerial].[N_DISPLAY_ORDER_NUM_LEVEL15]" caption="N_DISPLAY_ORDER_NUM_LEVEL15" attribute="1" defaultMemberUniqueName="[Location_Managerial].[N_DISPLAY_ORDER_NUM_LEVEL15].[All]" allUniqueName="[Location_Managerial].[N_DISPLAY_ORDER_NUM_LEVEL15].[All]" dimensionUniqueName="[Location_Managerial]" displayFolder="" count="0" memberValueDatatype="5" unbalanced="0" hidden="1"/>
    <cacheHierarchy uniqueName="[Location_Managerial].[N_DISPLAY_ORDER_NUM_LEVEL16]" caption="N_DISPLAY_ORDER_NUM_LEVEL16" attribute="1" defaultMemberUniqueName="[Location_Managerial].[N_DISPLAY_ORDER_NUM_LEVEL16].[All]" allUniqueName="[Location_Managerial].[N_DISPLAY_ORDER_NUM_LEVEL16].[All]" dimensionUniqueName="[Location_Managerial]" displayFolder="" count="0" memberValueDatatype="5" unbalanced="0" hidden="1"/>
    <cacheHierarchy uniqueName="[Location_Managerial].[N_DISPLAY_ORDER_NUM_LEVEL17]" caption="N_DISPLAY_ORDER_NUM_LEVEL17" attribute="1" defaultMemberUniqueName="[Location_Managerial].[N_DISPLAY_ORDER_NUM_LEVEL17].[All]" allUniqueName="[Location_Managerial].[N_DISPLAY_ORDER_NUM_LEVEL17].[All]" dimensionUniqueName="[Location_Managerial]" displayFolder="" count="0" memberValueDatatype="5" unbalanced="0" hidden="1"/>
    <cacheHierarchy uniqueName="[Location_Managerial].[N_DISPLAY_ORDER_NUM_LEVEL18]" caption="N_DISPLAY_ORDER_NUM_LEVEL18" attribute="1" defaultMemberUniqueName="[Location_Managerial].[N_DISPLAY_ORDER_NUM_LEVEL18].[All]" allUniqueName="[Location_Managerial].[N_DISPLAY_ORDER_NUM_LEVEL18].[All]" dimensionUniqueName="[Location_Managerial]" displayFolder="" count="0" memberValueDatatype="5" unbalanced="0" hidden="1"/>
    <cacheHierarchy uniqueName="[Location_Managerial].[N_DISPLAY_ORDER_NUM_LEVEL19]" caption="N_DISPLAY_ORDER_NUM_LEVEL19" attribute="1" defaultMemberUniqueName="[Location_Managerial].[N_DISPLAY_ORDER_NUM_LEVEL19].[All]" allUniqueName="[Location_Managerial].[N_DISPLAY_ORDER_NUM_LEVEL19].[All]" dimensionUniqueName="[Location_Managerial]" displayFolder="" count="0" memberValueDatatype="5" unbalanced="0" hidden="1"/>
    <cacheHierarchy uniqueName="[Location_Managerial].[N_DISPLAY_ORDER_NUM_LEVEL20]" caption="N_DISPLAY_ORDER_NUM_LEVEL20" attribute="1" defaultMemberUniqueName="[Location_Managerial].[N_DISPLAY_ORDER_NUM_LEVEL20].[All]" allUniqueName="[Location_Managerial].[N_DISPLAY_ORDER_NUM_LEVEL20].[All]" dimensionUniqueName="[Location_Managerial]" displayFolder="" count="0" memberValueDatatype="5" unbalanced="0" hidden="1"/>
    <cacheHierarchy uniqueName="[Marketing_Channel].[N_COMM_SEGMENT_SKEY]" caption="N_COMM_SEGMENT_SKEY" attribute="1" defaultMemberUniqueName="[Marketing_Channel].[N_COMM_SEGMENT_SKEY].[All]" allUniqueName="[Marketing_Channel].[N_COMM_SEGMENT_SKEY].[All]" dimensionUniqueName="[Marketing_Channel]" displayFolder="" count="0" memberValueDatatype="5" unbalanced="0" hidden="1"/>
    <cacheHierarchy uniqueName="[Obligor_Code].[N_COMM_SEGMENT_SKEY]" caption="N_COMM_SEGMENT_SKEY" attribute="1" defaultMemberUniqueName="[Obligor_Code].[N_COMM_SEGMENT_SKEY].[All]" allUniqueName="[Obligor_Code].[N_COMM_SEGMENT_SKEY].[All]" dimensionUniqueName="[Obligor_Code]" displayFolder="" count="0" memberValueDatatype="5" unbalanced="0" hidden="1"/>
    <cacheHierarchy uniqueName="[Policy].[Policy_ID]" caption="Policy_ID" attribute="1" defaultMemberUniqueName="[Policy].[Policy_ID].[All]" allUniqueName="[Policy].[Policy_ID].[All]" dimensionUniqueName="[Policy]" displayFolder="" count="0" memberValueDatatype="5" unbalanced="0" hidden="1"/>
    <cacheHierarchy uniqueName="[Product_Managerial].[N_DISPLAY_ORDER_NUM_LEVEL01]" caption="N_DISPLAY_ORDER_NUM_LEVEL01" attribute="1" defaultMemberUniqueName="[Product_Managerial].[N_DISPLAY_ORDER_NUM_LEVEL01].[All]" allUniqueName="[Product_Managerial].[N_DISPLAY_ORDER_NUM_LEVEL01].[All]" dimensionUniqueName="[Product_Managerial]" displayFolder="" count="0" memberValueDatatype="5" unbalanced="0" hidden="1"/>
    <cacheHierarchy uniqueName="[Product_Managerial].[N_DISPLAY_ORDER_NUM_LEVEL02]" caption="N_DISPLAY_ORDER_NUM_LEVEL02" attribute="1" defaultMemberUniqueName="[Product_Managerial].[N_DISPLAY_ORDER_NUM_LEVEL02].[All]" allUniqueName="[Product_Managerial].[N_DISPLAY_ORDER_NUM_LEVEL02].[All]" dimensionUniqueName="[Product_Managerial]" displayFolder="" count="0" memberValueDatatype="5" unbalanced="0" hidden="1"/>
    <cacheHierarchy uniqueName="[Product_Managerial].[N_DISPLAY_ORDER_NUM_LEVEL03]" caption="N_DISPLAY_ORDER_NUM_LEVEL03" attribute="1" defaultMemberUniqueName="[Product_Managerial].[N_DISPLAY_ORDER_NUM_LEVEL03].[All]" allUniqueName="[Product_Managerial].[N_DISPLAY_ORDER_NUM_LEVEL03].[All]" dimensionUniqueName="[Product_Managerial]" displayFolder="" count="0" memberValueDatatype="5" unbalanced="0" hidden="1"/>
    <cacheHierarchy uniqueName="[Product_Managerial].[N_DISPLAY_ORDER_NUM_LEVEL04]" caption="N_DISPLAY_ORDER_NUM_LEVEL04" attribute="1" defaultMemberUniqueName="[Product_Managerial].[N_DISPLAY_ORDER_NUM_LEVEL04].[All]" allUniqueName="[Product_Managerial].[N_DISPLAY_ORDER_NUM_LEVEL04].[All]" dimensionUniqueName="[Product_Managerial]" displayFolder="" count="0" memberValueDatatype="5" unbalanced="0" hidden="1"/>
    <cacheHierarchy uniqueName="[Product_Managerial].[N_DISPLAY_ORDER_NUM_LEVEL05]" caption="N_DISPLAY_ORDER_NUM_LEVEL05" attribute="1" defaultMemberUniqueName="[Product_Managerial].[N_DISPLAY_ORDER_NUM_LEVEL05].[All]" allUniqueName="[Product_Managerial].[N_DISPLAY_ORDER_NUM_LEVEL05].[All]" dimensionUniqueName="[Product_Managerial]" displayFolder="" count="0" memberValueDatatype="5" unbalanced="0" hidden="1"/>
    <cacheHierarchy uniqueName="[Product_Managerial].[N_DISPLAY_ORDER_NUM_LEVEL06]" caption="N_DISPLAY_ORDER_NUM_LEVEL06" attribute="1" defaultMemberUniqueName="[Product_Managerial].[N_DISPLAY_ORDER_NUM_LEVEL06].[All]" allUniqueName="[Product_Managerial].[N_DISPLAY_ORDER_NUM_LEVEL06].[All]" dimensionUniqueName="[Product_Managerial]" displayFolder="" count="0" memberValueDatatype="5" unbalanced="0" hidden="1"/>
    <cacheHierarchy uniqueName="[Product_Managerial].[N_DISPLAY_ORDER_NUM_LEVEL07]" caption="N_DISPLAY_ORDER_NUM_LEVEL07" attribute="1" defaultMemberUniqueName="[Product_Managerial].[N_DISPLAY_ORDER_NUM_LEVEL07].[All]" allUniqueName="[Product_Managerial].[N_DISPLAY_ORDER_NUM_LEVEL07].[All]" dimensionUniqueName="[Product_Managerial]" displayFolder="" count="0" memberValueDatatype="5" unbalanced="0" hidden="1"/>
    <cacheHierarchy uniqueName="[Product_Managerial].[N_DISPLAY_ORDER_NUM_LEVEL08]" caption="N_DISPLAY_ORDER_NUM_LEVEL08" attribute="1" defaultMemberUniqueName="[Product_Managerial].[N_DISPLAY_ORDER_NUM_LEVEL08].[All]" allUniqueName="[Product_Managerial].[N_DISPLAY_ORDER_NUM_LEVEL08].[All]" dimensionUniqueName="[Product_Managerial]" displayFolder="" count="0" memberValueDatatype="5" unbalanced="0" hidden="1"/>
    <cacheHierarchy uniqueName="[Product_Managerial].[N_DISPLAY_ORDER_NUM_LEVEL09]" caption="N_DISPLAY_ORDER_NUM_LEVEL09" attribute="1" defaultMemberUniqueName="[Product_Managerial].[N_DISPLAY_ORDER_NUM_LEVEL09].[All]" allUniqueName="[Product_Managerial].[N_DISPLAY_ORDER_NUM_LEVEL09].[All]" dimensionUniqueName="[Product_Managerial]" displayFolder="" count="0" memberValueDatatype="5" unbalanced="0" hidden="1"/>
    <cacheHierarchy uniqueName="[Product_Managerial].[N_DISPLAY_ORDER_NUM_LEVEL10]" caption="N_DISPLAY_ORDER_NUM_LEVEL10" attribute="1" defaultMemberUniqueName="[Product_Managerial].[N_DISPLAY_ORDER_NUM_LEVEL10].[All]" allUniqueName="[Product_Managerial].[N_DISPLAY_ORDER_NUM_LEVEL10].[All]" dimensionUniqueName="[Product_Managerial]" displayFolder="" count="0" memberValueDatatype="5" unbalanced="0" hidden="1"/>
    <cacheHierarchy uniqueName="[Product_Managerial].[N_DISPLAY_ORDER_NUM_LEVEL11]" caption="N_DISPLAY_ORDER_NUM_LEVEL11" attribute="1" defaultMemberUniqueName="[Product_Managerial].[N_DISPLAY_ORDER_NUM_LEVEL11].[All]" allUniqueName="[Product_Managerial].[N_DISPLAY_ORDER_NUM_LEVEL11].[All]" dimensionUniqueName="[Product_Managerial]" displayFolder="" count="0" memberValueDatatype="5" unbalanced="0" hidden="1"/>
    <cacheHierarchy uniqueName="[Product_Managerial].[N_DISPLAY_ORDER_NUM_LEVEL12]" caption="N_DISPLAY_ORDER_NUM_LEVEL12" attribute="1" defaultMemberUniqueName="[Product_Managerial].[N_DISPLAY_ORDER_NUM_LEVEL12].[All]" allUniqueName="[Product_Managerial].[N_DISPLAY_ORDER_NUM_LEVEL12].[All]" dimensionUniqueName="[Product_Managerial]" displayFolder="" count="0" memberValueDatatype="5" unbalanced="0" hidden="1"/>
    <cacheHierarchy uniqueName="[Product_Managerial].[N_DISPLAY_ORDER_NUM_LEVEL13]" caption="N_DISPLAY_ORDER_NUM_LEVEL13" attribute="1" defaultMemberUniqueName="[Product_Managerial].[N_DISPLAY_ORDER_NUM_LEVEL13].[All]" allUniqueName="[Product_Managerial].[N_DISPLAY_ORDER_NUM_LEVEL13].[All]" dimensionUniqueName="[Product_Managerial]" displayFolder="" count="0" memberValueDatatype="5" unbalanced="0" hidden="1"/>
    <cacheHierarchy uniqueName="[Product_Managerial].[N_DISPLAY_ORDER_NUM_LEVEL14]" caption="N_DISPLAY_ORDER_NUM_LEVEL14" attribute="1" defaultMemberUniqueName="[Product_Managerial].[N_DISPLAY_ORDER_NUM_LEVEL14].[All]" allUniqueName="[Product_Managerial].[N_DISPLAY_ORDER_NUM_LEVEL14].[All]" dimensionUniqueName="[Product_Managerial]" displayFolder="" count="0" memberValueDatatype="5" unbalanced="0" hidden="1"/>
    <cacheHierarchy uniqueName="[Product_Managerial].[N_DISPLAY_ORDER_NUM_LEVEL15]" caption="N_DISPLAY_ORDER_NUM_LEVEL15" attribute="1" defaultMemberUniqueName="[Product_Managerial].[N_DISPLAY_ORDER_NUM_LEVEL15].[All]" allUniqueName="[Product_Managerial].[N_DISPLAY_ORDER_NUM_LEVEL15].[All]" dimensionUniqueName="[Product_Managerial]" displayFolder="" count="0" memberValueDatatype="5" unbalanced="0" hidden="1"/>
    <cacheHierarchy uniqueName="[Product_Managerial].[N_DISPLAY_ORDER_NUM_LEVEL16]" caption="N_DISPLAY_ORDER_NUM_LEVEL16" attribute="1" defaultMemberUniqueName="[Product_Managerial].[N_DISPLAY_ORDER_NUM_LEVEL16].[All]" allUniqueName="[Product_Managerial].[N_DISPLAY_ORDER_NUM_LEVEL16].[All]" dimensionUniqueName="[Product_Managerial]" displayFolder="" count="0" memberValueDatatype="5" unbalanced="0" hidden="1"/>
    <cacheHierarchy uniqueName="[Product_Managerial].[N_DISPLAY_ORDER_NUM_LEVEL17]" caption="N_DISPLAY_ORDER_NUM_LEVEL17" attribute="1" defaultMemberUniqueName="[Product_Managerial].[N_DISPLAY_ORDER_NUM_LEVEL17].[All]" allUniqueName="[Product_Managerial].[N_DISPLAY_ORDER_NUM_LEVEL17].[All]" dimensionUniqueName="[Product_Managerial]" displayFolder="" count="0" memberValueDatatype="5" unbalanced="0" hidden="1"/>
    <cacheHierarchy uniqueName="[Product_Managerial].[N_DISPLAY_ORDER_NUM_LEVEL18]" caption="N_DISPLAY_ORDER_NUM_LEVEL18" attribute="1" defaultMemberUniqueName="[Product_Managerial].[N_DISPLAY_ORDER_NUM_LEVEL18].[All]" allUniqueName="[Product_Managerial].[N_DISPLAY_ORDER_NUM_LEVEL18].[All]" dimensionUniqueName="[Product_Managerial]" displayFolder="" count="0" memberValueDatatype="5" unbalanced="0" hidden="1"/>
    <cacheHierarchy uniqueName="[Product_Managerial].[N_DISPLAY_ORDER_NUM_LEVEL19]" caption="N_DISPLAY_ORDER_NUM_LEVEL19" attribute="1" defaultMemberUniqueName="[Product_Managerial].[N_DISPLAY_ORDER_NUM_LEVEL19].[All]" allUniqueName="[Product_Managerial].[N_DISPLAY_ORDER_NUM_LEVEL19].[All]" dimensionUniqueName="[Product_Managerial]" displayFolder="" count="0" memberValueDatatype="5" unbalanced="0" hidden="1"/>
    <cacheHierarchy uniqueName="[Product_Managerial].[N_DISPLAY_ORDER_NUM_LEVEL20]" caption="N_DISPLAY_ORDER_NUM_LEVEL20" attribute="1" defaultMemberUniqueName="[Product_Managerial].[N_DISPLAY_ORDER_NUM_LEVEL20].[All]" allUniqueName="[Product_Managerial].[N_DISPLAY_ORDER_NUM_LEVEL20].[All]" dimensionUniqueName="[Product_Managerial]" displayFolder="" count="0" memberValueDatatype="5" unbalanced="0" hidden="1"/>
    <cacheHierarchy uniqueName="[Product_Managerial].[PRODUCT_ID]" caption="PRODUCT_ID" attribute="1" defaultMemberUniqueName="[Product_Managerial].[PRODUCT_ID].[All]" allUniqueName="[Product_Managerial].[PRODUCT_ID].[All]" dimensionUniqueName="[Product_Managerial]" displayFolder="" count="0" memberValueDatatype="5" unbalanced="0" hidden="1"/>
    <cacheHierarchy uniqueName="[Program].[N_COMM_SEGMENT_SKEY]" caption="N_COMM_SEGMENT_SKEY" attribute="1" defaultMemberUniqueName="[Program].[N_COMM_SEGMENT_SKEY].[All]" allUniqueName="[Program].[N_COMM_SEGMENT_SKEY].[All]" dimensionUniqueName="[Program]" displayFolder="" count="0" memberValueDatatype="5" unbalanced="0" hidden="1"/>
    <cacheHierarchy uniqueName="[Reinsurer].[N_COMM_SEGMENT_SKEY]" caption="N_COMM_SEGMENT_SKEY" attribute="1" defaultMemberUniqueName="[Reinsurer].[N_COMM_SEGMENT_SKEY].[All]" allUniqueName="[Reinsurer].[N_COMM_SEGMENT_SKEY].[All]" dimensionUniqueName="[Reinsurer]" displayFolder="" count="0" memberValueDatatype="5" unbalanced="0" hidden="1"/>
    <cacheHierarchy uniqueName="[Risk_Location].[Risk_State_ID]" caption="Risk_State_ID" attribute="1" defaultMemberUniqueName="[Risk_Location].[Risk_State_ID].[All]" allUniqueName="[Risk_Location].[Risk_State_ID].[All]" dimensionUniqueName="[Risk_Location]" displayFolder="" count="0" memberValueDatatype="5" unbalanced="0" hidden="1"/>
    <cacheHierarchy uniqueName="[SL_BALANCES].[Accounting Period]" caption="Accounting Period" attribute="1" time="1" defaultMemberUniqueName="[SL_BALANCES].[Accounting Period].[All]" allUniqueName="[SL_BALANCES].[Accounting Period].[All]" dimensionUniqueName="[SL_BALANCES]" displayFolder="Balance Dates" count="0" memberValueDatatype="7" unbalanced="0" hidden="1"/>
    <cacheHierarchy uniqueName="[SL_BALANCES].[DIKey]" caption="DIKey" attribute="1" defaultMemberUniqueName="[SL_BALANCES].[DIKey].[All]" allUniqueName="[SL_BALANCES].[DIKey].[All]" dimensionUniqueName="[SL_BALANCES]" displayFolder="" count="0" memberValueDatatype="20" unbalanced="0" hidden="1"/>
    <cacheHierarchy uniqueName="[SL_BALANCES].[EndKey]" caption="EndKey" attribute="1" defaultMemberUniqueName="[SL_BALANCES].[EndKey].[All]" allUniqueName="[SL_BALANCES].[EndKey].[All]" dimensionUniqueName="[SL_BALANCES]" displayFolder="" count="0" memberValueDatatype="130" unbalanced="0" hidden="1"/>
    <cacheHierarchy uniqueName="[SL_BALANCES].[N_AFFILIATE_SKEY]" caption="N_AFFILIATE_SKEY" attribute="1" defaultMemberUniqueName="[SL_BALANCES].[N_AFFILIATE_SKEY].[All]" allUniqueName="[SL_BALANCES].[N_AFFILIATE_SKEY].[All]" dimensionUniqueName="[SL_BALANCES]" displayFolder="" count="0" memberValueDatatype="5" unbalanced="0" hidden="1"/>
    <cacheHierarchy uniqueName="[SL_BALANCES].[N_AMT_CLASS_SKEY]" caption="N_AMT_CLASS_SKEY" attribute="1" defaultMemberUniqueName="[SL_BALANCES].[N_AMT_CLASS_SKEY].[All]" allUniqueName="[SL_BALANCES].[N_AMT_CLASS_SKEY].[All]" dimensionUniqueName="[SL_BALANCES]" displayFolder="" count="0" memberValueDatatype="5" unbalanced="0" hidden="1"/>
    <cacheHierarchy uniqueName="[SL_BALANCES].[N_BOB_SKEY]" caption="N_BOB_SKEY" attribute="1" defaultMemberUniqueName="[SL_BALANCES].[N_BOB_SKEY].[All]" allUniqueName="[SL_BALANCES].[N_BOB_SKEY].[All]" dimensionUniqueName="[SL_BALANCES]" displayFolder="" count="0" memberValueDatatype="5" unbalanced="0" hidden="1"/>
    <cacheHierarchy uniqueName="[SL_BALANCES].[N_CATASTROPHE_CODE_SKEY]" caption="N_CATASTROPHE_CODE_SKEY" attribute="1" defaultMemberUniqueName="[SL_BALANCES].[N_CATASTROPHE_CODE_SKEY].[All]" allUniqueName="[SL_BALANCES].[N_CATASTROPHE_CODE_SKEY].[All]" dimensionUniqueName="[SL_BALANCES]" displayFolder="" count="0" memberValueDatatype="5" unbalanced="0" hidden="1"/>
    <cacheHierarchy uniqueName="[SL_BALANCES].[N_CATASTROPHE_INDICATOR_SKEY]" caption="N_CATASTROPHE_INDICATOR_SKEY" attribute="1" defaultMemberUniqueName="[SL_BALANCES].[N_CATASTROPHE_INDICATOR_SKEY].[All]" allUniqueName="[SL_BALANCES].[N_CATASTROPHE_INDICATOR_SKEY].[All]" dimensionUniqueName="[SL_BALANCES]" displayFolder="" count="0" memberValueDatatype="5" unbalanced="0" hidden="1"/>
    <cacheHierarchy uniqueName="[SL_BALANCES].[N_CENTER_SKEY]" caption="N_CENTER_SKEY" attribute="1" defaultMemberUniqueName="[SL_BALANCES].[N_CENTER_SKEY].[All]" allUniqueName="[SL_BALANCES].[N_CENTER_SKEY].[All]" dimensionUniqueName="[SL_BALANCES]" displayFolder="" count="0" memberValueDatatype="5" unbalanced="0" hidden="1"/>
    <cacheHierarchy uniqueName="[SL_BALANCES].[N_CLIENT_SKEY]" caption="N_CLIENT_SKEY" attribute="1" defaultMemberUniqueName="[SL_BALANCES].[N_CLIENT_SKEY].[All]" allUniqueName="[SL_BALANCES].[N_CLIENT_SKEY].[All]" dimensionUniqueName="[SL_BALANCES]" displayFolder="" count="0" memberValueDatatype="5" unbalanced="0" hidden="1"/>
    <cacheHierarchy uniqueName="[SL_BALANCES].[N_COVERED_EQUIPMENT_SKEY]" caption="N_COVERED_EQUIPMENT_SKEY" attribute="1" defaultMemberUniqueName="[SL_BALANCES].[N_COVERED_EQUIPMENT_SKEY].[All]" allUniqueName="[SL_BALANCES].[N_COVERED_EQUIPMENT_SKEY].[All]" dimensionUniqueName="[SL_BALANCES]" displayFolder="" count="0" memberValueDatatype="5" unbalanced="0" hidden="1"/>
    <cacheHierarchy uniqueName="[SL_BALANCES].[N_DEALER_GROUP_SKEY]" caption="N_DEALER_GROUP_SKEY" attribute="1" defaultMemberUniqueName="[SL_BALANCES].[N_DEALER_GROUP_SKEY].[All]" allUniqueName="[SL_BALANCES].[N_DEALER_GROUP_SKEY].[All]" dimensionUniqueName="[SL_BALANCES]" displayFolder="" count="0" memberValueDatatype="5" unbalanced="0" hidden="1"/>
    <cacheHierarchy uniqueName="[SL_BALANCES].[N_DEALER_STATE_SKEY]" caption="N_DEALER_STATE_SKEY" attribute="1" defaultMemberUniqueName="[SL_BALANCES].[N_DEALER_STATE_SKEY].[All]" allUniqueName="[SL_BALANCES].[N_DEALER_STATE_SKEY].[All]" dimensionUniqueName="[SL_BALANCES]" displayFolder="" count="0" memberValueDatatype="5" unbalanced="0" hidden="1"/>
    <cacheHierarchy uniqueName="[SL_BALANCES].[N_ENTITY_SKEY]" caption="N_ENTITY_SKEY" attribute="1" defaultMemberUniqueName="[SL_BALANCES].[N_ENTITY_SKEY].[All]" allUniqueName="[SL_BALANCES].[N_ENTITY_SKEY].[All]" dimensionUniqueName="[SL_BALANCES]" displayFolder="" count="0" memberValueDatatype="5" unbalanced="0" hidden="1"/>
    <cacheHierarchy uniqueName="[SL_BALANCES].[N_FUNC_MTD_BALANCE_AMT]" caption="N_FUNC_MTD_BALANCE_AMT" attribute="1" defaultMemberUniqueName="[SL_BALANCES].[N_FUNC_MTD_BALANCE_AMT].[All]" allUniqueName="[SL_BALANCES].[N_FUNC_MTD_BALANCE_AMT].[All]" dimensionUniqueName="[SL_BALANCES]" displayFolder="" count="0" memberValueDatatype="5" unbalanced="0" hidden="1"/>
    <cacheHierarchy uniqueName="[SL_BALANCES].[N_GL_ACCOUNT_SKEY]" caption="N_GL_ACCOUNT_SKEY" attribute="1" defaultMemberUniqueName="[SL_BALANCES].[N_GL_ACCOUNT_SKEY].[All]" allUniqueName="[SL_BALANCES].[N_GL_ACCOUNT_SKEY].[All]" dimensionUniqueName="[SL_BALANCES]" displayFolder="" count="0" memberValueDatatype="5" unbalanced="0" hidden="1"/>
    <cacheHierarchy uniqueName="[SL_BALANCES].[N_HOME_STATE_SKEY]" caption="N_HOME_STATE_SKEY" attribute="1" defaultMemberUniqueName="[SL_BALANCES].[N_HOME_STATE_SKEY].[All]" allUniqueName="[SL_BALANCES].[N_HOME_STATE_SKEY].[All]" dimensionUniqueName="[SL_BALANCES]" displayFolder="" count="0" memberValueDatatype="5" unbalanced="0" hidden="1"/>
    <cacheHierarchy uniqueName="[SL_BALANCES].[N_IC_AGREEMENT_SKEY]" caption="N_IC_AGREEMENT_SKEY" attribute="1" defaultMemberUniqueName="[SL_BALANCES].[N_IC_AGREEMENT_SKEY].[All]" allUniqueName="[SL_BALANCES].[N_IC_AGREEMENT_SKEY].[All]" dimensionUniqueName="[SL_BALANCES]" displayFolder="" count="0" memberValueDatatype="5" unbalanced="0" hidden="1"/>
    <cacheHierarchy uniqueName="[SL_BALANCES].[N_LEDGER_SKEY]" caption="N_LEDGER_SKEY" attribute="1" defaultMemberUniqueName="[SL_BALANCES].[N_LEDGER_SKEY].[All]" allUniqueName="[SL_BALANCES].[N_LEDGER_SKEY].[All]" dimensionUniqueName="[SL_BALANCES]" displayFolder="" count="0" memberValueDatatype="5" unbalanced="0" hidden="1"/>
    <cacheHierarchy uniqueName="[SL_BALANCES].[N_LOCATION_SKEY]" caption="N_LOCATION_SKEY" attribute="1" defaultMemberUniqueName="[SL_BALANCES].[N_LOCATION_SKEY].[All]" allUniqueName="[SL_BALANCES].[N_LOCATION_SKEY].[All]" dimensionUniqueName="[SL_BALANCES]" displayFolder="" count="0" memberValueDatatype="5" unbalanced="0" hidden="1"/>
    <cacheHierarchy uniqueName="[SL_BALANCES].[N_MKTNG_CHANNEL_SKEY]" caption="N_MKTNG_CHANNEL_SKEY" attribute="1" defaultMemberUniqueName="[SL_BALANCES].[N_MKTNG_CHANNEL_SKEY].[All]" allUniqueName="[SL_BALANCES].[N_MKTNG_CHANNEL_SKEY].[All]" dimensionUniqueName="[SL_BALANCES]" displayFolder="" count="0" memberValueDatatype="5" unbalanced="0" hidden="1"/>
    <cacheHierarchy uniqueName="[SL_BALANCES].[N_OBLIGOR_CODE_SKEY]" caption="N_OBLIGOR_CODE_SKEY" attribute="1" defaultMemberUniqueName="[SL_BALANCES].[N_OBLIGOR_CODE_SKEY].[All]" allUniqueName="[SL_BALANCES].[N_OBLIGOR_CODE_SKEY].[All]" dimensionUniqueName="[SL_BALANCES]" displayFolder="" count="0" memberValueDatatype="5" unbalanced="0" hidden="1"/>
    <cacheHierarchy uniqueName="[SL_BALANCES].[N_PAY_CODE_SKEY]" caption="N_PAY_CODE_SKEY" attribute="1" defaultMemberUniqueName="[SL_BALANCES].[N_PAY_CODE_SKEY].[All]" allUniqueName="[SL_BALANCES].[N_PAY_CODE_SKEY].[All]" dimensionUniqueName="[SL_BALANCES]" displayFolder="" count="0" memberValueDatatype="5" unbalanced="0" hidden="1"/>
    <cacheHierarchy uniqueName="[SL_BALANCES].[N_PAY_CODE_TYPE_SKEY]" caption="N_PAY_CODE_TYPE_SKEY" attribute="1" defaultMemberUniqueName="[SL_BALANCES].[N_PAY_CODE_TYPE_SKEY].[All]" allUniqueName="[SL_BALANCES].[N_PAY_CODE_TYPE_SKEY].[All]" dimensionUniqueName="[SL_BALANCES]" displayFolder="" count="0" memberValueDatatype="5" unbalanced="0" hidden="1"/>
    <cacheHierarchy uniqueName="[SL_BALANCES].[N_PERIOD_SKEY]" caption="N_PERIOD_SKEY" attribute="1" defaultMemberUniqueName="[SL_BALANCES].[N_PERIOD_SKEY].[All]" allUniqueName="[SL_BALANCES].[N_PERIOD_SKEY].[All]" dimensionUniqueName="[SL_BALANCES]" displayFolder="" count="0" memberValueDatatype="5" unbalanced="0" hidden="1"/>
    <cacheHierarchy uniqueName="[SL_BALANCES].[N_POLICY_SKEY]" caption="N_POLICY_SKEY" attribute="1" defaultMemberUniqueName="[SL_BALANCES].[N_POLICY_SKEY].[All]" allUniqueName="[SL_BALANCES].[N_POLICY_SKEY].[All]" dimensionUniqueName="[SL_BALANCES]" displayFolder="" count="0" memberValueDatatype="5" unbalanced="0" hidden="1"/>
    <cacheHierarchy uniqueName="[SL_BALANCES].[N_PRODUCT_SKEY]" caption="N_PRODUCT_SKEY" attribute="1" defaultMemberUniqueName="[SL_BALANCES].[N_PRODUCT_SKEY].[All]" allUniqueName="[SL_BALANCES].[N_PRODUCT_SKEY].[All]" dimensionUniqueName="[SL_BALANCES]" displayFolder="" count="0" memberValueDatatype="5" unbalanced="0" hidden="1"/>
    <cacheHierarchy uniqueName="[SL_BALANCES].[N_PROGRAM_CODE_SKEY]" caption="N_PROGRAM_CODE_SKEY" attribute="1" defaultMemberUniqueName="[SL_BALANCES].[N_PROGRAM_CODE_SKEY].[All]" allUniqueName="[SL_BALANCES].[N_PROGRAM_CODE_SKEY].[All]" dimensionUniqueName="[SL_BALANCES]" displayFolder="" count="0" memberValueDatatype="5" unbalanced="0" hidden="1"/>
    <cacheHierarchy uniqueName="[SL_BALANCES].[N_REINSURER_SKEY]" caption="N_REINSURER_SKEY" attribute="1" defaultMemberUniqueName="[SL_BALANCES].[N_REINSURER_SKEY].[All]" allUniqueName="[SL_BALANCES].[N_REINSURER_SKEY].[All]" dimensionUniqueName="[SL_BALANCES]" displayFolder="" count="0" memberValueDatatype="5" unbalanced="0" hidden="1"/>
    <cacheHierarchy uniqueName="[SL_BALANCES].[N_REPORT_MTD_BALANCE_AMT]" caption="N_REPORT_MTD_BALANCE_AMT" attribute="1" defaultMemberUniqueName="[SL_BALANCES].[N_REPORT_MTD_BALANCE_AMT].[All]" allUniqueName="[SL_BALANCES].[N_REPORT_MTD_BALANCE_AMT].[All]" dimensionUniqueName="[SL_BALANCES]" displayFolder="" count="0" memberValueDatatype="5" unbalanced="0" hidden="1"/>
    <cacheHierarchy uniqueName="[SL_BALANCES].[N_RISK_STATE_SKEY]" caption="N_RISK_STATE_SKEY" attribute="1" defaultMemberUniqueName="[SL_BALANCES].[N_RISK_STATE_SKEY].[All]" allUniqueName="[SL_BALANCES].[N_RISK_STATE_SKEY].[All]" dimensionUniqueName="[SL_BALANCES]" displayFolder="" count="0" memberValueDatatype="5" unbalanced="0" hidden="1"/>
    <cacheHierarchy uniqueName="[SL_BALANCES].[N_SL_ACCOUNT_SKEY]" caption="N_SL_ACCOUNT_SKEY" attribute="1" defaultMemberUniqueName="[SL_BALANCES].[N_SL_ACCOUNT_SKEY].[All]" allUniqueName="[SL_BALANCES].[N_SL_ACCOUNT_SKEY].[All]" dimensionUniqueName="[SL_BALANCES]" displayFolder="" count="0" memberValueDatatype="5" unbalanced="0" hidden="1"/>
    <cacheHierarchy uniqueName="[SL_BALANCES].[N_SL_JRNL_SOURCE_SKEY]" caption="N_SL_JRNL_SOURCE_SKEY" attribute="1" defaultMemberUniqueName="[SL_BALANCES].[N_SL_JRNL_SOURCE_SKEY].[All]" allUniqueName="[SL_BALANCES].[N_SL_JRNL_SOURCE_SKEY].[All]" dimensionUniqueName="[SL_BALANCES]" displayFolder="" count="0" memberValueDatatype="5" unbalanced="0" hidden="1"/>
    <cacheHierarchy uniqueName="[SL_BALANCES].[N_SOURCE_SYS_SKEY]" caption="N_SOURCE_SYS_SKEY" attribute="1" defaultMemberUniqueName="[SL_BALANCES].[N_SOURCE_SYS_SKEY].[All]" allUniqueName="[SL_BALANCES].[N_SOURCE_SYS_SKEY].[All]" dimensionUniqueName="[SL_BALANCES]" displayFolder="" count="0" memberValueDatatype="5" unbalanced="0" hidden="1"/>
    <cacheHierarchy uniqueName="[SL_BALANCES].[N_SUB_PRODUCT_SKEY]" caption="N_SUB_PRODUCT_SKEY" attribute="1" defaultMemberUniqueName="[SL_BALANCES].[N_SUB_PRODUCT_SKEY].[All]" allUniqueName="[SL_BALANCES].[N_SUB_PRODUCT_SKEY].[All]" dimensionUniqueName="[SL_BALANCES]" displayFolder="" count="0" memberValueDatatype="5" unbalanced="0" hidden="1"/>
    <cacheHierarchy uniqueName="[SL_BALANCES].[N_TXN_MTD_BALANCE_AMT]" caption="N_TXN_MTD_BALANCE_AMT" attribute="1" defaultMemberUniqueName="[SL_BALANCES].[N_TXN_MTD_BALANCE_AMT].[All]" allUniqueName="[SL_BALANCES].[N_TXN_MTD_BALANCE_AMT].[All]" dimensionUniqueName="[SL_BALANCES]" displayFolder="" count="0" memberValueDatatype="5" unbalanced="0" hidden="1"/>
    <cacheHierarchy uniqueName="[SL_BALANCES].[NewEnd]" caption="NewEnd" attribute="1" defaultMemberUniqueName="[SL_BALANCES].[NewEnd].[All]" allUniqueName="[SL_BALANCES].[NewEnd].[All]" dimensionUniqueName="[SL_BALANCES]" displayFolder="" count="0" memberValueDatatype="130" unbalanced="0" hidden="1"/>
    <cacheHierarchy uniqueName="[SL_BALANCES].[StartKey]" caption="StartKey" attribute="1" defaultMemberUniqueName="[SL_BALANCES].[StartKey].[All]" allUniqueName="[SL_BALANCES].[StartKey].[All]" dimensionUniqueName="[SL_BALANCES]" displayFolder="" count="0" memberValueDatatype="130" unbalanced="0" hidden="1"/>
    <cacheHierarchy uniqueName="[SL_BALANCES].[Updated Date]" caption="Updated Date" attribute="1" time="1" defaultMemberUniqueName="[SL_BALANCES].[Updated Date].[All]" allUniqueName="[SL_BALANCES].[Updated Date].[All]" dimensionUniqueName="[SL_BALANCES]" displayFolder="" count="0" memberValueDatatype="7" unbalanced="0" hidden="1"/>
    <cacheHierarchy uniqueName="[SL_BALANCES].[V_ADJ_FLAG]" caption="V_ADJ_FLAG" attribute="1" defaultMemberUniqueName="[SL_BALANCES].[V_ADJ_FLAG].[All]" allUniqueName="[SL_BALANCES].[V_ADJ_FLAG].[All]" dimensionUniqueName="[SL_BALANCES]" displayFolder="" count="0" memberValueDatatype="130" unbalanced="0" hidden="1"/>
    <cacheHierarchy uniqueName="[Source_Interface_System_Code].[N_COMM_SEGMENT_ID]" caption="N_COMM_SEGMENT_ID" attribute="1" defaultMemberUniqueName="[Source_Interface_System_Code].[N_COMM_SEGMENT_ID].[All]" allUniqueName="[Source_Interface_System_Code].[N_COMM_SEGMENT_ID].[All]" dimensionUniqueName="[Source_Interface_System_Code]" displayFolder="" count="0" memberValueDatatype="5" unbalanced="0" hidden="1"/>
    <cacheHierarchy uniqueName="[Sub_Product_CIEE].[N_DISPLAY_ORDER_NUM_LEVEL01]" caption="N_DISPLAY_ORDER_NUM_LEVEL01" attribute="1" defaultMemberUniqueName="[Sub_Product_CIEE].[N_DISPLAY_ORDER_NUM_LEVEL01].[All]" allUniqueName="[Sub_Product_CIEE].[N_DISPLAY_ORDER_NUM_LEVEL01].[All]" dimensionUniqueName="[Sub_Product_CIEE]" displayFolder="" count="0" memberValueDatatype="5" unbalanced="0" hidden="1"/>
    <cacheHierarchy uniqueName="[Sub_Product_CIEE].[N_DISPLAY_ORDER_NUM_LEVEL02]" caption="N_DISPLAY_ORDER_NUM_LEVEL02" attribute="1" defaultMemberUniqueName="[Sub_Product_CIEE].[N_DISPLAY_ORDER_NUM_LEVEL02].[All]" allUniqueName="[Sub_Product_CIEE].[N_DISPLAY_ORDER_NUM_LEVEL02].[All]" dimensionUniqueName="[Sub_Product_CIEE]" displayFolder="" count="0" memberValueDatatype="5" unbalanced="0" hidden="1"/>
    <cacheHierarchy uniqueName="[Sub_Product_CIEE].[N_DISPLAY_ORDER_NUM_LEVEL03]" caption="N_DISPLAY_ORDER_NUM_LEVEL03" attribute="1" defaultMemberUniqueName="[Sub_Product_CIEE].[N_DISPLAY_ORDER_NUM_LEVEL03].[All]" allUniqueName="[Sub_Product_CIEE].[N_DISPLAY_ORDER_NUM_LEVEL03].[All]" dimensionUniqueName="[Sub_Product_CIEE]" displayFolder="" count="0" memberValueDatatype="5" unbalanced="0" hidden="1"/>
    <cacheHierarchy uniqueName="[Sub_Product_CIEE].[N_DISPLAY_ORDER_NUM_LEVEL04]" caption="N_DISPLAY_ORDER_NUM_LEVEL04" attribute="1" defaultMemberUniqueName="[Sub_Product_CIEE].[N_DISPLAY_ORDER_NUM_LEVEL04].[All]" allUniqueName="[Sub_Product_CIEE].[N_DISPLAY_ORDER_NUM_LEVEL04].[All]" dimensionUniqueName="[Sub_Product_CIEE]" displayFolder="" count="0" memberValueDatatype="5" unbalanced="0" hidden="1"/>
    <cacheHierarchy uniqueName="[Sub_Product_CIEE].[N_DISPLAY_ORDER_NUM_LEVEL05]" caption="N_DISPLAY_ORDER_NUM_LEVEL05" attribute="1" defaultMemberUniqueName="[Sub_Product_CIEE].[N_DISPLAY_ORDER_NUM_LEVEL05].[All]" allUniqueName="[Sub_Product_CIEE].[N_DISPLAY_ORDER_NUM_LEVEL05].[All]" dimensionUniqueName="[Sub_Product_CIEE]" displayFolder="" count="0" memberValueDatatype="5" unbalanced="0" hidden="1"/>
    <cacheHierarchy uniqueName="[Sub_Product_CIEE].[N_DISPLAY_ORDER_NUM_LEVEL06]" caption="N_DISPLAY_ORDER_NUM_LEVEL06" attribute="1" defaultMemberUniqueName="[Sub_Product_CIEE].[N_DISPLAY_ORDER_NUM_LEVEL06].[All]" allUniqueName="[Sub_Product_CIEE].[N_DISPLAY_ORDER_NUM_LEVEL06].[All]" dimensionUniqueName="[Sub_Product_CIEE]" displayFolder="" count="0" memberValueDatatype="5" unbalanced="0" hidden="1"/>
    <cacheHierarchy uniqueName="[Sub_Product_CIEE].[N_DISPLAY_ORDER_NUM_LEVEL07]" caption="N_DISPLAY_ORDER_NUM_LEVEL07" attribute="1" defaultMemberUniqueName="[Sub_Product_CIEE].[N_DISPLAY_ORDER_NUM_LEVEL07].[All]" allUniqueName="[Sub_Product_CIEE].[N_DISPLAY_ORDER_NUM_LEVEL07].[All]" dimensionUniqueName="[Sub_Product_CIEE]" displayFolder="" count="0" memberValueDatatype="5" unbalanced="0" hidden="1"/>
    <cacheHierarchy uniqueName="[Sub_Product_CIEE].[N_DISPLAY_ORDER_NUM_LEVEL08]" caption="N_DISPLAY_ORDER_NUM_LEVEL08" attribute="1" defaultMemberUniqueName="[Sub_Product_CIEE].[N_DISPLAY_ORDER_NUM_LEVEL08].[All]" allUniqueName="[Sub_Product_CIEE].[N_DISPLAY_ORDER_NUM_LEVEL08].[All]" dimensionUniqueName="[Sub_Product_CIEE]" displayFolder="" count="0" memberValueDatatype="5" unbalanced="0" hidden="1"/>
    <cacheHierarchy uniqueName="[Sub_Product_CIEE].[N_DISPLAY_ORDER_NUM_LEVEL09]" caption="N_DISPLAY_ORDER_NUM_LEVEL09" attribute="1" defaultMemberUniqueName="[Sub_Product_CIEE].[N_DISPLAY_ORDER_NUM_LEVEL09].[All]" allUniqueName="[Sub_Product_CIEE].[N_DISPLAY_ORDER_NUM_LEVEL09].[All]" dimensionUniqueName="[Sub_Product_CIEE]" displayFolder="" count="0" memberValueDatatype="5" unbalanced="0" hidden="1"/>
    <cacheHierarchy uniqueName="[Sub_Product_CIEE].[N_DISPLAY_ORDER_NUM_LEVEL10]" caption="N_DISPLAY_ORDER_NUM_LEVEL10" attribute="1" defaultMemberUniqueName="[Sub_Product_CIEE].[N_DISPLAY_ORDER_NUM_LEVEL10].[All]" allUniqueName="[Sub_Product_CIEE].[N_DISPLAY_ORDER_NUM_LEVEL10].[All]" dimensionUniqueName="[Sub_Product_CIEE]" displayFolder="" count="0" memberValueDatatype="5" unbalanced="0" hidden="1"/>
    <cacheHierarchy uniqueName="[Sub_Product_CIEE].[N_DISPLAY_ORDER_NUM_LEVEL11]" caption="N_DISPLAY_ORDER_NUM_LEVEL11" attribute="1" defaultMemberUniqueName="[Sub_Product_CIEE].[N_DISPLAY_ORDER_NUM_LEVEL11].[All]" allUniqueName="[Sub_Product_CIEE].[N_DISPLAY_ORDER_NUM_LEVEL11].[All]" dimensionUniqueName="[Sub_Product_CIEE]" displayFolder="" count="0" memberValueDatatype="5" unbalanced="0" hidden="1"/>
    <cacheHierarchy uniqueName="[Sub_Product_CIEE].[N_DISPLAY_ORDER_NUM_LEVEL12]" caption="N_DISPLAY_ORDER_NUM_LEVEL12" attribute="1" defaultMemberUniqueName="[Sub_Product_CIEE].[N_DISPLAY_ORDER_NUM_LEVEL12].[All]" allUniqueName="[Sub_Product_CIEE].[N_DISPLAY_ORDER_NUM_LEVEL12].[All]" dimensionUniqueName="[Sub_Product_CIEE]" displayFolder="" count="0" memberValueDatatype="5" unbalanced="0" hidden="1"/>
    <cacheHierarchy uniqueName="[Sub_Product_CIEE].[N_DISPLAY_ORDER_NUM_LEVEL13]" caption="N_DISPLAY_ORDER_NUM_LEVEL13" attribute="1" defaultMemberUniqueName="[Sub_Product_CIEE].[N_DISPLAY_ORDER_NUM_LEVEL13].[All]" allUniqueName="[Sub_Product_CIEE].[N_DISPLAY_ORDER_NUM_LEVEL13].[All]" dimensionUniqueName="[Sub_Product_CIEE]" displayFolder="" count="0" memberValueDatatype="5" unbalanced="0" hidden="1"/>
    <cacheHierarchy uniqueName="[Sub_Product_CIEE].[N_DISPLAY_ORDER_NUM_LEVEL14]" caption="N_DISPLAY_ORDER_NUM_LEVEL14" attribute="1" defaultMemberUniqueName="[Sub_Product_CIEE].[N_DISPLAY_ORDER_NUM_LEVEL14].[All]" allUniqueName="[Sub_Product_CIEE].[N_DISPLAY_ORDER_NUM_LEVEL14].[All]" dimensionUniqueName="[Sub_Product_CIEE]" displayFolder="" count="0" memberValueDatatype="5" unbalanced="0" hidden="1"/>
    <cacheHierarchy uniqueName="[Sub_Product_CIEE].[N_DISPLAY_ORDER_NUM_LEVEL15]" caption="N_DISPLAY_ORDER_NUM_LEVEL15" attribute="1" defaultMemberUniqueName="[Sub_Product_CIEE].[N_DISPLAY_ORDER_NUM_LEVEL15].[All]" allUniqueName="[Sub_Product_CIEE].[N_DISPLAY_ORDER_NUM_LEVEL15].[All]" dimensionUniqueName="[Sub_Product_CIEE]" displayFolder="" count="0" memberValueDatatype="5" unbalanced="0" hidden="1"/>
    <cacheHierarchy uniqueName="[Sub_Product_CIEE].[N_DISPLAY_ORDER_NUM_LEVEL16]" caption="N_DISPLAY_ORDER_NUM_LEVEL16" attribute="1" defaultMemberUniqueName="[Sub_Product_CIEE].[N_DISPLAY_ORDER_NUM_LEVEL16].[All]" allUniqueName="[Sub_Product_CIEE].[N_DISPLAY_ORDER_NUM_LEVEL16].[All]" dimensionUniqueName="[Sub_Product_CIEE]" displayFolder="" count="0" memberValueDatatype="5" unbalanced="0" hidden="1"/>
    <cacheHierarchy uniqueName="[Sub_Product_CIEE].[N_DISPLAY_ORDER_NUM_LEVEL17]" caption="N_DISPLAY_ORDER_NUM_LEVEL17" attribute="1" defaultMemberUniqueName="[Sub_Product_CIEE].[N_DISPLAY_ORDER_NUM_LEVEL17].[All]" allUniqueName="[Sub_Product_CIEE].[N_DISPLAY_ORDER_NUM_LEVEL17].[All]" dimensionUniqueName="[Sub_Product_CIEE]" displayFolder="" count="0" memberValueDatatype="5" unbalanced="0" hidden="1"/>
    <cacheHierarchy uniqueName="[Sub_Product_CIEE].[N_DISPLAY_ORDER_NUM_LEVEL18]" caption="N_DISPLAY_ORDER_NUM_LEVEL18" attribute="1" defaultMemberUniqueName="[Sub_Product_CIEE].[N_DISPLAY_ORDER_NUM_LEVEL18].[All]" allUniqueName="[Sub_Product_CIEE].[N_DISPLAY_ORDER_NUM_LEVEL18].[All]" dimensionUniqueName="[Sub_Product_CIEE]" displayFolder="" count="0" memberValueDatatype="5" unbalanced="0" hidden="1"/>
    <cacheHierarchy uniqueName="[Sub_Product_CIEE].[N_DISPLAY_ORDER_NUM_LEVEL19]" caption="N_DISPLAY_ORDER_NUM_LEVEL19" attribute="1" defaultMemberUniqueName="[Sub_Product_CIEE].[N_DISPLAY_ORDER_NUM_LEVEL19].[All]" allUniqueName="[Sub_Product_CIEE].[N_DISPLAY_ORDER_NUM_LEVEL19].[All]" dimensionUniqueName="[Sub_Product_CIEE]" displayFolder="" count="0" memberValueDatatype="5" unbalanced="0" hidden="1"/>
    <cacheHierarchy uniqueName="[Sub_Product_CIEE].[N_DISPLAY_ORDER_NUM_LEVEL20]" caption="N_DISPLAY_ORDER_NUM_LEVEL20" attribute="1" defaultMemberUniqueName="[Sub_Product_CIEE].[N_DISPLAY_ORDER_NUM_LEVEL20].[All]" allUniqueName="[Sub_Product_CIEE].[N_DISPLAY_ORDER_NUM_LEVEL20].[All]" dimensionUniqueName="[Sub_Product_CIEE]" displayFolder="" count="0" memberValueDatatype="5" unbalanced="0" hidden="1"/>
    <cacheHierarchy uniqueName="[Sub_Product_CIEE].[Sub_Product_ID]" caption="Sub_Product_ID" attribute="1" defaultMemberUniqueName="[Sub_Product_CIEE].[Sub_Product_ID].[All]" allUniqueName="[Sub_Product_CIEE].[Sub_Product_ID].[All]" dimensionUniqueName="[Sub_Product_CIEE]" displayFolder="" count="0" memberValueDatatype="5" unbalanced="0" hidden="1"/>
    <cacheHierarchy uniqueName="[Sub_Product_Managerial].[N_DISPLAY_ORDER_NUM_LEVEL01]" caption="N_DISPLAY_ORDER_NUM_LEVEL01" attribute="1" defaultMemberUniqueName="[Sub_Product_Managerial].[N_DISPLAY_ORDER_NUM_LEVEL01].[All]" allUniqueName="[Sub_Product_Managerial].[N_DISPLAY_ORDER_NUM_LEVEL01].[All]" dimensionUniqueName="[Sub_Product_Managerial]" displayFolder="" count="0" memberValueDatatype="5" unbalanced="0" hidden="1"/>
    <cacheHierarchy uniqueName="[Sub_Product_Managerial].[N_DISPLAY_ORDER_NUM_LEVEL02]" caption="N_DISPLAY_ORDER_NUM_LEVEL02" attribute="1" defaultMemberUniqueName="[Sub_Product_Managerial].[N_DISPLAY_ORDER_NUM_LEVEL02].[All]" allUniqueName="[Sub_Product_Managerial].[N_DISPLAY_ORDER_NUM_LEVEL02].[All]" dimensionUniqueName="[Sub_Product_Managerial]" displayFolder="" count="0" memberValueDatatype="5" unbalanced="0" hidden="1"/>
    <cacheHierarchy uniqueName="[Sub_Product_Managerial].[N_DISPLAY_ORDER_NUM_LEVEL03]" caption="N_DISPLAY_ORDER_NUM_LEVEL03" attribute="1" defaultMemberUniqueName="[Sub_Product_Managerial].[N_DISPLAY_ORDER_NUM_LEVEL03].[All]" allUniqueName="[Sub_Product_Managerial].[N_DISPLAY_ORDER_NUM_LEVEL03].[All]" dimensionUniqueName="[Sub_Product_Managerial]" displayFolder="" count="0" memberValueDatatype="5" unbalanced="0" hidden="1"/>
    <cacheHierarchy uniqueName="[Sub_Product_Managerial].[N_DISPLAY_ORDER_NUM_LEVEL04]" caption="N_DISPLAY_ORDER_NUM_LEVEL04" attribute="1" defaultMemberUniqueName="[Sub_Product_Managerial].[N_DISPLAY_ORDER_NUM_LEVEL04].[All]" allUniqueName="[Sub_Product_Managerial].[N_DISPLAY_ORDER_NUM_LEVEL04].[All]" dimensionUniqueName="[Sub_Product_Managerial]" displayFolder="" count="0" memberValueDatatype="5" unbalanced="0" hidden="1"/>
    <cacheHierarchy uniqueName="[Sub_Product_Managerial].[N_DISPLAY_ORDER_NUM_LEVEL05]" caption="N_DISPLAY_ORDER_NUM_LEVEL05" attribute="1" defaultMemberUniqueName="[Sub_Product_Managerial].[N_DISPLAY_ORDER_NUM_LEVEL05].[All]" allUniqueName="[Sub_Product_Managerial].[N_DISPLAY_ORDER_NUM_LEVEL05].[All]" dimensionUniqueName="[Sub_Product_Managerial]" displayFolder="" count="0" memberValueDatatype="5" unbalanced="0" hidden="1"/>
    <cacheHierarchy uniqueName="[Sub_Product_Managerial].[N_DISPLAY_ORDER_NUM_LEVEL06]" caption="N_DISPLAY_ORDER_NUM_LEVEL06" attribute="1" defaultMemberUniqueName="[Sub_Product_Managerial].[N_DISPLAY_ORDER_NUM_LEVEL06].[All]" allUniqueName="[Sub_Product_Managerial].[N_DISPLAY_ORDER_NUM_LEVEL06].[All]" dimensionUniqueName="[Sub_Product_Managerial]" displayFolder="" count="0" memberValueDatatype="5" unbalanced="0" hidden="1"/>
    <cacheHierarchy uniqueName="[Sub_Product_Managerial].[N_DISPLAY_ORDER_NUM_LEVEL07]" caption="N_DISPLAY_ORDER_NUM_LEVEL07" attribute="1" defaultMemberUniqueName="[Sub_Product_Managerial].[N_DISPLAY_ORDER_NUM_LEVEL07].[All]" allUniqueName="[Sub_Product_Managerial].[N_DISPLAY_ORDER_NUM_LEVEL07].[All]" dimensionUniqueName="[Sub_Product_Managerial]" displayFolder="" count="0" memberValueDatatype="5" unbalanced="0" hidden="1"/>
    <cacheHierarchy uniqueName="[Sub_Product_Managerial].[N_DISPLAY_ORDER_NUM_LEVEL08]" caption="N_DISPLAY_ORDER_NUM_LEVEL08" attribute="1" defaultMemberUniqueName="[Sub_Product_Managerial].[N_DISPLAY_ORDER_NUM_LEVEL08].[All]" allUniqueName="[Sub_Product_Managerial].[N_DISPLAY_ORDER_NUM_LEVEL08].[All]" dimensionUniqueName="[Sub_Product_Managerial]" displayFolder="" count="0" memberValueDatatype="5" unbalanced="0" hidden="1"/>
    <cacheHierarchy uniqueName="[Sub_Product_Managerial].[N_DISPLAY_ORDER_NUM_LEVEL09]" caption="N_DISPLAY_ORDER_NUM_LEVEL09" attribute="1" defaultMemberUniqueName="[Sub_Product_Managerial].[N_DISPLAY_ORDER_NUM_LEVEL09].[All]" allUniqueName="[Sub_Product_Managerial].[N_DISPLAY_ORDER_NUM_LEVEL09].[All]" dimensionUniqueName="[Sub_Product_Managerial]" displayFolder="" count="0" memberValueDatatype="5" unbalanced="0" hidden="1"/>
    <cacheHierarchy uniqueName="[Sub_Product_Managerial].[N_DISPLAY_ORDER_NUM_LEVEL10]" caption="N_DISPLAY_ORDER_NUM_LEVEL10" attribute="1" defaultMemberUniqueName="[Sub_Product_Managerial].[N_DISPLAY_ORDER_NUM_LEVEL10].[All]" allUniqueName="[Sub_Product_Managerial].[N_DISPLAY_ORDER_NUM_LEVEL10].[All]" dimensionUniqueName="[Sub_Product_Managerial]" displayFolder="" count="0" memberValueDatatype="5" unbalanced="0" hidden="1"/>
    <cacheHierarchy uniqueName="[Sub_Product_Managerial].[N_DISPLAY_ORDER_NUM_LEVEL11]" caption="N_DISPLAY_ORDER_NUM_LEVEL11" attribute="1" defaultMemberUniqueName="[Sub_Product_Managerial].[N_DISPLAY_ORDER_NUM_LEVEL11].[All]" allUniqueName="[Sub_Product_Managerial].[N_DISPLAY_ORDER_NUM_LEVEL11].[All]" dimensionUniqueName="[Sub_Product_Managerial]" displayFolder="" count="0" memberValueDatatype="5" unbalanced="0" hidden="1"/>
    <cacheHierarchy uniqueName="[Sub_Product_Managerial].[N_DISPLAY_ORDER_NUM_LEVEL12]" caption="N_DISPLAY_ORDER_NUM_LEVEL12" attribute="1" defaultMemberUniqueName="[Sub_Product_Managerial].[N_DISPLAY_ORDER_NUM_LEVEL12].[All]" allUniqueName="[Sub_Product_Managerial].[N_DISPLAY_ORDER_NUM_LEVEL12].[All]" dimensionUniqueName="[Sub_Product_Managerial]" displayFolder="" count="0" memberValueDatatype="5" unbalanced="0" hidden="1"/>
    <cacheHierarchy uniqueName="[Sub_Product_Managerial].[N_DISPLAY_ORDER_NUM_LEVEL13]" caption="N_DISPLAY_ORDER_NUM_LEVEL13" attribute="1" defaultMemberUniqueName="[Sub_Product_Managerial].[N_DISPLAY_ORDER_NUM_LEVEL13].[All]" allUniqueName="[Sub_Product_Managerial].[N_DISPLAY_ORDER_NUM_LEVEL13].[All]" dimensionUniqueName="[Sub_Product_Managerial]" displayFolder="" count="0" memberValueDatatype="5" unbalanced="0" hidden="1"/>
    <cacheHierarchy uniqueName="[Sub_Product_Managerial].[N_DISPLAY_ORDER_NUM_LEVEL14]" caption="N_DISPLAY_ORDER_NUM_LEVEL14" attribute="1" defaultMemberUniqueName="[Sub_Product_Managerial].[N_DISPLAY_ORDER_NUM_LEVEL14].[All]" allUniqueName="[Sub_Product_Managerial].[N_DISPLAY_ORDER_NUM_LEVEL14].[All]" dimensionUniqueName="[Sub_Product_Managerial]" displayFolder="" count="0" memberValueDatatype="5" unbalanced="0" hidden="1"/>
    <cacheHierarchy uniqueName="[Sub_Product_Managerial].[N_DISPLAY_ORDER_NUM_LEVEL15]" caption="N_DISPLAY_ORDER_NUM_LEVEL15" attribute="1" defaultMemberUniqueName="[Sub_Product_Managerial].[N_DISPLAY_ORDER_NUM_LEVEL15].[All]" allUniqueName="[Sub_Product_Managerial].[N_DISPLAY_ORDER_NUM_LEVEL15].[All]" dimensionUniqueName="[Sub_Product_Managerial]" displayFolder="" count="0" memberValueDatatype="5" unbalanced="0" hidden="1"/>
    <cacheHierarchy uniqueName="[Sub_Product_Managerial].[N_DISPLAY_ORDER_NUM_LEVEL16]" caption="N_DISPLAY_ORDER_NUM_LEVEL16" attribute="1" defaultMemberUniqueName="[Sub_Product_Managerial].[N_DISPLAY_ORDER_NUM_LEVEL16].[All]" allUniqueName="[Sub_Product_Managerial].[N_DISPLAY_ORDER_NUM_LEVEL16].[All]" dimensionUniqueName="[Sub_Product_Managerial]" displayFolder="" count="0" memberValueDatatype="5" unbalanced="0" hidden="1"/>
    <cacheHierarchy uniqueName="[Sub_Product_Managerial].[N_DISPLAY_ORDER_NUM_LEVEL17]" caption="N_DISPLAY_ORDER_NUM_LEVEL17" attribute="1" defaultMemberUniqueName="[Sub_Product_Managerial].[N_DISPLAY_ORDER_NUM_LEVEL17].[All]" allUniqueName="[Sub_Product_Managerial].[N_DISPLAY_ORDER_NUM_LEVEL17].[All]" dimensionUniqueName="[Sub_Product_Managerial]" displayFolder="" count="0" memberValueDatatype="5" unbalanced="0" hidden="1"/>
    <cacheHierarchy uniqueName="[Sub_Product_Managerial].[N_DISPLAY_ORDER_NUM_LEVEL18]" caption="N_DISPLAY_ORDER_NUM_LEVEL18" attribute="1" defaultMemberUniqueName="[Sub_Product_Managerial].[N_DISPLAY_ORDER_NUM_LEVEL18].[All]" allUniqueName="[Sub_Product_Managerial].[N_DISPLAY_ORDER_NUM_LEVEL18].[All]" dimensionUniqueName="[Sub_Product_Managerial]" displayFolder="" count="0" memberValueDatatype="5" unbalanced="0" hidden="1"/>
    <cacheHierarchy uniqueName="[Sub_Product_Managerial].[N_DISPLAY_ORDER_NUM_LEVEL19]" caption="N_DISPLAY_ORDER_NUM_LEVEL19" attribute="1" defaultMemberUniqueName="[Sub_Product_Managerial].[N_DISPLAY_ORDER_NUM_LEVEL19].[All]" allUniqueName="[Sub_Product_Managerial].[N_DISPLAY_ORDER_NUM_LEVEL19].[All]" dimensionUniqueName="[Sub_Product_Managerial]" displayFolder="" count="0" memberValueDatatype="5" unbalanced="0" hidden="1"/>
    <cacheHierarchy uniqueName="[Sub_Product_Managerial].[N_DISPLAY_ORDER_NUM_LEVEL20]" caption="N_DISPLAY_ORDER_NUM_LEVEL20" attribute="1" defaultMemberUniqueName="[Sub_Product_Managerial].[N_DISPLAY_ORDER_NUM_LEVEL20].[All]" allUniqueName="[Sub_Product_Managerial].[N_DISPLAY_ORDER_NUM_LEVEL20].[All]" dimensionUniqueName="[Sub_Product_Managerial]" displayFolder="" count="0" memberValueDatatype="5" unbalanced="0" hidden="1"/>
    <cacheHierarchy uniqueName="[Sub_Product_Managerial].[Sub_Product_ID]" caption="Sub_Product_ID" attribute="1" defaultMemberUniqueName="[Sub_Product_Managerial].[Sub_Product_ID].[All]" allUniqueName="[Sub_Product_Managerial].[Sub_Product_ID].[All]" dimensionUniqueName="[Sub_Product_Managerial]" displayFolder="" count="0" memberValueDatatype="5" unbalanced="0" hidden="1"/>
    <cacheHierarchy uniqueName="[Sub_Product_STAT].[N_DISPLAY_ORDER_NUM_LEVEL01]" caption="N_DISPLAY_ORDER_NUM_LEVEL01" attribute="1" defaultMemberUniqueName="[Sub_Product_STAT].[N_DISPLAY_ORDER_NUM_LEVEL01].[All]" allUniqueName="[Sub_Product_STAT].[N_DISPLAY_ORDER_NUM_LEVEL01].[All]" dimensionUniqueName="[Sub_Product_STAT]" displayFolder="" count="0" memberValueDatatype="5" unbalanced="0" hidden="1"/>
    <cacheHierarchy uniqueName="[Sub_Product_STAT].[N_DISPLAY_ORDER_NUM_LEVEL02]" caption="N_DISPLAY_ORDER_NUM_LEVEL02" attribute="1" defaultMemberUniqueName="[Sub_Product_STAT].[N_DISPLAY_ORDER_NUM_LEVEL02].[All]" allUniqueName="[Sub_Product_STAT].[N_DISPLAY_ORDER_NUM_LEVEL02].[All]" dimensionUniqueName="[Sub_Product_STAT]" displayFolder="" count="0" memberValueDatatype="5" unbalanced="0" hidden="1"/>
    <cacheHierarchy uniqueName="[Sub_Product_STAT].[N_DISPLAY_ORDER_NUM_LEVEL03]" caption="N_DISPLAY_ORDER_NUM_LEVEL03" attribute="1" defaultMemberUniqueName="[Sub_Product_STAT].[N_DISPLAY_ORDER_NUM_LEVEL03].[All]" allUniqueName="[Sub_Product_STAT].[N_DISPLAY_ORDER_NUM_LEVEL03].[All]" dimensionUniqueName="[Sub_Product_STAT]" displayFolder="" count="0" memberValueDatatype="5" unbalanced="0" hidden="1"/>
    <cacheHierarchy uniqueName="[Sub_Product_STAT].[N_DISPLAY_ORDER_NUM_LEVEL04]" caption="N_DISPLAY_ORDER_NUM_LEVEL04" attribute="1" defaultMemberUniqueName="[Sub_Product_STAT].[N_DISPLAY_ORDER_NUM_LEVEL04].[All]" allUniqueName="[Sub_Product_STAT].[N_DISPLAY_ORDER_NUM_LEVEL04].[All]" dimensionUniqueName="[Sub_Product_STAT]" displayFolder="" count="0" memberValueDatatype="5" unbalanced="0" hidden="1"/>
    <cacheHierarchy uniqueName="[Sub_Product_STAT].[N_DISPLAY_ORDER_NUM_LEVEL05]" caption="N_DISPLAY_ORDER_NUM_LEVEL05" attribute="1" defaultMemberUniqueName="[Sub_Product_STAT].[N_DISPLAY_ORDER_NUM_LEVEL05].[All]" allUniqueName="[Sub_Product_STAT].[N_DISPLAY_ORDER_NUM_LEVEL05].[All]" dimensionUniqueName="[Sub_Product_STAT]" displayFolder="" count="0" memberValueDatatype="5" unbalanced="0" hidden="1"/>
    <cacheHierarchy uniqueName="[Sub_Product_STAT].[N_DISPLAY_ORDER_NUM_LEVEL06]" caption="N_DISPLAY_ORDER_NUM_LEVEL06" attribute="1" defaultMemberUniqueName="[Sub_Product_STAT].[N_DISPLAY_ORDER_NUM_LEVEL06].[All]" allUniqueName="[Sub_Product_STAT].[N_DISPLAY_ORDER_NUM_LEVEL06].[All]" dimensionUniqueName="[Sub_Product_STAT]" displayFolder="" count="0" memberValueDatatype="5" unbalanced="0" hidden="1"/>
    <cacheHierarchy uniqueName="[Sub_Product_STAT].[N_DISPLAY_ORDER_NUM_LEVEL07]" caption="N_DISPLAY_ORDER_NUM_LEVEL07" attribute="1" defaultMemberUniqueName="[Sub_Product_STAT].[N_DISPLAY_ORDER_NUM_LEVEL07].[All]" allUniqueName="[Sub_Product_STAT].[N_DISPLAY_ORDER_NUM_LEVEL07].[All]" dimensionUniqueName="[Sub_Product_STAT]" displayFolder="" count="0" memberValueDatatype="5" unbalanced="0" hidden="1"/>
    <cacheHierarchy uniqueName="[Sub_Product_STAT].[N_DISPLAY_ORDER_NUM_LEVEL08]" caption="N_DISPLAY_ORDER_NUM_LEVEL08" attribute="1" defaultMemberUniqueName="[Sub_Product_STAT].[N_DISPLAY_ORDER_NUM_LEVEL08].[All]" allUniqueName="[Sub_Product_STAT].[N_DISPLAY_ORDER_NUM_LEVEL08].[All]" dimensionUniqueName="[Sub_Product_STAT]" displayFolder="" count="0" memberValueDatatype="5" unbalanced="0" hidden="1"/>
    <cacheHierarchy uniqueName="[Sub_Product_STAT].[N_DISPLAY_ORDER_NUM_LEVEL09]" caption="N_DISPLAY_ORDER_NUM_LEVEL09" attribute="1" defaultMemberUniqueName="[Sub_Product_STAT].[N_DISPLAY_ORDER_NUM_LEVEL09].[All]" allUniqueName="[Sub_Product_STAT].[N_DISPLAY_ORDER_NUM_LEVEL09].[All]" dimensionUniqueName="[Sub_Product_STAT]" displayFolder="" count="0" memberValueDatatype="5" unbalanced="0" hidden="1"/>
    <cacheHierarchy uniqueName="[Sub_Product_STAT].[N_DISPLAY_ORDER_NUM_LEVEL10]" caption="N_DISPLAY_ORDER_NUM_LEVEL10" attribute="1" defaultMemberUniqueName="[Sub_Product_STAT].[N_DISPLAY_ORDER_NUM_LEVEL10].[All]" allUniqueName="[Sub_Product_STAT].[N_DISPLAY_ORDER_NUM_LEVEL10].[All]" dimensionUniqueName="[Sub_Product_STAT]" displayFolder="" count="0" memberValueDatatype="5" unbalanced="0" hidden="1"/>
    <cacheHierarchy uniqueName="[Sub_Product_STAT].[N_DISPLAY_ORDER_NUM_LEVEL11]" caption="N_DISPLAY_ORDER_NUM_LEVEL11" attribute="1" defaultMemberUniqueName="[Sub_Product_STAT].[N_DISPLAY_ORDER_NUM_LEVEL11].[All]" allUniqueName="[Sub_Product_STAT].[N_DISPLAY_ORDER_NUM_LEVEL11].[All]" dimensionUniqueName="[Sub_Product_STAT]" displayFolder="" count="0" memberValueDatatype="5" unbalanced="0" hidden="1"/>
    <cacheHierarchy uniqueName="[Sub_Product_STAT].[N_DISPLAY_ORDER_NUM_LEVEL12]" caption="N_DISPLAY_ORDER_NUM_LEVEL12" attribute="1" defaultMemberUniqueName="[Sub_Product_STAT].[N_DISPLAY_ORDER_NUM_LEVEL12].[All]" allUniqueName="[Sub_Product_STAT].[N_DISPLAY_ORDER_NUM_LEVEL12].[All]" dimensionUniqueName="[Sub_Product_STAT]" displayFolder="" count="0" memberValueDatatype="5" unbalanced="0" hidden="1"/>
    <cacheHierarchy uniqueName="[Sub_Product_STAT].[N_DISPLAY_ORDER_NUM_LEVEL13]" caption="N_DISPLAY_ORDER_NUM_LEVEL13" attribute="1" defaultMemberUniqueName="[Sub_Product_STAT].[N_DISPLAY_ORDER_NUM_LEVEL13].[All]" allUniqueName="[Sub_Product_STAT].[N_DISPLAY_ORDER_NUM_LEVEL13].[All]" dimensionUniqueName="[Sub_Product_STAT]" displayFolder="" count="0" memberValueDatatype="5" unbalanced="0" hidden="1"/>
    <cacheHierarchy uniqueName="[Sub_Product_STAT].[N_DISPLAY_ORDER_NUM_LEVEL14]" caption="N_DISPLAY_ORDER_NUM_LEVEL14" attribute="1" defaultMemberUniqueName="[Sub_Product_STAT].[N_DISPLAY_ORDER_NUM_LEVEL14].[All]" allUniqueName="[Sub_Product_STAT].[N_DISPLAY_ORDER_NUM_LEVEL14].[All]" dimensionUniqueName="[Sub_Product_STAT]" displayFolder="" count="0" memberValueDatatype="5" unbalanced="0" hidden="1"/>
    <cacheHierarchy uniqueName="[Sub_Product_STAT].[N_DISPLAY_ORDER_NUM_LEVEL15]" caption="N_DISPLAY_ORDER_NUM_LEVEL15" attribute="1" defaultMemberUniqueName="[Sub_Product_STAT].[N_DISPLAY_ORDER_NUM_LEVEL15].[All]" allUniqueName="[Sub_Product_STAT].[N_DISPLAY_ORDER_NUM_LEVEL15].[All]" dimensionUniqueName="[Sub_Product_STAT]" displayFolder="" count="0" memberValueDatatype="5" unbalanced="0" hidden="1"/>
    <cacheHierarchy uniqueName="[Sub_Product_STAT].[N_DISPLAY_ORDER_NUM_LEVEL16]" caption="N_DISPLAY_ORDER_NUM_LEVEL16" attribute="1" defaultMemberUniqueName="[Sub_Product_STAT].[N_DISPLAY_ORDER_NUM_LEVEL16].[All]" allUniqueName="[Sub_Product_STAT].[N_DISPLAY_ORDER_NUM_LEVEL16].[All]" dimensionUniqueName="[Sub_Product_STAT]" displayFolder="" count="0" memberValueDatatype="5" unbalanced="0" hidden="1"/>
    <cacheHierarchy uniqueName="[Sub_Product_STAT].[N_DISPLAY_ORDER_NUM_LEVEL17]" caption="N_DISPLAY_ORDER_NUM_LEVEL17" attribute="1" defaultMemberUniqueName="[Sub_Product_STAT].[N_DISPLAY_ORDER_NUM_LEVEL17].[All]" allUniqueName="[Sub_Product_STAT].[N_DISPLAY_ORDER_NUM_LEVEL17].[All]" dimensionUniqueName="[Sub_Product_STAT]" displayFolder="" count="0" memberValueDatatype="5" unbalanced="0" hidden="1"/>
    <cacheHierarchy uniqueName="[Sub_Product_STAT].[N_DISPLAY_ORDER_NUM_LEVEL18]" caption="N_DISPLAY_ORDER_NUM_LEVEL18" attribute="1" defaultMemberUniqueName="[Sub_Product_STAT].[N_DISPLAY_ORDER_NUM_LEVEL18].[All]" allUniqueName="[Sub_Product_STAT].[N_DISPLAY_ORDER_NUM_LEVEL18].[All]" dimensionUniqueName="[Sub_Product_STAT]" displayFolder="" count="0" memberValueDatatype="5" unbalanced="0" hidden="1"/>
    <cacheHierarchy uniqueName="[Sub_Product_STAT].[N_DISPLAY_ORDER_NUM_LEVEL19]" caption="N_DISPLAY_ORDER_NUM_LEVEL19" attribute="1" defaultMemberUniqueName="[Sub_Product_STAT].[N_DISPLAY_ORDER_NUM_LEVEL19].[All]" allUniqueName="[Sub_Product_STAT].[N_DISPLAY_ORDER_NUM_LEVEL19].[All]" dimensionUniqueName="[Sub_Product_STAT]" displayFolder="" count="0" memberValueDatatype="5" unbalanced="0" hidden="1"/>
    <cacheHierarchy uniqueName="[Sub_Product_STAT].[N_DISPLAY_ORDER_NUM_LEVEL20]" caption="N_DISPLAY_ORDER_NUM_LEVEL20" attribute="1" defaultMemberUniqueName="[Sub_Product_STAT].[N_DISPLAY_ORDER_NUM_LEVEL20].[All]" allUniqueName="[Sub_Product_STAT].[N_DISPLAY_ORDER_NUM_LEVEL20].[All]" dimensionUniqueName="[Sub_Product_STAT]" displayFolder="" count="0" memberValueDatatype="5" unbalanced="0" hidden="1"/>
    <cacheHierarchy uniqueName="[Sub_Product_STAT].[Sub_Product_ID]" caption="Sub_Product_ID" attribute="1" defaultMemberUniqueName="[Sub_Product_STAT].[Sub_Product_ID].[All]" allUniqueName="[Sub_Product_STAT].[Sub_Product_ID].[All]" dimensionUniqueName="[Sub_Product_STAT]" displayFolder="" count="0" memberValueDatatype="5" unbalanced="0" hidden="1"/>
    <cacheHierarchy uniqueName="[ValidationCheck].[Accounting Period]" caption="Accounting Period" attribute="1" time="1" defaultMemberUniqueName="[ValidationCheck].[Accounting Period].[All]" allUniqueName="[ValidationCheck].[Accounting Period].[All]" dimensionUniqueName="[ValidationCheck]" displayFolder="" count="0" memberValueDatatype="7" unbalanced="0" hidden="1"/>
    <cacheHierarchy uniqueName="[ValidationCheck].[ValidationCount]" caption="ValidationCount" attribute="1" defaultMemberUniqueName="[ValidationCheck].[ValidationCount].[All]" allUniqueName="[ValidationCheck].[ValidationCount].[All]" dimensionUniqueName="[ValidationCheck]" displayFolder="" count="0" memberValueDatatype="20" unbalanced="0" hidden="1"/>
    <cacheHierarchy uniqueName="[Measures].[Func Cur MTD]" caption="Func Cur MTD" measure="1" displayFolder="Balance Measures - Functional" measureGroup="SL_BALANCES" count="0"/>
    <cacheHierarchy uniqueName="[Measures].[USD Cur MTD]" caption="USD Cur MTD" measure="1" displayFolder="Balance Measures - Report" measureGroup="SL_BALANCES" count="0"/>
    <cacheHierarchy uniqueName="[Measures].[Trans Cur MTD]" caption="Trans Cur MTD" measure="1" displayFolder="Balance Measures - Transaction" measureGroup="SL_BALANCES" count="0"/>
    <cacheHierarchy uniqueName="[Measures].[Trans Cur YTD]" caption="Trans Cur YTD" measure="1" displayFolder="Balance Measures - Transaction" measureGroup="SL_BALANCES" count="0"/>
    <cacheHierarchy uniqueName="[Measures].[Trans Cur Open]" caption="Trans Cur Open" measure="1" displayFolder="Balance Measures - Transaction" measureGroup="SL_BALANCES" count="0"/>
    <cacheHierarchy uniqueName="[Measures].[Trans Cur Close]" caption="Trans Cur Close" measure="1" displayFolder="Balance Measures - Transaction" measureGroup="SL_BALANCES" count="0"/>
    <cacheHierarchy uniqueName="[Measures].[Func Cur YTD]" caption="Func Cur YTD" measure="1" displayFolder="Balance Measures - Functional" measureGroup="SL_BALANCES" count="0" oneField="1">
      <fieldsUsage count="1">
        <fieldUsage x="24"/>
      </fieldsUsage>
    </cacheHierarchy>
    <cacheHierarchy uniqueName="[Measures].[Func Cur Open]" caption="Func Cur Open" measure="1" displayFolder="Balance Measures - Functional" measureGroup="SL_BALANCES" count="0"/>
    <cacheHierarchy uniqueName="[Measures].[Func Cur Close]" caption="Func Cur Close" measure="1" displayFolder="Balance Measures - Functional" measureGroup="SL_BALANCES" count="0"/>
    <cacheHierarchy uniqueName="[Measures].[USD Cur YTD]" caption="USD Cur YTD" measure="1" displayFolder="Balance Measures - Report" measureGroup="SL_BALANCES" count="0" oneField="1">
      <fieldsUsage count="1">
        <fieldUsage x="25"/>
      </fieldsUsage>
    </cacheHierarchy>
    <cacheHierarchy uniqueName="[Measures].[USD Cur Open]" caption="USD Cur Open" measure="1" displayFolder="Balance Measures - Report" measureGroup="SL_BALANCES" count="0"/>
    <cacheHierarchy uniqueName="[Measures].[USD Cur Close]" caption="USD Cur Close" measure="1" displayFolder="Balance Measures - Report" measureGroup="SL_BALANCES" count="0"/>
    <cacheHierarchy uniqueName="[Measures].[Selected Close]" caption="Selected Close" measure="1" displayFolder="Balance Selected Measures" measureGroup="SL_BALANCES" count="0"/>
    <cacheHierarchy uniqueName="[Measures].[Selected MTD]" caption="Selected MTD" measure="1" displayFolder="Balance Selected Measures" measureGroup="SL_BALANCES" count="0"/>
    <cacheHierarchy uniqueName="[Measures].[Selected Open]" caption="Selected Open" measure="1" displayFolder="Balance Selected Measures" measureGroup="SL_BALANCES" count="0"/>
    <cacheHierarchy uniqueName="[Measures].[Selected YTD]" caption="Selected YTD" measure="1" displayFolder="Balance Selected Measures" measureGroup="SL_BALANCES" count="0"/>
    <cacheHierarchy uniqueName="[Measures].[Func Cur Adj - 13]" caption="Func Cur Adj - 13" measure="1" displayFolder="Balance Measures - Functional" measureGroup="SL_BALANCES" count="0"/>
    <cacheHierarchy uniqueName="[Measures].[Func Cur Close Out - 14]" caption="Func Cur Close Out - 14" measure="1" displayFolder="Balance Measures - Functional" measureGroup="SL_BALANCES" count="0"/>
    <cacheHierarchy uniqueName="[Measures].[Func Cur Adj YTD]" caption="Func Cur Adj YTD" measure="1" displayFolder="Balance Measures - Functional" measureGroup="SL_BALANCES" count="0"/>
    <cacheHierarchy uniqueName="[Measures].[USD Cur Close Out - 14]" caption="USD Cur Close Out - 14" measure="1" displayFolder="Balance Measures - Report" measureGroup="SL_BALANCES" count="0"/>
    <cacheHierarchy uniqueName="[Measures].[USD Cur Adj - 13]" caption="USD Cur Adj - 13" measure="1" displayFolder="Balance Measures - Report" measureGroup="SL_BALANCES" count="0"/>
    <cacheHierarchy uniqueName="[Measures].[USD Cur Adj YTD]" caption="USD Cur Adj YTD" measure="1" displayFolder="Balance Measures - Report" measureGroup="SL_BALANCES" count="0"/>
    <cacheHierarchy uniqueName="[Measures].[Trans Cur Adj - 13]" caption="Trans Cur Adj - 13" measure="1" displayFolder="Balance Measures - Transaction" measureGroup="SL_BALANCES" count="0"/>
    <cacheHierarchy uniqueName="[Measures].[Trans Cur Close Out - 14]" caption="Trans Cur Close Out - 14" measure="1" displayFolder="Balance Measures - Transaction" measureGroup="SL_BALANCES" count="0"/>
    <cacheHierarchy uniqueName="[Measures].[Trans Cur Adj YTD]" caption="Trans Cur Adj YTD" measure="1" displayFolder="Balance Measures - Transaction" measureGroup="SL_BALANCES" count="0"/>
    <cacheHierarchy uniqueName="[Measures].[Selected Adj - 13]" caption="Selected Adj - 13" measure="1" displayFolder="Balance Selected Measures" measureGroup="SL_BALANCES" count="0"/>
    <cacheHierarchy uniqueName="[Measures].[Selected Close Out - 14]" caption="Selected Close Out - 14" measure="1" displayFolder="Balance Selected Measures" measureGroup="SL_BALANCES" count="0"/>
    <cacheHierarchy uniqueName="[Measures].[Selected Adj YTD]" caption="Selected Adj YTD" measure="1" displayFolder="Balance Selected Measures" measureGroup="SL_BALANCES" count="0"/>
    <cacheHierarchy uniqueName="[Measures].[Func Cur MTD - Prior Mo]" caption="Func Cur MTD - Prior Mo" measure="1" displayFolder="Balance Measures - Functional" measureGroup="SL_BALANCES" count="0"/>
    <cacheHierarchy uniqueName="[Measures].[Func Cur MTD - Prior Mo Var]" caption="Func Cur MTD - Prior Mo Var" measure="1" displayFolder="Balance Measures - Functional" measureGroup="SL_BALANCES" count="0"/>
    <cacheHierarchy uniqueName="[Measures].[Func Cur MTD - Prior Mo Var %]" caption="Func Cur MTD - Prior Mo Var %" measure="1" displayFolder="Balance Measures - Functional" measureGroup="SL_BALANCES" count="0"/>
    <cacheHierarchy uniqueName="[Measures].[Func Cur MTD - CPPY]" caption="Func Cur MTD - CPPY" measure="1" displayFolder="Balance Measures - Functional" measureGroup="SL_BALANCES" count="0"/>
    <cacheHierarchy uniqueName="[Measures].[Func Cur MTD - CPPY Var]" caption="Func Cur MTD - CPPY Var" measure="1" displayFolder="Balance Measures - Functional" measureGroup="SL_BALANCES" count="0"/>
    <cacheHierarchy uniqueName="[Measures].[Func Cur MTD - CPPY Var %]" caption="Func Cur MTD - CPPY Var %" measure="1" displayFolder="Balance Measures - Functional" measureGroup="SL_BALANCES" count="0"/>
    <cacheHierarchy uniqueName="[Measures].[Func Cur MTD - Dec PY]" caption="Func Cur MTD - Dec PY" measure="1" displayFolder="Balance Measures - Functional" measureGroup="SL_BALANCES" count="0"/>
    <cacheHierarchy uniqueName="[Measures].[Func Cur MTD - Dec PY Var]" caption="Func Cur MTD - Dec PY Var" measure="1" displayFolder="Balance Measures - Functional" measureGroup="SL_BALANCES" count="0"/>
    <cacheHierarchy uniqueName="[Measures].[Func Cur MTD - Dec PY Var %]" caption="Func Cur MTD - Dec PY Var %" measure="1" displayFolder="Balance Measures - Functional" measureGroup="SL_BALANCES" count="0"/>
    <cacheHierarchy uniqueName="[Measures].[Func Cur MTD - Prior QTR]" caption="Func Cur MTD - Prior QTR" measure="1" displayFolder="Balance Measures - Functional" measureGroup="SL_BALANCES" count="0"/>
    <cacheHierarchy uniqueName="[Measures].[Func Cur MTD - Prior QTR Var]" caption="Func Cur MTD - Prior QTR Var" measure="1" displayFolder="Balance Measures - Functional" measureGroup="SL_BALANCES" count="0"/>
    <cacheHierarchy uniqueName="[Measures].[Func Cur MTD - Prior QTR Var %]" caption="Func Cur MTD - Prior QTR Var %" measure="1" displayFolder="Balance Measures - Functional" measureGroup="SL_BALANCES" count="0"/>
    <cacheHierarchy uniqueName="[Measures].[Func Cur YTD - CPPY]" caption="Func Cur YTD - CPPY" measure="1" displayFolder="Balance Measures - Functional" measureGroup="SL_BALANCES" count="0"/>
    <cacheHierarchy uniqueName="[Measures].[Func Cur YTD - CPPY Var]" caption="Func Cur YTD - CPPY Var" measure="1" displayFolder="Balance Measures - Functional" measureGroup="SL_BALANCES" count="0"/>
    <cacheHierarchy uniqueName="[Measures].[Func Cur YTD - CPPY Var %]" caption="Func Cur YTD - CPPY Var %" measure="1" displayFolder="Balance Measures - Functional" measureGroup="SL_BALANCES" count="0"/>
    <cacheHierarchy uniqueName="[Measures].[Func Cur YTD - Dec PY]" caption="Func Cur YTD - Dec PY" measure="1" displayFolder="Balance Measures - Functional" measureGroup="SL_BALANCES" count="0"/>
    <cacheHierarchy uniqueName="[Measures].[Func Cur YTD - Dec PY Var]" caption="Func Cur YTD - Dec PY Var" measure="1" displayFolder="Balance Measures - Functional" measureGroup="SL_BALANCES" count="0"/>
    <cacheHierarchy uniqueName="[Measures].[Func Cur YTD - Dec PY Var %]" caption="Func Cur YTD - Dec PY Var %" measure="1" displayFolder="Balance Measures - Functional" measureGroup="SL_BALANCES" count="0"/>
    <cacheHierarchy uniqueName="[Measures].[Func Cur YTD - Prior Mo]" caption="Func Cur YTD - Prior Mo" measure="1" displayFolder="Balance Measures - Functional" measureGroup="SL_BALANCES" count="0"/>
    <cacheHierarchy uniqueName="[Measures].[Func Cur YTD - Prior Mo Var]" caption="Func Cur YTD - Prior Mo Var" measure="1" displayFolder="Balance Measures - Functional" measureGroup="SL_BALANCES" count="0"/>
    <cacheHierarchy uniqueName="[Measures].[Func Cur YTD - Prior Mo Var %]" caption="Func Cur YTD - Prior Mo Var %" measure="1" displayFolder="Balance Measures - Functional" measureGroup="SL_BALANCES" count="0"/>
    <cacheHierarchy uniqueName="[Measures].[Func Cur YTD - Prior QTR]" caption="Func Cur YTD - Prior QTR" measure="1" displayFolder="Balance Measures - Functional" measureGroup="SL_BALANCES" count="0"/>
    <cacheHierarchy uniqueName="[Measures].[Func Cur YTD - Prior QTR Var]" caption="Func Cur YTD - Prior QTR Var" measure="1" displayFolder="Balance Measures - Functional" measureGroup="SL_BALANCES" count="0"/>
    <cacheHierarchy uniqueName="[Measures].[Func Cur YTD - Prior QTR Var %]" caption="Func Cur YTD - Prior QTR Var %" measure="1" displayFolder="Balance Measures - Functional" measureGroup="SL_BALANCES" count="0"/>
    <cacheHierarchy uniqueName="[Measures].[USD Cur MTD - CPPY]" caption="USD Cur MTD - CPPY" measure="1" displayFolder="Balance Measures - Report" measureGroup="SL_BALANCES" count="0"/>
    <cacheHierarchy uniqueName="[Measures].[USD Cur MTD - CPPY Var]" caption="USD Cur MTD - CPPY Var" measure="1" displayFolder="Balance Measures - Report" measureGroup="SL_BALANCES" count="0"/>
    <cacheHierarchy uniqueName="[Measures].[USD Cur MTD - CPPY Var %]" caption="USD Cur MTD - CPPY Var %" measure="1" displayFolder="Balance Measures - Report" measureGroup="SL_BALANCES" count="0"/>
    <cacheHierarchy uniqueName="[Measures].[USD Cur MTD - Dec PY]" caption="USD Cur MTD - Dec PY" measure="1" displayFolder="Balance Measures - Report" measureGroup="SL_BALANCES" count="0"/>
    <cacheHierarchy uniqueName="[Measures].[USD Cur MTD - Dec PY Var]" caption="USD Cur MTD - Dec PY Var" measure="1" displayFolder="Balance Measures - Report" measureGroup="SL_BALANCES" count="0"/>
    <cacheHierarchy uniqueName="[Measures].[USD Cur MTD - Dec PY Var %]" caption="USD Cur MTD - Dec PY Var %" measure="1" displayFolder="Balance Measures - Report" measureGroup="SL_BALANCES" count="0"/>
    <cacheHierarchy uniqueName="[Measures].[USD Cur MTD - Prior Mo]" caption="USD Cur MTD - Prior Mo" measure="1" displayFolder="Balance Measures - Report" measureGroup="SL_BALANCES" count="0"/>
    <cacheHierarchy uniqueName="[Measures].[USD Cur MTD - Prior Mo Var]" caption="USD Cur MTD - Prior Mo Var" measure="1" displayFolder="Balance Measures - Report" measureGroup="SL_BALANCES" count="0"/>
    <cacheHierarchy uniqueName="[Measures].[USD Cur MTD - Prior Mo Var %]" caption="USD Cur MTD - Prior Mo Var %" measure="1" displayFolder="Balance Measures - Report" measureGroup="SL_BALANCES" count="0"/>
    <cacheHierarchy uniqueName="[Measures].[USD Cur MTD - Prior QTR]" caption="USD Cur MTD - Prior QTR" measure="1" displayFolder="Balance Measures - Report" measureGroup="SL_BALANCES" count="0"/>
    <cacheHierarchy uniqueName="[Measures].[USD Cur MTD - Prior QTR Var]" caption="USD Cur MTD - Prior QTR Var" measure="1" displayFolder="Balance Measures - Report" measureGroup="SL_BALANCES" count="0"/>
    <cacheHierarchy uniqueName="[Measures].[USD Cur MTD - Prior QTR Var %]" caption="USD Cur MTD - Prior QTR Var %" measure="1" displayFolder="Balance Measures - Report" measureGroup="SL_BALANCES" count="0"/>
    <cacheHierarchy uniqueName="[Measures].[USD Cur YTD - CPPY]" caption="USD Cur YTD - CPPY" measure="1" displayFolder="Balance Measures - Report" measureGroup="SL_BALANCES" count="0"/>
    <cacheHierarchy uniqueName="[Measures].[USD Cur YTD - CPPY Var]" caption="USD Cur YTD - CPPY Var" measure="1" displayFolder="Balance Measures - Report" measureGroup="SL_BALANCES" count="0"/>
    <cacheHierarchy uniqueName="[Measures].[USD Cur YTD - CPPY Var %]" caption="USD Cur YTD - CPPY Var %" measure="1" displayFolder="Balance Measures - Report" measureGroup="SL_BALANCES" count="0"/>
    <cacheHierarchy uniqueName="[Measures].[USD Cur YTD - Dec PY]" caption="USD Cur YTD - Dec PY" measure="1" displayFolder="Balance Measures - Report" measureGroup="SL_BALANCES" count="0"/>
    <cacheHierarchy uniqueName="[Measures].[USD Cur YTD - Dec PY Var]" caption="USD Cur YTD - Dec PY Var" measure="1" displayFolder="Balance Measures - Report" measureGroup="SL_BALANCES" count="0"/>
    <cacheHierarchy uniqueName="[Measures].[USD Cur YTD - Dec PY Var %]" caption="USD Cur YTD - Dec PY Var %" measure="1" displayFolder="Balance Measures - Report" measureGroup="SL_BALANCES" count="0"/>
    <cacheHierarchy uniqueName="[Measures].[USD Cur YTD - Prior Mo]" caption="USD Cur YTD - Prior Mo" measure="1" displayFolder="Balance Measures - Report" measureGroup="SL_BALANCES" count="0"/>
    <cacheHierarchy uniqueName="[Measures].[USD Cur YTD - Prior Mo Var]" caption="USD Cur YTD - Prior Mo Var" measure="1" displayFolder="Balance Measures - Report" measureGroup="SL_BALANCES" count="0"/>
    <cacheHierarchy uniqueName="[Measures].[USD Cur YTD - Prior Mo Var %]" caption="USD Cur YTD - Prior Mo Var %" measure="1" displayFolder="Balance Measures - Report" measureGroup="SL_BALANCES" count="0"/>
    <cacheHierarchy uniqueName="[Measures].[USD Cur YTD - Prior QTR]" caption="USD Cur YTD - Prior QTR" measure="1" displayFolder="Balance Measures - Report" measureGroup="SL_BALANCES" count="0"/>
    <cacheHierarchy uniqueName="[Measures].[USD Cur YTD - Prior QTR Var]" caption="USD Cur YTD - Prior QTR Var" measure="1" displayFolder="Balance Measures - Report" measureGroup="SL_BALANCES" count="0"/>
    <cacheHierarchy uniqueName="[Measures].[USD Cur YTD - Prior QTR Var %]" caption="USD Cur YTD - Prior QTR Var %" measure="1" displayFolder="Balance Measures - Report" measureGroup="SL_BALANCES" count="0"/>
    <cacheHierarchy uniqueName="[Measures].[Trans Cur MTD - CPPY]" caption="Trans Cur MTD - CPPY" measure="1" displayFolder="Balance Measures - Transaction" measureGroup="SL_BALANCES" count="0"/>
    <cacheHierarchy uniqueName="[Measures].[Trans Cur MTD - CPPY Var]" caption="Trans Cur MTD - CPPY Var" measure="1" displayFolder="Balance Measures - Transaction" measureGroup="SL_BALANCES" count="0"/>
    <cacheHierarchy uniqueName="[Measures].[Trans Cur MTD - CPPY Var %]" caption="Trans Cur MTD - CPPY Var %" measure="1" displayFolder="Balance Measures - Transaction" measureGroup="SL_BALANCES" count="0"/>
    <cacheHierarchy uniqueName="[Measures].[Trans Cur MTD - Dec PY Var]" caption="Trans Cur MTD - Dec PY Var" measure="1" displayFolder="Balance Measures - Transaction" measureGroup="SL_BALANCES" count="0"/>
    <cacheHierarchy uniqueName="[Measures].[Trans Cur MTD - Dec PY]" caption="Trans Cur MTD - Dec PY" measure="1" displayFolder="Balance Measures - Transaction" measureGroup="SL_BALANCES" count="0"/>
    <cacheHierarchy uniqueName="[Measures].[Trans Cur MTD - Dec PY Var %]" caption="Trans Cur MTD - Dec PY Var %" measure="1" displayFolder="Balance Measures - Transaction" measureGroup="SL_BALANCES" count="0"/>
    <cacheHierarchy uniqueName="[Measures].[Trans Cur MTD - Prior Mo]" caption="Trans Cur MTD - Prior Mo" measure="1" displayFolder="Balance Measures - Transaction" measureGroup="SL_BALANCES" count="0"/>
    <cacheHierarchy uniqueName="[Measures].[Trans Cur MTD - Prior Mo Var]" caption="Trans Cur MTD - Prior Mo Var" measure="1" displayFolder="Balance Measures - Transaction" measureGroup="SL_BALANCES" count="0"/>
    <cacheHierarchy uniqueName="[Measures].[Trans Cur MTD - Prior Mo Var %]" caption="Trans Cur MTD - Prior Mo Var %" measure="1" displayFolder="Balance Measures - Transaction" measureGroup="SL_BALANCES" count="0"/>
    <cacheHierarchy uniqueName="[Measures].[Trans Cur MTD - Prior QTR]" caption="Trans Cur MTD - Prior QTR" measure="1" displayFolder="Balance Measures - Transaction" measureGroup="SL_BALANCES" count="0"/>
    <cacheHierarchy uniqueName="[Measures].[Trans Cur MTD - Prior QTR Var]" caption="Trans Cur MTD - Prior QTR Var" measure="1" displayFolder="Balance Measures - Transaction" measureGroup="SL_BALANCES" count="0"/>
    <cacheHierarchy uniqueName="[Measures].[Trans Cur MTD - Prior QTR Var %]" caption="Trans Cur MTD - Prior QTR Var %" measure="1" displayFolder="Balance Measures - Transaction" measureGroup="SL_BALANCES" count="0"/>
    <cacheHierarchy uniqueName="[Measures].[Trans Cur YTD - CPPY]" caption="Trans Cur YTD - CPPY" measure="1" displayFolder="Balance Measures - Transaction" measureGroup="SL_BALANCES" count="0"/>
    <cacheHierarchy uniqueName="[Measures].[Trans Cur YTD - CPPY Var]" caption="Trans Cur YTD - CPPY Var" measure="1" displayFolder="Balance Measures - Transaction" measureGroup="SL_BALANCES" count="0"/>
    <cacheHierarchy uniqueName="[Measures].[Trans Cur YTD - CPPY Var %]" caption="Trans Cur YTD - CPPY Var %" measure="1" displayFolder="Balance Measures - Transaction" measureGroup="SL_BALANCES" count="0"/>
    <cacheHierarchy uniqueName="[Measures].[Trans Cur YTD - Dec PY]" caption="Trans Cur YTD - Dec PY" measure="1" displayFolder="Balance Measures - Transaction" measureGroup="SL_BALANCES" count="0"/>
    <cacheHierarchy uniqueName="[Measures].[Trans Cur YTD - Dec PY Var]" caption="Trans Cur YTD - Dec PY Var" measure="1" displayFolder="Balance Measures - Transaction" measureGroup="SL_BALANCES" count="0"/>
    <cacheHierarchy uniqueName="[Measures].[Trans Cur YTD - Dec PY Var %]" caption="Trans Cur YTD - Dec PY Var %" measure="1" displayFolder="Balance Measures - Transaction" measureGroup="SL_BALANCES" count="0"/>
    <cacheHierarchy uniqueName="[Measures].[Trans Cur YTD - Prior Mo]" caption="Trans Cur YTD - Prior Mo" measure="1" displayFolder="Balance Measures - Transaction" measureGroup="SL_BALANCES" count="0"/>
    <cacheHierarchy uniqueName="[Measures].[Trans Cur YTD - Prior Mo Var]" caption="Trans Cur YTD - Prior Mo Var" measure="1" displayFolder="Balance Measures - Transaction" measureGroup="SL_BALANCES" count="0"/>
    <cacheHierarchy uniqueName="[Measures].[Trans Cur YTD - Prior Mo Var %]" caption="Trans Cur YTD - Prior Mo Var %" measure="1" displayFolder="Balance Measures - Transaction" measureGroup="SL_BALANCES" count="0"/>
    <cacheHierarchy uniqueName="[Measures].[Trans Cur YTD - Prior QTR]" caption="Trans Cur YTD - Prior QTR" measure="1" displayFolder="Balance Measures - Transaction" measureGroup="SL_BALANCES" count="0"/>
    <cacheHierarchy uniqueName="[Measures].[Trans Cur YTD - Prior QTR Var]" caption="Trans Cur YTD - Prior QTR Var" measure="1" displayFolder="Balance Measures - Transaction" measureGroup="SL_BALANCES" count="0"/>
    <cacheHierarchy uniqueName="[Measures].[Trans Cur YTD - Prior QTR Var %]" caption="Trans Cur YTD - Prior QTR Var %" measure="1" displayFolder="Balance Measures - Transaction" measureGroup="SL_BALANCES" count="0"/>
    <cacheHierarchy uniqueName="[Measures].[Selected MTD - CPPY]" caption="Selected MTD - CPPY" measure="1" displayFolder="Balance Selected Measures" measureGroup="SL_BALANCES" count="0"/>
    <cacheHierarchy uniqueName="[Measures].[Selected MTD - CPPY Var]" caption="Selected MTD - CPPY Var" measure="1" displayFolder="Balance Selected Measures" measureGroup="SL_BALANCES" count="0"/>
    <cacheHierarchy uniqueName="[Measures].[Selected MTD - CPPY Var %]" caption="Selected MTD - CPPY Var %" measure="1" displayFolder="Balance Selected Measures" measureGroup="SL_BALANCES" count="0"/>
    <cacheHierarchy uniqueName="[Measures].[Selected MTD - Dec PY]" caption="Selected MTD - Dec PY" measure="1" displayFolder="Balance Selected Measures" measureGroup="SL_BALANCES" count="0"/>
    <cacheHierarchy uniqueName="[Measures].[Selected MTD - Dec PY Var]" caption="Selected MTD - Dec PY Var" measure="1" displayFolder="Balance Selected Measures" measureGroup="SL_BALANCES" count="0"/>
    <cacheHierarchy uniqueName="[Measures].[Selected MTD - Dec PY Var %]" caption="Selected MTD - Dec PY Var %" measure="1" displayFolder="Balance Selected Measures" measureGroup="SL_BALANCES" count="0"/>
    <cacheHierarchy uniqueName="[Measures].[Selected MTD - Prior Mo]" caption="Selected MTD - Prior Mo" measure="1" displayFolder="Balance Selected Measures" measureGroup="SL_BALANCES" count="0"/>
    <cacheHierarchy uniqueName="[Measures].[Selected MTD - Prior Mo Var]" caption="Selected MTD - Prior Mo Var" measure="1" displayFolder="Balance Selected Measures" measureGroup="SL_BALANCES" count="0"/>
    <cacheHierarchy uniqueName="[Measures].[Selected MTD - Prior Mo Var %]" caption="Selected MTD - Prior Mo Var %" measure="1" displayFolder="Balance Selected Measures" measureGroup="SL_BALANCES" count="0"/>
    <cacheHierarchy uniqueName="[Measures].[Selected MTD - Prior QTR]" caption="Selected MTD - Prior QTR" measure="1" displayFolder="Balance Selected Measures" measureGroup="SL_BALANCES" count="0"/>
    <cacheHierarchy uniqueName="[Measures].[Selected MTD - Prior QTR Var]" caption="Selected MTD - Prior QTR Var" measure="1" displayFolder="Balance Selected Measures" measureGroup="SL_BALANCES" count="0"/>
    <cacheHierarchy uniqueName="[Measures].[Selected MTD - Prior QTR Var %]" caption="Selected MTD - Prior QTR Var %" measure="1" displayFolder="Balance Selected Measures" measureGroup="SL_BALANCES" count="0"/>
    <cacheHierarchy uniqueName="[Measures].[Selected YTD - CPPY]" caption="Selected YTD - CPPY" measure="1" displayFolder="Balance Selected Measures" measureGroup="SL_BALANCES" count="0"/>
    <cacheHierarchy uniqueName="[Measures].[Selected YTD - CPPY Var]" caption="Selected YTD - CPPY Var" measure="1" displayFolder="Balance Selected Measures" measureGroup="SL_BALANCES" count="0"/>
    <cacheHierarchy uniqueName="[Measures].[Selected YTD - CPPY Var %]" caption="Selected YTD - CPPY Var %" measure="1" displayFolder="Balance Selected Measures" measureGroup="SL_BALANCES" count="0"/>
    <cacheHierarchy uniqueName="[Measures].[Selected YTD - Dec PY]" caption="Selected YTD - Dec PY" measure="1" displayFolder="Balance Selected Measures" measureGroup="SL_BALANCES" count="0"/>
    <cacheHierarchy uniqueName="[Measures].[Selected YTD - Dec PY Var]" caption="Selected YTD - Dec PY Var" measure="1" displayFolder="Balance Selected Measures" measureGroup="SL_BALANCES" count="0"/>
    <cacheHierarchy uniqueName="[Measures].[Selected YTD - Dec PY Var %]" caption="Selected YTD - Dec PY Var %" measure="1" displayFolder="Balance Selected Measures" measureGroup="SL_BALANCES" count="0"/>
    <cacheHierarchy uniqueName="[Measures].[Selected YTD - Prior Mo]" caption="Selected YTD - Prior Mo" measure="1" displayFolder="Balance Selected Measures" measureGroup="SL_BALANCES" count="0"/>
    <cacheHierarchy uniqueName="[Measures].[Selected YTD - Prior Mo Var]" caption="Selected YTD - Prior Mo Var" measure="1" displayFolder="Balance Selected Measures" measureGroup="SL_BALANCES" count="0"/>
    <cacheHierarchy uniqueName="[Measures].[Selected YTD - Prior Mo Var %]" caption="Selected YTD - Prior Mo Var %" measure="1" displayFolder="Balance Selected Measures" measureGroup="SL_BALANCES" count="0"/>
    <cacheHierarchy uniqueName="[Measures].[Selected YTD - Prior QTR]" caption="Selected YTD - Prior QTR" measure="1" displayFolder="Balance Selected Measures" measureGroup="SL_BALANCES" count="0"/>
    <cacheHierarchy uniqueName="[Measures].[Selected YTD - Prior QTR Var]" caption="Selected YTD - Prior QTR Var" measure="1" displayFolder="Balance Selected Measures" measureGroup="SL_BALANCES" count="0"/>
    <cacheHierarchy uniqueName="[Measures].[Selected YTD - Prior QTR Var %]" caption="Selected YTD - Prior QTR Var %" measure="1" displayFolder="Balance Selected Measures" measureGroup="SL_BALANCES" count="0"/>
    <cacheHierarchy uniqueName="[Measures].[Selected Measure Currency Code]" caption="Selected Measure Currency Code" measure="1" displayFolder="Currency Codes" measureGroup="SL_BALANCES" count="0"/>
    <cacheHierarchy uniqueName="[Measures].[USD Cur QTD]" caption="USD Cur QTD" measure="1" displayFolder="Balance Measures - Report" measureGroup="SL_BALANCES" count="0"/>
    <cacheHierarchy uniqueName="[Measures].[USD Cur QTD - Prior QTR]" caption="USD Cur QTD - Prior QTR" measure="1" displayFolder="Balance Measures - Report" measureGroup="SL_BALANCES" count="0"/>
    <cacheHierarchy uniqueName="[Measures].[USD Cur QTD - Prior QTR Var]" caption="USD Cur QTD - Prior QTR Var" measure="1" displayFolder="Balance Measures - Report" measureGroup="SL_BALANCES" count="0"/>
    <cacheHierarchy uniqueName="[Measures].[USD Cur QTD - Prior QTR Var%]" caption="USD Cur QTD - Prior QTR Var%" measure="1" displayFolder="Balance Measures - Report" measureGroup="SL_BALANCES" count="0"/>
    <cacheHierarchy uniqueName="[Measures].[USD Cur QTD - CPPY]" caption="USD Cur QTD - CPPY" measure="1" displayFolder="Balance Measures - Report" measureGroup="SL_BALANCES" count="0"/>
    <cacheHierarchy uniqueName="[Measures].[USD Cur QTD - CPPY Var]" caption="USD Cur QTD - CPPY Var" measure="1" displayFolder="Balance Measures - Report" measureGroup="SL_BALANCES" count="0"/>
    <cacheHierarchy uniqueName="[Measures].[USD Cur QTD - CPPY Var%]" caption="USD Cur QTD - CPPY Var%" measure="1" displayFolder="Balance Measures - Report" measureGroup="SL_BALANCES" count="0"/>
    <cacheHierarchy uniqueName="[Measures].[Func Cur QTD]" caption="Func Cur QTD" measure="1" displayFolder="Balance Measures - Functional" measureGroup="SL_BALANCES" count="0"/>
    <cacheHierarchy uniqueName="[Measures].[Func Cur QTD - Prior QTR]" caption="Func Cur QTD - Prior QTR" measure="1" displayFolder="Balance Measures - Functional" measureGroup="SL_BALANCES" count="0"/>
    <cacheHierarchy uniqueName="[Measures].[Func Cur QTD - Prior QTR Var]" caption="Func Cur QTD - Prior QTR Var" measure="1" displayFolder="Balance Measures - Functional" measureGroup="SL_BALANCES" count="0"/>
    <cacheHierarchy uniqueName="[Measures].[Func Cur QTD - Prior QTR Var%]" caption="Func Cur QTD - Prior QTR Var%" measure="1" displayFolder="Balance Measures - Functional" measureGroup="SL_BALANCES" count="0"/>
    <cacheHierarchy uniqueName="[Measures].[Func Cur QTD - CPPY]" caption="Func Cur QTD - CPPY" measure="1" displayFolder="Balance Measures - Functional" measureGroup="SL_BALANCES" count="0"/>
    <cacheHierarchy uniqueName="[Measures].[Func Cur QTD - CPPY Var]" caption="Func Cur QTD - CPPY Var" measure="1" displayFolder="Balance Measures - Functional" measureGroup="SL_BALANCES" count="0"/>
    <cacheHierarchy uniqueName="[Measures].[Func Cur QTD - CPPY Var%]" caption="Func Cur QTD - CPPY Var%" measure="1" displayFolder="Balance Measures - Functional" measureGroup="SL_BALANCES" count="0"/>
    <cacheHierarchy uniqueName="[Measures].[Trans Cur QTD]" caption="Trans Cur QTD" measure="1" displayFolder="Balance Measures - Transaction" measureGroup="SL_BALANCES" count="0"/>
    <cacheHierarchy uniqueName="[Measures].[Trans Cur QTD - Prior QTR]" caption="Trans Cur QTD - Prior QTR" measure="1" displayFolder="Balance Measures - Transaction" measureGroup="SL_BALANCES" count="0"/>
    <cacheHierarchy uniqueName="[Measures].[Trans Cur QTD - Prior QTR Var]" caption="Trans Cur QTD - Prior QTR Var" measure="1" displayFolder="Balance Measures - Transaction" measureGroup="SL_BALANCES" count="0"/>
    <cacheHierarchy uniqueName="[Measures].[Trans Cur QTD - Prior QTR Var%]" caption="Trans Cur QTD - Prior QTR Var%" measure="1" displayFolder="Balance Measures - Transaction" measureGroup="SL_BALANCES" count="0"/>
    <cacheHierarchy uniqueName="[Measures].[Trans Cur QTD - CPPY]" caption="Trans Cur QTD - CPPY" measure="1" displayFolder="Balance Measures - Transaction" measureGroup="SL_BALANCES" count="0"/>
    <cacheHierarchy uniqueName="[Measures].[Trans Cur QTD - CPPY Var]" caption="Trans Cur QTD - CPPY Var" measure="1" displayFolder="Balance Measures - Transaction" measureGroup="SL_BALANCES" count="0"/>
    <cacheHierarchy uniqueName="[Measures].[Trans Cur QTD - CPPY Var%]" caption="Trans Cur QTD - CPPY Var%" measure="1" displayFolder="Balance Measures - Transaction" measureGroup="SL_BALANCES" count="0"/>
    <cacheHierarchy uniqueName="[Measures].[Total GAAP]" caption="Total GAAP" measure="1" displayFolder="Balance Measures - Report" measureGroup="SL_BALANCES" count="0"/>
    <cacheHierarchy uniqueName="[Measures].[Total STAT]" caption="Total STAT" measure="1" displayFolder="Balance Measures - Report" measureGroup="SL_BALANCES" count="0"/>
    <cacheHierarchy uniqueName="[Measures].[GAAP-STAT]" caption="GAAP-STAT" measure="1" displayFolder="Balance Measures - Report" measureGroup="SL_BALANCES" count="0"/>
    <cacheHierarchy uniqueName="[Measures].[__Default measure]" caption="__Default measure" measure="1" displayFolder="" count="0" hidden="1"/>
  </cacheHierarchies>
  <kpis count="0"/>
  <dimensions count="46">
    <dimension name="Accounting_Period" uniqueName="[Accounting_Period]" caption="Accounting_Period"/>
    <dimension name="Acct_Sub_Account_Consolidated" uniqueName="[Acct_Sub_Account_Consolidated]" caption="Acct_Sub_Account_Consolidated"/>
    <dimension name="Acct_Sub_Account_GAAP" uniqueName="[Acct_Sub_Account_GAAP]" caption="Acct_Sub_Account_GAAP"/>
    <dimension name="Acct_Sub_Account_Managerial" uniqueName="[Acct_Sub_Account_Managerial]" caption="Acct_Sub_Account_Managerial"/>
    <dimension name="Acct_Sub_Account_STAT_LIFE" uniqueName="[Acct_Sub_Account_STAT_LIFE]" caption="Acct_Sub_Account_STAT_LIFE"/>
    <dimension name="Acct_Sub_Account_STAT_PC" uniqueName="[Acct_Sub_Account_STAT_PC]" caption="Acct_Sub_Account_STAT_PC"/>
    <dimension name="Acct_Sub_Account_STAT_RECON" uniqueName="[Acct_Sub_Account_STAT_RECON]" caption="Acct_Sub_Account_STAT_RECON"/>
    <dimension name="Affiliate_INTERCOMPANY" uniqueName="[Affiliate_INTERCOMPANY]" caption="Affiliate_INTERCOMPANY"/>
    <dimension name="Agreement_ID" uniqueName="[Agreement_ID]" caption="Agreement_ID"/>
    <dimension name="Amount_Class_All" uniqueName="[Amount_Class_All]" caption="Amount_Class_All"/>
    <dimension name="BOB_ID" uniqueName="[BOB_ID]" caption="BOB_ID"/>
    <dimension name="Cat_Event" uniqueName="[Cat_Event]" caption="Cat_Event"/>
    <dimension name="Center_Global" uniqueName="[Center_Global]" caption="Center_Global"/>
    <dimension name="Center_MCOM" uniqueName="[Center_MCOM]" caption="Center_MCOM"/>
    <dimension name="Charging_Center_Global" uniqueName="[Charging_Center_Global]" caption="Charging_Center_Global"/>
    <dimension name="Charging_Center_MCOM" uniqueName="[Charging_Center_MCOM]" caption="Charging_Center_MCOM"/>
    <dimension name="Client_ID" uniqueName="[Client_ID]" caption="Client_ID"/>
    <dimension name="Covered_Equipment" uniqueName="[Covered_Equipment]" caption="Covered_Equipment"/>
    <dimension name="Currency_Selector" uniqueName="[Currency_Selector]" caption="Currency_Selector"/>
    <dimension name="Dataset_Information" uniqueName="[Dataset_Information]" caption="Dataset_Information"/>
    <dimension name="Dealer_State" uniqueName="[Dealer_State]" caption="Dealer_State"/>
    <dimension name="Entity_GAAP" uniqueName="[Entity_GAAP]" caption="Entity_GAAP"/>
    <dimension name="Entity_STAT" uniqueName="[Entity_STAT]" caption="Entity_STAT"/>
    <dimension name="Entity_STATGAAP" uniqueName="[Entity_STATGAAP]" caption="Entity_STATGAAP"/>
    <dimension name="GFS_Code" uniqueName="[GFS_Code]" caption="GFS_Code"/>
    <dimension name="GFS_Code_Type" uniqueName="[GFS_Code_Type]" caption="GFS_Code_Type"/>
    <dimension name="Home_State" uniqueName="[Home_State]" caption="Home_State"/>
    <dimension name="Journal_Source" uniqueName="[Journal_Source]" caption="Journal_Source"/>
    <dimension name="Ledger" uniqueName="[Ledger]" caption="Ledger"/>
    <dimension name="Location_Consolidated" uniqueName="[Location_Consolidated]" caption="Location_Consolidated"/>
    <dimension name="Location_Managerial" uniqueName="[Location_Managerial]" caption="Location_Managerial"/>
    <dimension name="Marketing_Channel" uniqueName="[Marketing_Channel]" caption="Marketing_Channel"/>
    <dimension measure="1" name="Measures" uniqueName="[Measures]" caption="Measures"/>
    <dimension name="Obligor_Code" uniqueName="[Obligor_Code]" caption="Obligor_Code"/>
    <dimension name="Policy" uniqueName="[Policy]" caption="Policy"/>
    <dimension name="Product_Managerial" uniqueName="[Product_Managerial]" caption="Product_Managerial"/>
    <dimension name="Program" uniqueName="[Program]" caption="Program"/>
    <dimension name="Reinsurer" uniqueName="[Reinsurer]" caption="Reinsurer"/>
    <dimension name="Risk_Location" uniqueName="[Risk_Location]" caption="Risk_Location"/>
    <dimension name="Rounding" uniqueName="[Rounding]" caption="Rounding"/>
    <dimension name="SL_BALANCES" uniqueName="[SL_BALANCES]" caption="SL_BALANCES"/>
    <dimension name="Source_Interface_System_Code" uniqueName="[Source_Interface_System_Code]" caption="Source_Interface_System_Code"/>
    <dimension name="Sub_Product_CIEE" uniqueName="[Sub_Product_CIEE]" caption="Sub_Product_CIEE"/>
    <dimension name="Sub_Product_Managerial" uniqueName="[Sub_Product_Managerial]" caption="Sub_Product_Managerial"/>
    <dimension name="Sub_Product_STAT" uniqueName="[Sub_Product_STAT]" caption="Sub_Product_STAT"/>
    <dimension name="Validation" uniqueName="[Validation]" caption="Validation"/>
  </dimensions>
  <measureGroups count="47">
    <measureGroup name="Accounting_Period" caption="Accounting_Period"/>
    <measureGroup name="Acct_Sub_Account_Consolidated" caption="Acct_Sub_Account_Consolidated"/>
    <measureGroup name="Acct_Sub_Account_GAAP" caption="Acct_Sub_Account_GAAP"/>
    <measureGroup name="Acct_Sub_Account_Managerial" caption="Acct_Sub_Account_Managerial"/>
    <measureGroup name="Acct_Sub_Account_STAT_LIFE" caption="Acct_Sub_Account_STAT_LIFE"/>
    <measureGroup name="Acct_Sub_Account_STAT_PC" caption="Acct_Sub_Account_STAT_PC"/>
    <measureGroup name="Acct_Sub_Account_STAT_RECON" caption="Acct_Sub_Account_STAT_RECON"/>
    <measureGroup name="Affiliate_INTERCOMPANY" caption="Affiliate_INTERCOMPANY"/>
    <measureGroup name="Agreement_ID" caption="Agreement_ID"/>
    <measureGroup name="Amount_Class_All" caption="Amount_Class_All"/>
    <measureGroup name="Batch_Status" caption="Batch_Status"/>
    <measureGroup name="BOB_ID" caption="BOB_ID"/>
    <measureGroup name="Cat_Event" caption="Cat_Event"/>
    <measureGroup name="Center_Global" caption="Center_Global"/>
    <measureGroup name="Center_MCOM" caption="Center_MCOM"/>
    <measureGroup name="Charging_Center_Global" caption="Charging_Center_Global"/>
    <measureGroup name="Charging_Center_MCOM" caption="Charging_Center_MCOM"/>
    <measureGroup name="Client_ID" caption="Client_ID"/>
    <measureGroup name="Covered_Equipment" caption="Covered_Equipment"/>
    <measureGroup name="Currency_Selector" caption="Currency_Selector"/>
    <measureGroup name="Dataset_Information" caption="Dataset_Information"/>
    <measureGroup name="Dealer_State" caption="Dealer_State"/>
    <measureGroup name="Entity_GAAP" caption="Entity_GAAP"/>
    <measureGroup name="Entity_STAT" caption="Entity_STAT"/>
    <measureGroup name="Entity_STATGAAP" caption="Entity_STATGAAP"/>
    <measureGroup name="GFS_Code" caption="GFS_Code"/>
    <measureGroup name="GFS_Code_Type" caption="GFS_Code_Type"/>
    <measureGroup name="Home_State" caption="Home_State"/>
    <measureGroup name="Journal_Source" caption="Journal_Source"/>
    <measureGroup name="Ledger" caption="Ledger"/>
    <measureGroup name="Location_Consolidated" caption="Location_Consolidated"/>
    <measureGroup name="Location_Managerial" caption="Location_Managerial"/>
    <measureGroup name="Marketing_Channel" caption="Marketing_Channel"/>
    <measureGroup name="Obligor_Code" caption="Obligor_Code"/>
    <measureGroup name="Policy" caption="Policy"/>
    <measureGroup name="Product_Managerial" caption="Product_Managerial"/>
    <measureGroup name="Program" caption="Program"/>
    <measureGroup name="Reinsurer" caption="Reinsurer"/>
    <measureGroup name="Risk_Location" caption="Risk_Location"/>
    <measureGroup name="Rounding" caption="Rounding"/>
    <measureGroup name="SL_BALANCES" caption="SL_BALANCES"/>
    <measureGroup name="Source_Interface_System_Code" caption="Source_Interface_System_Code"/>
    <measureGroup name="Sub_Product_CIEE" caption="Sub_Product_CIEE"/>
    <measureGroup name="Sub_Product_Managerial" caption="Sub_Product_Managerial"/>
    <measureGroup name="Sub_Product_STAT" caption="Sub_Product_STAT"/>
    <measureGroup name="Validation" caption="Validation"/>
    <measureGroup name="ValidationCheck" caption="ValidationCheck"/>
  </measureGroups>
  <maps count="8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1" dimension="10"/>
    <map measureGroup="12" dimension="11"/>
    <map measureGroup="13" dimension="12"/>
    <map measureGroup="14" dimension="13"/>
    <map measureGroup="15" dimension="14"/>
    <map measureGroup="16" dimension="15"/>
    <map measureGroup="17" dimension="16"/>
    <map measureGroup="18" dimension="17"/>
    <map measureGroup="19" dimension="18"/>
    <map measureGroup="20" dimension="19"/>
    <map measureGroup="21" dimension="20"/>
    <map measureGroup="22" dimension="21"/>
    <map measureGroup="23" dimension="22"/>
    <map measureGroup="24" dimension="23"/>
    <map measureGroup="25" dimension="24"/>
    <map measureGroup="26" dimension="25"/>
    <map measureGroup="27" dimension="26"/>
    <map measureGroup="28" dimension="27"/>
    <map measureGroup="29" dimension="28"/>
    <map measureGroup="30" dimension="29"/>
    <map measureGroup="31" dimension="30"/>
    <map measureGroup="32" dimension="31"/>
    <map measureGroup="33" dimension="33"/>
    <map measureGroup="34" dimension="34"/>
    <map measureGroup="35" dimension="35"/>
    <map measureGroup="36" dimension="36"/>
    <map measureGroup="37" dimension="37"/>
    <map measureGroup="38" dimension="38"/>
    <map measureGroup="39" dimension="39"/>
    <map measureGroup="40" dimension="0"/>
    <map measureGroup="40" dimension="1"/>
    <map measureGroup="40" dimension="2"/>
    <map measureGroup="40" dimension="3"/>
    <map measureGroup="40" dimension="4"/>
    <map measureGroup="40" dimension="5"/>
    <map measureGroup="40" dimension="6"/>
    <map measureGroup="40" dimension="7"/>
    <map measureGroup="40" dimension="8"/>
    <map measureGroup="40" dimension="9"/>
    <map measureGroup="40" dimension="10"/>
    <map measureGroup="40" dimension="11"/>
    <map measureGroup="40" dimension="12"/>
    <map measureGroup="40" dimension="13"/>
    <map measureGroup="40" dimension="14"/>
    <map measureGroup="40" dimension="15"/>
    <map measureGroup="40" dimension="16"/>
    <map measureGroup="40" dimension="17"/>
    <map measureGroup="40" dimension="19"/>
    <map measureGroup="40" dimension="20"/>
    <map measureGroup="40" dimension="21"/>
    <map measureGroup="40" dimension="22"/>
    <map measureGroup="40" dimension="23"/>
    <map measureGroup="40" dimension="24"/>
    <map measureGroup="40" dimension="25"/>
    <map measureGroup="40" dimension="26"/>
    <map measureGroup="40" dimension="27"/>
    <map measureGroup="40" dimension="28"/>
    <map measureGroup="40" dimension="29"/>
    <map measureGroup="40" dimension="30"/>
    <map measureGroup="40" dimension="31"/>
    <map measureGroup="40" dimension="33"/>
    <map measureGroup="40" dimension="34"/>
    <map measureGroup="40" dimension="35"/>
    <map measureGroup="40" dimension="36"/>
    <map measureGroup="40" dimension="37"/>
    <map measureGroup="40" dimension="38"/>
    <map measureGroup="40" dimension="40"/>
    <map measureGroup="40" dimension="41"/>
    <map measureGroup="40" dimension="42"/>
    <map measureGroup="40" dimension="43"/>
    <map measureGroup="40" dimension="44"/>
    <map measureGroup="41" dimension="41"/>
    <map measureGroup="42" dimension="42"/>
    <map measureGroup="43" dimension="43"/>
    <map measureGroup="44" dimension="44"/>
    <map measureGroup="45" dimension="45"/>
    <map measureGroup="46" dimension="4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son Okello" refreshedDate="45954.545982060183" createdVersion="8" refreshedVersion="8" minRefreshableVersion="3" recordCount="710" xr:uid="{EBF6B97D-C95D-46DF-B2EC-19FFE0FCFA1D}">
  <cacheSource type="worksheet">
    <worksheetSource ref="A3:E979" sheet="Salary-FTE"/>
  </cacheSource>
  <cacheFields count="5">
    <cacheField name="Entity_Code" numFmtId="0">
      <sharedItems containsBlank="1" containsMixedTypes="1" containsNumber="1" containsInteger="1" minValue="0" maxValue="0" count="4">
        <s v="E00330"/>
        <s v="E01300"/>
        <m/>
        <n v="0" u="1"/>
      </sharedItems>
    </cacheField>
    <cacheField name="Center_Code" numFmtId="0">
      <sharedItems containsBlank="1" containsMixedTypes="1" containsNumber="1" containsInteger="1" minValue="0" maxValue="0" count="689">
        <s v="C040414"/>
        <s v="C301007"/>
        <s v="C301008"/>
        <s v="C350102"/>
        <s v="C350103"/>
        <s v="C350106"/>
        <s v="C350110"/>
        <s v="C350512"/>
        <s v="C350520"/>
        <s v="C350527"/>
        <s v="C350529"/>
        <s v="C350553"/>
        <s v="C350557"/>
        <s v="C350582"/>
        <s v="C350598"/>
        <s v="C350599"/>
        <s v="C350602"/>
        <s v="C350614"/>
        <s v="C350615"/>
        <s v="C350628"/>
        <s v="C010000"/>
        <s v="C010011"/>
        <s v="C010101"/>
        <s v="C010105"/>
        <s v="C010110"/>
        <s v="C010111"/>
        <s v="C010112"/>
        <s v="C010113"/>
        <s v="C010114"/>
        <s v="C010115"/>
        <s v="C010121"/>
        <s v="C010122"/>
        <s v="C010124"/>
        <s v="C010127"/>
        <s v="C010150"/>
        <s v="C010155"/>
        <s v="C010160"/>
        <s v="C010162"/>
        <s v="C010163"/>
        <s v="C010164"/>
        <s v="C010170"/>
        <s v="C010180"/>
        <s v="C010205"/>
        <s v="C010210"/>
        <s v="C010215"/>
        <s v="C010220"/>
        <s v="C010230"/>
        <s v="C010301"/>
        <s v="C010305"/>
        <s v="C010310"/>
        <s v="C010401"/>
        <s v="C010415"/>
        <s v="C010430"/>
        <s v="C010431"/>
        <s v="C010432"/>
        <s v="C010433"/>
        <s v="C010434"/>
        <s v="C010450"/>
        <s v="C010451"/>
        <s v="C010452"/>
        <s v="C010453"/>
        <s v="C010501"/>
        <s v="C010701"/>
        <s v="C010801"/>
        <s v="C020201"/>
        <s v="C020202"/>
        <s v="C020205"/>
        <s v="C020298"/>
        <s v="C020402"/>
        <s v="C020405"/>
        <s v="C020415"/>
        <s v="C020420"/>
        <s v="C020425"/>
        <s v="C020501"/>
        <s v="C020502"/>
        <s v="C020601"/>
        <s v="C020801"/>
        <s v="C030101"/>
        <s v="C030110"/>
        <s v="C030115"/>
        <s v="C030125"/>
        <s v="C030200"/>
        <s v="C040001"/>
        <s v="C040002"/>
        <s v="C040015"/>
        <s v="C040101"/>
        <s v="C040105"/>
        <s v="C040110"/>
        <s v="C040111"/>
        <s v="C040120"/>
        <s v="C040201"/>
        <s v="C040301"/>
        <s v="C040310"/>
        <s v="C040320"/>
        <s v="C040325"/>
        <s v="C040330"/>
        <s v="C040401"/>
        <s v="C040405"/>
        <s v="C040410"/>
        <s v="C040411"/>
        <s v="C040412"/>
        <s v="C040415"/>
        <s v="C040418"/>
        <s v="C040425"/>
        <s v="C040501"/>
        <s v="C042005"/>
        <s v="C042010"/>
        <s v="C042015"/>
        <s v="C042020"/>
        <s v="C042025"/>
        <s v="C042030"/>
        <s v="C042050"/>
        <s v="C043001"/>
        <s v="C043005"/>
        <s v="C043010"/>
        <s v="C043015"/>
        <s v="C043020"/>
        <s v="C043035"/>
        <s v="C044002"/>
        <s v="C044004"/>
        <s v="C100601"/>
        <s v="C100901"/>
        <s v="C100905"/>
        <s v="C100906"/>
        <s v="C100907"/>
        <s v="C100908"/>
        <s v="C100909"/>
        <s v="C100920"/>
        <s v="C100930"/>
        <s v="C100931"/>
        <s v="C100941"/>
        <s v="C100942"/>
        <s v="C100944"/>
        <s v="C200101"/>
        <s v="C200110"/>
        <s v="C200115"/>
        <s v="C200120"/>
        <s v="C200205"/>
        <s v="C200210"/>
        <s v="C200501"/>
        <s v="C200506"/>
        <s v="C200507"/>
        <s v="C200508"/>
        <s v="C200509"/>
        <s v="C200521"/>
        <s v="C200531"/>
        <s v="C200532"/>
        <s v="C200540"/>
        <s v="C200541"/>
        <s v="C200551"/>
        <s v="C200553"/>
        <s v="C200560"/>
        <s v="C200561"/>
        <s v="C200591"/>
        <s v="C200601"/>
        <s v="C250000"/>
        <s v="C250050"/>
        <s v="C250051"/>
        <s v="C250052"/>
        <s v="C250100"/>
        <s v="C250110"/>
        <s v="C250112"/>
        <s v="C250113"/>
        <s v="C250120"/>
        <s v="C250122"/>
        <s v="C250123"/>
        <s v="C250210"/>
        <s v="C250251"/>
        <s v="C250260"/>
        <s v="C250400"/>
        <s v="C250401"/>
        <s v="C250510"/>
        <s v="C250520"/>
        <s v="C250521"/>
        <s v="C250522"/>
        <s v="C250523"/>
        <s v="C250530"/>
        <s v="C250531"/>
        <s v="C250533"/>
        <s v="C250551"/>
        <s v="C250560"/>
        <s v="C250570"/>
        <s v="C250581"/>
        <s v="C250601"/>
        <s v="C250622"/>
        <s v="C250631"/>
        <s v="C251000"/>
        <s v="C251002"/>
        <s v="C251003"/>
        <s v="C251006"/>
        <s v="C251007"/>
        <s v="C251008"/>
        <s v="C251009"/>
        <s v="C251011"/>
        <s v="C251012"/>
        <s v="C251014"/>
        <s v="C251016"/>
        <s v="C251070"/>
        <s v="C251080"/>
        <s v="C251091"/>
        <s v="C251300"/>
        <s v="C251306"/>
        <s v="C251307"/>
        <s v="C251308"/>
        <s v="C251309"/>
        <s v="C251310"/>
        <s v="C251314"/>
        <s v="C251318"/>
        <s v="C251321"/>
        <s v="C251322"/>
        <s v="C251323"/>
        <s v="C251329"/>
        <s v="C251333"/>
        <s v="C251337"/>
        <s v="C251338"/>
        <s v="C251340"/>
        <s v="C251341"/>
        <s v="C251344"/>
        <s v="C251345"/>
        <s v="C251346"/>
        <s v="C251347"/>
        <s v="C251349"/>
        <s v="C251350"/>
        <s v="C251351"/>
        <s v="C251353"/>
        <s v="C251362"/>
        <s v="C251365"/>
        <s v="C252000"/>
        <s v="C252002"/>
        <s v="C252004"/>
        <s v="C252010"/>
        <s v="C252030"/>
        <s v="C252031"/>
        <s v="C252032"/>
        <s v="C252040"/>
        <s v="C252042"/>
        <s v="C252043"/>
        <s v="C252050"/>
        <s v="C252051"/>
        <s v="C252070"/>
        <s v="C252071"/>
        <s v="C252072"/>
        <s v="C252073"/>
        <s v="C252075"/>
        <s v="C252080"/>
        <s v="C252089"/>
        <s v="C252090"/>
        <s v="C252100"/>
        <s v="C252121"/>
        <s v="C252124"/>
        <s v="C252125"/>
        <s v="C252129"/>
        <s v="C252131"/>
        <s v="C252133"/>
        <s v="C253002"/>
        <s v="C253003"/>
        <s v="C253005"/>
        <s v="C253011"/>
        <s v="C253012"/>
        <s v="C253013"/>
        <s v="C253014"/>
        <s v="C253015"/>
        <s v="C253019"/>
        <s v="C253100"/>
        <s v="C253200"/>
        <s v="C253201"/>
        <s v="C253300"/>
        <s v="C253301"/>
        <s v="C253500"/>
        <s v="C253506"/>
        <s v="C253601"/>
        <s v="C253602"/>
        <s v="C253603"/>
        <s v="C253701"/>
        <s v="C253702"/>
        <s v="C253705"/>
        <s v="C253706"/>
        <s v="C253710"/>
        <s v="C253711"/>
        <s v="C253712"/>
        <s v="C253714"/>
        <s v="C253716"/>
        <s v="C253722"/>
        <s v="C253723"/>
        <s v="C253727"/>
        <s v="C253728"/>
        <s v="C253729"/>
        <s v="C254004"/>
        <s v="C254008"/>
        <s v="C254009"/>
        <s v="C254018"/>
        <s v="C254021"/>
        <s v="C259000"/>
        <s v="C300000"/>
        <s v="C300005"/>
        <s v="C300011"/>
        <s v="C301000"/>
        <s v="C301002"/>
        <s v="C301003"/>
        <s v="C301004"/>
        <s v="C301005"/>
        <s v="C301009"/>
        <s v="C301113"/>
        <s v="C302000"/>
        <s v="C302001"/>
        <s v="C302002"/>
        <s v="C302050"/>
        <s v="C302100"/>
        <s v="C302102"/>
        <s v="C302103"/>
        <s v="C302104"/>
        <s v="C302110"/>
        <s v="C303000"/>
        <s v="C303001"/>
        <s v="C303002"/>
        <s v="C303009"/>
        <s v="C303050"/>
        <s v="C303058"/>
        <s v="C303100"/>
        <s v="C303101"/>
        <s v="C303102"/>
        <s v="C303103"/>
        <s v="C303110"/>
        <s v="C303150"/>
        <s v="C303160"/>
        <s v="C350101"/>
        <s v="C350104"/>
        <s v="C350107"/>
        <s v="C350108"/>
        <s v="C350109"/>
        <s v="C350112"/>
        <s v="C350113"/>
        <s v="C350114"/>
        <s v="C350115"/>
        <s v="C350118"/>
        <s v="C350500"/>
        <s v="C350501"/>
        <s v="C350506"/>
        <s v="C350507"/>
        <s v="C350510"/>
        <s v="C350511"/>
        <s v="C350513"/>
        <s v="C350514"/>
        <s v="C350515"/>
        <s v="C350517"/>
        <s v="C350518"/>
        <s v="C350522"/>
        <s v="C350524"/>
        <s v="C350525"/>
        <s v="C350526"/>
        <s v="C350528"/>
        <s v="C350530"/>
        <s v="C350531"/>
        <s v="C350532"/>
        <s v="C350533"/>
        <s v="C350534"/>
        <s v="C350535"/>
        <s v="C350536"/>
        <s v="C350537"/>
        <s v="C350538"/>
        <s v="C350541"/>
        <s v="C350542"/>
        <s v="C350543"/>
        <s v="C350546"/>
        <s v="C350549"/>
        <s v="C350550"/>
        <s v="C350551"/>
        <s v="C350555"/>
        <s v="C350556"/>
        <s v="C350558"/>
        <s v="C350560"/>
        <s v="C350562"/>
        <s v="C350566"/>
        <s v="C350567"/>
        <s v="C350568"/>
        <s v="C350569"/>
        <s v="C350571"/>
        <s v="C350572"/>
        <s v="C350573"/>
        <s v="C350574"/>
        <s v="C350576"/>
        <s v="C350577"/>
        <s v="C350578"/>
        <s v="C350579"/>
        <s v="C350580"/>
        <s v="C350583"/>
        <s v="C350584"/>
        <s v="C350585"/>
        <s v="C350586"/>
        <s v="C350587"/>
        <s v="C350588"/>
        <s v="C350589"/>
        <s v="C350590"/>
        <s v="C350591"/>
        <s v="C350592"/>
        <s v="C350593"/>
        <s v="C350595"/>
        <s v="C350596"/>
        <s v="C350597"/>
        <s v="C350601"/>
        <s v="C350603"/>
        <s v="C350604"/>
        <s v="C350605"/>
        <s v="C350606"/>
        <s v="C350607"/>
        <s v="C350608"/>
        <s v="C350609"/>
        <s v="C350610"/>
        <s v="C350611"/>
        <s v="C350612"/>
        <s v="C350613"/>
        <s v="C350616"/>
        <s v="C350617"/>
        <s v="C350618"/>
        <s v="C350620"/>
        <s v="C350622"/>
        <s v="C350623"/>
        <s v="C350624"/>
        <s v="C350625"/>
        <s v="C350627"/>
        <s v="C350630"/>
        <s v="C350631"/>
        <s v="C350632"/>
        <s v="C350633"/>
        <s v="C350634"/>
        <s v="C350637"/>
        <s v="C350638"/>
        <s v="C350639"/>
        <s v="C350640"/>
        <s v="C350641"/>
        <s v="C350644"/>
        <s v="C350670"/>
        <s v="C350674"/>
        <s v="C350679"/>
        <s v="C350690"/>
        <s v="C350691"/>
        <s v="C350900"/>
        <s v="C380000"/>
        <s v="C380001"/>
        <s v="C380002"/>
        <s v="C380003"/>
        <s v="C380004"/>
        <s v="C380005"/>
        <s v="C380007"/>
        <s v="C380009"/>
        <s v="C380019"/>
        <s v="C380100"/>
        <s v="C380101"/>
        <s v="C380102"/>
        <s v="C380103"/>
        <s v="C380104"/>
        <s v="C385000"/>
        <s v="C385002"/>
        <s v="C385003"/>
        <s v="C385005"/>
        <s v="C390051"/>
        <s v="C400000"/>
        <s v="C400005"/>
        <s v="C400010"/>
        <s v="C400015"/>
        <s v="C400020"/>
        <s v="C400030"/>
        <s v="C400051"/>
        <s v="C400052"/>
        <s v="C400054"/>
        <s v="C400055"/>
        <s v="C400056"/>
        <s v="C400057"/>
        <s v="C400060"/>
        <s v="C400100"/>
        <s v="C400101"/>
        <s v="C400102"/>
        <s v="C400103"/>
        <s v="C400104"/>
        <s v="C400105"/>
        <s v="C400108"/>
        <s v="C400150"/>
        <s v="C400300"/>
        <s v="C400302"/>
        <s v="C400303"/>
        <s v="C400305"/>
        <s v="C500002"/>
        <s v="C500358"/>
        <s v="C500361"/>
        <s v="C500364"/>
        <s v="C500365"/>
        <s v="C503001"/>
        <s v="C503003"/>
        <s v="C503005"/>
        <s v="C503007"/>
        <s v="C503008"/>
        <s v="C503009"/>
        <s v="C503010"/>
        <s v="C503012"/>
        <s v="C503014"/>
        <s v="C503017"/>
        <s v="C503018"/>
        <s v="C503020"/>
        <s v="C503021"/>
        <s v="C503023"/>
        <s v="C503038"/>
        <s v="C503042"/>
        <s v="C503044"/>
        <s v="C503057"/>
        <s v="C503058"/>
        <s v="C505000"/>
        <s v="C505002"/>
        <s v="C505007"/>
        <s v="C505010"/>
        <s v="C505011"/>
        <s v="C505013"/>
        <s v="C505014"/>
        <s v="C505015"/>
        <s v="C505016"/>
        <s v="C505018"/>
        <s v="C505019"/>
        <s v="C505020"/>
        <s v="C505021"/>
        <s v="C505022"/>
        <s v="C505023"/>
        <s v="C505024"/>
        <s v="C505029"/>
        <s v="C505030"/>
        <s v="C505031"/>
        <s v="C505033"/>
        <s v="C505036"/>
        <s v="C505037"/>
        <s v="C505046"/>
        <s v="C505052"/>
        <s v="C505055"/>
        <s v="C505058"/>
        <s v="C505062"/>
        <s v="C505063"/>
        <s v="C505099"/>
        <s v="C505101"/>
        <s v="C505102"/>
        <s v="C506000"/>
        <s v="C506002"/>
        <s v="C506003"/>
        <s v="C506004"/>
        <s v="C506005"/>
        <s v="C506006"/>
        <s v="C506008"/>
        <s v="C506009"/>
        <s v="C506010"/>
        <s v="C506011"/>
        <s v="C506013"/>
        <s v="C506014"/>
        <s v="C506016"/>
        <s v="C506019"/>
        <s v="C506020"/>
        <s v="C506021"/>
        <s v="C506023"/>
        <s v="C506025"/>
        <s v="C506026"/>
        <s v="C506029"/>
        <s v="C506033"/>
        <s v="C509000"/>
        <s v="C509500"/>
        <s v="C510000"/>
        <s v="C515000"/>
        <s v="C515003"/>
        <s v="C515005"/>
        <s v="C515007"/>
        <s v="C515008"/>
        <s v="C515010"/>
        <s v="C515011"/>
        <s v="C515014"/>
        <s v="C515017"/>
        <s v="C515018"/>
        <s v="C515019"/>
        <s v="C515100"/>
        <s v="C515101"/>
        <s v="C515214"/>
        <s v="C515215"/>
        <s v="C515305"/>
        <s v="C550000"/>
        <s v="C550001"/>
        <s v="C550002"/>
        <s v="C550003"/>
        <s v="C550004"/>
        <s v="C550005"/>
        <s v="C550006"/>
        <s v="C550007"/>
        <s v="C550008"/>
        <s v="C550009"/>
        <s v="C550024"/>
        <s v="C570001"/>
        <s v="C570003"/>
        <s v="C570004"/>
        <s v="C570005"/>
        <s v="C570006"/>
        <s v="C570007"/>
        <s v="C570009"/>
        <s v="C570011"/>
        <s v="C570012"/>
        <s v="C570013"/>
        <s v="C570016"/>
        <s v="C590002"/>
        <s v="C590003"/>
        <s v="C590004"/>
        <s v="C590005"/>
        <s v="C590006"/>
        <s v="C590007"/>
        <s v="C590008"/>
        <s v="C590009"/>
        <s v="C590010"/>
        <s v="C590011"/>
        <s v="C590012"/>
        <s v="C590013"/>
        <s v="C590014"/>
        <s v="C590015"/>
        <s v="C590016"/>
        <s v="C590031"/>
        <s v="C610388"/>
        <s v="C610400"/>
        <s v="C610401"/>
        <s v="C610402"/>
        <s v="C610403"/>
        <s v="C610404"/>
        <s v="CI10170"/>
        <s v="CI10181"/>
        <s v="CI10216"/>
        <s v="CI10429"/>
        <s v="CI10508"/>
        <s v="CI10510"/>
        <s v="CI20104"/>
        <s v="CI20105"/>
        <s v="CI20223"/>
        <s v="CI20226"/>
        <s v="CI20227"/>
        <s v="CI20402"/>
        <s v="CI20403"/>
        <s v="CI38505"/>
        <s v="CI40107"/>
        <s v="CI50000"/>
        <s v="CI50002"/>
        <s v="CI53022"/>
        <s v="CI56001"/>
        <s v="CI57010"/>
        <s v="C030400"/>
        <s v="C044001"/>
        <s v="C090054"/>
        <s v="C252044"/>
        <s v="C380014"/>
        <s v="C385006"/>
        <s v="C385007"/>
        <s v="C385008"/>
        <s v="C385009"/>
        <s v="C503061"/>
        <s v="C505032"/>
        <s v="C505104"/>
        <s v="C506034"/>
        <s v="C044003"/>
        <s v="C090055"/>
        <s v="C380018"/>
        <s v="C505103"/>
        <s v="C505105"/>
        <s v="C400124"/>
        <s v="C505100"/>
        <s v="C500369"/>
        <s v="C506072"/>
        <s v="C506073"/>
        <s v="C515046"/>
        <s v="C100940"/>
        <s v="C350120"/>
        <s v="C500370"/>
        <s v="C505035"/>
        <s v="C090056"/>
        <s v="C350600"/>
        <s v="C350619"/>
        <s v="C500371"/>
        <s v="C503013"/>
        <s v="C044005"/>
        <s v="C055215"/>
        <s v="C350686"/>
        <s v="C400306"/>
        <s v="C400307"/>
        <s v="C400308"/>
        <s v="C400309"/>
        <s v="C400310"/>
        <s v="C400311"/>
        <s v="C400312"/>
        <s v="C400313"/>
        <s v="C500366"/>
        <s v="C506017"/>
        <s v="C350726"/>
        <m/>
        <n v="0" u="1"/>
      </sharedItems>
    </cacheField>
    <cacheField name="FTE" numFmtId="0">
      <sharedItems containsString="0" containsBlank="1" containsNumber="1" containsInteger="1" minValue="0" maxValue="10197"/>
    </cacheField>
    <cacheField name="Salary" numFmtId="43">
      <sharedItems containsString="0" containsBlank="1" containsNumber="1" minValue="1290" maxValue="30723628.99999997"/>
    </cacheField>
    <cacheField name="Segment" numFmtId="0">
      <sharedItems containsBlank="1" containsMixedTypes="1" containsNumber="1" containsInteger="1" minValue="0" maxValue="0" count="5">
        <s v="Corporate"/>
        <s v="Housing"/>
        <s v="Lifestyle"/>
        <n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son Okello" refreshedDate="45954.54985127315" createdVersion="8" refreshedVersion="8" minRefreshableVersion="3" recordCount="710" xr:uid="{7D4ECE68-F1AC-4F00-B209-7EB653469351}">
  <cacheSource type="worksheet">
    <worksheetSource ref="C3:E725" sheet="Allocation"/>
  </cacheSource>
  <cacheFields count="3">
    <cacheField name="Entity" numFmtId="0">
      <sharedItems containsBlank="1" count="3">
        <s v="E00330"/>
        <s v="E01300"/>
        <m/>
      </sharedItems>
    </cacheField>
    <cacheField name="Cost Center" numFmtId="0">
      <sharedItems containsBlank="1"/>
    </cacheField>
    <cacheField name="Amount" numFmtId="43">
      <sharedItems containsString="0" containsBlank="1" containsNumber="1" minValue="285.14560129098021" maxValue="117584.000933209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0">
  <r>
    <x v="0"/>
    <x v="0"/>
    <n v="0"/>
    <n v="1676"/>
    <x v="0"/>
  </r>
  <r>
    <x v="0"/>
    <x v="1"/>
    <n v="0"/>
    <n v="3576.92"/>
    <x v="1"/>
  </r>
  <r>
    <x v="0"/>
    <x v="2"/>
    <n v="0"/>
    <n v="4769.2299999999996"/>
    <x v="1"/>
  </r>
  <r>
    <x v="0"/>
    <x v="3"/>
    <n v="0"/>
    <n v="4876.6499999999996"/>
    <x v="1"/>
  </r>
  <r>
    <x v="0"/>
    <x v="4"/>
    <n v="0"/>
    <n v="7224.19"/>
    <x v="1"/>
  </r>
  <r>
    <x v="0"/>
    <x v="5"/>
    <n v="0"/>
    <n v="3556.88"/>
    <x v="1"/>
  </r>
  <r>
    <x v="0"/>
    <x v="6"/>
    <n v="0"/>
    <n v="10415.43"/>
    <x v="1"/>
  </r>
  <r>
    <x v="0"/>
    <x v="7"/>
    <n v="0"/>
    <n v="2178.7199999999998"/>
    <x v="1"/>
  </r>
  <r>
    <x v="0"/>
    <x v="8"/>
    <n v="0"/>
    <n v="1920.9"/>
    <x v="1"/>
  </r>
  <r>
    <x v="0"/>
    <x v="9"/>
    <n v="0"/>
    <n v="1838.16"/>
    <x v="1"/>
  </r>
  <r>
    <x v="0"/>
    <x v="10"/>
    <n v="0"/>
    <n v="5145.18"/>
    <x v="1"/>
  </r>
  <r>
    <x v="0"/>
    <x v="11"/>
    <n v="0"/>
    <n v="4440.7700000000004"/>
    <x v="1"/>
  </r>
  <r>
    <x v="0"/>
    <x v="12"/>
    <n v="0"/>
    <n v="2737.6"/>
    <x v="1"/>
  </r>
  <r>
    <x v="0"/>
    <x v="13"/>
    <n v="0"/>
    <n v="3377.77"/>
    <x v="1"/>
  </r>
  <r>
    <x v="0"/>
    <x v="14"/>
    <n v="0"/>
    <n v="2823.98"/>
    <x v="1"/>
  </r>
  <r>
    <x v="0"/>
    <x v="15"/>
    <n v="0"/>
    <n v="1522.4"/>
    <x v="1"/>
  </r>
  <r>
    <x v="0"/>
    <x v="16"/>
    <n v="0"/>
    <n v="1646.82"/>
    <x v="1"/>
  </r>
  <r>
    <x v="0"/>
    <x v="17"/>
    <n v="0"/>
    <n v="2519.37"/>
    <x v="1"/>
  </r>
  <r>
    <x v="0"/>
    <x v="18"/>
    <n v="0"/>
    <n v="2159.1999999999998"/>
    <x v="1"/>
  </r>
  <r>
    <x v="0"/>
    <x v="19"/>
    <n v="0"/>
    <n v="6536.54"/>
    <x v="1"/>
  </r>
  <r>
    <x v="1"/>
    <x v="20"/>
    <n v="2"/>
    <n v="32448.880000000001"/>
    <x v="0"/>
  </r>
  <r>
    <x v="1"/>
    <x v="21"/>
    <n v="1"/>
    <n v="4719.58"/>
    <x v="0"/>
  </r>
  <r>
    <x v="1"/>
    <x v="22"/>
    <n v="7"/>
    <n v="61580.7"/>
    <x v="0"/>
  </r>
  <r>
    <x v="1"/>
    <x v="23"/>
    <n v="13"/>
    <n v="48577.03"/>
    <x v="0"/>
  </r>
  <r>
    <x v="1"/>
    <x v="24"/>
    <n v="3"/>
    <n v="15946.04"/>
    <x v="0"/>
  </r>
  <r>
    <x v="1"/>
    <x v="25"/>
    <n v="8"/>
    <n v="33425.129999999997"/>
    <x v="0"/>
  </r>
  <r>
    <x v="1"/>
    <x v="26"/>
    <n v="19"/>
    <n v="61438.96"/>
    <x v="0"/>
  </r>
  <r>
    <x v="1"/>
    <x v="27"/>
    <n v="6"/>
    <n v="35054.9"/>
    <x v="0"/>
  </r>
  <r>
    <x v="1"/>
    <x v="28"/>
    <n v="1"/>
    <n v="8319.23"/>
    <x v="0"/>
  </r>
  <r>
    <x v="1"/>
    <x v="29"/>
    <n v="9"/>
    <n v="33871.96"/>
    <x v="0"/>
  </r>
  <r>
    <x v="1"/>
    <x v="30"/>
    <n v="5"/>
    <n v="28323.759999999998"/>
    <x v="0"/>
  </r>
  <r>
    <x v="1"/>
    <x v="31"/>
    <n v="27"/>
    <n v="98889.38"/>
    <x v="0"/>
  </r>
  <r>
    <x v="1"/>
    <x v="32"/>
    <n v="9"/>
    <n v="37712.379999999997"/>
    <x v="0"/>
  </r>
  <r>
    <x v="1"/>
    <x v="33"/>
    <n v="9"/>
    <n v="36909.279999999999"/>
    <x v="0"/>
  </r>
  <r>
    <x v="1"/>
    <x v="34"/>
    <n v="7"/>
    <n v="26486.99"/>
    <x v="0"/>
  </r>
  <r>
    <x v="1"/>
    <x v="35"/>
    <n v="5"/>
    <n v="25526.54"/>
    <x v="2"/>
  </r>
  <r>
    <x v="1"/>
    <x v="36"/>
    <n v="8"/>
    <n v="49363.46"/>
    <x v="2"/>
  </r>
  <r>
    <x v="1"/>
    <x v="37"/>
    <n v="20"/>
    <n v="92640.3"/>
    <x v="2"/>
  </r>
  <r>
    <x v="1"/>
    <x v="38"/>
    <n v="10"/>
    <n v="47526.69"/>
    <x v="2"/>
  </r>
  <r>
    <x v="1"/>
    <x v="39"/>
    <n v="45"/>
    <n v="179021.21"/>
    <x v="2"/>
  </r>
  <r>
    <x v="1"/>
    <x v="40"/>
    <n v="9"/>
    <n v="28492.93"/>
    <x v="1"/>
  </r>
  <r>
    <x v="1"/>
    <x v="41"/>
    <n v="9"/>
    <n v="34692.519999999997"/>
    <x v="2"/>
  </r>
  <r>
    <x v="1"/>
    <x v="42"/>
    <n v="5"/>
    <n v="17797.400000000001"/>
    <x v="0"/>
  </r>
  <r>
    <x v="1"/>
    <x v="43"/>
    <n v="13"/>
    <n v="74971.570000000007"/>
    <x v="0"/>
  </r>
  <r>
    <x v="1"/>
    <x v="44"/>
    <n v="15"/>
    <n v="80833.679999999993"/>
    <x v="0"/>
  </r>
  <r>
    <x v="1"/>
    <x v="45"/>
    <n v="19"/>
    <n v="87165.96"/>
    <x v="0"/>
  </r>
  <r>
    <x v="1"/>
    <x v="46"/>
    <n v="19"/>
    <n v="86747.08"/>
    <x v="0"/>
  </r>
  <r>
    <x v="1"/>
    <x v="47"/>
    <n v="10"/>
    <n v="57611.69"/>
    <x v="0"/>
  </r>
  <r>
    <x v="1"/>
    <x v="48"/>
    <n v="13"/>
    <n v="71189.679999999993"/>
    <x v="0"/>
  </r>
  <r>
    <x v="1"/>
    <x v="49"/>
    <n v="13"/>
    <n v="64713.11"/>
    <x v="0"/>
  </r>
  <r>
    <x v="1"/>
    <x v="50"/>
    <n v="2"/>
    <n v="21569.54"/>
    <x v="0"/>
  </r>
  <r>
    <x v="1"/>
    <x v="51"/>
    <n v="7"/>
    <n v="35403.01"/>
    <x v="0"/>
  </r>
  <r>
    <x v="1"/>
    <x v="52"/>
    <n v="5"/>
    <n v="26809.81"/>
    <x v="1"/>
  </r>
  <r>
    <x v="1"/>
    <x v="53"/>
    <n v="4"/>
    <n v="22717.46"/>
    <x v="1"/>
  </r>
  <r>
    <x v="1"/>
    <x v="54"/>
    <n v="6"/>
    <n v="26208.66"/>
    <x v="1"/>
  </r>
  <r>
    <x v="1"/>
    <x v="55"/>
    <n v="3"/>
    <n v="12970.92"/>
    <x v="1"/>
  </r>
  <r>
    <x v="1"/>
    <x v="56"/>
    <n v="6"/>
    <n v="31547.73"/>
    <x v="1"/>
  </r>
  <r>
    <x v="1"/>
    <x v="57"/>
    <n v="9"/>
    <n v="58345.65"/>
    <x v="2"/>
  </r>
  <r>
    <x v="1"/>
    <x v="58"/>
    <n v="9"/>
    <n v="49717.2"/>
    <x v="2"/>
  </r>
  <r>
    <x v="1"/>
    <x v="59"/>
    <n v="15"/>
    <n v="87773.73"/>
    <x v="2"/>
  </r>
  <r>
    <x v="1"/>
    <x v="60"/>
    <n v="3"/>
    <n v="10748.96"/>
    <x v="2"/>
  </r>
  <r>
    <x v="1"/>
    <x v="61"/>
    <n v="11"/>
    <n v="73870.62"/>
    <x v="0"/>
  </r>
  <r>
    <x v="1"/>
    <x v="62"/>
    <n v="13"/>
    <n v="103810.08"/>
    <x v="0"/>
  </r>
  <r>
    <x v="1"/>
    <x v="63"/>
    <n v="8"/>
    <n v="66905.850000000006"/>
    <x v="0"/>
  </r>
  <r>
    <x v="1"/>
    <x v="64"/>
    <n v="5"/>
    <n v="40576.51"/>
    <x v="0"/>
  </r>
  <r>
    <x v="1"/>
    <x v="65"/>
    <n v="17"/>
    <n v="110762.31"/>
    <x v="0"/>
  </r>
  <r>
    <x v="1"/>
    <x v="66"/>
    <n v="9"/>
    <n v="66926.27"/>
    <x v="0"/>
  </r>
  <r>
    <x v="1"/>
    <x v="67"/>
    <n v="18"/>
    <n v="126911.59"/>
    <x v="0"/>
  </r>
  <r>
    <x v="1"/>
    <x v="68"/>
    <n v="4"/>
    <n v="35015.58"/>
    <x v="0"/>
  </r>
  <r>
    <x v="1"/>
    <x v="69"/>
    <n v="6"/>
    <n v="42506.65"/>
    <x v="0"/>
  </r>
  <r>
    <x v="1"/>
    <x v="70"/>
    <n v="9"/>
    <n v="38933.81"/>
    <x v="0"/>
  </r>
  <r>
    <x v="1"/>
    <x v="71"/>
    <n v="28"/>
    <n v="97658.29"/>
    <x v="0"/>
  </r>
  <r>
    <x v="1"/>
    <x v="72"/>
    <n v="11"/>
    <n v="59142.77"/>
    <x v="0"/>
  </r>
  <r>
    <x v="1"/>
    <x v="73"/>
    <n v="5"/>
    <n v="38354.93"/>
    <x v="0"/>
  </r>
  <r>
    <x v="1"/>
    <x v="74"/>
    <n v="2"/>
    <n v="18384.61"/>
    <x v="0"/>
  </r>
  <r>
    <x v="1"/>
    <x v="75"/>
    <n v="9"/>
    <n v="44355.76"/>
    <x v="0"/>
  </r>
  <r>
    <x v="1"/>
    <x v="76"/>
    <n v="5"/>
    <n v="19205.04"/>
    <x v="0"/>
  </r>
  <r>
    <x v="1"/>
    <x v="77"/>
    <n v="5"/>
    <n v="68846.17"/>
    <x v="0"/>
  </r>
  <r>
    <x v="1"/>
    <x v="78"/>
    <n v="15"/>
    <n v="101116.54000000001"/>
    <x v="0"/>
  </r>
  <r>
    <x v="1"/>
    <x v="79"/>
    <n v="2"/>
    <n v="48846.15"/>
    <x v="0"/>
  </r>
  <r>
    <x v="1"/>
    <x v="80"/>
    <n v="2"/>
    <n v="26410.42"/>
    <x v="0"/>
  </r>
  <r>
    <x v="1"/>
    <x v="81"/>
    <n v="2"/>
    <n v="11453.84"/>
    <x v="0"/>
  </r>
  <r>
    <x v="1"/>
    <x v="82"/>
    <n v="6"/>
    <n v="53845.34"/>
    <x v="0"/>
  </r>
  <r>
    <x v="1"/>
    <x v="83"/>
    <n v="2"/>
    <n v="2271"/>
    <x v="0"/>
  </r>
  <r>
    <x v="1"/>
    <x v="84"/>
    <n v="12"/>
    <n v="47326.63"/>
    <x v="0"/>
  </r>
  <r>
    <x v="1"/>
    <x v="85"/>
    <n v="5"/>
    <n v="23719.54"/>
    <x v="0"/>
  </r>
  <r>
    <x v="1"/>
    <x v="86"/>
    <n v="9"/>
    <n v="42780.160000000003"/>
    <x v="0"/>
  </r>
  <r>
    <x v="1"/>
    <x v="87"/>
    <n v="1"/>
    <n v="5028.96"/>
    <x v="0"/>
  </r>
  <r>
    <x v="1"/>
    <x v="88"/>
    <n v="1"/>
    <n v="8358.65"/>
    <x v="0"/>
  </r>
  <r>
    <x v="1"/>
    <x v="89"/>
    <n v="4"/>
    <n v="17134.23"/>
    <x v="0"/>
  </r>
  <r>
    <x v="1"/>
    <x v="90"/>
    <n v="55"/>
    <n v="279296.5"/>
    <x v="0"/>
  </r>
  <r>
    <x v="1"/>
    <x v="91"/>
    <n v="12"/>
    <n v="65476.93"/>
    <x v="0"/>
  </r>
  <r>
    <x v="1"/>
    <x v="92"/>
    <n v="3"/>
    <n v="10072.34"/>
    <x v="0"/>
  </r>
  <r>
    <x v="1"/>
    <x v="93"/>
    <n v="2"/>
    <n v="8519.73"/>
    <x v="0"/>
  </r>
  <r>
    <x v="1"/>
    <x v="94"/>
    <n v="39"/>
    <n v="152383.28"/>
    <x v="0"/>
  </r>
  <r>
    <x v="1"/>
    <x v="95"/>
    <n v="16"/>
    <n v="45536.91"/>
    <x v="0"/>
  </r>
  <r>
    <x v="1"/>
    <x v="96"/>
    <n v="3"/>
    <n v="8877.16"/>
    <x v="0"/>
  </r>
  <r>
    <x v="1"/>
    <x v="97"/>
    <n v="27"/>
    <n v="91713.600000000006"/>
    <x v="0"/>
  </r>
  <r>
    <x v="1"/>
    <x v="98"/>
    <n v="17"/>
    <n v="98286.45"/>
    <x v="0"/>
  </r>
  <r>
    <x v="1"/>
    <x v="99"/>
    <n v="7"/>
    <n v="21688.04"/>
    <x v="0"/>
  </r>
  <r>
    <x v="1"/>
    <x v="100"/>
    <n v="8"/>
    <n v="25836.76"/>
    <x v="0"/>
  </r>
  <r>
    <x v="1"/>
    <x v="0"/>
    <n v="38"/>
    <n v="74125.62"/>
    <x v="0"/>
  </r>
  <r>
    <x v="1"/>
    <x v="101"/>
    <n v="3"/>
    <n v="18000.88"/>
    <x v="0"/>
  </r>
  <r>
    <x v="1"/>
    <x v="102"/>
    <n v="8"/>
    <n v="28547.200000000001"/>
    <x v="0"/>
  </r>
  <r>
    <x v="1"/>
    <x v="103"/>
    <n v="24"/>
    <n v="79997.440000000002"/>
    <x v="0"/>
  </r>
  <r>
    <x v="1"/>
    <x v="104"/>
    <n v="4"/>
    <n v="19012.939999999999"/>
    <x v="0"/>
  </r>
  <r>
    <x v="1"/>
    <x v="105"/>
    <n v="8"/>
    <n v="47236.43"/>
    <x v="0"/>
  </r>
  <r>
    <x v="1"/>
    <x v="106"/>
    <n v="4"/>
    <n v="24065.040000000001"/>
    <x v="0"/>
  </r>
  <r>
    <x v="1"/>
    <x v="107"/>
    <n v="6"/>
    <n v="47142.34"/>
    <x v="0"/>
  </r>
  <r>
    <x v="1"/>
    <x v="108"/>
    <n v="3"/>
    <n v="23908"/>
    <x v="0"/>
  </r>
  <r>
    <x v="1"/>
    <x v="109"/>
    <n v="12"/>
    <n v="69390.03"/>
    <x v="0"/>
  </r>
  <r>
    <x v="1"/>
    <x v="110"/>
    <n v="2"/>
    <n v="9722.73"/>
    <x v="0"/>
  </r>
  <r>
    <x v="1"/>
    <x v="111"/>
    <n v="8"/>
    <n v="28434.31"/>
    <x v="2"/>
  </r>
  <r>
    <x v="1"/>
    <x v="112"/>
    <n v="5"/>
    <n v="56564.61"/>
    <x v="0"/>
  </r>
  <r>
    <x v="1"/>
    <x v="113"/>
    <n v="2"/>
    <n v="15554.62"/>
    <x v="0"/>
  </r>
  <r>
    <x v="1"/>
    <x v="114"/>
    <n v="3"/>
    <n v="12983.66"/>
    <x v="0"/>
  </r>
  <r>
    <x v="1"/>
    <x v="115"/>
    <n v="3"/>
    <n v="24018.28"/>
    <x v="0"/>
  </r>
  <r>
    <x v="1"/>
    <x v="116"/>
    <n v="6"/>
    <n v="48982.73"/>
    <x v="0"/>
  </r>
  <r>
    <x v="1"/>
    <x v="117"/>
    <n v="4"/>
    <n v="31801.200000000001"/>
    <x v="0"/>
  </r>
  <r>
    <x v="1"/>
    <x v="118"/>
    <n v="8"/>
    <n v="44796.46"/>
    <x v="0"/>
  </r>
  <r>
    <x v="1"/>
    <x v="119"/>
    <n v="5"/>
    <n v="23923.08"/>
    <x v="0"/>
  </r>
  <r>
    <x v="1"/>
    <x v="120"/>
    <n v="9"/>
    <n v="32849.24"/>
    <x v="0"/>
  </r>
  <r>
    <x v="1"/>
    <x v="121"/>
    <n v="2"/>
    <n v="9554.68"/>
    <x v="0"/>
  </r>
  <r>
    <x v="1"/>
    <x v="122"/>
    <n v="30"/>
    <n v="100656.04"/>
    <x v="0"/>
  </r>
  <r>
    <x v="1"/>
    <x v="123"/>
    <n v="8"/>
    <n v="27116.71"/>
    <x v="0"/>
  </r>
  <r>
    <x v="1"/>
    <x v="124"/>
    <n v="10"/>
    <n v="46555.839999999997"/>
    <x v="0"/>
  </r>
  <r>
    <x v="1"/>
    <x v="125"/>
    <n v="7"/>
    <n v="32426.48"/>
    <x v="0"/>
  </r>
  <r>
    <x v="1"/>
    <x v="126"/>
    <n v="11"/>
    <n v="49297.2"/>
    <x v="0"/>
  </r>
  <r>
    <x v="1"/>
    <x v="127"/>
    <n v="3"/>
    <n v="22820.7"/>
    <x v="0"/>
  </r>
  <r>
    <x v="1"/>
    <x v="128"/>
    <n v="12"/>
    <n v="74433.42"/>
    <x v="0"/>
  </r>
  <r>
    <x v="1"/>
    <x v="129"/>
    <n v="4"/>
    <n v="10165.030000000001"/>
    <x v="0"/>
  </r>
  <r>
    <x v="1"/>
    <x v="130"/>
    <n v="14"/>
    <n v="60894.66"/>
    <x v="0"/>
  </r>
  <r>
    <x v="1"/>
    <x v="131"/>
    <n v="13"/>
    <n v="70249.350000000006"/>
    <x v="0"/>
  </r>
  <r>
    <x v="1"/>
    <x v="132"/>
    <n v="3"/>
    <n v="29408.15"/>
    <x v="0"/>
  </r>
  <r>
    <x v="1"/>
    <x v="133"/>
    <n v="3"/>
    <n v="22852.04"/>
    <x v="0"/>
  </r>
  <r>
    <x v="1"/>
    <x v="134"/>
    <n v="6"/>
    <n v="28185.27"/>
    <x v="0"/>
  </r>
  <r>
    <x v="1"/>
    <x v="135"/>
    <n v="4"/>
    <n v="26756"/>
    <x v="0"/>
  </r>
  <r>
    <x v="1"/>
    <x v="136"/>
    <n v="6"/>
    <n v="10337.77"/>
    <x v="0"/>
  </r>
  <r>
    <x v="1"/>
    <x v="137"/>
    <n v="8"/>
    <n v="37088.51"/>
    <x v="0"/>
  </r>
  <r>
    <x v="1"/>
    <x v="138"/>
    <n v="26"/>
    <n v="121421.73"/>
    <x v="0"/>
  </r>
  <r>
    <x v="1"/>
    <x v="139"/>
    <n v="10"/>
    <n v="45608.81"/>
    <x v="0"/>
  </r>
  <r>
    <x v="1"/>
    <x v="140"/>
    <n v="4"/>
    <n v="35547.040000000001"/>
    <x v="0"/>
  </r>
  <r>
    <x v="1"/>
    <x v="141"/>
    <n v="13"/>
    <n v="83345.59"/>
    <x v="0"/>
  </r>
  <r>
    <x v="1"/>
    <x v="142"/>
    <n v="5"/>
    <n v="32079.3"/>
    <x v="0"/>
  </r>
  <r>
    <x v="1"/>
    <x v="143"/>
    <n v="6"/>
    <n v="37795.839999999997"/>
    <x v="0"/>
  </r>
  <r>
    <x v="1"/>
    <x v="144"/>
    <n v="28"/>
    <n v="113040.01"/>
    <x v="0"/>
  </r>
  <r>
    <x v="1"/>
    <x v="145"/>
    <n v="11"/>
    <n v="56939.61"/>
    <x v="0"/>
  </r>
  <r>
    <x v="1"/>
    <x v="146"/>
    <n v="46"/>
    <n v="144851.43"/>
    <x v="0"/>
  </r>
  <r>
    <x v="1"/>
    <x v="147"/>
    <n v="9"/>
    <n v="64870.81"/>
    <x v="0"/>
  </r>
  <r>
    <x v="1"/>
    <x v="148"/>
    <n v="7"/>
    <n v="41517.19"/>
    <x v="0"/>
  </r>
  <r>
    <x v="1"/>
    <x v="149"/>
    <n v="3"/>
    <n v="22084.15"/>
    <x v="0"/>
  </r>
  <r>
    <x v="1"/>
    <x v="150"/>
    <n v="3"/>
    <n v="16678.919999999998"/>
    <x v="0"/>
  </r>
  <r>
    <x v="1"/>
    <x v="151"/>
    <n v="16"/>
    <n v="52546.86"/>
    <x v="0"/>
  </r>
  <r>
    <x v="1"/>
    <x v="152"/>
    <n v="5"/>
    <n v="22199.57"/>
    <x v="0"/>
  </r>
  <r>
    <x v="1"/>
    <x v="153"/>
    <n v="0"/>
    <n v="2470.14"/>
    <x v="3"/>
  </r>
  <r>
    <x v="1"/>
    <x v="154"/>
    <n v="3"/>
    <n v="25784.66"/>
    <x v="0"/>
  </r>
  <r>
    <x v="1"/>
    <x v="155"/>
    <n v="2"/>
    <n v="23077.919999999998"/>
    <x v="0"/>
  </r>
  <r>
    <x v="1"/>
    <x v="156"/>
    <n v="12"/>
    <n v="48754.67"/>
    <x v="0"/>
  </r>
  <r>
    <x v="1"/>
    <x v="157"/>
    <n v="12"/>
    <n v="53479.56"/>
    <x v="0"/>
  </r>
  <r>
    <x v="1"/>
    <x v="158"/>
    <n v="5"/>
    <n v="30261.19"/>
    <x v="0"/>
  </r>
  <r>
    <x v="1"/>
    <x v="159"/>
    <n v="8"/>
    <n v="39109.81"/>
    <x v="0"/>
  </r>
  <r>
    <x v="1"/>
    <x v="160"/>
    <n v="5"/>
    <n v="24707.72"/>
    <x v="0"/>
  </r>
  <r>
    <x v="1"/>
    <x v="161"/>
    <n v="11"/>
    <n v="45341.22"/>
    <x v="0"/>
  </r>
  <r>
    <x v="1"/>
    <x v="162"/>
    <n v="1"/>
    <n v="12580.04"/>
    <x v="0"/>
  </r>
  <r>
    <x v="1"/>
    <x v="163"/>
    <n v="8"/>
    <n v="31388.35"/>
    <x v="0"/>
  </r>
  <r>
    <x v="1"/>
    <x v="164"/>
    <n v="18"/>
    <n v="65709.81"/>
    <x v="0"/>
  </r>
  <r>
    <x v="1"/>
    <x v="165"/>
    <n v="19"/>
    <n v="94680.87"/>
    <x v="0"/>
  </r>
  <r>
    <x v="1"/>
    <x v="166"/>
    <n v="10"/>
    <n v="66307.649999999994"/>
    <x v="0"/>
  </r>
  <r>
    <x v="1"/>
    <x v="167"/>
    <n v="18"/>
    <n v="102809.49"/>
    <x v="0"/>
  </r>
  <r>
    <x v="1"/>
    <x v="168"/>
    <n v="1"/>
    <n v="4242.3100000000004"/>
    <x v="0"/>
  </r>
  <r>
    <x v="1"/>
    <x v="169"/>
    <n v="13"/>
    <n v="84219.07"/>
    <x v="0"/>
  </r>
  <r>
    <x v="1"/>
    <x v="170"/>
    <n v="7"/>
    <n v="52356.15"/>
    <x v="0"/>
  </r>
  <r>
    <x v="1"/>
    <x v="171"/>
    <n v="1"/>
    <n v="10585.31"/>
    <x v="0"/>
  </r>
  <r>
    <x v="1"/>
    <x v="172"/>
    <n v="10"/>
    <n v="48159.97"/>
    <x v="0"/>
  </r>
  <r>
    <x v="1"/>
    <x v="173"/>
    <n v="6"/>
    <n v="28564.34"/>
    <x v="0"/>
  </r>
  <r>
    <x v="1"/>
    <x v="174"/>
    <n v="8"/>
    <n v="37140.269999999997"/>
    <x v="0"/>
  </r>
  <r>
    <x v="1"/>
    <x v="175"/>
    <n v="11"/>
    <n v="67515.97"/>
    <x v="0"/>
  </r>
  <r>
    <x v="1"/>
    <x v="176"/>
    <n v="12"/>
    <n v="54685.93"/>
    <x v="0"/>
  </r>
  <r>
    <x v="1"/>
    <x v="177"/>
    <n v="10"/>
    <n v="50220.7"/>
    <x v="0"/>
  </r>
  <r>
    <x v="1"/>
    <x v="178"/>
    <n v="3"/>
    <n v="11946.15"/>
    <x v="0"/>
  </r>
  <r>
    <x v="1"/>
    <x v="179"/>
    <n v="8"/>
    <n v="39054.120000000003"/>
    <x v="0"/>
  </r>
  <r>
    <x v="1"/>
    <x v="180"/>
    <n v="6"/>
    <n v="29492.5"/>
    <x v="0"/>
  </r>
  <r>
    <x v="1"/>
    <x v="181"/>
    <n v="8"/>
    <n v="39382.949999999997"/>
    <x v="0"/>
  </r>
  <r>
    <x v="1"/>
    <x v="182"/>
    <n v="5"/>
    <n v="24583.49"/>
    <x v="0"/>
  </r>
  <r>
    <x v="1"/>
    <x v="183"/>
    <n v="13"/>
    <n v="74356.97"/>
    <x v="0"/>
  </r>
  <r>
    <x v="1"/>
    <x v="184"/>
    <n v="4"/>
    <n v="21143.73"/>
    <x v="0"/>
  </r>
  <r>
    <x v="1"/>
    <x v="185"/>
    <n v="4"/>
    <n v="20843.849999999999"/>
    <x v="0"/>
  </r>
  <r>
    <x v="1"/>
    <x v="186"/>
    <n v="17"/>
    <n v="56065.68"/>
    <x v="0"/>
  </r>
  <r>
    <x v="1"/>
    <x v="187"/>
    <n v="21"/>
    <n v="101908.3"/>
    <x v="0"/>
  </r>
  <r>
    <x v="1"/>
    <x v="188"/>
    <n v="7"/>
    <n v="38384.800000000003"/>
    <x v="0"/>
  </r>
  <r>
    <x v="1"/>
    <x v="189"/>
    <n v="3"/>
    <n v="16524.419999999998"/>
    <x v="0"/>
  </r>
  <r>
    <x v="1"/>
    <x v="190"/>
    <n v="8"/>
    <n v="44345"/>
    <x v="0"/>
  </r>
  <r>
    <x v="1"/>
    <x v="191"/>
    <n v="13"/>
    <n v="61652.39"/>
    <x v="0"/>
  </r>
  <r>
    <x v="1"/>
    <x v="192"/>
    <n v="4"/>
    <n v="25028.81"/>
    <x v="0"/>
  </r>
  <r>
    <x v="1"/>
    <x v="193"/>
    <n v="10"/>
    <n v="48712.27"/>
    <x v="0"/>
  </r>
  <r>
    <x v="1"/>
    <x v="194"/>
    <n v="2"/>
    <n v="11804.12"/>
    <x v="0"/>
  </r>
  <r>
    <x v="1"/>
    <x v="195"/>
    <n v="3"/>
    <n v="12773.66"/>
    <x v="0"/>
  </r>
  <r>
    <x v="1"/>
    <x v="196"/>
    <n v="1"/>
    <n v="5096.42"/>
    <x v="0"/>
  </r>
  <r>
    <x v="1"/>
    <x v="197"/>
    <n v="3"/>
    <n v="14524.77"/>
    <x v="0"/>
  </r>
  <r>
    <x v="1"/>
    <x v="198"/>
    <n v="10"/>
    <n v="50167.1"/>
    <x v="0"/>
  </r>
  <r>
    <x v="1"/>
    <x v="199"/>
    <n v="3"/>
    <n v="12800.88"/>
    <x v="0"/>
  </r>
  <r>
    <x v="1"/>
    <x v="200"/>
    <n v="4"/>
    <n v="18276.009999999998"/>
    <x v="0"/>
  </r>
  <r>
    <x v="1"/>
    <x v="201"/>
    <n v="4"/>
    <n v="13459"/>
    <x v="0"/>
  </r>
  <r>
    <x v="1"/>
    <x v="202"/>
    <n v="14"/>
    <n v="33055.06"/>
    <x v="0"/>
  </r>
  <r>
    <x v="1"/>
    <x v="203"/>
    <n v="19"/>
    <n v="76526.98"/>
    <x v="0"/>
  </r>
  <r>
    <x v="1"/>
    <x v="204"/>
    <n v="17"/>
    <n v="79466.06"/>
    <x v="0"/>
  </r>
  <r>
    <x v="1"/>
    <x v="205"/>
    <n v="6"/>
    <n v="26601.61"/>
    <x v="0"/>
  </r>
  <r>
    <x v="1"/>
    <x v="206"/>
    <n v="82"/>
    <n v="430925.88"/>
    <x v="0"/>
  </r>
  <r>
    <x v="1"/>
    <x v="207"/>
    <n v="5"/>
    <n v="22031.87"/>
    <x v="0"/>
  </r>
  <r>
    <x v="1"/>
    <x v="208"/>
    <n v="13"/>
    <n v="57604.35"/>
    <x v="0"/>
  </r>
  <r>
    <x v="1"/>
    <x v="209"/>
    <n v="2"/>
    <n v="2398.4"/>
    <x v="0"/>
  </r>
  <r>
    <x v="1"/>
    <x v="210"/>
    <n v="11"/>
    <n v="40174.57"/>
    <x v="0"/>
  </r>
  <r>
    <x v="1"/>
    <x v="211"/>
    <n v="41"/>
    <n v="169503.86"/>
    <x v="0"/>
  </r>
  <r>
    <x v="1"/>
    <x v="212"/>
    <n v="2"/>
    <n v="8450.15"/>
    <x v="0"/>
  </r>
  <r>
    <x v="1"/>
    <x v="213"/>
    <n v="5"/>
    <n v="36768.76"/>
    <x v="0"/>
  </r>
  <r>
    <x v="1"/>
    <x v="214"/>
    <n v="10"/>
    <n v="40453.4"/>
    <x v="0"/>
  </r>
  <r>
    <x v="1"/>
    <x v="215"/>
    <n v="10"/>
    <n v="50144.76"/>
    <x v="0"/>
  </r>
  <r>
    <x v="1"/>
    <x v="216"/>
    <n v="6"/>
    <n v="26135.38"/>
    <x v="0"/>
  </r>
  <r>
    <x v="1"/>
    <x v="217"/>
    <n v="2"/>
    <n v="24312.62"/>
    <x v="0"/>
  </r>
  <r>
    <x v="1"/>
    <x v="218"/>
    <n v="4"/>
    <n v="30568.61"/>
    <x v="0"/>
  </r>
  <r>
    <x v="1"/>
    <x v="219"/>
    <n v="4"/>
    <n v="9260.41"/>
    <x v="0"/>
  </r>
  <r>
    <x v="1"/>
    <x v="220"/>
    <n v="1"/>
    <n v="2429.94"/>
    <x v="0"/>
  </r>
  <r>
    <x v="1"/>
    <x v="221"/>
    <n v="6"/>
    <n v="17629.919999999998"/>
    <x v="0"/>
  </r>
  <r>
    <x v="1"/>
    <x v="222"/>
    <n v="2"/>
    <n v="4931.21"/>
    <x v="0"/>
  </r>
  <r>
    <x v="1"/>
    <x v="223"/>
    <n v="5"/>
    <n v="14487.3"/>
    <x v="0"/>
  </r>
  <r>
    <x v="1"/>
    <x v="224"/>
    <n v="5"/>
    <n v="16907.849999999999"/>
    <x v="0"/>
  </r>
  <r>
    <x v="1"/>
    <x v="225"/>
    <n v="3"/>
    <n v="9260.73"/>
    <x v="0"/>
  </r>
  <r>
    <x v="1"/>
    <x v="226"/>
    <n v="2"/>
    <n v="11622.69"/>
    <x v="0"/>
  </r>
  <r>
    <x v="1"/>
    <x v="227"/>
    <n v="5"/>
    <n v="55903.88"/>
    <x v="0"/>
  </r>
  <r>
    <x v="1"/>
    <x v="228"/>
    <n v="4"/>
    <n v="24261.09"/>
    <x v="0"/>
  </r>
  <r>
    <x v="1"/>
    <x v="229"/>
    <n v="2"/>
    <n v="9735.1200000000008"/>
    <x v="0"/>
  </r>
  <r>
    <x v="1"/>
    <x v="230"/>
    <n v="3"/>
    <n v="17930.810000000001"/>
    <x v="0"/>
  </r>
  <r>
    <x v="1"/>
    <x v="231"/>
    <n v="11"/>
    <n v="57358.77"/>
    <x v="0"/>
  </r>
  <r>
    <x v="1"/>
    <x v="232"/>
    <n v="2"/>
    <n v="6661.68"/>
    <x v="0"/>
  </r>
  <r>
    <x v="1"/>
    <x v="233"/>
    <n v="9"/>
    <n v="57984.72"/>
    <x v="0"/>
  </r>
  <r>
    <x v="1"/>
    <x v="234"/>
    <n v="13"/>
    <n v="64366.71"/>
    <x v="0"/>
  </r>
  <r>
    <x v="1"/>
    <x v="235"/>
    <n v="7"/>
    <n v="43143.94"/>
    <x v="1"/>
  </r>
  <r>
    <x v="1"/>
    <x v="236"/>
    <n v="28"/>
    <n v="145844.47"/>
    <x v="0"/>
  </r>
  <r>
    <x v="1"/>
    <x v="237"/>
    <n v="5"/>
    <n v="28199.42"/>
    <x v="0"/>
  </r>
  <r>
    <x v="1"/>
    <x v="238"/>
    <n v="4"/>
    <n v="19430.5"/>
    <x v="0"/>
  </r>
  <r>
    <x v="1"/>
    <x v="239"/>
    <n v="8"/>
    <n v="44171.44"/>
    <x v="0"/>
  </r>
  <r>
    <x v="1"/>
    <x v="240"/>
    <n v="13"/>
    <n v="72319.27"/>
    <x v="0"/>
  </r>
  <r>
    <x v="1"/>
    <x v="241"/>
    <n v="4"/>
    <n v="18595.04"/>
    <x v="0"/>
  </r>
  <r>
    <x v="1"/>
    <x v="242"/>
    <n v="6"/>
    <n v="31837.85"/>
    <x v="0"/>
  </r>
  <r>
    <x v="1"/>
    <x v="243"/>
    <n v="5"/>
    <n v="23831.33"/>
    <x v="0"/>
  </r>
  <r>
    <x v="1"/>
    <x v="244"/>
    <n v="1"/>
    <n v="6004.5"/>
    <x v="0"/>
  </r>
  <r>
    <x v="1"/>
    <x v="245"/>
    <n v="8"/>
    <n v="45573.7"/>
    <x v="0"/>
  </r>
  <r>
    <x v="1"/>
    <x v="246"/>
    <n v="13"/>
    <n v="70032.69"/>
    <x v="0"/>
  </r>
  <r>
    <x v="1"/>
    <x v="247"/>
    <n v="3"/>
    <n v="13816.74"/>
    <x v="0"/>
  </r>
  <r>
    <x v="1"/>
    <x v="248"/>
    <n v="13"/>
    <n v="51350.42"/>
    <x v="0"/>
  </r>
  <r>
    <x v="1"/>
    <x v="249"/>
    <n v="8"/>
    <n v="39442.97"/>
    <x v="0"/>
  </r>
  <r>
    <x v="1"/>
    <x v="250"/>
    <n v="7"/>
    <n v="22290.2"/>
    <x v="0"/>
  </r>
  <r>
    <x v="1"/>
    <x v="251"/>
    <n v="2"/>
    <n v="12642.24"/>
    <x v="0"/>
  </r>
  <r>
    <x v="1"/>
    <x v="252"/>
    <n v="15"/>
    <n v="58752.46"/>
    <x v="0"/>
  </r>
  <r>
    <x v="1"/>
    <x v="253"/>
    <n v="2"/>
    <n v="8857.5400000000009"/>
    <x v="0"/>
  </r>
  <r>
    <x v="1"/>
    <x v="254"/>
    <n v="19"/>
    <n v="88144.83"/>
    <x v="0"/>
  </r>
  <r>
    <x v="1"/>
    <x v="255"/>
    <n v="3"/>
    <n v="17551.27"/>
    <x v="0"/>
  </r>
  <r>
    <x v="1"/>
    <x v="256"/>
    <n v="6"/>
    <n v="31684.85"/>
    <x v="0"/>
  </r>
  <r>
    <x v="1"/>
    <x v="257"/>
    <n v="3"/>
    <n v="27653.93"/>
    <x v="0"/>
  </r>
  <r>
    <x v="1"/>
    <x v="258"/>
    <n v="32"/>
    <n v="166398.93"/>
    <x v="0"/>
  </r>
  <r>
    <x v="1"/>
    <x v="259"/>
    <n v="12"/>
    <n v="54379.05"/>
    <x v="0"/>
  </r>
  <r>
    <x v="1"/>
    <x v="260"/>
    <n v="3"/>
    <n v="19426.669999999998"/>
    <x v="0"/>
  </r>
  <r>
    <x v="1"/>
    <x v="261"/>
    <n v="2"/>
    <n v="10728.69"/>
    <x v="0"/>
  </r>
  <r>
    <x v="1"/>
    <x v="262"/>
    <n v="8"/>
    <n v="46078.3"/>
    <x v="0"/>
  </r>
  <r>
    <x v="1"/>
    <x v="263"/>
    <n v="2"/>
    <n v="10577.3"/>
    <x v="0"/>
  </r>
  <r>
    <x v="1"/>
    <x v="264"/>
    <n v="9"/>
    <n v="77988.12"/>
    <x v="0"/>
  </r>
  <r>
    <x v="1"/>
    <x v="265"/>
    <n v="8"/>
    <n v="44179.92"/>
    <x v="0"/>
  </r>
  <r>
    <x v="1"/>
    <x v="266"/>
    <n v="6"/>
    <n v="31260.81"/>
    <x v="0"/>
  </r>
  <r>
    <x v="1"/>
    <x v="267"/>
    <n v="12"/>
    <n v="65358.61"/>
    <x v="0"/>
  </r>
  <r>
    <x v="1"/>
    <x v="268"/>
    <n v="5"/>
    <n v="21883.18"/>
    <x v="0"/>
  </r>
  <r>
    <x v="1"/>
    <x v="269"/>
    <n v="1"/>
    <n v="4633.8100000000004"/>
    <x v="0"/>
  </r>
  <r>
    <x v="1"/>
    <x v="270"/>
    <n v="16"/>
    <n v="92613.759999999995"/>
    <x v="0"/>
  </r>
  <r>
    <x v="1"/>
    <x v="271"/>
    <n v="2"/>
    <n v="9401.7099999999991"/>
    <x v="0"/>
  </r>
  <r>
    <x v="1"/>
    <x v="272"/>
    <n v="3"/>
    <n v="15159.5"/>
    <x v="0"/>
  </r>
  <r>
    <x v="1"/>
    <x v="273"/>
    <n v="4"/>
    <n v="19748.54"/>
    <x v="0"/>
  </r>
  <r>
    <x v="1"/>
    <x v="274"/>
    <n v="4"/>
    <n v="16489.93"/>
    <x v="0"/>
  </r>
  <r>
    <x v="1"/>
    <x v="275"/>
    <n v="17"/>
    <n v="97949.41"/>
    <x v="0"/>
  </r>
  <r>
    <x v="1"/>
    <x v="276"/>
    <n v="2"/>
    <n v="15457.15"/>
    <x v="0"/>
  </r>
  <r>
    <x v="1"/>
    <x v="277"/>
    <n v="2"/>
    <n v="11514.89"/>
    <x v="0"/>
  </r>
  <r>
    <x v="1"/>
    <x v="278"/>
    <n v="18"/>
    <n v="102379.41"/>
    <x v="0"/>
  </r>
  <r>
    <x v="1"/>
    <x v="279"/>
    <n v="16"/>
    <n v="82720.13"/>
    <x v="0"/>
  </r>
  <r>
    <x v="1"/>
    <x v="280"/>
    <n v="9"/>
    <n v="53163.87"/>
    <x v="0"/>
  </r>
  <r>
    <x v="1"/>
    <x v="281"/>
    <n v="2"/>
    <n v="9550.69"/>
    <x v="0"/>
  </r>
  <r>
    <x v="1"/>
    <x v="282"/>
    <n v="5"/>
    <n v="24218.97"/>
    <x v="0"/>
  </r>
  <r>
    <x v="1"/>
    <x v="283"/>
    <n v="2"/>
    <n v="10742.62"/>
    <x v="0"/>
  </r>
  <r>
    <x v="1"/>
    <x v="284"/>
    <n v="1"/>
    <n v="4916.3500000000004"/>
    <x v="0"/>
  </r>
  <r>
    <x v="1"/>
    <x v="285"/>
    <n v="2"/>
    <n v="14780.77"/>
    <x v="2"/>
  </r>
  <r>
    <x v="1"/>
    <x v="286"/>
    <n v="1"/>
    <n v="5080"/>
    <x v="2"/>
  </r>
  <r>
    <x v="1"/>
    <x v="287"/>
    <n v="44"/>
    <n v="244301.23"/>
    <x v="0"/>
  </r>
  <r>
    <x v="1"/>
    <x v="288"/>
    <n v="1"/>
    <n v="7653.85"/>
    <x v="0"/>
  </r>
  <r>
    <x v="1"/>
    <x v="289"/>
    <n v="1"/>
    <n v="2981.88"/>
    <x v="0"/>
  </r>
  <r>
    <x v="1"/>
    <x v="290"/>
    <n v="8"/>
    <n v="42072.9"/>
    <x v="0"/>
  </r>
  <r>
    <x v="1"/>
    <x v="291"/>
    <n v="9"/>
    <n v="49297.06"/>
    <x v="0"/>
  </r>
  <r>
    <x v="1"/>
    <x v="292"/>
    <n v="1"/>
    <n v="5000"/>
    <x v="0"/>
  </r>
  <r>
    <x v="1"/>
    <x v="293"/>
    <n v="3"/>
    <n v="26625.119999999999"/>
    <x v="1"/>
  </r>
  <r>
    <x v="1"/>
    <x v="294"/>
    <n v="1"/>
    <n v="13865.38"/>
    <x v="1"/>
  </r>
  <r>
    <x v="1"/>
    <x v="295"/>
    <n v="8"/>
    <n v="50033.5"/>
    <x v="1"/>
  </r>
  <r>
    <x v="1"/>
    <x v="296"/>
    <n v="1"/>
    <n v="16246.5"/>
    <x v="1"/>
  </r>
  <r>
    <x v="1"/>
    <x v="297"/>
    <n v="12"/>
    <n v="54890.83"/>
    <x v="1"/>
  </r>
  <r>
    <x v="1"/>
    <x v="298"/>
    <n v="1"/>
    <n v="11133.92"/>
    <x v="1"/>
  </r>
  <r>
    <x v="1"/>
    <x v="299"/>
    <n v="12"/>
    <n v="76246.320000000007"/>
    <x v="1"/>
  </r>
  <r>
    <x v="1"/>
    <x v="300"/>
    <n v="3"/>
    <n v="34115.379999999997"/>
    <x v="1"/>
  </r>
  <r>
    <x v="1"/>
    <x v="1"/>
    <n v="3"/>
    <n v="20111.54"/>
    <x v="1"/>
  </r>
  <r>
    <x v="1"/>
    <x v="2"/>
    <n v="37"/>
    <n v="184758.94"/>
    <x v="1"/>
  </r>
  <r>
    <x v="1"/>
    <x v="301"/>
    <n v="1"/>
    <n v="7577.42"/>
    <x v="1"/>
  </r>
  <r>
    <x v="1"/>
    <x v="302"/>
    <n v="6"/>
    <n v="31275.31"/>
    <x v="1"/>
  </r>
  <r>
    <x v="1"/>
    <x v="303"/>
    <n v="2"/>
    <n v="23040.7"/>
    <x v="1"/>
  </r>
  <r>
    <x v="1"/>
    <x v="304"/>
    <n v="23"/>
    <n v="109253.87"/>
    <x v="1"/>
  </r>
  <r>
    <x v="1"/>
    <x v="305"/>
    <n v="37"/>
    <n v="149722.9"/>
    <x v="1"/>
  </r>
  <r>
    <x v="1"/>
    <x v="306"/>
    <n v="4"/>
    <n v="22692.84"/>
    <x v="1"/>
  </r>
  <r>
    <x v="1"/>
    <x v="307"/>
    <n v="85"/>
    <n v="150308.29999999999"/>
    <x v="1"/>
  </r>
  <r>
    <x v="1"/>
    <x v="308"/>
    <n v="14"/>
    <n v="23382.16"/>
    <x v="1"/>
  </r>
  <r>
    <x v="1"/>
    <x v="309"/>
    <n v="4"/>
    <n v="16165.24"/>
    <x v="1"/>
  </r>
  <r>
    <x v="1"/>
    <x v="310"/>
    <n v="11"/>
    <n v="16711.57"/>
    <x v="1"/>
  </r>
  <r>
    <x v="1"/>
    <x v="311"/>
    <n v="7"/>
    <n v="43145.56"/>
    <x v="1"/>
  </r>
  <r>
    <x v="1"/>
    <x v="312"/>
    <n v="24"/>
    <n v="93847.65"/>
    <x v="1"/>
  </r>
  <r>
    <x v="1"/>
    <x v="313"/>
    <n v="20"/>
    <n v="39022.82"/>
    <x v="1"/>
  </r>
  <r>
    <x v="1"/>
    <x v="314"/>
    <n v="2"/>
    <n v="8713.11"/>
    <x v="1"/>
  </r>
  <r>
    <x v="1"/>
    <x v="315"/>
    <n v="12"/>
    <n v="62160.26"/>
    <x v="1"/>
  </r>
  <r>
    <x v="1"/>
    <x v="316"/>
    <n v="8"/>
    <n v="20598.97"/>
    <x v="1"/>
  </r>
  <r>
    <x v="1"/>
    <x v="317"/>
    <n v="5"/>
    <n v="13673.24"/>
    <x v="2"/>
  </r>
  <r>
    <x v="1"/>
    <x v="318"/>
    <n v="1"/>
    <n v="13367.19"/>
    <x v="1"/>
  </r>
  <r>
    <x v="1"/>
    <x v="319"/>
    <n v="4"/>
    <n v="19059.12"/>
    <x v="1"/>
  </r>
  <r>
    <x v="1"/>
    <x v="320"/>
    <n v="4"/>
    <n v="16893.689999999999"/>
    <x v="1"/>
  </r>
  <r>
    <x v="1"/>
    <x v="321"/>
    <n v="5"/>
    <n v="25697.040000000001"/>
    <x v="1"/>
  </r>
  <r>
    <x v="1"/>
    <x v="322"/>
    <n v="3"/>
    <n v="13627.96"/>
    <x v="1"/>
  </r>
  <r>
    <x v="1"/>
    <x v="323"/>
    <n v="5"/>
    <n v="25517.96"/>
    <x v="1"/>
  </r>
  <r>
    <x v="1"/>
    <x v="324"/>
    <n v="22"/>
    <n v="69909.61"/>
    <x v="1"/>
  </r>
  <r>
    <x v="1"/>
    <x v="325"/>
    <n v="6"/>
    <n v="12705.11"/>
    <x v="1"/>
  </r>
  <r>
    <x v="1"/>
    <x v="3"/>
    <n v="4"/>
    <n v="11914.05"/>
    <x v="1"/>
  </r>
  <r>
    <x v="1"/>
    <x v="4"/>
    <n v="89"/>
    <n v="245951.05"/>
    <x v="1"/>
  </r>
  <r>
    <x v="1"/>
    <x v="326"/>
    <n v="2"/>
    <n v="14040.68"/>
    <x v="1"/>
  </r>
  <r>
    <x v="1"/>
    <x v="5"/>
    <n v="15"/>
    <n v="51027.03"/>
    <x v="1"/>
  </r>
  <r>
    <x v="1"/>
    <x v="327"/>
    <n v="31"/>
    <n v="80505.429999999993"/>
    <x v="1"/>
  </r>
  <r>
    <x v="1"/>
    <x v="328"/>
    <n v="10"/>
    <n v="31547.37"/>
    <x v="1"/>
  </r>
  <r>
    <x v="1"/>
    <x v="329"/>
    <n v="6"/>
    <n v="22123.18"/>
    <x v="1"/>
  </r>
  <r>
    <x v="1"/>
    <x v="6"/>
    <n v="10"/>
    <n v="29303.03"/>
    <x v="1"/>
  </r>
  <r>
    <x v="1"/>
    <x v="330"/>
    <n v="14"/>
    <n v="41104.449999999997"/>
    <x v="1"/>
  </r>
  <r>
    <x v="1"/>
    <x v="331"/>
    <n v="10"/>
    <n v="41399.1"/>
    <x v="1"/>
  </r>
  <r>
    <x v="1"/>
    <x v="332"/>
    <n v="93"/>
    <n v="225084.79999999999"/>
    <x v="1"/>
  </r>
  <r>
    <x v="1"/>
    <x v="333"/>
    <n v="12"/>
    <n v="45162.48"/>
    <x v="1"/>
  </r>
  <r>
    <x v="1"/>
    <x v="334"/>
    <n v="16"/>
    <n v="41198.230000000003"/>
    <x v="1"/>
  </r>
  <r>
    <x v="1"/>
    <x v="335"/>
    <n v="4"/>
    <n v="5774.59"/>
    <x v="1"/>
  </r>
  <r>
    <x v="1"/>
    <x v="336"/>
    <n v="14"/>
    <n v="21515.47"/>
    <x v="1"/>
  </r>
  <r>
    <x v="1"/>
    <x v="337"/>
    <n v="20"/>
    <n v="62878.11"/>
    <x v="1"/>
  </r>
  <r>
    <x v="1"/>
    <x v="338"/>
    <n v="5"/>
    <n v="55538.39"/>
    <x v="1"/>
  </r>
  <r>
    <x v="1"/>
    <x v="339"/>
    <n v="34"/>
    <n v="50440.37"/>
    <x v="1"/>
  </r>
  <r>
    <x v="1"/>
    <x v="340"/>
    <n v="8"/>
    <n v="13422.02"/>
    <x v="1"/>
  </r>
  <r>
    <x v="1"/>
    <x v="7"/>
    <n v="17"/>
    <n v="41898.639999999999"/>
    <x v="1"/>
  </r>
  <r>
    <x v="1"/>
    <x v="341"/>
    <n v="26"/>
    <n v="34453.94"/>
    <x v="1"/>
  </r>
  <r>
    <x v="1"/>
    <x v="342"/>
    <n v="43"/>
    <n v="60452.02"/>
    <x v="1"/>
  </r>
  <r>
    <x v="1"/>
    <x v="343"/>
    <n v="38"/>
    <n v="61579.509999999995"/>
    <x v="1"/>
  </r>
  <r>
    <x v="1"/>
    <x v="344"/>
    <n v="6"/>
    <n v="6764.48"/>
    <x v="1"/>
  </r>
  <r>
    <x v="1"/>
    <x v="345"/>
    <n v="14"/>
    <n v="20102.54"/>
    <x v="1"/>
  </r>
  <r>
    <x v="1"/>
    <x v="8"/>
    <n v="18"/>
    <n v="39592.51"/>
    <x v="1"/>
  </r>
  <r>
    <x v="1"/>
    <x v="346"/>
    <n v="16"/>
    <n v="26534.82"/>
    <x v="1"/>
  </r>
  <r>
    <x v="1"/>
    <x v="347"/>
    <n v="9"/>
    <n v="13297.04"/>
    <x v="1"/>
  </r>
  <r>
    <x v="1"/>
    <x v="348"/>
    <n v="12"/>
    <n v="27317.96"/>
    <x v="1"/>
  </r>
  <r>
    <x v="1"/>
    <x v="349"/>
    <n v="8"/>
    <n v="23395.97"/>
    <x v="1"/>
  </r>
  <r>
    <x v="1"/>
    <x v="9"/>
    <n v="47"/>
    <n v="91033.11"/>
    <x v="1"/>
  </r>
  <r>
    <x v="1"/>
    <x v="350"/>
    <n v="19"/>
    <n v="35645.49"/>
    <x v="1"/>
  </r>
  <r>
    <x v="1"/>
    <x v="10"/>
    <n v="10"/>
    <n v="18012.77"/>
    <x v="1"/>
  </r>
  <r>
    <x v="1"/>
    <x v="351"/>
    <n v="8"/>
    <n v="17095.14"/>
    <x v="1"/>
  </r>
  <r>
    <x v="1"/>
    <x v="352"/>
    <n v="20"/>
    <n v="52197.06"/>
    <x v="1"/>
  </r>
  <r>
    <x v="1"/>
    <x v="353"/>
    <n v="9"/>
    <n v="13518.12"/>
    <x v="1"/>
  </r>
  <r>
    <x v="1"/>
    <x v="354"/>
    <n v="110"/>
    <n v="157025.59"/>
    <x v="1"/>
  </r>
  <r>
    <x v="1"/>
    <x v="355"/>
    <n v="31"/>
    <n v="70554.740000000005"/>
    <x v="1"/>
  </r>
  <r>
    <x v="1"/>
    <x v="356"/>
    <n v="21"/>
    <n v="50034.78"/>
    <x v="1"/>
  </r>
  <r>
    <x v="1"/>
    <x v="357"/>
    <n v="150"/>
    <n v="223822.05"/>
    <x v="1"/>
  </r>
  <r>
    <x v="1"/>
    <x v="358"/>
    <n v="53"/>
    <n v="91360.83"/>
    <x v="1"/>
  </r>
  <r>
    <x v="1"/>
    <x v="359"/>
    <n v="10"/>
    <n v="20676.03"/>
    <x v="1"/>
  </r>
  <r>
    <x v="1"/>
    <x v="360"/>
    <n v="6"/>
    <n v="51825.26"/>
    <x v="1"/>
  </r>
  <r>
    <x v="1"/>
    <x v="361"/>
    <n v="8"/>
    <n v="49350.17"/>
    <x v="1"/>
  </r>
  <r>
    <x v="1"/>
    <x v="362"/>
    <n v="7"/>
    <n v="33267.370000000003"/>
    <x v="1"/>
  </r>
  <r>
    <x v="1"/>
    <x v="363"/>
    <n v="5"/>
    <n v="33581.11"/>
    <x v="1"/>
  </r>
  <r>
    <x v="1"/>
    <x v="364"/>
    <n v="12"/>
    <n v="20206.330000000002"/>
    <x v="1"/>
  </r>
  <r>
    <x v="1"/>
    <x v="365"/>
    <n v="11"/>
    <n v="13940.76"/>
    <x v="1"/>
  </r>
  <r>
    <x v="1"/>
    <x v="366"/>
    <n v="7"/>
    <n v="18815.419999999998"/>
    <x v="1"/>
  </r>
  <r>
    <x v="1"/>
    <x v="11"/>
    <n v="11"/>
    <n v="42562.22"/>
    <x v="1"/>
  </r>
  <r>
    <x v="1"/>
    <x v="367"/>
    <n v="16"/>
    <n v="43371.3"/>
    <x v="1"/>
  </r>
  <r>
    <x v="1"/>
    <x v="368"/>
    <n v="26"/>
    <n v="57397.279999999999"/>
    <x v="1"/>
  </r>
  <r>
    <x v="1"/>
    <x v="12"/>
    <n v="7"/>
    <n v="25996.95"/>
    <x v="1"/>
  </r>
  <r>
    <x v="1"/>
    <x v="369"/>
    <n v="18"/>
    <n v="25999.83"/>
    <x v="1"/>
  </r>
  <r>
    <x v="1"/>
    <x v="370"/>
    <n v="1"/>
    <n v="4582.08"/>
    <x v="1"/>
  </r>
  <r>
    <x v="1"/>
    <x v="371"/>
    <n v="8"/>
    <n v="17555.2"/>
    <x v="1"/>
  </r>
  <r>
    <x v="1"/>
    <x v="372"/>
    <n v="8"/>
    <n v="29678.53"/>
    <x v="1"/>
  </r>
  <r>
    <x v="1"/>
    <x v="373"/>
    <n v="3"/>
    <n v="9172.7000000000007"/>
    <x v="1"/>
  </r>
  <r>
    <x v="1"/>
    <x v="374"/>
    <n v="8"/>
    <n v="15031.15"/>
    <x v="1"/>
  </r>
  <r>
    <x v="1"/>
    <x v="375"/>
    <n v="6"/>
    <n v="20567.03"/>
    <x v="1"/>
  </r>
  <r>
    <x v="1"/>
    <x v="376"/>
    <n v="3"/>
    <n v="6617.23"/>
    <x v="1"/>
  </r>
  <r>
    <x v="1"/>
    <x v="377"/>
    <n v="7"/>
    <n v="13324.5"/>
    <x v="1"/>
  </r>
  <r>
    <x v="1"/>
    <x v="378"/>
    <n v="40"/>
    <n v="67646.83"/>
    <x v="1"/>
  </r>
  <r>
    <x v="1"/>
    <x v="379"/>
    <n v="10"/>
    <n v="19481.990000000002"/>
    <x v="1"/>
  </r>
  <r>
    <x v="1"/>
    <x v="380"/>
    <n v="9"/>
    <n v="16071"/>
    <x v="1"/>
  </r>
  <r>
    <x v="1"/>
    <x v="381"/>
    <n v="7"/>
    <n v="14352.34"/>
    <x v="1"/>
  </r>
  <r>
    <x v="1"/>
    <x v="382"/>
    <n v="16"/>
    <n v="24784.89"/>
    <x v="1"/>
  </r>
  <r>
    <x v="1"/>
    <x v="383"/>
    <n v="36"/>
    <n v="44550.75"/>
    <x v="1"/>
  </r>
  <r>
    <x v="1"/>
    <x v="384"/>
    <n v="19"/>
    <n v="34968.36"/>
    <x v="1"/>
  </r>
  <r>
    <x v="1"/>
    <x v="13"/>
    <n v="11"/>
    <n v="37072.71"/>
    <x v="1"/>
  </r>
  <r>
    <x v="1"/>
    <x v="385"/>
    <n v="33"/>
    <n v="156355.66"/>
    <x v="1"/>
  </r>
  <r>
    <x v="1"/>
    <x v="386"/>
    <n v="41"/>
    <n v="89837.21"/>
    <x v="1"/>
  </r>
  <r>
    <x v="1"/>
    <x v="387"/>
    <n v="40"/>
    <n v="71632.460000000006"/>
    <x v="1"/>
  </r>
  <r>
    <x v="1"/>
    <x v="388"/>
    <n v="20"/>
    <n v="80369.279999999999"/>
    <x v="1"/>
  </r>
  <r>
    <x v="1"/>
    <x v="389"/>
    <n v="2"/>
    <n v="4262.72"/>
    <x v="1"/>
  </r>
  <r>
    <x v="1"/>
    <x v="390"/>
    <n v="17"/>
    <n v="30747.27"/>
    <x v="1"/>
  </r>
  <r>
    <x v="1"/>
    <x v="391"/>
    <n v="8"/>
    <n v="30096.89"/>
    <x v="1"/>
  </r>
  <r>
    <x v="1"/>
    <x v="392"/>
    <n v="3"/>
    <n v="4482.3500000000004"/>
    <x v="1"/>
  </r>
  <r>
    <x v="1"/>
    <x v="393"/>
    <n v="48"/>
    <n v="108971.56"/>
    <x v="1"/>
  </r>
  <r>
    <x v="1"/>
    <x v="394"/>
    <n v="28"/>
    <n v="90622.5"/>
    <x v="1"/>
  </r>
  <r>
    <x v="1"/>
    <x v="395"/>
    <n v="198"/>
    <n v="248621.56"/>
    <x v="1"/>
  </r>
  <r>
    <x v="1"/>
    <x v="396"/>
    <n v="36"/>
    <n v="90855.45"/>
    <x v="1"/>
  </r>
  <r>
    <x v="1"/>
    <x v="397"/>
    <n v="12"/>
    <n v="18507.310000000001"/>
    <x v="1"/>
  </r>
  <r>
    <x v="1"/>
    <x v="398"/>
    <n v="24"/>
    <n v="35831.15"/>
    <x v="1"/>
  </r>
  <r>
    <x v="1"/>
    <x v="14"/>
    <n v="8"/>
    <n v="25893.91"/>
    <x v="1"/>
  </r>
  <r>
    <x v="1"/>
    <x v="15"/>
    <n v="195"/>
    <n v="243675.51"/>
    <x v="1"/>
  </r>
  <r>
    <x v="1"/>
    <x v="399"/>
    <n v="40"/>
    <n v="50377.98"/>
    <x v="1"/>
  </r>
  <r>
    <x v="1"/>
    <x v="16"/>
    <n v="188"/>
    <n v="281827.13"/>
    <x v="1"/>
  </r>
  <r>
    <x v="1"/>
    <x v="400"/>
    <n v="95"/>
    <n v="142202.38"/>
    <x v="1"/>
  </r>
  <r>
    <x v="1"/>
    <x v="401"/>
    <n v="24"/>
    <n v="34146.660000000003"/>
    <x v="1"/>
  </r>
  <r>
    <x v="1"/>
    <x v="402"/>
    <n v="7"/>
    <n v="23792.12"/>
    <x v="1"/>
  </r>
  <r>
    <x v="1"/>
    <x v="403"/>
    <n v="2"/>
    <n v="9769.1200000000008"/>
    <x v="1"/>
  </r>
  <r>
    <x v="1"/>
    <x v="404"/>
    <n v="39"/>
    <n v="117476.57"/>
    <x v="1"/>
  </r>
  <r>
    <x v="1"/>
    <x v="405"/>
    <n v="3"/>
    <n v="12973.31"/>
    <x v="1"/>
  </r>
  <r>
    <x v="1"/>
    <x v="406"/>
    <n v="3"/>
    <n v="21037.39"/>
    <x v="1"/>
  </r>
  <r>
    <x v="1"/>
    <x v="407"/>
    <n v="7"/>
    <n v="30742.080000000002"/>
    <x v="1"/>
  </r>
  <r>
    <x v="1"/>
    <x v="408"/>
    <n v="16"/>
    <n v="61322.82"/>
    <x v="1"/>
  </r>
  <r>
    <x v="1"/>
    <x v="409"/>
    <n v="22"/>
    <n v="32236.22"/>
    <x v="1"/>
  </r>
  <r>
    <x v="1"/>
    <x v="410"/>
    <n v="10"/>
    <n v="22211.14"/>
    <x v="1"/>
  </r>
  <r>
    <x v="1"/>
    <x v="17"/>
    <n v="180"/>
    <n v="262448.95"/>
    <x v="1"/>
  </r>
  <r>
    <x v="1"/>
    <x v="18"/>
    <n v="195"/>
    <n v="303947.92"/>
    <x v="1"/>
  </r>
  <r>
    <x v="1"/>
    <x v="411"/>
    <n v="24"/>
    <n v="70183.61"/>
    <x v="1"/>
  </r>
  <r>
    <x v="1"/>
    <x v="412"/>
    <n v="56"/>
    <n v="92878.79"/>
    <x v="1"/>
  </r>
  <r>
    <x v="1"/>
    <x v="413"/>
    <n v="10"/>
    <n v="15374.42"/>
    <x v="1"/>
  </r>
  <r>
    <x v="1"/>
    <x v="414"/>
    <n v="78"/>
    <n v="195690.54"/>
    <x v="1"/>
  </r>
  <r>
    <x v="1"/>
    <x v="415"/>
    <n v="2"/>
    <n v="2596.65"/>
    <x v="1"/>
  </r>
  <r>
    <x v="1"/>
    <x v="416"/>
    <n v="30"/>
    <n v="78631.72"/>
    <x v="1"/>
  </r>
  <r>
    <x v="1"/>
    <x v="417"/>
    <n v="2"/>
    <n v="4492.42"/>
    <x v="1"/>
  </r>
  <r>
    <x v="1"/>
    <x v="418"/>
    <n v="5"/>
    <n v="28343.11"/>
    <x v="1"/>
  </r>
  <r>
    <x v="1"/>
    <x v="419"/>
    <n v="1"/>
    <n v="3468.08"/>
    <x v="1"/>
  </r>
  <r>
    <x v="1"/>
    <x v="19"/>
    <n v="6"/>
    <n v="31557.08"/>
    <x v="1"/>
  </r>
  <r>
    <x v="1"/>
    <x v="420"/>
    <n v="31"/>
    <n v="52312.97"/>
    <x v="1"/>
  </r>
  <r>
    <x v="1"/>
    <x v="421"/>
    <n v="3"/>
    <n v="15225.35"/>
    <x v="1"/>
  </r>
  <r>
    <x v="1"/>
    <x v="422"/>
    <n v="4"/>
    <n v="20432.46"/>
    <x v="1"/>
  </r>
  <r>
    <x v="1"/>
    <x v="423"/>
    <n v="5"/>
    <n v="22260.84"/>
    <x v="1"/>
  </r>
  <r>
    <x v="1"/>
    <x v="424"/>
    <n v="14"/>
    <n v="33792.93"/>
    <x v="1"/>
  </r>
  <r>
    <x v="1"/>
    <x v="425"/>
    <n v="9"/>
    <n v="17325.04"/>
    <x v="1"/>
  </r>
  <r>
    <x v="1"/>
    <x v="426"/>
    <n v="26"/>
    <n v="45344.22"/>
    <x v="1"/>
  </r>
  <r>
    <x v="1"/>
    <x v="427"/>
    <n v="51"/>
    <n v="88852.28"/>
    <x v="1"/>
  </r>
  <r>
    <x v="1"/>
    <x v="428"/>
    <n v="5"/>
    <n v="15978.43"/>
    <x v="1"/>
  </r>
  <r>
    <x v="1"/>
    <x v="429"/>
    <n v="6"/>
    <n v="11040.82"/>
    <x v="1"/>
  </r>
  <r>
    <x v="1"/>
    <x v="430"/>
    <n v="21"/>
    <n v="32274.35"/>
    <x v="1"/>
  </r>
  <r>
    <x v="1"/>
    <x v="431"/>
    <n v="4"/>
    <n v="22752"/>
    <x v="1"/>
  </r>
  <r>
    <x v="1"/>
    <x v="432"/>
    <n v="4"/>
    <n v="5271.51"/>
    <x v="1"/>
  </r>
  <r>
    <x v="1"/>
    <x v="433"/>
    <n v="5"/>
    <n v="22010.86"/>
    <x v="1"/>
  </r>
  <r>
    <x v="1"/>
    <x v="434"/>
    <n v="11"/>
    <n v="17700.96"/>
    <x v="1"/>
  </r>
  <r>
    <x v="1"/>
    <x v="435"/>
    <n v="4"/>
    <n v="12807.31"/>
    <x v="1"/>
  </r>
  <r>
    <x v="1"/>
    <x v="436"/>
    <n v="49"/>
    <n v="87411.9"/>
    <x v="1"/>
  </r>
  <r>
    <x v="1"/>
    <x v="437"/>
    <n v="70"/>
    <n v="110052.64"/>
    <x v="2"/>
  </r>
  <r>
    <x v="1"/>
    <x v="438"/>
    <n v="9"/>
    <n v="23712.880000000001"/>
    <x v="2"/>
  </r>
  <r>
    <x v="1"/>
    <x v="439"/>
    <n v="17"/>
    <n v="41325.14"/>
    <x v="2"/>
  </r>
  <r>
    <x v="1"/>
    <x v="440"/>
    <n v="32"/>
    <n v="109994.37"/>
    <x v="2"/>
  </r>
  <r>
    <x v="1"/>
    <x v="441"/>
    <n v="8"/>
    <n v="36683.26"/>
    <x v="2"/>
  </r>
  <r>
    <x v="1"/>
    <x v="442"/>
    <n v="18"/>
    <n v="43367.45"/>
    <x v="2"/>
  </r>
  <r>
    <x v="1"/>
    <x v="443"/>
    <n v="38"/>
    <n v="69850.98"/>
    <x v="2"/>
  </r>
  <r>
    <x v="1"/>
    <x v="444"/>
    <n v="5"/>
    <n v="25394.16"/>
    <x v="2"/>
  </r>
  <r>
    <x v="1"/>
    <x v="445"/>
    <n v="8"/>
    <n v="21784.46"/>
    <x v="2"/>
  </r>
  <r>
    <x v="1"/>
    <x v="446"/>
    <n v="1"/>
    <n v="3577.42"/>
    <x v="2"/>
  </r>
  <r>
    <x v="1"/>
    <x v="447"/>
    <n v="3"/>
    <n v="3254.4"/>
    <x v="2"/>
  </r>
  <r>
    <x v="1"/>
    <x v="448"/>
    <n v="1"/>
    <n v="3846.15"/>
    <x v="2"/>
  </r>
  <r>
    <x v="1"/>
    <x v="449"/>
    <n v="24"/>
    <n v="47336.160000000003"/>
    <x v="2"/>
  </r>
  <r>
    <x v="1"/>
    <x v="450"/>
    <n v="3"/>
    <n v="9621.6200000000008"/>
    <x v="2"/>
  </r>
  <r>
    <x v="1"/>
    <x v="451"/>
    <n v="35"/>
    <n v="63449.26"/>
    <x v="2"/>
  </r>
  <r>
    <x v="1"/>
    <x v="452"/>
    <n v="5"/>
    <n v="25287.91"/>
    <x v="2"/>
  </r>
  <r>
    <x v="1"/>
    <x v="453"/>
    <n v="36"/>
    <n v="88351.58"/>
    <x v="2"/>
  </r>
  <r>
    <x v="1"/>
    <x v="454"/>
    <n v="68"/>
    <n v="126451.5"/>
    <x v="2"/>
  </r>
  <r>
    <x v="1"/>
    <x v="455"/>
    <n v="1"/>
    <n v="9224.15"/>
    <x v="2"/>
  </r>
  <r>
    <x v="1"/>
    <x v="456"/>
    <n v="8"/>
    <n v="81643.19"/>
    <x v="2"/>
  </r>
  <r>
    <x v="1"/>
    <x v="457"/>
    <n v="3"/>
    <n v="18891"/>
    <x v="2"/>
  </r>
  <r>
    <x v="1"/>
    <x v="458"/>
    <n v="10"/>
    <n v="54664.160000000003"/>
    <x v="2"/>
  </r>
  <r>
    <x v="1"/>
    <x v="459"/>
    <n v="6"/>
    <n v="42462.080000000002"/>
    <x v="2"/>
  </r>
  <r>
    <x v="1"/>
    <x v="460"/>
    <n v="7"/>
    <n v="33757.07"/>
    <x v="2"/>
  </r>
  <r>
    <x v="1"/>
    <x v="461"/>
    <n v="12"/>
    <n v="69872.44"/>
    <x v="2"/>
  </r>
  <r>
    <x v="1"/>
    <x v="462"/>
    <n v="8"/>
    <n v="47920.92"/>
    <x v="2"/>
  </r>
  <r>
    <x v="1"/>
    <x v="463"/>
    <n v="4"/>
    <n v="16615.400000000001"/>
    <x v="2"/>
  </r>
  <r>
    <x v="1"/>
    <x v="464"/>
    <n v="16"/>
    <n v="56734.6"/>
    <x v="2"/>
  </r>
  <r>
    <x v="1"/>
    <x v="465"/>
    <n v="2"/>
    <n v="11859.81"/>
    <x v="2"/>
  </r>
  <r>
    <x v="1"/>
    <x v="466"/>
    <n v="8"/>
    <n v="40562.949999999997"/>
    <x v="2"/>
  </r>
  <r>
    <x v="1"/>
    <x v="467"/>
    <n v="6"/>
    <n v="45085.3"/>
    <x v="2"/>
  </r>
  <r>
    <x v="1"/>
    <x v="468"/>
    <n v="4"/>
    <n v="22669.08"/>
    <x v="2"/>
  </r>
  <r>
    <x v="1"/>
    <x v="469"/>
    <n v="6"/>
    <n v="54922.879999999997"/>
    <x v="2"/>
  </r>
  <r>
    <x v="1"/>
    <x v="470"/>
    <n v="10"/>
    <n v="43846.19"/>
    <x v="2"/>
  </r>
  <r>
    <x v="1"/>
    <x v="471"/>
    <n v="7"/>
    <n v="35538.49"/>
    <x v="2"/>
  </r>
  <r>
    <x v="1"/>
    <x v="472"/>
    <n v="8"/>
    <n v="39692.339999999997"/>
    <x v="2"/>
  </r>
  <r>
    <x v="1"/>
    <x v="473"/>
    <n v="11"/>
    <n v="48000.04"/>
    <x v="2"/>
  </r>
  <r>
    <x v="1"/>
    <x v="474"/>
    <n v="8"/>
    <n v="39692.339999999997"/>
    <x v="2"/>
  </r>
  <r>
    <x v="1"/>
    <x v="475"/>
    <n v="10"/>
    <n v="43846.19"/>
    <x v="2"/>
  </r>
  <r>
    <x v="1"/>
    <x v="476"/>
    <n v="13"/>
    <n v="54331.34"/>
    <x v="2"/>
  </r>
  <r>
    <x v="1"/>
    <x v="477"/>
    <n v="2"/>
    <n v="8749.15"/>
    <x v="2"/>
  </r>
  <r>
    <x v="1"/>
    <x v="478"/>
    <n v="6"/>
    <n v="27579.42"/>
    <x v="2"/>
  </r>
  <r>
    <x v="1"/>
    <x v="479"/>
    <n v="11"/>
    <n v="27590.23"/>
    <x v="2"/>
  </r>
  <r>
    <x v="1"/>
    <x v="480"/>
    <n v="10"/>
    <n v="64518.75"/>
    <x v="2"/>
  </r>
  <r>
    <x v="1"/>
    <x v="481"/>
    <n v="9"/>
    <n v="85179.89"/>
    <x v="2"/>
  </r>
  <r>
    <x v="1"/>
    <x v="482"/>
    <n v="5"/>
    <n v="6724.47"/>
    <x v="2"/>
  </r>
  <r>
    <x v="1"/>
    <x v="483"/>
    <n v="4"/>
    <n v="7492.31"/>
    <x v="2"/>
  </r>
  <r>
    <x v="1"/>
    <x v="484"/>
    <n v="4"/>
    <n v="8128.06"/>
    <x v="2"/>
  </r>
  <r>
    <x v="1"/>
    <x v="485"/>
    <n v="1"/>
    <n v="2314.83"/>
    <x v="2"/>
  </r>
  <r>
    <x v="1"/>
    <x v="486"/>
    <n v="4"/>
    <n v="6178.89"/>
    <x v="2"/>
  </r>
  <r>
    <x v="1"/>
    <x v="487"/>
    <n v="2"/>
    <n v="5862.57"/>
    <x v="2"/>
  </r>
  <r>
    <x v="1"/>
    <x v="488"/>
    <n v="3"/>
    <n v="4425.5200000000004"/>
    <x v="2"/>
  </r>
  <r>
    <x v="1"/>
    <x v="489"/>
    <n v="31"/>
    <n v="47941.81"/>
    <x v="2"/>
  </r>
  <r>
    <x v="1"/>
    <x v="490"/>
    <n v="10"/>
    <n v="15381.94"/>
    <x v="2"/>
  </r>
  <r>
    <x v="1"/>
    <x v="491"/>
    <n v="6"/>
    <n v="17083.98"/>
    <x v="2"/>
  </r>
  <r>
    <x v="1"/>
    <x v="492"/>
    <n v="1"/>
    <n v="2870.46"/>
    <x v="2"/>
  </r>
  <r>
    <x v="1"/>
    <x v="493"/>
    <n v="41"/>
    <n v="172837.15"/>
    <x v="2"/>
  </r>
  <r>
    <x v="1"/>
    <x v="494"/>
    <n v="1"/>
    <n v="5000"/>
    <x v="2"/>
  </r>
  <r>
    <x v="1"/>
    <x v="495"/>
    <n v="1"/>
    <n v="10640.08"/>
    <x v="2"/>
  </r>
  <r>
    <x v="1"/>
    <x v="496"/>
    <n v="10"/>
    <n v="67848.92"/>
    <x v="2"/>
  </r>
  <r>
    <x v="1"/>
    <x v="497"/>
    <n v="1"/>
    <n v="7309.92"/>
    <x v="2"/>
  </r>
  <r>
    <x v="1"/>
    <x v="498"/>
    <n v="21"/>
    <n v="90591.66"/>
    <x v="2"/>
  </r>
  <r>
    <x v="1"/>
    <x v="499"/>
    <n v="1"/>
    <n v="11168.88"/>
    <x v="2"/>
  </r>
  <r>
    <x v="1"/>
    <x v="500"/>
    <n v="1"/>
    <n v="1290"/>
    <x v="2"/>
  </r>
  <r>
    <x v="1"/>
    <x v="501"/>
    <n v="5"/>
    <n v="8680.08"/>
    <x v="2"/>
  </r>
  <r>
    <x v="1"/>
    <x v="502"/>
    <n v="9"/>
    <n v="53905.34"/>
    <x v="2"/>
  </r>
  <r>
    <x v="1"/>
    <x v="503"/>
    <n v="5"/>
    <n v="24597.93"/>
    <x v="2"/>
  </r>
  <r>
    <x v="1"/>
    <x v="504"/>
    <n v="4"/>
    <n v="29272.12"/>
    <x v="2"/>
  </r>
  <r>
    <x v="1"/>
    <x v="505"/>
    <n v="6"/>
    <n v="10980.86"/>
    <x v="2"/>
  </r>
  <r>
    <x v="1"/>
    <x v="506"/>
    <n v="19"/>
    <n v="72536.27"/>
    <x v="2"/>
  </r>
  <r>
    <x v="1"/>
    <x v="507"/>
    <n v="21"/>
    <n v="55794.73"/>
    <x v="2"/>
  </r>
  <r>
    <x v="1"/>
    <x v="508"/>
    <n v="6"/>
    <n v="11046.36"/>
    <x v="2"/>
  </r>
  <r>
    <x v="1"/>
    <x v="509"/>
    <n v="2"/>
    <n v="2133.73"/>
    <x v="2"/>
  </r>
  <r>
    <x v="1"/>
    <x v="510"/>
    <n v="1"/>
    <n v="1614.73"/>
    <x v="2"/>
  </r>
  <r>
    <x v="1"/>
    <x v="511"/>
    <n v="69"/>
    <n v="93405.53"/>
    <x v="2"/>
  </r>
  <r>
    <x v="1"/>
    <x v="512"/>
    <n v="24"/>
    <n v="32178.42"/>
    <x v="2"/>
  </r>
  <r>
    <x v="1"/>
    <x v="513"/>
    <n v="26"/>
    <n v="32502.43"/>
    <x v="2"/>
  </r>
  <r>
    <x v="1"/>
    <x v="514"/>
    <n v="4"/>
    <n v="4545.79"/>
    <x v="2"/>
  </r>
  <r>
    <x v="1"/>
    <x v="515"/>
    <n v="20"/>
    <n v="29499.84"/>
    <x v="2"/>
  </r>
  <r>
    <x v="1"/>
    <x v="516"/>
    <n v="5"/>
    <n v="7059.28"/>
    <x v="2"/>
  </r>
  <r>
    <x v="1"/>
    <x v="517"/>
    <n v="4"/>
    <n v="7117.2900000000009"/>
    <x v="2"/>
  </r>
  <r>
    <x v="1"/>
    <x v="518"/>
    <n v="14"/>
    <n v="78676.61"/>
    <x v="2"/>
  </r>
  <r>
    <x v="1"/>
    <x v="519"/>
    <n v="2"/>
    <n v="2714.9"/>
    <x v="2"/>
  </r>
  <r>
    <x v="1"/>
    <x v="520"/>
    <n v="2"/>
    <n v="3107.2"/>
    <x v="2"/>
  </r>
  <r>
    <x v="1"/>
    <x v="521"/>
    <n v="1"/>
    <n v="4307.6899999999996"/>
    <x v="2"/>
  </r>
  <r>
    <x v="1"/>
    <x v="522"/>
    <n v="2"/>
    <n v="2698.26"/>
    <x v="2"/>
  </r>
  <r>
    <x v="1"/>
    <x v="523"/>
    <n v="19"/>
    <n v="24559.3"/>
    <x v="2"/>
  </r>
  <r>
    <x v="1"/>
    <x v="524"/>
    <n v="3"/>
    <n v="3732.77"/>
    <x v="2"/>
  </r>
  <r>
    <x v="1"/>
    <x v="525"/>
    <n v="27"/>
    <n v="40139.68"/>
    <x v="2"/>
  </r>
  <r>
    <x v="1"/>
    <x v="526"/>
    <n v="10"/>
    <n v="20156.7"/>
    <x v="2"/>
  </r>
  <r>
    <x v="1"/>
    <x v="527"/>
    <n v="1"/>
    <n v="1391.2"/>
    <x v="2"/>
  </r>
  <r>
    <x v="1"/>
    <x v="528"/>
    <n v="7"/>
    <n v="10568.56"/>
    <x v="2"/>
  </r>
  <r>
    <x v="1"/>
    <x v="529"/>
    <n v="13"/>
    <n v="17757.669999999998"/>
    <x v="2"/>
  </r>
  <r>
    <x v="1"/>
    <x v="530"/>
    <n v="5"/>
    <n v="7495.2"/>
    <x v="2"/>
  </r>
  <r>
    <x v="1"/>
    <x v="531"/>
    <n v="4"/>
    <n v="19117.62"/>
    <x v="2"/>
  </r>
  <r>
    <x v="1"/>
    <x v="532"/>
    <n v="16"/>
    <n v="76873.070000000007"/>
    <x v="2"/>
  </r>
  <r>
    <x v="1"/>
    <x v="533"/>
    <n v="2"/>
    <n v="9093.23"/>
    <x v="2"/>
  </r>
  <r>
    <x v="1"/>
    <x v="534"/>
    <n v="5"/>
    <n v="15505"/>
    <x v="2"/>
  </r>
  <r>
    <x v="1"/>
    <x v="535"/>
    <n v="4"/>
    <n v="21269.230000000003"/>
    <x v="2"/>
  </r>
  <r>
    <x v="1"/>
    <x v="536"/>
    <n v="224"/>
    <n v="294785.08"/>
    <x v="2"/>
  </r>
  <r>
    <x v="1"/>
    <x v="537"/>
    <n v="69"/>
    <n v="160280.44"/>
    <x v="2"/>
  </r>
  <r>
    <x v="1"/>
    <x v="538"/>
    <n v="16"/>
    <n v="79744.36"/>
    <x v="2"/>
  </r>
  <r>
    <x v="1"/>
    <x v="539"/>
    <n v="24"/>
    <n v="109246.66"/>
    <x v="2"/>
  </r>
  <r>
    <x v="1"/>
    <x v="540"/>
    <n v="6"/>
    <n v="22988.89"/>
    <x v="2"/>
  </r>
  <r>
    <x v="1"/>
    <x v="541"/>
    <n v="5"/>
    <n v="25438.39"/>
    <x v="2"/>
  </r>
  <r>
    <x v="1"/>
    <x v="542"/>
    <n v="1"/>
    <n v="5070.7299999999996"/>
    <x v="2"/>
  </r>
  <r>
    <x v="1"/>
    <x v="543"/>
    <n v="10"/>
    <n v="70094.13"/>
    <x v="2"/>
  </r>
  <r>
    <x v="1"/>
    <x v="544"/>
    <n v="11"/>
    <n v="65660.67"/>
    <x v="2"/>
  </r>
  <r>
    <x v="1"/>
    <x v="545"/>
    <n v="17"/>
    <n v="74418.570000000007"/>
    <x v="2"/>
  </r>
  <r>
    <x v="1"/>
    <x v="546"/>
    <n v="5"/>
    <n v="24900.07"/>
    <x v="2"/>
  </r>
  <r>
    <x v="1"/>
    <x v="547"/>
    <n v="8"/>
    <n v="49112.76"/>
    <x v="2"/>
  </r>
  <r>
    <x v="1"/>
    <x v="548"/>
    <n v="5"/>
    <n v="35291.5"/>
    <x v="2"/>
  </r>
  <r>
    <x v="1"/>
    <x v="549"/>
    <n v="1"/>
    <n v="4986.8100000000004"/>
    <x v="2"/>
  </r>
  <r>
    <x v="1"/>
    <x v="550"/>
    <n v="25"/>
    <n v="96300.73000000001"/>
    <x v="2"/>
  </r>
  <r>
    <x v="1"/>
    <x v="551"/>
    <n v="20"/>
    <n v="104035.52"/>
    <x v="2"/>
  </r>
  <r>
    <x v="1"/>
    <x v="552"/>
    <n v="27"/>
    <n v="105395.47"/>
    <x v="2"/>
  </r>
  <r>
    <x v="1"/>
    <x v="553"/>
    <n v="1"/>
    <n v="5712.54"/>
    <x v="2"/>
  </r>
  <r>
    <x v="1"/>
    <x v="554"/>
    <n v="2"/>
    <n v="10582.88"/>
    <x v="2"/>
  </r>
  <r>
    <x v="1"/>
    <x v="555"/>
    <n v="1"/>
    <n v="3726"/>
    <x v="2"/>
  </r>
  <r>
    <x v="1"/>
    <x v="556"/>
    <n v="2"/>
    <n v="10493.15"/>
    <x v="2"/>
  </r>
  <r>
    <x v="1"/>
    <x v="557"/>
    <n v="30"/>
    <n v="100461"/>
    <x v="2"/>
  </r>
  <r>
    <x v="1"/>
    <x v="558"/>
    <n v="4"/>
    <n v="5570.08"/>
    <x v="2"/>
  </r>
  <r>
    <x v="1"/>
    <x v="559"/>
    <n v="7"/>
    <n v="33650"/>
    <x v="2"/>
  </r>
  <r>
    <x v="1"/>
    <x v="560"/>
    <n v="3"/>
    <n v="20150.12"/>
    <x v="2"/>
  </r>
  <r>
    <x v="1"/>
    <x v="561"/>
    <n v="48"/>
    <n v="110510.03"/>
    <x v="2"/>
  </r>
  <r>
    <x v="1"/>
    <x v="562"/>
    <n v="5"/>
    <n v="14169.27"/>
    <x v="2"/>
  </r>
  <r>
    <x v="1"/>
    <x v="563"/>
    <n v="2"/>
    <n v="10780.31"/>
    <x v="2"/>
  </r>
  <r>
    <x v="1"/>
    <x v="564"/>
    <n v="1"/>
    <n v="3269.23"/>
    <x v="2"/>
  </r>
  <r>
    <x v="1"/>
    <x v="565"/>
    <n v="8"/>
    <n v="43664.800000000003"/>
    <x v="2"/>
  </r>
  <r>
    <x v="1"/>
    <x v="566"/>
    <n v="12"/>
    <n v="24516.2"/>
    <x v="2"/>
  </r>
  <r>
    <x v="1"/>
    <x v="567"/>
    <n v="40"/>
    <n v="60029.97"/>
    <x v="2"/>
  </r>
  <r>
    <x v="1"/>
    <x v="568"/>
    <n v="16"/>
    <n v="29416.78"/>
    <x v="2"/>
  </r>
  <r>
    <x v="1"/>
    <x v="569"/>
    <n v="15"/>
    <n v="58916.79"/>
    <x v="2"/>
  </r>
  <r>
    <x v="1"/>
    <x v="570"/>
    <n v="28"/>
    <n v="59446.44"/>
    <x v="2"/>
  </r>
  <r>
    <x v="1"/>
    <x v="571"/>
    <n v="6"/>
    <n v="20570.34"/>
    <x v="2"/>
  </r>
  <r>
    <x v="1"/>
    <x v="572"/>
    <n v="7"/>
    <n v="16605.080000000002"/>
    <x v="2"/>
  </r>
  <r>
    <x v="1"/>
    <x v="573"/>
    <n v="12"/>
    <n v="80914.080000000002"/>
    <x v="1"/>
  </r>
  <r>
    <x v="1"/>
    <x v="574"/>
    <n v="22"/>
    <n v="106623.66"/>
    <x v="1"/>
  </r>
  <r>
    <x v="1"/>
    <x v="575"/>
    <n v="3"/>
    <n v="6801.22"/>
    <x v="2"/>
  </r>
  <r>
    <x v="1"/>
    <x v="576"/>
    <n v="13"/>
    <n v="22192.99"/>
    <x v="2"/>
  </r>
  <r>
    <x v="1"/>
    <x v="577"/>
    <n v="16"/>
    <n v="29435.45"/>
    <x v="2"/>
  </r>
  <r>
    <x v="1"/>
    <x v="578"/>
    <n v="4"/>
    <n v="6799.73"/>
    <x v="2"/>
  </r>
  <r>
    <x v="1"/>
    <x v="579"/>
    <n v="11"/>
    <n v="43827.41"/>
    <x v="2"/>
  </r>
  <r>
    <x v="1"/>
    <x v="580"/>
    <n v="8"/>
    <n v="12003.68"/>
    <x v="2"/>
  </r>
  <r>
    <x v="1"/>
    <x v="581"/>
    <n v="13"/>
    <n v="19295.64"/>
    <x v="2"/>
  </r>
  <r>
    <x v="1"/>
    <x v="582"/>
    <n v="9"/>
    <n v="12569.47"/>
    <x v="2"/>
  </r>
  <r>
    <x v="1"/>
    <x v="583"/>
    <n v="4"/>
    <n v="8304.4699999999993"/>
    <x v="2"/>
  </r>
  <r>
    <x v="1"/>
    <x v="584"/>
    <n v="16"/>
    <n v="25829.14"/>
    <x v="2"/>
  </r>
  <r>
    <x v="1"/>
    <x v="585"/>
    <n v="27"/>
    <n v="48688.36"/>
    <x v="2"/>
  </r>
  <r>
    <x v="1"/>
    <x v="586"/>
    <n v="4"/>
    <n v="7983.67"/>
    <x v="1"/>
  </r>
  <r>
    <x v="1"/>
    <x v="587"/>
    <n v="7"/>
    <n v="28448.84"/>
    <x v="2"/>
  </r>
  <r>
    <x v="1"/>
    <x v="588"/>
    <n v="9"/>
    <n v="34858.85"/>
    <x v="2"/>
  </r>
  <r>
    <x v="1"/>
    <x v="589"/>
    <n v="12"/>
    <n v="22487.31"/>
    <x v="2"/>
  </r>
  <r>
    <x v="1"/>
    <x v="590"/>
    <n v="108"/>
    <n v="159907.87"/>
    <x v="2"/>
  </r>
  <r>
    <x v="1"/>
    <x v="591"/>
    <n v="21"/>
    <n v="33287.58"/>
    <x v="2"/>
  </r>
  <r>
    <x v="1"/>
    <x v="592"/>
    <n v="5"/>
    <n v="43598.879999999997"/>
    <x v="2"/>
  </r>
  <r>
    <x v="1"/>
    <x v="593"/>
    <n v="54"/>
    <n v="93745.58"/>
    <x v="2"/>
  </r>
  <r>
    <x v="1"/>
    <x v="594"/>
    <n v="11"/>
    <n v="24781.42"/>
    <x v="2"/>
  </r>
  <r>
    <x v="1"/>
    <x v="595"/>
    <n v="7"/>
    <n v="46193.11"/>
    <x v="2"/>
  </r>
  <r>
    <x v="1"/>
    <x v="596"/>
    <n v="27"/>
    <n v="54493.15"/>
    <x v="2"/>
  </r>
  <r>
    <x v="1"/>
    <x v="597"/>
    <n v="9"/>
    <n v="31190.89"/>
    <x v="2"/>
  </r>
  <r>
    <x v="1"/>
    <x v="598"/>
    <n v="13"/>
    <n v="28182.87"/>
    <x v="2"/>
  </r>
  <r>
    <x v="1"/>
    <x v="599"/>
    <n v="8"/>
    <n v="13598.66"/>
    <x v="2"/>
  </r>
  <r>
    <x v="1"/>
    <x v="600"/>
    <n v="3"/>
    <n v="8736.7000000000007"/>
    <x v="2"/>
  </r>
  <r>
    <x v="1"/>
    <x v="601"/>
    <n v="3"/>
    <n v="9240.91"/>
    <x v="2"/>
  </r>
  <r>
    <x v="1"/>
    <x v="602"/>
    <n v="60"/>
    <n v="120455.06"/>
    <x v="2"/>
  </r>
  <r>
    <x v="1"/>
    <x v="603"/>
    <n v="20"/>
    <n v="4805.51"/>
    <x v="2"/>
  </r>
  <r>
    <x v="1"/>
    <x v="604"/>
    <n v="2"/>
    <n v="7487.5"/>
    <x v="2"/>
  </r>
  <r>
    <x v="1"/>
    <x v="605"/>
    <n v="13"/>
    <n v="22497.42"/>
    <x v="2"/>
  </r>
  <r>
    <x v="1"/>
    <x v="606"/>
    <n v="3"/>
    <n v="5648.66"/>
    <x v="2"/>
  </r>
  <r>
    <x v="1"/>
    <x v="607"/>
    <n v="52"/>
    <n v="68633.06"/>
    <x v="2"/>
  </r>
  <r>
    <x v="1"/>
    <x v="608"/>
    <n v="29"/>
    <n v="55874.74"/>
    <x v="2"/>
  </r>
  <r>
    <x v="1"/>
    <x v="609"/>
    <n v="42"/>
    <n v="59067.14"/>
    <x v="2"/>
  </r>
  <r>
    <x v="1"/>
    <x v="610"/>
    <n v="1"/>
    <n v="3404.42"/>
    <x v="2"/>
  </r>
  <r>
    <x v="1"/>
    <x v="611"/>
    <n v="8"/>
    <n v="14604.28"/>
    <x v="2"/>
  </r>
  <r>
    <x v="1"/>
    <x v="612"/>
    <n v="6"/>
    <n v="14405.06"/>
    <x v="2"/>
  </r>
  <r>
    <x v="1"/>
    <x v="613"/>
    <n v="92"/>
    <n v="162130.28"/>
    <x v="2"/>
  </r>
  <r>
    <x v="1"/>
    <x v="614"/>
    <n v="1"/>
    <n v="8461.77"/>
    <x v="0"/>
  </r>
  <r>
    <x v="1"/>
    <x v="615"/>
    <n v="102"/>
    <n v="132943.18"/>
    <x v="2"/>
  </r>
  <r>
    <x v="1"/>
    <x v="616"/>
    <n v="2"/>
    <n v="9003.31"/>
    <x v="0"/>
  </r>
  <r>
    <x v="1"/>
    <x v="617"/>
    <n v="15"/>
    <n v="28719.66"/>
    <x v="2"/>
  </r>
  <r>
    <x v="1"/>
    <x v="618"/>
    <n v="6"/>
    <n v="11933.28"/>
    <x v="2"/>
  </r>
  <r>
    <x v="1"/>
    <x v="619"/>
    <n v="9"/>
    <n v="23537.91"/>
    <x v="2"/>
  </r>
  <r>
    <x v="1"/>
    <x v="620"/>
    <n v="7"/>
    <n v="27724.54"/>
    <x v="1"/>
  </r>
  <r>
    <x v="1"/>
    <x v="621"/>
    <n v="11"/>
    <n v="50766.48"/>
    <x v="2"/>
  </r>
  <r>
    <x v="1"/>
    <x v="622"/>
    <n v="3"/>
    <n v="19555.349999999999"/>
    <x v="0"/>
  </r>
  <r>
    <x v="1"/>
    <x v="623"/>
    <n v="3"/>
    <n v="19239.12"/>
    <x v="2"/>
  </r>
  <r>
    <x v="1"/>
    <x v="624"/>
    <n v="1"/>
    <n v="6077.19"/>
    <x v="0"/>
  </r>
  <r>
    <x v="1"/>
    <x v="625"/>
    <n v="6"/>
    <n v="27135.54"/>
    <x v="0"/>
  </r>
  <r>
    <x v="1"/>
    <x v="626"/>
    <n v="2"/>
    <n v="15442.31"/>
    <x v="0"/>
  </r>
  <r>
    <x v="1"/>
    <x v="627"/>
    <n v="3"/>
    <n v="13342.88"/>
    <x v="0"/>
  </r>
  <r>
    <x v="1"/>
    <x v="628"/>
    <n v="6"/>
    <n v="27443.35"/>
    <x v="0"/>
  </r>
  <r>
    <x v="1"/>
    <x v="629"/>
    <n v="9"/>
    <n v="48569.120000000003"/>
    <x v="0"/>
  </r>
  <r>
    <x v="1"/>
    <x v="630"/>
    <n v="31"/>
    <n v="194019.63"/>
    <x v="0"/>
  </r>
  <r>
    <x v="1"/>
    <x v="631"/>
    <n v="2"/>
    <n v="8128.08"/>
    <x v="0"/>
  </r>
  <r>
    <x v="1"/>
    <x v="632"/>
    <n v="6"/>
    <n v="21895.47"/>
    <x v="0"/>
  </r>
  <r>
    <x v="1"/>
    <x v="633"/>
    <n v="29"/>
    <n v="63496.37"/>
    <x v="2"/>
  </r>
  <r>
    <x v="1"/>
    <x v="634"/>
    <n v="10"/>
    <n v="48000.04"/>
    <x v="2"/>
  </r>
  <r>
    <x v="1"/>
    <x v="635"/>
    <n v="6"/>
    <n v="78447.97"/>
    <x v="2"/>
  </r>
  <r>
    <x v="1"/>
    <x v="636"/>
    <n v="3"/>
    <n v="21504.880000000001"/>
    <x v="2"/>
  </r>
  <r>
    <x v="1"/>
    <x v="637"/>
    <n v="40"/>
    <n v="165147.5"/>
    <x v="0"/>
  </r>
  <r>
    <x v="1"/>
    <x v="638"/>
    <n v="7"/>
    <n v="42473.84"/>
    <x v="2"/>
  </r>
  <r>
    <x v="1"/>
    <x v="639"/>
    <n v="45"/>
    <n v="73840.38"/>
    <x v="2"/>
  </r>
  <r>
    <x v="1"/>
    <x v="640"/>
    <n v="1"/>
    <n v="3060"/>
    <x v="0"/>
  </r>
  <r>
    <x v="1"/>
    <x v="641"/>
    <n v="2"/>
    <n v="10538.47"/>
    <x v="1"/>
  </r>
  <r>
    <x v="1"/>
    <x v="642"/>
    <n v="13"/>
    <n v="32138.92"/>
    <x v="1"/>
  </r>
  <r>
    <x v="1"/>
    <x v="643"/>
    <n v="1"/>
    <n v="4855.7700000000004"/>
    <x v="1"/>
  </r>
  <r>
    <x v="1"/>
    <x v="644"/>
    <n v="38"/>
    <n v="80003.710000000006"/>
    <x v="2"/>
  </r>
  <r>
    <x v="1"/>
    <x v="645"/>
    <n v="54"/>
    <n v="101270.57"/>
    <x v="2"/>
  </r>
  <r>
    <x v="1"/>
    <x v="646"/>
    <n v="33"/>
    <n v="63207.53"/>
    <x v="2"/>
  </r>
  <r>
    <x v="1"/>
    <x v="647"/>
    <n v="17"/>
    <n v="37639.08"/>
    <x v="2"/>
  </r>
  <r>
    <x v="1"/>
    <x v="648"/>
    <n v="27"/>
    <n v="49907.98"/>
    <x v="2"/>
  </r>
  <r>
    <x v="1"/>
    <x v="649"/>
    <n v="21"/>
    <n v="79982.02"/>
    <x v="2"/>
  </r>
  <r>
    <x v="1"/>
    <x v="650"/>
    <n v="14"/>
    <n v="19006.18"/>
    <x v="2"/>
  </r>
  <r>
    <x v="1"/>
    <x v="651"/>
    <n v="35"/>
    <n v="95201.45"/>
    <x v="2"/>
  </r>
  <r>
    <x v="1"/>
    <x v="652"/>
    <n v="4"/>
    <n v="18714.189999999999"/>
    <x v="2"/>
  </r>
  <r>
    <x v="1"/>
    <x v="653"/>
    <n v="4"/>
    <n v="24937.34"/>
    <x v="1"/>
  </r>
  <r>
    <x v="1"/>
    <x v="654"/>
    <n v="3"/>
    <n v="11589.31"/>
    <x v="1"/>
  </r>
  <r>
    <x v="1"/>
    <x v="655"/>
    <n v="3"/>
    <n v="11101.81"/>
    <x v="2"/>
  </r>
  <r>
    <x v="1"/>
    <x v="656"/>
    <n v="62"/>
    <n v="83243.19"/>
    <x v="2"/>
  </r>
  <r>
    <x v="1"/>
    <x v="657"/>
    <n v="26"/>
    <n v="112267.79000000001"/>
    <x v="2"/>
  </r>
  <r>
    <x v="1"/>
    <x v="658"/>
    <n v="6"/>
    <n v="28153.86"/>
    <x v="2"/>
  </r>
  <r>
    <x v="1"/>
    <x v="659"/>
    <n v="33"/>
    <n v="44420.41"/>
    <x v="2"/>
  </r>
  <r>
    <x v="1"/>
    <x v="660"/>
    <n v="37"/>
    <n v="49408.72"/>
    <x v="2"/>
  </r>
  <r>
    <x v="1"/>
    <x v="661"/>
    <n v="22"/>
    <n v="28767.120000000003"/>
    <x v="2"/>
  </r>
  <r>
    <x v="1"/>
    <x v="662"/>
    <n v="6"/>
    <n v="17566.170000000002"/>
    <x v="2"/>
  </r>
  <r>
    <x v="1"/>
    <x v="663"/>
    <n v="13"/>
    <n v="61516.73"/>
    <x v="0"/>
  </r>
  <r>
    <x v="1"/>
    <x v="664"/>
    <n v="1"/>
    <n v="6219.69"/>
    <x v="0"/>
  </r>
  <r>
    <x v="1"/>
    <x v="665"/>
    <n v="24"/>
    <n v="70049.5"/>
    <x v="1"/>
  </r>
  <r>
    <x v="1"/>
    <x v="666"/>
    <n v="6"/>
    <n v="18059.57"/>
    <x v="2"/>
  </r>
  <r>
    <x v="1"/>
    <x v="667"/>
    <n v="1"/>
    <n v="1365.6"/>
    <x v="2"/>
  </r>
  <r>
    <x v="1"/>
    <x v="668"/>
    <n v="8"/>
    <n v="21929.73"/>
    <x v="1"/>
  </r>
  <r>
    <x v="1"/>
    <x v="669"/>
    <n v="202"/>
    <n v="252246.96"/>
    <x v="1"/>
  </r>
  <r>
    <x v="1"/>
    <x v="670"/>
    <n v="138"/>
    <n v="170345.57"/>
    <x v="1"/>
  </r>
  <r>
    <x v="1"/>
    <x v="671"/>
    <n v="2"/>
    <n v="10576.93"/>
    <x v="2"/>
  </r>
  <r>
    <x v="1"/>
    <x v="672"/>
    <n v="1"/>
    <n v="10789.04"/>
    <x v="2"/>
  </r>
  <r>
    <x v="1"/>
    <x v="673"/>
    <n v="10"/>
    <n v="21906.27"/>
    <x v="1"/>
  </r>
  <r>
    <x v="1"/>
    <x v="674"/>
    <n v="8"/>
    <n v="35516.53"/>
    <x v="2"/>
  </r>
  <r>
    <x v="1"/>
    <x v="675"/>
    <n v="8"/>
    <n v="18570.48"/>
    <x v="1"/>
  </r>
  <r>
    <x v="1"/>
    <x v="676"/>
    <n v="2"/>
    <n v="12726"/>
    <x v="2"/>
  </r>
  <r>
    <x v="1"/>
    <x v="677"/>
    <n v="5"/>
    <n v="16379.48"/>
    <x v="2"/>
  </r>
  <r>
    <x v="1"/>
    <x v="678"/>
    <n v="11"/>
    <n v="38876.269999999997"/>
    <x v="2"/>
  </r>
  <r>
    <x v="1"/>
    <x v="679"/>
    <n v="4"/>
    <n v="13576.62"/>
    <x v="2"/>
  </r>
  <r>
    <x v="1"/>
    <x v="680"/>
    <n v="6"/>
    <n v="26818.54"/>
    <x v="2"/>
  </r>
  <r>
    <x v="1"/>
    <x v="681"/>
    <n v="9"/>
    <n v="18582.89"/>
    <x v="2"/>
  </r>
  <r>
    <x v="1"/>
    <x v="682"/>
    <n v="2"/>
    <n v="4345.6000000000004"/>
    <x v="2"/>
  </r>
  <r>
    <x v="1"/>
    <x v="683"/>
    <n v="3"/>
    <n v="6010.58"/>
    <x v="2"/>
  </r>
  <r>
    <x v="1"/>
    <x v="684"/>
    <n v="1"/>
    <n v="3653.85"/>
    <x v="2"/>
  </r>
  <r>
    <x v="1"/>
    <x v="685"/>
    <n v="1"/>
    <n v="5461.15"/>
    <x v="2"/>
  </r>
  <r>
    <x v="1"/>
    <x v="686"/>
    <n v="1"/>
    <n v="5006.62"/>
    <x v="1"/>
  </r>
  <r>
    <x v="2"/>
    <x v="687"/>
    <n v="10197"/>
    <n v="30723628.99999997"/>
    <x v="4"/>
  </r>
  <r>
    <x v="2"/>
    <x v="687"/>
    <m/>
    <m/>
    <x v="4"/>
  </r>
  <r>
    <x v="2"/>
    <x v="687"/>
    <m/>
    <m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0">
  <r>
    <x v="0"/>
    <s v="C040414"/>
    <n v="285.14560129098021"/>
  </r>
  <r>
    <x v="1"/>
    <s v="C010000"/>
    <n v="5520.6774455959803"/>
  </r>
  <r>
    <x v="1"/>
    <s v="C010011"/>
    <n v="802.9638883895492"/>
  </r>
  <r>
    <x v="1"/>
    <s v="C010101"/>
    <n v="10477.008191777722"/>
  </r>
  <r>
    <x v="1"/>
    <s v="C010105"/>
    <n v="8264.6339070882968"/>
  </r>
  <r>
    <x v="1"/>
    <s v="C010110"/>
    <n v="2712.9732482160039"/>
  </r>
  <r>
    <x v="1"/>
    <s v="C010111"/>
    <n v="5686.7713556558365"/>
  </r>
  <r>
    <x v="1"/>
    <s v="C010115"/>
    <n v="5762.7926020907107"/>
  </r>
  <r>
    <x v="1"/>
    <s v="C010121"/>
    <n v="4818.8517756691017"/>
  </r>
  <r>
    <x v="1"/>
    <s v="C010122"/>
    <n v="16824.505800353363"/>
  </r>
  <r>
    <x v="1"/>
    <s v="C010124"/>
    <n v="6416.180949411656"/>
  </r>
  <r>
    <x v="1"/>
    <s v="C010127"/>
    <n v="6279.5458465496122"/>
  </r>
  <r>
    <x v="1"/>
    <s v="C010150"/>
    <n v="4506.3536336146663"/>
  </r>
  <r>
    <x v="1"/>
    <s v="C010205"/>
    <n v="3027.9536541862126"/>
  </r>
  <r>
    <x v="1"/>
    <s v="C010210"/>
    <n v="12755.258596288077"/>
  </r>
  <r>
    <x v="1"/>
    <s v="C010215"/>
    <n v="13752.60637718537"/>
  </r>
  <r>
    <x v="1"/>
    <s v="C010220"/>
    <n v="14829.946346244351"/>
  </r>
  <r>
    <x v="1"/>
    <s v="C010230"/>
    <n v="14758.680362074441"/>
  </r>
  <r>
    <x v="1"/>
    <s v="C010301"/>
    <n v="9801.7422353457951"/>
  </r>
  <r>
    <x v="1"/>
    <s v="C010305"/>
    <n v="12111.828227513404"/>
  </r>
  <r>
    <x v="1"/>
    <s v="C010310"/>
    <n v="11009.93953601393"/>
  </r>
  <r>
    <x v="1"/>
    <s v="C010401"/>
    <n v="3669.7252105428697"/>
  </r>
  <r>
    <x v="1"/>
    <s v="C010415"/>
    <n v="6023.2771921005888"/>
  </r>
  <r>
    <x v="1"/>
    <s v="C010501"/>
    <n v="12567.948900738369"/>
  </r>
  <r>
    <x v="1"/>
    <s v="C010701"/>
    <n v="17661.687160897829"/>
  </r>
  <r>
    <x v="1"/>
    <s v="C010801"/>
    <n v="11383.000494113443"/>
  </r>
  <r>
    <x v="1"/>
    <s v="C020201"/>
    <n v="6903.4685812884682"/>
  </r>
  <r>
    <x v="1"/>
    <s v="C020202"/>
    <n v="18844.502079551283"/>
  </r>
  <r>
    <x v="1"/>
    <s v="C020205"/>
    <n v="11386.474642787884"/>
  </r>
  <r>
    <x v="1"/>
    <s v="C020298"/>
    <n v="21592.053485288994"/>
  </r>
  <r>
    <x v="1"/>
    <s v="C020402"/>
    <n v="5957.3619413200604"/>
  </r>
  <r>
    <x v="1"/>
    <s v="C020405"/>
    <n v="7231.8521915962083"/>
  </r>
  <r>
    <x v="1"/>
    <s v="C020415"/>
    <n v="6623.9884624097722"/>
  </r>
  <r>
    <x v="1"/>
    <s v="C020420"/>
    <n v="16615.05478705186"/>
  </r>
  <r>
    <x v="1"/>
    <s v="C020425"/>
    <n v="10062.231929393882"/>
  </r>
  <r>
    <x v="1"/>
    <s v="C020501"/>
    <n v="6525.5009411237806"/>
  </r>
  <r>
    <x v="1"/>
    <s v="C020502"/>
    <n v="3127.8583967483105"/>
  </r>
  <r>
    <x v="1"/>
    <s v="C020601"/>
    <n v="7546.4497947007212"/>
  </r>
  <r>
    <x v="1"/>
    <s v="C020801"/>
    <n v="3267.4419323492402"/>
  </r>
  <r>
    <x v="1"/>
    <s v="C030101"/>
    <n v="11713.116074720194"/>
  </r>
  <r>
    <x v="1"/>
    <s v="C030110"/>
    <n v="17203.422791624973"/>
  </r>
  <r>
    <x v="1"/>
    <s v="C030115"/>
    <n v="8310.4205325175517"/>
  </r>
  <r>
    <x v="1"/>
    <s v="C030125"/>
    <n v="4493.3264267585491"/>
  </r>
  <r>
    <x v="1"/>
    <s v="C030200"/>
    <n v="1948.6945667605494"/>
  </r>
  <r>
    <x v="1"/>
    <s v="C040001"/>
    <n v="9160.9557583635251"/>
  </r>
  <r>
    <x v="1"/>
    <s v="C040002"/>
    <n v="386.3756924414177"/>
  </r>
  <r>
    <x v="1"/>
    <s v="C040015"/>
    <n v="8051.8975945260991"/>
  </r>
  <r>
    <x v="1"/>
    <s v="C040101"/>
    <n v="4035.5146155402485"/>
  </r>
  <r>
    <x v="1"/>
    <s v="C040105"/>
    <n v="7278.385707950084"/>
  </r>
  <r>
    <x v="1"/>
    <s v="C040110"/>
    <n v="855.60013309563715"/>
  </r>
  <r>
    <x v="1"/>
    <s v="C040120"/>
    <n v="2915.125486878253"/>
  </r>
  <r>
    <x v="1"/>
    <s v="C040201"/>
    <n v="47518.000257139771"/>
  </r>
  <r>
    <x v="1"/>
    <s v="C040301"/>
    <n v="11139.891751513975"/>
  </r>
  <r>
    <x v="1"/>
    <s v="C040310"/>
    <n v="1713.6536072238614"/>
  </r>
  <r>
    <x v="1"/>
    <s v="C040320"/>
    <n v="1449.500915087591"/>
  </r>
  <r>
    <x v="1"/>
    <s v="C040325"/>
    <n v="25925.669452441405"/>
  </r>
  <r>
    <x v="1"/>
    <s v="C040330"/>
    <n v="7747.4042857298637"/>
  </r>
  <r>
    <x v="1"/>
    <s v="C040401"/>
    <n v="1510.3121276588531"/>
  </r>
  <r>
    <x v="1"/>
    <s v="C040405"/>
    <n v="15603.657290310528"/>
  </r>
  <r>
    <x v="1"/>
    <s v="C040410"/>
    <n v="16721.926541769608"/>
  </r>
  <r>
    <x v="1"/>
    <s v="C040411"/>
    <n v="3689.8861614694692"/>
  </r>
  <r>
    <x v="1"/>
    <s v="C040412"/>
    <n v="4395.7270081209699"/>
  </r>
  <r>
    <x v="1"/>
    <s v="C040414"/>
    <n v="12611.333225517128"/>
  </r>
  <r>
    <x v="1"/>
    <s v="C040415"/>
    <n v="3062.5726440135923"/>
  </r>
  <r>
    <x v="1"/>
    <s v="C040418"/>
    <n v="4856.8666522517124"/>
  </r>
  <r>
    <x v="1"/>
    <s v="C040425"/>
    <n v="13610.333013448158"/>
  </r>
  <r>
    <x v="1"/>
    <s v="C040501"/>
    <n v="3234.7590743492419"/>
  </r>
  <r>
    <x v="1"/>
    <s v="C042005"/>
    <n v="8036.5514529769071"/>
  </r>
  <r>
    <x v="1"/>
    <s v="C042010"/>
    <n v="4094.2961222502931"/>
  </r>
  <r>
    <x v="1"/>
    <s v="C042015"/>
    <n v="8020.5434878065789"/>
  </r>
  <r>
    <x v="1"/>
    <s v="C042020"/>
    <n v="4067.5781835708563"/>
  </r>
  <r>
    <x v="1"/>
    <s v="C042025"/>
    <n v="11805.645482069902"/>
  </r>
  <r>
    <x v="1"/>
    <s v="C042030"/>
    <n v="1654.1728472791481"/>
  </r>
  <r>
    <x v="1"/>
    <s v="C043001"/>
    <n v="9623.5976910738609"/>
  </r>
  <r>
    <x v="1"/>
    <s v="C043005"/>
    <n v="2646.3791603536438"/>
  </r>
  <r>
    <x v="1"/>
    <s v="C043010"/>
    <n v="2208.9698912038475"/>
  </r>
  <r>
    <x v="1"/>
    <s v="C043015"/>
    <n v="4086.3406280281174"/>
  </r>
  <r>
    <x v="1"/>
    <s v="C043020"/>
    <n v="8333.6575171382665"/>
  </r>
  <r>
    <x v="1"/>
    <s v="C043035"/>
    <n v="5410.484663350072"/>
  </r>
  <r>
    <x v="1"/>
    <s v="C100601"/>
    <n v="5588.7925368447004"/>
  </r>
  <r>
    <x v="1"/>
    <s v="C100901"/>
    <n v="1625.581726576911"/>
  </r>
  <r>
    <x v="1"/>
    <s v="C100905"/>
    <n v="17125.075805112741"/>
  </r>
  <r>
    <x v="1"/>
    <s v="C100906"/>
    <n v="4613.4907983192943"/>
  </r>
  <r>
    <x v="1"/>
    <s v="C100907"/>
    <n v="7920.7595408154339"/>
  </r>
  <r>
    <x v="1"/>
    <s v="C100908"/>
    <n v="5516.8664303997284"/>
  </r>
  <r>
    <x v="1"/>
    <s v="C100909"/>
    <n v="8387.1597469938606"/>
  </r>
  <r>
    <x v="1"/>
    <s v="C100920"/>
    <n v="3882.5908254063679"/>
  </r>
  <r>
    <x v="1"/>
    <s v="C100930"/>
    <n v="12663.700657544197"/>
  </r>
  <r>
    <x v="1"/>
    <s v="C100931"/>
    <n v="1729.423383944423"/>
  </r>
  <r>
    <x v="1"/>
    <s v="C100941"/>
    <n v="10360.289046008234"/>
  </r>
  <r>
    <x v="1"/>
    <s v="C100942"/>
    <n v="11951.845552536113"/>
  </r>
  <r>
    <x v="1"/>
    <s v="C100944"/>
    <n v="5003.3440421272908"/>
  </r>
  <r>
    <x v="1"/>
    <s v="C200101"/>
    <n v="3887.9228439889807"/>
  </r>
  <r>
    <x v="1"/>
    <s v="C200110"/>
    <n v="4795.2898339490603"/>
  </r>
  <r>
    <x v="1"/>
    <s v="C200115"/>
    <n v="4552.1215442371513"/>
  </r>
  <r>
    <x v="1"/>
    <s v="C200120"/>
    <n v="1758.8124359533751"/>
  </r>
  <r>
    <x v="1"/>
    <s v="C200205"/>
    <n v="6310.039072157836"/>
  </r>
  <r>
    <x v="1"/>
    <s v="C200210"/>
    <n v="20658.038311838336"/>
  </r>
  <r>
    <x v="1"/>
    <s v="C200501"/>
    <n v="7759.636963971403"/>
  </r>
  <r>
    <x v="1"/>
    <s v="C200506"/>
    <n v="6047.7816795432727"/>
  </r>
  <r>
    <x v="1"/>
    <s v="C200507"/>
    <n v="14179.969197793262"/>
  </r>
  <r>
    <x v="1"/>
    <s v="C200508"/>
    <n v="5457.7990975499652"/>
  </r>
  <r>
    <x v="1"/>
    <s v="C200509"/>
    <n v="6430.3803837098339"/>
  </r>
  <r>
    <x v="1"/>
    <s v="C200521"/>
    <n v="19232.017673859435"/>
  </r>
  <r>
    <x v="1"/>
    <s v="C200531"/>
    <n v="9687.3981686896841"/>
  </r>
  <r>
    <x v="1"/>
    <s v="C200532"/>
    <n v="24644.241112892796"/>
  </r>
  <r>
    <x v="1"/>
    <s v="C200540"/>
    <n v="11036.769763533968"/>
  </r>
  <r>
    <x v="1"/>
    <s v="C200541"/>
    <n v="7063.5108033782053"/>
  </r>
  <r>
    <x v="1"/>
    <s v="C200551"/>
    <n v="3757.2781806385451"/>
  </r>
  <r>
    <x v="1"/>
    <s v="C200553"/>
    <n v="2837.6614989762261"/>
  </r>
  <r>
    <x v="1"/>
    <s v="C200560"/>
    <n v="8940.0393738979456"/>
  </r>
  <r>
    <x v="1"/>
    <s v="C200561"/>
    <n v="3776.9151169756597"/>
  </r>
  <r>
    <x v="1"/>
    <s v="C200601"/>
    <n v="4386.8629950975455"/>
  </r>
  <r>
    <x v="1"/>
    <s v="C250000"/>
    <n v="3926.3528490126118"/>
  </r>
  <r>
    <x v="1"/>
    <s v="C250050"/>
    <n v="8294.8566186714288"/>
  </r>
  <r>
    <x v="1"/>
    <s v="C250051"/>
    <n v="9098.7239218240193"/>
  </r>
  <r>
    <x v="1"/>
    <s v="C250052"/>
    <n v="5148.4756672616932"/>
  </r>
  <r>
    <x v="1"/>
    <s v="C250100"/>
    <n v="6653.9321532374652"/>
  </r>
  <r>
    <x v="1"/>
    <s v="C250110"/>
    <n v="4203.6382314613238"/>
  </r>
  <r>
    <x v="1"/>
    <s v="C250112"/>
    <n v="7714.1106444908228"/>
  </r>
  <r>
    <x v="1"/>
    <s v="C250113"/>
    <n v="2140.3001611363861"/>
  </r>
  <r>
    <x v="1"/>
    <s v="C250120"/>
    <n v="5340.2445908602267"/>
  </r>
  <r>
    <x v="1"/>
    <s v="C250122"/>
    <n v="11179.512698786433"/>
  </r>
  <r>
    <x v="1"/>
    <s v="C250123"/>
    <n v="16108.492605550793"/>
  </r>
  <r>
    <x v="1"/>
    <s v="C250210"/>
    <n v="11281.225972220684"/>
  </r>
  <r>
    <x v="1"/>
    <s v="C250251"/>
    <n v="17491.452174504189"/>
  </r>
  <r>
    <x v="1"/>
    <s v="C250260"/>
    <n v="721.76374451834033"/>
  </r>
  <r>
    <x v="1"/>
    <s v="C250400"/>
    <n v="14328.578374294246"/>
  </r>
  <r>
    <x v="1"/>
    <s v="C250401"/>
    <n v="8907.5930030016425"/>
  </r>
  <r>
    <x v="1"/>
    <s v="C250510"/>
    <n v="1800.9275565640964"/>
  </r>
  <r>
    <x v="1"/>
    <s v="C250520"/>
    <n v="8193.6775679030834"/>
  </r>
  <r>
    <x v="1"/>
    <s v="C250521"/>
    <n v="4859.7827594152732"/>
  </r>
  <r>
    <x v="1"/>
    <s v="C250522"/>
    <n v="6318.8452394148881"/>
  </r>
  <r>
    <x v="1"/>
    <s v="C250523"/>
    <n v="11486.803020521351"/>
  </r>
  <r>
    <x v="1"/>
    <s v="C250530"/>
    <n v="9303.9692076410829"/>
  </r>
  <r>
    <x v="1"/>
    <s v="C250531"/>
    <n v="8544.2790565357573"/>
  </r>
  <r>
    <x v="1"/>
    <s v="C250533"/>
    <n v="2032.4535351206703"/>
  </r>
  <r>
    <x v="1"/>
    <s v="C250551"/>
    <n v="6644.4573569749982"/>
  </r>
  <r>
    <x v="1"/>
    <s v="C250560"/>
    <n v="5017.6948962256765"/>
  </r>
  <r>
    <x v="1"/>
    <s v="C250570"/>
    <n v="6700.402719786759"/>
  </r>
  <r>
    <x v="1"/>
    <s v="C250581"/>
    <n v="4182.5024092367539"/>
  </r>
  <r>
    <x v="1"/>
    <s v="C250601"/>
    <n v="12650.693866840918"/>
  </r>
  <r>
    <x v="1"/>
    <s v="C250622"/>
    <n v="3597.2801935466214"/>
  </r>
  <r>
    <x v="1"/>
    <s v="C250631"/>
    <n v="3546.2602276068005"/>
  </r>
  <r>
    <x v="1"/>
    <s v="C251002"/>
    <n v="17338.128568043918"/>
  </r>
  <r>
    <x v="1"/>
    <s v="C251003"/>
    <n v="6530.5828618341402"/>
  </r>
  <r>
    <x v="1"/>
    <s v="C251007"/>
    <n v="7544.6191463296645"/>
  </r>
  <r>
    <x v="1"/>
    <s v="C251008"/>
    <n v="10489.2051417518"/>
  </r>
  <r>
    <x v="1"/>
    <s v="C251009"/>
    <n v="4258.2667524150947"/>
  </r>
  <r>
    <x v="1"/>
    <s v="C251011"/>
    <n v="8287.6429113356644"/>
  </r>
  <r>
    <x v="1"/>
    <s v="C251012"/>
    <n v="2008.2893168919366"/>
  </r>
  <r>
    <x v="1"/>
    <s v="C251014"/>
    <n v="2173.2416237389871"/>
  </r>
  <r>
    <x v="1"/>
    <s v="C251016"/>
    <n v="867.07741368220604"/>
  </r>
  <r>
    <x v="1"/>
    <s v="C251070"/>
    <n v="2471.1660353598995"/>
  </r>
  <r>
    <x v="1"/>
    <s v="C251080"/>
    <n v="8535.1598416018696"/>
  </r>
  <r>
    <x v="1"/>
    <s v="C251091"/>
    <n v="2177.8726877408608"/>
  </r>
  <r>
    <x v="1"/>
    <s v="C251300"/>
    <n v="3109.381778430768"/>
  </r>
  <r>
    <x v="1"/>
    <s v="C251306"/>
    <n v="2289.8416752835938"/>
  </r>
  <r>
    <x v="1"/>
    <s v="C251307"/>
    <n v="5623.8096416524031"/>
  </r>
  <r>
    <x v="1"/>
    <s v="C251308"/>
    <n v="13019.887665323877"/>
  </r>
  <r>
    <x v="1"/>
    <s v="C251309"/>
    <n v="13519.926885993502"/>
  </r>
  <r>
    <x v="1"/>
    <s v="C251310"/>
    <n v="4525.8544622662012"/>
  </r>
  <r>
    <x v="1"/>
    <s v="C251314"/>
    <n v="73315.405229382333"/>
  </r>
  <r>
    <x v="1"/>
    <s v="C251318"/>
    <n v="3748.3835433858644"/>
  </r>
  <r>
    <x v="1"/>
    <s v="C251321"/>
    <n v="9800.493447330593"/>
  </r>
  <r>
    <x v="1"/>
    <s v="C251322"/>
    <n v="408.05084137009965"/>
  </r>
  <r>
    <x v="1"/>
    <s v="C251323"/>
    <n v="6835.0846773607254"/>
  </r>
  <r>
    <x v="1"/>
    <s v="C251329"/>
    <n v="28838.472601934442"/>
  </r>
  <r>
    <x v="1"/>
    <s v="C251333"/>
    <n v="1437.6629491342342"/>
  </r>
  <r>
    <x v="1"/>
    <s v="C251337"/>
    <n v="6255.6385315774123"/>
  </r>
  <r>
    <x v="1"/>
    <s v="C251338"/>
    <n v="6882.5233098237104"/>
  </r>
  <r>
    <x v="1"/>
    <s v="C251340"/>
    <n v="8531.3590344820368"/>
  </r>
  <r>
    <x v="1"/>
    <s v="C251341"/>
    <n v="4446.5326044560015"/>
  </r>
  <r>
    <x v="1"/>
    <s v="C251344"/>
    <n v="4136.418048245293"/>
  </r>
  <r>
    <x v="1"/>
    <s v="C251345"/>
    <n v="5200.7784481381095"/>
  </r>
  <r>
    <x v="1"/>
    <s v="C251346"/>
    <n v="1575.5162157822233"/>
  </r>
  <r>
    <x v="1"/>
    <s v="C251347"/>
    <n v="413.41688687410766"/>
  </r>
  <r>
    <x v="1"/>
    <s v="C251349"/>
    <n v="2999.4595102099511"/>
  </r>
  <r>
    <x v="1"/>
    <s v="C251350"/>
    <n v="838.9694752637796"/>
  </r>
  <r>
    <x v="1"/>
    <s v="C251351"/>
    <n v="2464.7910916365263"/>
  </r>
  <r>
    <x v="1"/>
    <s v="C251353"/>
    <n v="2876.6104145511335"/>
  </r>
  <r>
    <x v="1"/>
    <s v="C251362"/>
    <n v="1575.5706588564553"/>
  </r>
  <r>
    <x v="1"/>
    <s v="C251365"/>
    <n v="1977.421795148367"/>
  </r>
  <r>
    <x v="1"/>
    <s v="C252000"/>
    <n v="9511.1846522069227"/>
  </r>
  <r>
    <x v="1"/>
    <s v="C252002"/>
    <n v="4127.6510119478444"/>
  </r>
  <r>
    <x v="1"/>
    <s v="C252004"/>
    <n v="1656.2808150595749"/>
  </r>
  <r>
    <x v="1"/>
    <s v="C252010"/>
    <n v="3050.651312102817"/>
  </r>
  <r>
    <x v="1"/>
    <s v="C252030"/>
    <n v="9758.7117905495452"/>
  </r>
  <r>
    <x v="1"/>
    <s v="C252031"/>
    <n v="1133.3823085967167"/>
  </r>
  <r>
    <x v="1"/>
    <s v="C252032"/>
    <n v="9865.2075477858743"/>
  </r>
  <r>
    <x v="1"/>
    <s v="C252040"/>
    <n v="10951.004908157607"/>
  </r>
  <r>
    <x v="1"/>
    <s v="C252043"/>
    <n v="24813.191583003772"/>
  </r>
  <r>
    <x v="1"/>
    <s v="C252050"/>
    <n v="4797.6972386377638"/>
  </r>
  <r>
    <x v="1"/>
    <s v="C252051"/>
    <n v="3305.8004808379424"/>
  </r>
  <r>
    <x v="1"/>
    <s v="C252070"/>
    <n v="7515.0905839429934"/>
  </r>
  <r>
    <x v="1"/>
    <s v="C252071"/>
    <n v="12304.010578206891"/>
  </r>
  <r>
    <x v="1"/>
    <s v="C252072"/>
    <n v="3163.6598220941701"/>
  </r>
  <r>
    <x v="1"/>
    <s v="C252073"/>
    <n v="5416.7200966957244"/>
  </r>
  <r>
    <x v="1"/>
    <s v="C252075"/>
    <n v="4054.5339632540436"/>
  </r>
  <r>
    <x v="1"/>
    <s v="C252080"/>
    <n v="1021.573247584541"/>
  </r>
  <r>
    <x v="1"/>
    <s v="C252089"/>
    <n v="7753.6635379204918"/>
  </r>
  <r>
    <x v="1"/>
    <s v="C252090"/>
    <n v="11914.984188588793"/>
  </r>
  <r>
    <x v="1"/>
    <s v="C252100"/>
    <n v="2350.705629583018"/>
  </r>
  <r>
    <x v="1"/>
    <s v="C252121"/>
    <n v="8736.483524728148"/>
  </r>
  <r>
    <x v="1"/>
    <s v="C252124"/>
    <n v="6710.6141988974305"/>
  </r>
  <r>
    <x v="1"/>
    <s v="C252125"/>
    <n v="3792.3344164058522"/>
  </r>
  <r>
    <x v="1"/>
    <s v="C252129"/>
    <n v="2150.8825336902637"/>
  </r>
  <r>
    <x v="1"/>
    <s v="C252131"/>
    <n v="9995.826690945265"/>
  </r>
  <r>
    <x v="1"/>
    <s v="C252133"/>
    <n v="1506.9740866699935"/>
  </r>
  <r>
    <x v="1"/>
    <s v="C253002"/>
    <n v="14996.486008974482"/>
  </r>
  <r>
    <x v="1"/>
    <s v="C253005"/>
    <n v="5390.6895018284686"/>
  </r>
  <r>
    <x v="1"/>
    <s v="C253011"/>
    <n v="4704.8905118786861"/>
  </r>
  <r>
    <x v="1"/>
    <s v="C253012"/>
    <n v="28310.216556697927"/>
  </r>
  <r>
    <x v="1"/>
    <s v="C253013"/>
    <n v="9251.7582994524328"/>
  </r>
  <r>
    <x v="1"/>
    <s v="C253014"/>
    <n v="3305.1488652932258"/>
  </r>
  <r>
    <x v="1"/>
    <s v="C253015"/>
    <n v="1825.3214565122476"/>
  </r>
  <r>
    <x v="1"/>
    <s v="C253019"/>
    <n v="7839.513460600343"/>
  </r>
  <r>
    <x v="1"/>
    <s v="C253100"/>
    <n v="1799.5647783622226"/>
  </r>
  <r>
    <x v="1"/>
    <s v="C253200"/>
    <n v="13268.478144960094"/>
  </r>
  <r>
    <x v="1"/>
    <s v="C253201"/>
    <n v="7516.5333254101452"/>
  </r>
  <r>
    <x v="1"/>
    <s v="C253300"/>
    <n v="5318.5456230865684"/>
  </r>
  <r>
    <x v="1"/>
    <s v="C253301"/>
    <n v="11119.761424816632"/>
  </r>
  <r>
    <x v="1"/>
    <s v="C253500"/>
    <n v="3723.0862286746733"/>
  </r>
  <r>
    <x v="1"/>
    <s v="C253506"/>
    <n v="788.37144314925843"/>
  </r>
  <r>
    <x v="1"/>
    <s v="C253601"/>
    <n v="15756.805658125615"/>
  </r>
  <r>
    <x v="1"/>
    <s v="C253602"/>
    <n v="1599.5562357478648"/>
  </r>
  <r>
    <x v="1"/>
    <s v="C253603"/>
    <n v="2579.155574445474"/>
  </r>
  <r>
    <x v="1"/>
    <s v="C253701"/>
    <n v="3359.9100912404383"/>
  </r>
  <r>
    <x v="1"/>
    <s v="C253702"/>
    <n v="2805.5077596039223"/>
  </r>
  <r>
    <x v="1"/>
    <s v="C253705"/>
    <n v="16664.584373834579"/>
  </r>
  <r>
    <x v="1"/>
    <s v="C253706"/>
    <n v="2629.7961402117389"/>
  </r>
  <r>
    <x v="1"/>
    <s v="C253710"/>
    <n v="1959.081284516405"/>
  </r>
  <r>
    <x v="1"/>
    <s v="C253711"/>
    <n v="17418.280682736156"/>
  </r>
  <r>
    <x v="1"/>
    <s v="C253712"/>
    <n v="14073.556806514353"/>
  </r>
  <r>
    <x v="1"/>
    <s v="C253714"/>
    <n v="9045.0141277479161"/>
  </r>
  <r>
    <x v="1"/>
    <s v="C253716"/>
    <n v="1624.9028894950786"/>
  </r>
  <r>
    <x v="1"/>
    <s v="C253722"/>
    <n v="4120.484942302036"/>
  </r>
  <r>
    <x v="1"/>
    <s v="C253723"/>
    <n v="1827.6914315874164"/>
  </r>
  <r>
    <x v="1"/>
    <s v="C253727"/>
    <n v="836.44127500412333"/>
  </r>
  <r>
    <x v="1"/>
    <s v="C254004"/>
    <n v="41564.093749687381"/>
  </r>
  <r>
    <x v="1"/>
    <s v="C254008"/>
    <n v="1302.1847615996237"/>
  </r>
  <r>
    <x v="1"/>
    <s v="C254009"/>
    <n v="507.32098184817909"/>
  </r>
  <r>
    <x v="1"/>
    <s v="C254018"/>
    <n v="7158.0563058205744"/>
  </r>
  <r>
    <x v="1"/>
    <s v="C254021"/>
    <n v="8387.1359281488822"/>
  </r>
  <r>
    <x v="1"/>
    <s v="C259000"/>
    <n v="850.67303487762592"/>
  </r>
  <r>
    <x v="1"/>
    <s v="C610388"/>
    <n v="1439.6399132672898"/>
  </r>
  <r>
    <x v="1"/>
    <s v="C610401"/>
    <n v="1531.7746083288157"/>
  </r>
  <r>
    <x v="1"/>
    <s v="CI10216"/>
    <n v="3327.0417865188365"/>
  </r>
  <r>
    <x v="1"/>
    <s v="CI10510"/>
    <n v="4616.694432968643"/>
  </r>
  <r>
    <x v="1"/>
    <s v="CI20104"/>
    <n v="2627.2713426442224"/>
  </r>
  <r>
    <x v="1"/>
    <s v="CI20105"/>
    <n v="2270.0856447215956"/>
  </r>
  <r>
    <x v="1"/>
    <s v="CI20223"/>
    <n v="4669.0635663417788"/>
  </r>
  <r>
    <x v="1"/>
    <s v="CI20226"/>
    <n v="8263.2881423471208"/>
  </r>
  <r>
    <x v="1"/>
    <s v="CI20227"/>
    <n v="33009.453495586815"/>
  </r>
  <r>
    <x v="1"/>
    <s v="CI20402"/>
    <n v="1382.8676962656268"/>
  </r>
  <r>
    <x v="1"/>
    <s v="CI20403"/>
    <n v="3725.1771829944028"/>
  </r>
  <r>
    <x v="1"/>
    <s v="CI53022"/>
    <n v="28097.305005490547"/>
  </r>
  <r>
    <x v="1"/>
    <s v="C030400"/>
    <n v="520.61189734510708"/>
  </r>
  <r>
    <x v="1"/>
    <s v="C253003"/>
    <n v="2986.0784233713262"/>
  </r>
  <r>
    <x v="1"/>
    <s v="CI10508"/>
    <n v="1033.9403321655918"/>
  </r>
  <r>
    <x v="1"/>
    <s v="C251006"/>
    <n v="2811.3757021985075"/>
  </r>
  <r>
    <x v="1"/>
    <s v="C010112"/>
    <n v="10452.893312585013"/>
  </r>
  <r>
    <x v="1"/>
    <s v="C251000"/>
    <n v="9538.7124316155623"/>
  </r>
  <r>
    <x v="1"/>
    <s v="C040111"/>
    <n v="1422.0956325959737"/>
  </r>
  <r>
    <x v="1"/>
    <s v="C010113"/>
    <n v="5964.051634066338"/>
  </r>
  <r>
    <x v="1"/>
    <s v="C044002"/>
    <n v="7621.428115994835"/>
  </r>
  <r>
    <x v="1"/>
    <s v="C010114"/>
    <n v="1415.3889263889985"/>
  </r>
  <r>
    <x v="1"/>
    <s v="C044004"/>
    <n v="4070.1438134440477"/>
  </r>
  <r>
    <x v="1"/>
    <s v="C515046"/>
    <n v="10466.1246809695"/>
  </r>
  <r>
    <x v="1"/>
    <s v="C100940"/>
    <n v="1058.1845136596041"/>
  </r>
  <r>
    <x v="0"/>
    <s v="C301007"/>
    <n v="1383.752073769796"/>
  </r>
  <r>
    <x v="0"/>
    <s v="C301008"/>
    <n v="1845.0040545455652"/>
  </r>
  <r>
    <x v="0"/>
    <s v="C350102"/>
    <n v="1886.5600993450998"/>
  </r>
  <r>
    <x v="0"/>
    <s v="C350103"/>
    <n v="2794.7194496401989"/>
  </r>
  <r>
    <x v="0"/>
    <s v="C350106"/>
    <n v="1375.9994845146973"/>
  </r>
  <r>
    <x v="0"/>
    <s v="C350110"/>
    <n v="4029.2689972669627"/>
  </r>
  <r>
    <x v="0"/>
    <s v="C350512"/>
    <n v="842.8503623686662"/>
  </r>
  <r>
    <x v="0"/>
    <s v="C350520"/>
    <n v="743.1112125807681"/>
  </r>
  <r>
    <x v="0"/>
    <s v="C350527"/>
    <n v="711.10276772214308"/>
  </r>
  <r>
    <x v="0"/>
    <s v="C350529"/>
    <n v="1990.4424742289116"/>
  </r>
  <r>
    <x v="0"/>
    <s v="C350553"/>
    <n v="1717.9374144891967"/>
  </r>
  <r>
    <x v="0"/>
    <s v="C350557"/>
    <n v="1059.056304628617"/>
  </r>
  <r>
    <x v="0"/>
    <s v="C350582"/>
    <n v="1306.7097509078769"/>
  </r>
  <r>
    <x v="0"/>
    <s v="C350598"/>
    <n v="1092.4729044218009"/>
  </r>
  <r>
    <x v="0"/>
    <s v="C350599"/>
    <n v="588.9491957066798"/>
  </r>
  <r>
    <x v="0"/>
    <s v="C350602"/>
    <n v="637.08178827750544"/>
  </r>
  <r>
    <x v="0"/>
    <s v="C350614"/>
    <n v="974.63277403280199"/>
  </r>
  <r>
    <x v="0"/>
    <s v="C350615"/>
    <n v="835.29893810421902"/>
  </r>
  <r>
    <x v="0"/>
    <s v="C350628"/>
    <n v="2528.6980922914745"/>
  </r>
  <r>
    <x v="1"/>
    <s v="C010170"/>
    <n v="11022.653840532534"/>
  </r>
  <r>
    <x v="1"/>
    <s v="C010430"/>
    <n v="10371.529188484565"/>
  </r>
  <r>
    <x v="1"/>
    <s v="C010431"/>
    <n v="8788.3800548467352"/>
  </r>
  <r>
    <x v="1"/>
    <s v="C010432"/>
    <n v="10138.970853619174"/>
  </r>
  <r>
    <x v="1"/>
    <s v="C010433"/>
    <n v="5017.8750010350022"/>
  </r>
  <r>
    <x v="1"/>
    <s v="C010434"/>
    <n v="12204.420789458416"/>
  </r>
  <r>
    <x v="1"/>
    <s v="C300000"/>
    <n v="10300.080799785756"/>
  </r>
  <r>
    <x v="1"/>
    <s v="C300005"/>
    <n v="5363.9019963002393"/>
  </r>
  <r>
    <x v="1"/>
    <s v="C300011"/>
    <n v="19355.747230287812"/>
  </r>
  <r>
    <x v="1"/>
    <s v="C301000"/>
    <n v="6285.0519627223948"/>
  </r>
  <r>
    <x v="1"/>
    <s v="C301002"/>
    <n v="21234.833276518719"/>
  </r>
  <r>
    <x v="1"/>
    <s v="C301003"/>
    <n v="4307.2209859843124"/>
  </r>
  <r>
    <x v="1"/>
    <s v="C301004"/>
    <n v="29496.327403832194"/>
  </r>
  <r>
    <x v="1"/>
    <s v="C301005"/>
    <n v="13197.730959161685"/>
  </r>
  <r>
    <x v="1"/>
    <s v="C301007"/>
    <n v="7780.2649155430381"/>
  </r>
  <r>
    <x v="1"/>
    <s v="C301008"/>
    <n v="71475.05853430026"/>
  </r>
  <r>
    <x v="1"/>
    <s v="C301009"/>
    <n v="2931.3685066550906"/>
  </r>
  <r>
    <x v="1"/>
    <s v="C301113"/>
    <n v="12099.033545702234"/>
  </r>
  <r>
    <x v="1"/>
    <s v="C302000"/>
    <n v="8913.4273078815677"/>
  </r>
  <r>
    <x v="1"/>
    <s v="C302001"/>
    <n v="42265.487956083918"/>
  </r>
  <r>
    <x v="1"/>
    <s v="C302002"/>
    <n v="57921.164959190522"/>
  </r>
  <r>
    <x v="1"/>
    <s v="C302050"/>
    <n v="8778.8556662509018"/>
  </r>
  <r>
    <x v="1"/>
    <s v="C302100"/>
    <n v="58147.630315973685"/>
  </r>
  <r>
    <x v="1"/>
    <s v="C302102"/>
    <n v="9045.5230727042162"/>
  </r>
  <r>
    <x v="1"/>
    <s v="C302103"/>
    <n v="6253.616064375623"/>
  </r>
  <r>
    <x v="1"/>
    <s v="C302104"/>
    <n v="6464.9669669573559"/>
  </r>
  <r>
    <x v="1"/>
    <s v="C302110"/>
    <n v="16691.108027006238"/>
  </r>
  <r>
    <x v="1"/>
    <s v="C303000"/>
    <n v="36305.503144023904"/>
  </r>
  <r>
    <x v="1"/>
    <s v="C303001"/>
    <n v="15096.202347087847"/>
  </r>
  <r>
    <x v="1"/>
    <s v="C303002"/>
    <n v="3370.7167147949481"/>
  </r>
  <r>
    <x v="1"/>
    <s v="C303009"/>
    <n v="24047.054080345573"/>
  </r>
  <r>
    <x v="1"/>
    <s v="C303050"/>
    <n v="7968.8300143760034"/>
  </r>
  <r>
    <x v="1"/>
    <s v="C303100"/>
    <n v="5171.1743295837978"/>
  </r>
  <r>
    <x v="1"/>
    <s v="C303101"/>
    <n v="7373.1301858099669"/>
  </r>
  <r>
    <x v="1"/>
    <s v="C303102"/>
    <n v="6535.4211363754457"/>
  </r>
  <r>
    <x v="1"/>
    <s v="C303103"/>
    <n v="9941.0477141634146"/>
  </r>
  <r>
    <x v="1"/>
    <s v="C303110"/>
    <n v="5272.05470383789"/>
  </r>
  <r>
    <x v="1"/>
    <s v="C303150"/>
    <n v="9871.7695862291293"/>
  </r>
  <r>
    <x v="1"/>
    <s v="C303160"/>
    <n v="27044.934696313492"/>
  </r>
  <r>
    <x v="1"/>
    <s v="C350101"/>
    <n v="4915.0448737945972"/>
  </r>
  <r>
    <x v="1"/>
    <s v="C350102"/>
    <n v="4609.01876320886"/>
  </r>
  <r>
    <x v="1"/>
    <s v="C350103"/>
    <n v="95147.578219070798"/>
  </r>
  <r>
    <x v="1"/>
    <s v="C350104"/>
    <n v="5431.7178094947876"/>
  </r>
  <r>
    <x v="1"/>
    <s v="C350106"/>
    <n v="19740.100024829622"/>
  </r>
  <r>
    <x v="1"/>
    <s v="C350107"/>
    <n v="31143.988602548878"/>
  </r>
  <r>
    <x v="1"/>
    <s v="C350108"/>
    <n v="12204.281521387966"/>
  </r>
  <r>
    <x v="1"/>
    <s v="C350109"/>
    <n v="8558.4794189924505"/>
  </r>
  <r>
    <x v="1"/>
    <s v="C350110"/>
    <n v="11336.045684622115"/>
  </r>
  <r>
    <x v="1"/>
    <s v="C350112"/>
    <n v="15901.492884567415"/>
  </r>
  <r>
    <x v="1"/>
    <s v="C350113"/>
    <n v="16015.479931673941"/>
  </r>
  <r>
    <x v="1"/>
    <s v="C350114"/>
    <n v="87075.349399500046"/>
  </r>
  <r>
    <x v="1"/>
    <s v="C350115"/>
    <n v="17471.365128822265"/>
  </r>
  <r>
    <x v="1"/>
    <s v="C350118"/>
    <n v="15937.772216919868"/>
  </r>
  <r>
    <x v="1"/>
    <s v="C350500"/>
    <n v="2233.9333526246955"/>
  </r>
  <r>
    <x v="1"/>
    <s v="C350501"/>
    <n v="8323.3833103988436"/>
  </r>
  <r>
    <x v="1"/>
    <s v="C350506"/>
    <n v="24324.758481382119"/>
  </r>
  <r>
    <x v="1"/>
    <s v="C350507"/>
    <n v="21485.345586799729"/>
  </r>
  <r>
    <x v="1"/>
    <s v="C350510"/>
    <n v="19513.147229799881"/>
  </r>
  <r>
    <x v="1"/>
    <s v="C350511"/>
    <n v="5192.3856304249675"/>
  </r>
  <r>
    <x v="1"/>
    <s v="C350512"/>
    <n v="16208.729853654573"/>
  </r>
  <r>
    <x v="1"/>
    <s v="C350513"/>
    <n v="13328.704842305704"/>
  </r>
  <r>
    <x v="1"/>
    <s v="C350514"/>
    <n v="23386.211611826144"/>
  </r>
  <r>
    <x v="1"/>
    <s v="C350515"/>
    <n v="23822.387602805731"/>
  </r>
  <r>
    <x v="1"/>
    <s v="C350517"/>
    <n v="2616.8779922319504"/>
  </r>
  <r>
    <x v="1"/>
    <s v="C350518"/>
    <n v="7776.7832137817659"/>
  </r>
  <r>
    <x v="1"/>
    <s v="C350520"/>
    <n v="15316.590200018836"/>
  </r>
  <r>
    <x v="1"/>
    <s v="C350522"/>
    <n v="10265.147725447663"/>
  </r>
  <r>
    <x v="1"/>
    <s v="C350524"/>
    <n v="5144.0363986334405"/>
  </r>
  <r>
    <x v="1"/>
    <s v="C350525"/>
    <n v="10568.10993848348"/>
  </r>
  <r>
    <x v="1"/>
    <s v="C350526"/>
    <n v="9050.8655506290143"/>
  </r>
  <r>
    <x v="1"/>
    <s v="C350527"/>
    <n v="35216.682157893927"/>
  </r>
  <r>
    <x v="1"/>
    <s v="C350528"/>
    <n v="13789.662812710521"/>
  </r>
  <r>
    <x v="1"/>
    <s v="C350529"/>
    <n v="6968.3436704870019"/>
  </r>
  <r>
    <x v="1"/>
    <s v="C350530"/>
    <n v="6613.3532274652462"/>
  </r>
  <r>
    <x v="1"/>
    <s v="C350531"/>
    <n v="20192.732859467491"/>
  </r>
  <r>
    <x v="1"/>
    <s v="C350532"/>
    <n v="5229.5624681203253"/>
  </r>
  <r>
    <x v="1"/>
    <s v="C350533"/>
    <n v="60746.252585304035"/>
  </r>
  <r>
    <x v="1"/>
    <s v="C350535"/>
    <n v="19356.242405649413"/>
  </r>
  <r>
    <x v="1"/>
    <s v="C350536"/>
    <n v="86586.847299606059"/>
  </r>
  <r>
    <x v="1"/>
    <s v="C350537"/>
    <n v="35343.462524694369"/>
  </r>
  <r>
    <x v="1"/>
    <s v="C350538"/>
    <n v="7998.6411185675133"/>
  </r>
  <r>
    <x v="1"/>
    <s v="C350541"/>
    <n v="20048.899891151843"/>
  </r>
  <r>
    <x v="1"/>
    <s v="C350542"/>
    <n v="19091.397089784496"/>
  </r>
  <r>
    <x v="1"/>
    <s v="C350543"/>
    <n v="12869.673413542125"/>
  </r>
  <r>
    <x v="1"/>
    <s v="C350546"/>
    <n v="12991.045536940057"/>
  </r>
  <r>
    <x v="1"/>
    <s v="C350549"/>
    <n v="7816.9349722042543"/>
  </r>
  <r>
    <x v="1"/>
    <s v="C350550"/>
    <n v="5393.0631828296464"/>
  </r>
  <r>
    <x v="1"/>
    <s v="C350551"/>
    <n v="7278.8534392297543"/>
  </r>
  <r>
    <x v="1"/>
    <s v="C350553"/>
    <n v="16465.439593070652"/>
  </r>
  <r>
    <x v="1"/>
    <s v="C350555"/>
    <n v="16778.436844293959"/>
  </r>
  <r>
    <x v="1"/>
    <s v="C350556"/>
    <n v="22204.467874245336"/>
  </r>
  <r>
    <x v="1"/>
    <s v="C350557"/>
    <n v="10057.069622521525"/>
  </r>
  <r>
    <x v="1"/>
    <s v="C350558"/>
    <n v="10058.183767085133"/>
  </r>
  <r>
    <x v="1"/>
    <s v="C350560"/>
    <n v="1772.6040006986755"/>
  </r>
  <r>
    <x v="1"/>
    <s v="C350562"/>
    <n v="6791.3300843864326"/>
  </r>
  <r>
    <x v="1"/>
    <s v="C350566"/>
    <n v="11481.310019217399"/>
  </r>
  <r>
    <x v="1"/>
    <s v="C350567"/>
    <n v="3548.5117495130467"/>
  </r>
  <r>
    <x v="1"/>
    <s v="C350568"/>
    <n v="5814.8868254377694"/>
  </r>
  <r>
    <x v="1"/>
    <s v="C350569"/>
    <n v="7956.4738416809996"/>
  </r>
  <r>
    <x v="1"/>
    <s v="C350571"/>
    <n v="2559.9134828600318"/>
  </r>
  <r>
    <x v="1"/>
    <s v="C350572"/>
    <n v="5154.6594575628314"/>
  </r>
  <r>
    <x v="1"/>
    <s v="C350573"/>
    <n v="26169.56523949455"/>
  </r>
  <r>
    <x v="1"/>
    <s v="C350574"/>
    <n v="7536.7198773420787"/>
  </r>
  <r>
    <x v="1"/>
    <s v="C350576"/>
    <n v="6217.1587783775958"/>
  </r>
  <r>
    <x v="1"/>
    <s v="C350577"/>
    <n v="5552.2852729301167"/>
  </r>
  <r>
    <x v="1"/>
    <s v="C350578"/>
    <n v="9588.1772406585205"/>
  </r>
  <r>
    <x v="1"/>
    <s v="C350579"/>
    <n v="17234.713860108623"/>
  </r>
  <r>
    <x v="1"/>
    <s v="C350580"/>
    <n v="13527.711177864972"/>
  </r>
  <r>
    <x v="1"/>
    <s v="C350582"/>
    <n v="14341.791078012997"/>
  </r>
  <r>
    <x v="1"/>
    <s v="C350583"/>
    <n v="60487.086311867504"/>
  </r>
  <r>
    <x v="1"/>
    <s v="C350584"/>
    <n v="34754.041364971163"/>
  </r>
  <r>
    <x v="1"/>
    <s v="C350585"/>
    <n v="27711.429127358722"/>
  </r>
  <r>
    <x v="1"/>
    <s v="C350586"/>
    <n v="31091.31819201586"/>
  </r>
  <r>
    <x v="1"/>
    <s v="C350587"/>
    <n v="1649.0577479787034"/>
  </r>
  <r>
    <x v="1"/>
    <s v="C350588"/>
    <n v="11894.758234810906"/>
  </r>
  <r>
    <x v="1"/>
    <s v="C350589"/>
    <n v="11643.154991311359"/>
  </r>
  <r>
    <x v="1"/>
    <s v="C350590"/>
    <n v="1734.0228766262719"/>
  </r>
  <r>
    <x v="1"/>
    <s v="C350591"/>
    <n v="42156.274708947851"/>
  </r>
  <r>
    <x v="1"/>
    <s v="C350592"/>
    <n v="35057.835317872166"/>
  </r>
  <r>
    <x v="1"/>
    <s v="C350593"/>
    <n v="96180.680371347902"/>
  </r>
  <r>
    <x v="1"/>
    <s v="C350595"/>
    <n v="35147.953365126421"/>
  </r>
  <r>
    <x v="1"/>
    <s v="C350596"/>
    <n v="7159.6593137113723"/>
  </r>
  <r>
    <x v="1"/>
    <s v="C350597"/>
    <n v="13861.486451488046"/>
  </r>
  <r>
    <x v="1"/>
    <s v="C350598"/>
    <n v="10017.208005912476"/>
  </r>
  <r>
    <x v="1"/>
    <s v="C350599"/>
    <n v="94267.272482865883"/>
  </r>
  <r>
    <x v="1"/>
    <s v="C350601"/>
    <n v="19489.011299479243"/>
  </r>
  <r>
    <x v="1"/>
    <s v="C350602"/>
    <n v="109026.44609946261"/>
  </r>
  <r>
    <x v="1"/>
    <s v="C350603"/>
    <n v="55011.808544781692"/>
  </r>
  <r>
    <x v="1"/>
    <s v="C350604"/>
    <n v="13209.831807060862"/>
  </r>
  <r>
    <x v="1"/>
    <s v="C350605"/>
    <n v="9204.1184564876585"/>
  </r>
  <r>
    <x v="1"/>
    <s v="C350606"/>
    <n v="3779.2402566750134"/>
  </r>
  <r>
    <x v="1"/>
    <s v="C350607"/>
    <n v="45446.486741907174"/>
  </r>
  <r>
    <x v="1"/>
    <s v="C350608"/>
    <n v="5018.7995862804955"/>
  </r>
  <r>
    <x v="1"/>
    <s v="C350609"/>
    <n v="8138.4353128400862"/>
  </r>
  <r>
    <x v="1"/>
    <s v="C350610"/>
    <n v="11892.750453461907"/>
  </r>
  <r>
    <x v="1"/>
    <s v="C350611"/>
    <n v="23723.085600016748"/>
  </r>
  <r>
    <x v="1"/>
    <s v="C350612"/>
    <n v="12470.767105638193"/>
  </r>
  <r>
    <x v="1"/>
    <s v="C350613"/>
    <n v="8592.5072508726116"/>
  </r>
  <r>
    <x v="1"/>
    <s v="C350614"/>
    <n v="101529.88571765806"/>
  </r>
  <r>
    <x v="1"/>
    <s v="C350615"/>
    <n v="117584.00093320957"/>
  </r>
  <r>
    <x v="1"/>
    <s v="C350616"/>
    <n v="27150.933172156656"/>
  </r>
  <r>
    <x v="1"/>
    <s v="C350617"/>
    <n v="35930.694080865484"/>
  </r>
  <r>
    <x v="1"/>
    <s v="C350618"/>
    <n v="5947.6827991701866"/>
  </r>
  <r>
    <x v="1"/>
    <s v="C350620"/>
    <n v="75704.010864691183"/>
  </r>
  <r>
    <x v="1"/>
    <s v="C350622"/>
    <n v="1004.5289864895889"/>
  </r>
  <r>
    <x v="1"/>
    <s v="C350623"/>
    <n v="30419.133112869709"/>
  </r>
  <r>
    <x v="1"/>
    <s v="C350624"/>
    <n v="1737.9185140413836"/>
  </r>
  <r>
    <x v="1"/>
    <s v="C350625"/>
    <n v="10964.695111879897"/>
  </r>
  <r>
    <x v="1"/>
    <s v="C350627"/>
    <n v="1341.6466938034828"/>
  </r>
  <r>
    <x v="1"/>
    <s v="C350628"/>
    <n v="12208.037890732629"/>
  </r>
  <r>
    <x v="1"/>
    <s v="C350630"/>
    <n v="20237.573309595158"/>
  </r>
  <r>
    <x v="1"/>
    <s v="C350631"/>
    <n v="5890.0142123309888"/>
  </r>
  <r>
    <x v="1"/>
    <s v="C350632"/>
    <n v="7904.414663234963"/>
  </r>
  <r>
    <x v="1"/>
    <s v="C350633"/>
    <n v="8611.7339817098564"/>
  </r>
  <r>
    <x v="1"/>
    <s v="C350634"/>
    <n v="13072.989322170344"/>
  </r>
  <r>
    <x v="1"/>
    <s v="C350637"/>
    <n v="6702.2913646781772"/>
  </r>
  <r>
    <x v="1"/>
    <s v="C350638"/>
    <n v="17541.672293054879"/>
  </r>
  <r>
    <x v="1"/>
    <s v="C350640"/>
    <n v="6181.3475414841587"/>
  </r>
  <r>
    <x v="1"/>
    <s v="C350641"/>
    <n v="4271.2047155427117"/>
  </r>
  <r>
    <x v="1"/>
    <s v="C350644"/>
    <n v="12485.517915433447"/>
  </r>
  <r>
    <x v="1"/>
    <s v="C350670"/>
    <n v="8801.7420524949939"/>
  </r>
  <r>
    <x v="1"/>
    <s v="C350674"/>
    <n v="2039.3139612846294"/>
  </r>
  <r>
    <x v="1"/>
    <s v="C350691"/>
    <n v="4954.581531572594"/>
  </r>
  <r>
    <x v="1"/>
    <s v="C350900"/>
    <n v="33815.79624290116"/>
  </r>
  <r>
    <x v="1"/>
    <s v="C550024"/>
    <n v="3088.5286556013848"/>
  </r>
  <r>
    <x v="1"/>
    <s v="CI10170"/>
    <n v="10725.397749827689"/>
  </r>
  <r>
    <x v="1"/>
    <s v="C350690"/>
    <n v="6847.7181786889851"/>
  </r>
  <r>
    <x v="1"/>
    <s v="C350679"/>
    <n v="8515.0277810117768"/>
  </r>
  <r>
    <x v="1"/>
    <s v="C350534"/>
    <n v="27294.506947118967"/>
  </r>
  <r>
    <x v="1"/>
    <s v="C252042"/>
    <n v="16690.48132068921"/>
  </r>
  <r>
    <x v="1"/>
    <s v="C350639"/>
    <n v="34373.015529890115"/>
  </r>
  <r>
    <x v="1"/>
    <s v="C515214"/>
    <n v="31302.077205298177"/>
  </r>
  <r>
    <x v="1"/>
    <s v="C515215"/>
    <n v="41247.976090582299"/>
  </r>
  <r>
    <x v="1"/>
    <s v="C044001"/>
    <n v="4076.8677289010598"/>
  </r>
  <r>
    <x v="1"/>
    <s v="C090054"/>
    <n v="12433.126041041332"/>
  </r>
  <r>
    <x v="1"/>
    <s v="C252044"/>
    <n v="1878.4825512589493"/>
  </r>
  <r>
    <x v="1"/>
    <s v="C044003"/>
    <n v="9647.1533999369512"/>
  </r>
  <r>
    <x v="1"/>
    <s v="C090055"/>
    <n v="4483.3912265471499"/>
  </r>
  <r>
    <x v="1"/>
    <s v="C350120"/>
    <n v="27099.051947356194"/>
  </r>
  <r>
    <x v="1"/>
    <s v="C090056"/>
    <n v="8483.642173912669"/>
  </r>
  <r>
    <x v="1"/>
    <s v="C350600"/>
    <n v="97583.187211938406"/>
  </r>
  <r>
    <x v="1"/>
    <s v="C350619"/>
    <n v="65899.163454871217"/>
  </r>
  <r>
    <x v="1"/>
    <s v="C044005"/>
    <n v="8474.5665379882885"/>
  </r>
  <r>
    <x v="1"/>
    <s v="C350686"/>
    <n v="7184.0969915179867"/>
  </r>
  <r>
    <x v="1"/>
    <s v="C350726"/>
    <n v="1936.8397413353764"/>
  </r>
  <r>
    <x v="1"/>
    <s v="C010155"/>
    <n v="8236.1838213930732"/>
  </r>
  <r>
    <x v="1"/>
    <s v="C010160"/>
    <n v="15927.20872550624"/>
  </r>
  <r>
    <x v="1"/>
    <s v="C010162"/>
    <n v="29890.558613466637"/>
  </r>
  <r>
    <x v="1"/>
    <s v="C010163"/>
    <n v="15334.57159734002"/>
  </r>
  <r>
    <x v="1"/>
    <s v="C010164"/>
    <n v="57761.513839643434"/>
  </r>
  <r>
    <x v="1"/>
    <s v="C010180"/>
    <n v="11193.603674738351"/>
  </r>
  <r>
    <x v="1"/>
    <s v="C010450"/>
    <n v="18825.32840638264"/>
  </r>
  <r>
    <x v="1"/>
    <s v="C010451"/>
    <n v="16041.34356967155"/>
  </r>
  <r>
    <x v="1"/>
    <s v="C010452"/>
    <n v="28320.351092209276"/>
  </r>
  <r>
    <x v="1"/>
    <s v="C010453"/>
    <n v="3468.1711837484154"/>
  </r>
  <r>
    <x v="1"/>
    <s v="C303058"/>
    <n v="4411.6953599674935"/>
  </r>
  <r>
    <x v="1"/>
    <s v="C380000"/>
    <n v="35508.681281113539"/>
  </r>
  <r>
    <x v="1"/>
    <s v="C380001"/>
    <n v="7651.0031760918391"/>
  </r>
  <r>
    <x v="1"/>
    <s v="C380002"/>
    <n v="13333.63038957899"/>
  </r>
  <r>
    <x v="1"/>
    <s v="C380003"/>
    <n v="35489.880361315059"/>
  </r>
  <r>
    <x v="1"/>
    <s v="C380004"/>
    <n v="11835.919498998126"/>
  </r>
  <r>
    <x v="1"/>
    <s v="C380005"/>
    <n v="13992.585366644793"/>
  </r>
  <r>
    <x v="1"/>
    <s v="C380007"/>
    <n v="22537.543724470728"/>
  </r>
  <r>
    <x v="1"/>
    <s v="C380019"/>
    <n v="7028.795011379706"/>
  </r>
  <r>
    <x v="1"/>
    <s v="C380100"/>
    <n v="1154.2609662855994"/>
  </r>
  <r>
    <x v="1"/>
    <s v="C380101"/>
    <n v="1050.0379851065445"/>
  </r>
  <r>
    <x v="1"/>
    <s v="C380102"/>
    <n v="1240.9671817900492"/>
  </r>
  <r>
    <x v="1"/>
    <s v="C380103"/>
    <n v="15273.096751807097"/>
  </r>
  <r>
    <x v="1"/>
    <s v="C380104"/>
    <n v="3104.4329149031564"/>
  </r>
  <r>
    <x v="1"/>
    <s v="C385000"/>
    <n v="20472.017307921975"/>
  </r>
  <r>
    <x v="1"/>
    <s v="C385002"/>
    <n v="8159.1894247651308"/>
  </r>
  <r>
    <x v="1"/>
    <s v="C385003"/>
    <n v="28506.795429012931"/>
  </r>
  <r>
    <x v="1"/>
    <s v="C385005"/>
    <n v="40799.802812715163"/>
  </r>
  <r>
    <x v="1"/>
    <s v="C390051"/>
    <n v="2976.1885079647654"/>
  </r>
  <r>
    <x v="1"/>
    <s v="C400000"/>
    <n v="26342.321388050266"/>
  </r>
  <r>
    <x v="1"/>
    <s v="C400005"/>
    <n v="6095.2149633258769"/>
  </r>
  <r>
    <x v="1"/>
    <s v="C400010"/>
    <n v="17637.489068320356"/>
  </r>
  <r>
    <x v="1"/>
    <s v="C400015"/>
    <n v="13700.466115607454"/>
  </r>
  <r>
    <x v="1"/>
    <s v="C400020"/>
    <n v="10891.779057860307"/>
  </r>
  <r>
    <x v="1"/>
    <s v="C400030"/>
    <n v="22544.467831882353"/>
  </r>
  <r>
    <x v="1"/>
    <s v="C400051"/>
    <n v="15461.770612479077"/>
  </r>
  <r>
    <x v="1"/>
    <s v="C400052"/>
    <n v="5360.9885501902909"/>
  </r>
  <r>
    <x v="1"/>
    <s v="C400054"/>
    <n v="18305.520240236532"/>
  </r>
  <r>
    <x v="1"/>
    <s v="C400055"/>
    <n v="3826.5889245779399"/>
  </r>
  <r>
    <x v="1"/>
    <s v="C400056"/>
    <n v="13087.708421821997"/>
  </r>
  <r>
    <x v="1"/>
    <s v="C400057"/>
    <n v="14546.852743954059"/>
  </r>
  <r>
    <x v="1"/>
    <s v="C400100"/>
    <n v="17720.965539407734"/>
  </r>
  <r>
    <x v="1"/>
    <s v="C400101"/>
    <n v="14147.051684549757"/>
  </r>
  <r>
    <x v="1"/>
    <s v="C400102"/>
    <n v="11466.557409454608"/>
  </r>
  <r>
    <x v="1"/>
    <s v="C400103"/>
    <n v="12806.804547002183"/>
  </r>
  <r>
    <x v="1"/>
    <s v="C400104"/>
    <n v="15487.298822097329"/>
  </r>
  <r>
    <x v="1"/>
    <s v="C400105"/>
    <n v="12806.804547002183"/>
  </r>
  <r>
    <x v="1"/>
    <s v="C400108"/>
    <n v="14147.051684549757"/>
  </r>
  <r>
    <x v="1"/>
    <s v="C400150"/>
    <n v="17530.10409960011"/>
  </r>
  <r>
    <x v="1"/>
    <s v="C400300"/>
    <n v="2822.9289077540943"/>
  </r>
  <r>
    <x v="1"/>
    <s v="C400302"/>
    <n v="8898.5492278782986"/>
  </r>
  <r>
    <x v="1"/>
    <s v="C400303"/>
    <n v="8902.0370937273037"/>
  </r>
  <r>
    <x v="1"/>
    <s v="C400305"/>
    <n v="20817.090170720523"/>
  </r>
  <r>
    <x v="1"/>
    <s v="C500002"/>
    <n v="27483.443973450438"/>
  </r>
  <r>
    <x v="1"/>
    <s v="C500358"/>
    <n v="2169.6622817445323"/>
  </r>
  <r>
    <x v="1"/>
    <s v="C500361"/>
    <n v="2417.4072321145572"/>
  </r>
  <r>
    <x v="1"/>
    <s v="C500364"/>
    <n v="2622.5331075544186"/>
  </r>
  <r>
    <x v="1"/>
    <s v="C500365"/>
    <n v="746.8840428540384"/>
  </r>
  <r>
    <x v="1"/>
    <s v="C503001"/>
    <n v="1993.6299182015048"/>
  </r>
  <r>
    <x v="1"/>
    <s v="C503003"/>
    <n v="1891.568704014895"/>
  </r>
  <r>
    <x v="1"/>
    <s v="C503005"/>
    <n v="1427.9019493143792"/>
  </r>
  <r>
    <x v="1"/>
    <s v="C503007"/>
    <n v="15468.510808370449"/>
  </r>
  <r>
    <x v="1"/>
    <s v="C503008"/>
    <n v="4963.0104733990174"/>
  </r>
  <r>
    <x v="1"/>
    <s v="C503009"/>
    <n v="5512.1767259096932"/>
  </r>
  <r>
    <x v="1"/>
    <s v="C503010"/>
    <n v="926.15905688573378"/>
  </r>
  <r>
    <x v="1"/>
    <s v="C503012"/>
    <n v="55766.21581168806"/>
  </r>
  <r>
    <x v="1"/>
    <s v="C503014"/>
    <n v="1613.2589495860136"/>
  </r>
  <r>
    <x v="1"/>
    <s v="C503017"/>
    <n v="3433.0408568622302"/>
  </r>
  <r>
    <x v="1"/>
    <s v="C503018"/>
    <n v="21891.575481949094"/>
  </r>
  <r>
    <x v="1"/>
    <s v="C503020"/>
    <n v="2358.5587721515585"/>
  </r>
  <r>
    <x v="1"/>
    <s v="C503021"/>
    <n v="29229.561250570656"/>
  </r>
  <r>
    <x v="1"/>
    <s v="C503023"/>
    <n v="3603.6591233704467"/>
  </r>
  <r>
    <x v="1"/>
    <s v="C503038"/>
    <n v="416.22080899319155"/>
  </r>
  <r>
    <x v="1"/>
    <s v="C503042"/>
    <n v="2800.6433486245128"/>
  </r>
  <r>
    <x v="1"/>
    <s v="C503044"/>
    <n v="17392.654437095385"/>
  </r>
  <r>
    <x v="1"/>
    <s v="C503058"/>
    <n v="9444.7019126711475"/>
  </r>
  <r>
    <x v="1"/>
    <s v="C505000"/>
    <n v="3542.9941338302151"/>
  </r>
  <r>
    <x v="1"/>
    <s v="C505002"/>
    <n v="23403.957349417495"/>
  </r>
  <r>
    <x v="1"/>
    <s v="C505007"/>
    <n v="18002.269502447049"/>
  </r>
  <r>
    <x v="1"/>
    <s v="C505010"/>
    <n v="3564.1278260697918"/>
  </r>
  <r>
    <x v="1"/>
    <s v="C505011"/>
    <n v="688.451803700033"/>
  </r>
  <r>
    <x v="1"/>
    <s v="C505013"/>
    <n v="520.9955247330048"/>
  </r>
  <r>
    <x v="1"/>
    <s v="C505014"/>
    <n v="30137.461442664979"/>
  </r>
  <r>
    <x v="1"/>
    <s v="C505015"/>
    <n v="10382.424809707514"/>
  </r>
  <r>
    <x v="1"/>
    <s v="C505016"/>
    <n v="10486.967216158588"/>
  </r>
  <r>
    <x v="1"/>
    <s v="C505018"/>
    <n v="1466.7072800877208"/>
  </r>
  <r>
    <x v="1"/>
    <s v="C505019"/>
    <n v="9518.1761782710928"/>
  </r>
  <r>
    <x v="1"/>
    <s v="C505020"/>
    <n v="2277.6893275267107"/>
  </r>
  <r>
    <x v="1"/>
    <s v="C505021"/>
    <n v="2296.4063578598079"/>
  </r>
  <r>
    <x v="1"/>
    <s v="C505022"/>
    <n v="25385.149041117689"/>
  </r>
  <r>
    <x v="1"/>
    <s v="C505023"/>
    <n v="875.96734444621381"/>
  </r>
  <r>
    <x v="1"/>
    <s v="C505024"/>
    <n v="1002.5436416307323"/>
  </r>
  <r>
    <x v="1"/>
    <s v="C505029"/>
    <n v="1389.883888908435"/>
  </r>
  <r>
    <x v="1"/>
    <s v="C505031"/>
    <n v="7924.1021041135564"/>
  </r>
  <r>
    <x v="1"/>
    <s v="C505032"/>
    <n v="6132.3779964885398"/>
  </r>
  <r>
    <x v="1"/>
    <s v="C505033"/>
    <n v="1204.3849218492369"/>
  </r>
  <r>
    <x v="1"/>
    <s v="C505035"/>
    <n v="440.61328431093199"/>
  </r>
  <r>
    <x v="1"/>
    <s v="C505036"/>
    <n v="12951.139598703743"/>
  </r>
  <r>
    <x v="1"/>
    <s v="C505037"/>
    <n v="6503.5953338240797"/>
  </r>
  <r>
    <x v="1"/>
    <s v="C505052"/>
    <n v="3409.9648008473519"/>
  </r>
  <r>
    <x v="1"/>
    <s v="C505055"/>
    <n v="5729.5440102590128"/>
  </r>
  <r>
    <x v="1"/>
    <s v="C505058"/>
    <n v="2418.3396957874179"/>
  </r>
  <r>
    <x v="1"/>
    <s v="C506000"/>
    <n v="95112.933702885799"/>
  </r>
  <r>
    <x v="1"/>
    <s v="C506002"/>
    <n v="51714.770854716815"/>
  </r>
  <r>
    <x v="1"/>
    <s v="C506003"/>
    <n v="25729.660489801787"/>
  </r>
  <r>
    <x v="1"/>
    <s v="C506004"/>
    <n v="35248.630391476079"/>
  </r>
  <r>
    <x v="1"/>
    <s v="C506005"/>
    <n v="7417.4065067096826"/>
  </r>
  <r>
    <x v="1"/>
    <s v="C506006"/>
    <n v="8207.7420661118704"/>
  </r>
  <r>
    <x v="1"/>
    <s v="C506008"/>
    <n v="1636.0801106868571"/>
  </r>
  <r>
    <x v="1"/>
    <s v="C506009"/>
    <n v="22615.996507189098"/>
  </r>
  <r>
    <x v="1"/>
    <s v="C506010"/>
    <n v="21185.532702662775"/>
  </r>
  <r>
    <x v="1"/>
    <s v="C506011"/>
    <n v="24011.284813578644"/>
  </r>
  <r>
    <x v="1"/>
    <s v="C506013"/>
    <n v="8034.052154563642"/>
  </r>
  <r>
    <x v="1"/>
    <s v="C506014"/>
    <n v="15846.319921773997"/>
  </r>
  <r>
    <x v="1"/>
    <s v="C506016"/>
    <n v="11386.865643862959"/>
  </r>
  <r>
    <x v="1"/>
    <s v="C506019"/>
    <n v="1609.0031724770058"/>
  </r>
  <r>
    <x v="1"/>
    <s v="C506020"/>
    <n v="31071.602904833264"/>
  </r>
  <r>
    <x v="1"/>
    <s v="C506021"/>
    <n v="33567.246742966941"/>
  </r>
  <r>
    <x v="1"/>
    <s v="C506023"/>
    <n v="34006.037044664845"/>
  </r>
  <r>
    <x v="1"/>
    <s v="C506025"/>
    <n v="1843.161255973617"/>
  </r>
  <r>
    <x v="1"/>
    <s v="C506026"/>
    <n v="3414.5851744789661"/>
  </r>
  <r>
    <x v="1"/>
    <s v="C506029"/>
    <n v="1202.2005692314974"/>
  </r>
  <r>
    <x v="1"/>
    <s v="C509000"/>
    <n v="32413.9214668721"/>
  </r>
  <r>
    <x v="1"/>
    <s v="C509500"/>
    <n v="1797.1962819820124"/>
  </r>
  <r>
    <x v="1"/>
    <s v="C510000"/>
    <n v="10857.232730713871"/>
  </r>
  <r>
    <x v="1"/>
    <s v="C515000"/>
    <n v="6501.4722850464241"/>
  </r>
  <r>
    <x v="1"/>
    <s v="C515003"/>
    <n v="35656.258983303771"/>
  </r>
  <r>
    <x v="1"/>
    <s v="C515005"/>
    <n v="4571.7403273201235"/>
  </r>
  <r>
    <x v="1"/>
    <s v="C515007"/>
    <n v="3478.2863173623191"/>
  </r>
  <r>
    <x v="1"/>
    <s v="C515010"/>
    <n v="14088.525876376676"/>
  </r>
  <r>
    <x v="1"/>
    <s v="C515011"/>
    <n v="7910.1958119681249"/>
  </r>
  <r>
    <x v="1"/>
    <s v="C515014"/>
    <n v="19368.777269175982"/>
  </r>
  <r>
    <x v="1"/>
    <s v="C515017"/>
    <n v="9491.3767206005705"/>
  </r>
  <r>
    <x v="1"/>
    <s v="C515018"/>
    <n v="19009.607749675954"/>
  </r>
  <r>
    <x v="1"/>
    <s v="C515019"/>
    <n v="19180.500270205597"/>
  </r>
  <r>
    <x v="1"/>
    <s v="C515100"/>
    <n v="6637.0570202054323"/>
  </r>
  <r>
    <x v="1"/>
    <s v="C515101"/>
    <n v="5357.6587837183451"/>
  </r>
  <r>
    <x v="1"/>
    <s v="C515305"/>
    <n v="2194.4258066206776"/>
  </r>
  <r>
    <x v="1"/>
    <s v="C550000"/>
    <n v="7160.6079471145813"/>
  </r>
  <r>
    <x v="1"/>
    <s v="C550001"/>
    <n v="9497.4006295183244"/>
  </r>
  <r>
    <x v="1"/>
    <s v="C550002"/>
    <n v="2193.9450554537007"/>
  </r>
  <r>
    <x v="1"/>
    <s v="C550003"/>
    <n v="14140.992283935111"/>
  </r>
  <r>
    <x v="1"/>
    <s v="C550004"/>
    <n v="3873.0088375933278"/>
  </r>
  <r>
    <x v="1"/>
    <s v="C550005"/>
    <n v="6225.772783597974"/>
  </r>
  <r>
    <x v="1"/>
    <s v="C550006"/>
    <n v="4055.561993810582"/>
  </r>
  <r>
    <x v="1"/>
    <s v="C550007"/>
    <n v="2679.4521098137125"/>
  </r>
  <r>
    <x v="1"/>
    <s v="C550008"/>
    <n v="8333.8182530220183"/>
  </r>
  <r>
    <x v="1"/>
    <s v="C550009"/>
    <n v="15709.386502133137"/>
  </r>
  <r>
    <x v="1"/>
    <s v="C570001"/>
    <n v="9179.069147068114"/>
  </r>
  <r>
    <x v="1"/>
    <s v="C570003"/>
    <n v="11247.270346955282"/>
  </r>
  <r>
    <x v="1"/>
    <s v="C570004"/>
    <n v="7255.5708219230128"/>
  </r>
  <r>
    <x v="1"/>
    <s v="C570005"/>
    <n v="51594.560477347361"/>
  </r>
  <r>
    <x v="1"/>
    <s v="C570006"/>
    <n v="10740.297269012081"/>
  </r>
  <r>
    <x v="1"/>
    <s v="C570007"/>
    <n v="14067.256670385332"/>
  </r>
  <r>
    <x v="1"/>
    <s v="C570009"/>
    <n v="30247.17918382632"/>
  </r>
  <r>
    <x v="1"/>
    <s v="C570011"/>
    <n v="7995.7695196899658"/>
  </r>
  <r>
    <x v="1"/>
    <s v="C570012"/>
    <n v="14904.289623342238"/>
  </r>
  <r>
    <x v="1"/>
    <s v="C570013"/>
    <n v="17582.312385726615"/>
  </r>
  <r>
    <x v="1"/>
    <s v="C570016"/>
    <n v="10063.796487610578"/>
  </r>
  <r>
    <x v="1"/>
    <s v="C590002"/>
    <n v="9093.2534505038348"/>
  </r>
  <r>
    <x v="1"/>
    <s v="C590003"/>
    <n v="4387.6319894754679"/>
  </r>
  <r>
    <x v="1"/>
    <s v="C590005"/>
    <n v="2981.5961519637776"/>
  </r>
  <r>
    <x v="1"/>
    <s v="C590006"/>
    <n v="38865.040713584051"/>
  </r>
  <r>
    <x v="1"/>
    <s v="C590007"/>
    <n v="1550.5064029650168"/>
  </r>
  <r>
    <x v="1"/>
    <s v="C590008"/>
    <n v="2415.8552770050555"/>
  </r>
  <r>
    <x v="1"/>
    <s v="C590009"/>
    <n v="7258.8328315190747"/>
  </r>
  <r>
    <x v="1"/>
    <s v="C590010"/>
    <n v="1822.5502596337062"/>
  </r>
  <r>
    <x v="1"/>
    <s v="C590011"/>
    <n v="22144.57965649477"/>
  </r>
  <r>
    <x v="1"/>
    <s v="C590012"/>
    <n v="18028.084872158324"/>
  </r>
  <r>
    <x v="1"/>
    <s v="C590013"/>
    <n v="19058.118446290002"/>
  </r>
  <r>
    <x v="1"/>
    <s v="C590014"/>
    <n v="1098.4422066299232"/>
  </r>
  <r>
    <x v="1"/>
    <s v="C590015"/>
    <n v="4712.0970824520055"/>
  </r>
  <r>
    <x v="1"/>
    <s v="C590016"/>
    <n v="4647.8183928647004"/>
  </r>
  <r>
    <x v="1"/>
    <s v="CI10429"/>
    <n v="6207.5365044318532"/>
  </r>
  <r>
    <x v="1"/>
    <s v="CI38505"/>
    <n v="20487.217433744976"/>
  </r>
  <r>
    <x v="1"/>
    <s v="CI40107"/>
    <n v="15487.298822097329"/>
  </r>
  <r>
    <x v="1"/>
    <s v="CI50000"/>
    <n v="25311.377935871024"/>
  </r>
  <r>
    <x v="1"/>
    <s v="CI50002"/>
    <n v="6938.5880239546541"/>
  </r>
  <r>
    <x v="1"/>
    <s v="CI56001"/>
    <n v="13704.260500656881"/>
  </r>
  <r>
    <x v="1"/>
    <s v="CI57010"/>
    <n v="23824.730775166419"/>
  </r>
  <r>
    <x v="1"/>
    <s v="C400060"/>
    <n v="7314.2192377762622"/>
  </r>
  <r>
    <x v="1"/>
    <s v="C506033"/>
    <n v="3385.6336293696954"/>
  </r>
  <r>
    <x v="1"/>
    <s v="CI10181"/>
    <n v="16379.895639795874"/>
  </r>
  <r>
    <x v="1"/>
    <s v="C505062"/>
    <n v="6168.3343119569126"/>
  </r>
  <r>
    <x v="1"/>
    <s v="C590031"/>
    <n v="52311.625041777254"/>
  </r>
  <r>
    <x v="1"/>
    <s v="C610400"/>
    <n v="42894.354984284866"/>
  </r>
  <r>
    <x v="1"/>
    <s v="C610403"/>
    <n v="3850.2941515831571"/>
  </r>
  <r>
    <x v="1"/>
    <s v="C042050"/>
    <n v="9174.3810165606155"/>
  </r>
  <r>
    <x v="1"/>
    <s v="C503057"/>
    <n v="7936.566142758059"/>
  </r>
  <r>
    <x v="1"/>
    <s v="C610402"/>
    <n v="9266.4497048134908"/>
  </r>
  <r>
    <x v="1"/>
    <s v="C253728"/>
    <n v="4769.0418968544927"/>
  </r>
  <r>
    <x v="1"/>
    <s v="C253729"/>
    <n v="1639.0710927793898"/>
  </r>
  <r>
    <x v="1"/>
    <s v="C505030"/>
    <n v="870.59841866199145"/>
  </r>
  <r>
    <x v="1"/>
    <s v="C505046"/>
    <n v="448.87317013281245"/>
  </r>
  <r>
    <x v="1"/>
    <s v="C610404"/>
    <n v="7594.5487924100262"/>
  </r>
  <r>
    <x v="1"/>
    <s v="C505063"/>
    <n v="24803.233631930423"/>
  </r>
  <r>
    <x v="1"/>
    <s v="C505099"/>
    <n v="2933.946935628805"/>
  </r>
  <r>
    <x v="1"/>
    <s v="C505101"/>
    <n v="5002.7160026662277"/>
  </r>
  <r>
    <x v="1"/>
    <s v="C505102"/>
    <n v="6862.5551296606673"/>
  </r>
  <r>
    <x v="1"/>
    <s v="C380009"/>
    <n v="8193.4711774438329"/>
  </r>
  <r>
    <x v="1"/>
    <s v="C380014"/>
    <n v="25813.340231516813"/>
  </r>
  <r>
    <x v="1"/>
    <s v="C385006"/>
    <n v="32675.130676435376"/>
  </r>
  <r>
    <x v="1"/>
    <s v="C385007"/>
    <n v="20394.022690745289"/>
  </r>
  <r>
    <x v="1"/>
    <s v="C385008"/>
    <n v="12144.316532836787"/>
  </r>
  <r>
    <x v="1"/>
    <s v="C385009"/>
    <n v="16102.899078151957"/>
  </r>
  <r>
    <x v="1"/>
    <s v="C503061"/>
    <n v="25806.341914193505"/>
  </r>
  <r>
    <x v="1"/>
    <s v="C505104"/>
    <n v="30716.918245213081"/>
  </r>
  <r>
    <x v="1"/>
    <s v="C506034"/>
    <n v="6038.1669003506158"/>
  </r>
  <r>
    <x v="1"/>
    <s v="C380018"/>
    <n v="3582.0188678207001"/>
  </r>
  <r>
    <x v="1"/>
    <s v="C505103"/>
    <n v="26858.564251917793"/>
  </r>
  <r>
    <x v="1"/>
    <s v="C505105"/>
    <n v="36223.403393548637"/>
  </r>
  <r>
    <x v="1"/>
    <s v="C400124"/>
    <n v="9083.8933220783365"/>
  </r>
  <r>
    <x v="1"/>
    <s v="C505100"/>
    <n v="14332.324795356013"/>
  </r>
  <r>
    <x v="1"/>
    <s v="C500369"/>
    <n v="15941.811945517893"/>
  </r>
  <r>
    <x v="1"/>
    <s v="C506072"/>
    <n v="9281.7627587629613"/>
  </r>
  <r>
    <x v="1"/>
    <s v="C506073"/>
    <n v="5667.75619248987"/>
  </r>
  <r>
    <x v="1"/>
    <s v="C500370"/>
    <n v="5826.9525856350174"/>
  </r>
  <r>
    <x v="1"/>
    <s v="C500371"/>
    <n v="3412.6653963289591"/>
  </r>
  <r>
    <x v="1"/>
    <s v="C503013"/>
    <n v="3481.1030674882973"/>
  </r>
  <r>
    <x v="1"/>
    <s v="C590004"/>
    <n v="2818.9118929696251"/>
  </r>
  <r>
    <x v="1"/>
    <s v="C055215"/>
    <n v="11459.471976148028"/>
  </r>
  <r>
    <x v="1"/>
    <s v="C400306"/>
    <n v="4106.0666784863215"/>
  </r>
  <r>
    <x v="1"/>
    <s v="C400307"/>
    <n v="5284.8685399130236"/>
  </r>
  <r>
    <x v="1"/>
    <s v="C400308"/>
    <n v="12543.498100804451"/>
  </r>
  <r>
    <x v="1"/>
    <s v="C400309"/>
    <n v="4380.5207440256927"/>
  </r>
  <r>
    <x v="1"/>
    <s v="C400310"/>
    <n v="8653.0499339660983"/>
  </r>
  <r>
    <x v="1"/>
    <s v="C400311"/>
    <n v="5995.8027203344873"/>
  </r>
  <r>
    <x v="1"/>
    <s v="C400312"/>
    <n v="1402.1156182641962"/>
  </r>
  <r>
    <x v="1"/>
    <s v="C400313"/>
    <n v="1939.3243954405405"/>
  </r>
  <r>
    <x v="1"/>
    <s v="C500366"/>
    <n v="1178.9212425889712"/>
  </r>
  <r>
    <x v="1"/>
    <s v="C506017"/>
    <n v="1762.0498225063316"/>
  </r>
  <r>
    <x v="1"/>
    <s v="C515008"/>
    <n v="1054.8229111510168"/>
  </r>
  <r>
    <x v="2"/>
    <m/>
    <m/>
  </r>
  <r>
    <x v="2"/>
    <m/>
    <m/>
  </r>
  <r>
    <x v="2"/>
    <m/>
    <m/>
  </r>
  <r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69A6D-7E75-4C6B-92B1-D74FA29E2E06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8:I11" firstHeaderRow="1" firstDataRow="1" firstDataCol="1"/>
  <pivotFields count="3">
    <pivotField axis="axisRow" showAll="0">
      <items count="4">
        <item x="0"/>
        <item x="1"/>
        <item h="1" x="2"/>
        <item t="default"/>
      </items>
    </pivotField>
    <pivotField showAll="0"/>
    <pivotField dataField="1" numFmtId="43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2" baseField="0" baseItem="0" numFmtId="43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CBF1C-E1BE-47CF-8D69-44E2229AC84C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O10:Q244" firstHeaderRow="2" firstDataRow="2" firstDataCol="2" rowPageCount="1" colPageCount="1"/>
  <pivotFields count="5">
    <pivotField axis="axisRow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89">
        <item x="20"/>
        <item x="21"/>
        <item x="22"/>
        <item x="23"/>
        <item x="24"/>
        <item x="25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1"/>
        <item x="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"/>
        <item x="4"/>
        <item x="326"/>
        <item x="5"/>
        <item x="327"/>
        <item x="328"/>
        <item x="329"/>
        <item x="6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7"/>
        <item x="341"/>
        <item x="342"/>
        <item x="343"/>
        <item x="344"/>
        <item x="345"/>
        <item x="8"/>
        <item x="346"/>
        <item x="347"/>
        <item x="348"/>
        <item x="349"/>
        <item x="9"/>
        <item x="350"/>
        <item x="10"/>
        <item x="351"/>
        <item x="352"/>
        <item x="353"/>
        <item x="354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1"/>
        <item x="367"/>
        <item x="368"/>
        <item x="12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13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14"/>
        <item x="15"/>
        <item x="399"/>
        <item x="16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17"/>
        <item x="18"/>
        <item x="411"/>
        <item x="412"/>
        <item x="413"/>
        <item x="414"/>
        <item x="415"/>
        <item x="416"/>
        <item x="417"/>
        <item x="418"/>
        <item x="419"/>
        <item x="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432"/>
        <item x="435"/>
        <item x="436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3"/>
        <item x="650"/>
        <item x="524"/>
        <item x="667"/>
        <item x="525"/>
        <item x="526"/>
        <item x="528"/>
        <item x="529"/>
        <item x="530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7"/>
        <item x="558"/>
        <item x="559"/>
        <item x="560"/>
        <item x="561"/>
        <item x="562"/>
        <item x="563"/>
        <item x="565"/>
        <item x="566"/>
        <item x="567"/>
        <item x="568"/>
        <item x="569"/>
        <item x="570"/>
        <item x="571"/>
        <item x="572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4"/>
        <item x="616"/>
        <item x="620"/>
        <item x="622"/>
        <item x="623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87"/>
        <item x="640"/>
        <item x="255"/>
        <item x="434"/>
        <item x="468"/>
        <item x="556"/>
        <item x="621"/>
        <item x="624"/>
        <item x="531"/>
        <item x="433"/>
        <item x="613"/>
        <item x="615"/>
        <item x="618"/>
        <item x="111"/>
        <item x="503"/>
        <item x="617"/>
        <item x="189"/>
        <item x="26"/>
        <item x="186"/>
        <item x="285"/>
        <item x="286"/>
        <item x="522"/>
        <item x="527"/>
        <item x="619"/>
        <item x="88"/>
        <item x="355"/>
        <item x="532"/>
        <item x="533"/>
        <item x="235"/>
        <item x="427"/>
        <item x="27"/>
        <item x="118"/>
        <item x="534"/>
        <item x="535"/>
        <item x="28"/>
        <item x="119"/>
        <item x="444"/>
        <item x="573"/>
        <item x="574"/>
        <item x="641"/>
        <item x="642"/>
        <item x="643"/>
        <item x="644"/>
        <item x="645"/>
        <item x="646"/>
        <item x="647"/>
        <item x="648"/>
        <item x="649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m="1" x="688"/>
        <item x="668"/>
        <item x="669"/>
        <item x="670"/>
        <item x="671"/>
        <item x="672"/>
        <item x="153"/>
        <item x="600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564"/>
        <item x="6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5">
        <item x="0"/>
        <item x="1"/>
        <item x="2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33">
    <i>
      <x v="1"/>
      <x v="12"/>
    </i>
    <i r="1">
      <x v="13"/>
    </i>
    <i r="1">
      <x v="14"/>
    </i>
    <i r="1">
      <x v="15"/>
    </i>
    <i r="1">
      <x v="16"/>
    </i>
    <i r="1">
      <x v="18"/>
    </i>
    <i r="1">
      <x v="34"/>
    </i>
    <i r="1">
      <x v="35"/>
    </i>
    <i r="1">
      <x v="36"/>
    </i>
    <i r="1">
      <x v="37"/>
    </i>
    <i r="1">
      <x v="286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6"/>
    </i>
    <i r="1">
      <x v="595"/>
    </i>
    <i r="1">
      <x v="596"/>
    </i>
    <i r="1">
      <x v="597"/>
    </i>
    <i r="1">
      <x v="598"/>
    </i>
    <i r="1">
      <x v="600"/>
    </i>
    <i r="1">
      <x v="601"/>
    </i>
    <i r="1">
      <x v="606"/>
    </i>
    <i r="1">
      <x v="607"/>
    </i>
    <i r="1">
      <x v="608"/>
    </i>
    <i r="1">
      <x v="610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21"/>
    </i>
    <i r="1">
      <x v="622"/>
    </i>
    <i r="1">
      <x v="623"/>
    </i>
    <i r="1">
      <x v="624"/>
    </i>
    <i r="1">
      <x v="625"/>
    </i>
    <i r="1">
      <x v="628"/>
    </i>
    <i r="1">
      <x v="629"/>
    </i>
    <i r="1">
      <x v="634"/>
    </i>
    <i r="1">
      <x v="635"/>
    </i>
    <i r="1">
      <x v="638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5"/>
    </i>
    <i r="1">
      <x v="670"/>
    </i>
    <i r="1">
      <x v="671"/>
    </i>
    <i r="1">
      <x v="673"/>
    </i>
    <i r="1">
      <x v="675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t="grand">
      <x/>
    </i>
  </rowItems>
  <colItems count="1">
    <i/>
  </colItems>
  <pageFields count="1">
    <pageField fld="4" item="2" hier="-1"/>
  </pageFields>
  <dataFields count="1">
    <dataField name="Sum of Salary" fld="3" baseField="0" baseItem="0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59E09-48A9-46C0-AFE6-0DA4DA00EF7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H10:J216" firstHeaderRow="2" firstDataRow="2" firstDataCol="2" rowPageCount="1" colPageCount="1"/>
  <pivotFields count="5">
    <pivotField axis="axisRow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89">
        <item x="20"/>
        <item x="21"/>
        <item x="22"/>
        <item x="23"/>
        <item x="24"/>
        <item x="25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1"/>
        <item x="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"/>
        <item x="4"/>
        <item x="326"/>
        <item x="5"/>
        <item x="327"/>
        <item x="328"/>
        <item x="329"/>
        <item x="6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7"/>
        <item x="341"/>
        <item x="342"/>
        <item x="343"/>
        <item x="344"/>
        <item x="345"/>
        <item x="8"/>
        <item x="346"/>
        <item x="347"/>
        <item x="348"/>
        <item x="349"/>
        <item x="9"/>
        <item x="350"/>
        <item x="10"/>
        <item x="351"/>
        <item x="352"/>
        <item x="353"/>
        <item x="354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1"/>
        <item x="367"/>
        <item x="368"/>
        <item x="12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13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14"/>
        <item x="15"/>
        <item x="399"/>
        <item x="16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17"/>
        <item x="18"/>
        <item x="411"/>
        <item x="412"/>
        <item x="413"/>
        <item x="414"/>
        <item x="415"/>
        <item x="416"/>
        <item x="417"/>
        <item x="418"/>
        <item x="419"/>
        <item x="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432"/>
        <item x="435"/>
        <item x="436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3"/>
        <item x="650"/>
        <item x="524"/>
        <item x="667"/>
        <item x="525"/>
        <item x="526"/>
        <item x="528"/>
        <item x="529"/>
        <item x="530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7"/>
        <item x="558"/>
        <item x="559"/>
        <item x="560"/>
        <item x="561"/>
        <item x="562"/>
        <item x="563"/>
        <item x="565"/>
        <item x="566"/>
        <item x="567"/>
        <item x="568"/>
        <item x="569"/>
        <item x="570"/>
        <item x="571"/>
        <item x="572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4"/>
        <item x="616"/>
        <item x="620"/>
        <item x="622"/>
        <item x="623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87"/>
        <item x="640"/>
        <item x="255"/>
        <item x="434"/>
        <item x="468"/>
        <item x="556"/>
        <item x="621"/>
        <item x="624"/>
        <item x="531"/>
        <item x="433"/>
        <item x="613"/>
        <item x="615"/>
        <item x="618"/>
        <item x="111"/>
        <item x="503"/>
        <item x="617"/>
        <item x="189"/>
        <item x="26"/>
        <item x="186"/>
        <item x="285"/>
        <item x="286"/>
        <item x="522"/>
        <item x="527"/>
        <item x="619"/>
        <item x="88"/>
        <item x="355"/>
        <item x="532"/>
        <item x="533"/>
        <item x="235"/>
        <item x="427"/>
        <item x="27"/>
        <item x="118"/>
        <item x="534"/>
        <item x="535"/>
        <item x="28"/>
        <item x="119"/>
        <item x="444"/>
        <item x="573"/>
        <item x="574"/>
        <item x="641"/>
        <item x="642"/>
        <item x="643"/>
        <item x="644"/>
        <item x="645"/>
        <item x="646"/>
        <item x="647"/>
        <item x="648"/>
        <item x="649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m="1" x="688"/>
        <item x="668"/>
        <item x="669"/>
        <item x="670"/>
        <item x="671"/>
        <item x="672"/>
        <item x="153"/>
        <item x="600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564"/>
        <item x="6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5">
        <item x="0"/>
        <item x="1"/>
        <item x="2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05">
    <i>
      <x/>
      <x v="268"/>
    </i>
    <i r="1">
      <x v="269"/>
    </i>
    <i r="1">
      <x v="295"/>
    </i>
    <i r="1">
      <x v="296"/>
    </i>
    <i r="1">
      <x v="298"/>
    </i>
    <i r="1">
      <x v="302"/>
    </i>
    <i r="1">
      <x v="314"/>
    </i>
    <i r="1">
      <x v="320"/>
    </i>
    <i r="1">
      <x v="325"/>
    </i>
    <i r="1">
      <x v="327"/>
    </i>
    <i r="1">
      <x v="343"/>
    </i>
    <i r="1">
      <x v="346"/>
    </i>
    <i r="1">
      <x v="363"/>
    </i>
    <i r="1">
      <x v="378"/>
    </i>
    <i r="1">
      <x v="379"/>
    </i>
    <i r="1">
      <x v="381"/>
    </i>
    <i r="1">
      <x v="393"/>
    </i>
    <i r="1">
      <x v="394"/>
    </i>
    <i r="1">
      <x v="404"/>
    </i>
    <i>
      <x v="1"/>
      <x v="17"/>
    </i>
    <i r="1">
      <x v="29"/>
    </i>
    <i r="1">
      <x v="30"/>
    </i>
    <i r="1">
      <x v="31"/>
    </i>
    <i r="1">
      <x v="32"/>
    </i>
    <i r="1">
      <x v="33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556"/>
    </i>
    <i r="1">
      <x v="584"/>
    </i>
    <i r="1">
      <x v="605"/>
    </i>
    <i r="1">
      <x v="611"/>
    </i>
    <i r="1">
      <x v="627"/>
    </i>
    <i r="1">
      <x v="630"/>
    </i>
    <i r="1">
      <x v="631"/>
    </i>
    <i r="1">
      <x v="639"/>
    </i>
    <i r="1">
      <x v="640"/>
    </i>
    <i r="1">
      <x v="641"/>
    </i>
    <i r="1">
      <x v="642"/>
    </i>
    <i r="1">
      <x v="643"/>
    </i>
    <i r="1">
      <x v="652"/>
    </i>
    <i r="1">
      <x v="653"/>
    </i>
    <i r="1">
      <x v="664"/>
    </i>
    <i r="1">
      <x v="667"/>
    </i>
    <i r="1">
      <x v="668"/>
    </i>
    <i r="1">
      <x v="669"/>
    </i>
    <i r="1">
      <x v="674"/>
    </i>
    <i r="1">
      <x v="676"/>
    </i>
    <i r="1">
      <x v="688"/>
    </i>
    <i t="grand">
      <x/>
    </i>
  </rowItems>
  <colItems count="1">
    <i/>
  </colItems>
  <pageFields count="1">
    <pageField fld="4" item="1" hier="-1"/>
  </pageFields>
  <dataFields count="1">
    <dataField name="Sum of Salary" fld="3" baseField="0" baseItem="0"/>
  </dataFields>
  <formats count="1"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ABF91-BF00-414D-9CFA-9191CB4724A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10:C282" firstHeaderRow="2" firstDataRow="2" firstDataCol="2" rowPageCount="1" colPageCount="1"/>
  <pivotFields count="5">
    <pivotField axis="axisRow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89">
        <item x="20"/>
        <item x="21"/>
        <item x="22"/>
        <item x="23"/>
        <item x="24"/>
        <item x="25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1"/>
        <item x="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"/>
        <item x="4"/>
        <item x="326"/>
        <item x="5"/>
        <item x="327"/>
        <item x="328"/>
        <item x="329"/>
        <item x="6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7"/>
        <item x="341"/>
        <item x="342"/>
        <item x="343"/>
        <item x="344"/>
        <item x="345"/>
        <item x="8"/>
        <item x="346"/>
        <item x="347"/>
        <item x="348"/>
        <item x="349"/>
        <item x="9"/>
        <item x="350"/>
        <item x="10"/>
        <item x="351"/>
        <item x="352"/>
        <item x="353"/>
        <item x="354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1"/>
        <item x="367"/>
        <item x="368"/>
        <item x="12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13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14"/>
        <item x="15"/>
        <item x="399"/>
        <item x="16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17"/>
        <item x="18"/>
        <item x="411"/>
        <item x="412"/>
        <item x="413"/>
        <item x="414"/>
        <item x="415"/>
        <item x="416"/>
        <item x="417"/>
        <item x="418"/>
        <item x="419"/>
        <item x="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432"/>
        <item x="435"/>
        <item x="436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3"/>
        <item x="650"/>
        <item x="524"/>
        <item x="667"/>
        <item x="525"/>
        <item x="526"/>
        <item x="528"/>
        <item x="529"/>
        <item x="530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7"/>
        <item x="558"/>
        <item x="559"/>
        <item x="560"/>
        <item x="561"/>
        <item x="562"/>
        <item x="563"/>
        <item x="565"/>
        <item x="566"/>
        <item x="567"/>
        <item x="568"/>
        <item x="569"/>
        <item x="570"/>
        <item x="571"/>
        <item x="572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4"/>
        <item x="616"/>
        <item x="620"/>
        <item x="622"/>
        <item x="623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87"/>
        <item x="640"/>
        <item x="255"/>
        <item x="434"/>
        <item x="468"/>
        <item x="556"/>
        <item x="621"/>
        <item x="624"/>
        <item x="531"/>
        <item x="433"/>
        <item x="613"/>
        <item x="615"/>
        <item x="618"/>
        <item x="111"/>
        <item x="503"/>
        <item x="617"/>
        <item x="189"/>
        <item x="26"/>
        <item x="186"/>
        <item x="285"/>
        <item x="286"/>
        <item x="522"/>
        <item x="527"/>
        <item x="619"/>
        <item x="88"/>
        <item x="355"/>
        <item x="532"/>
        <item x="533"/>
        <item x="235"/>
        <item x="427"/>
        <item x="27"/>
        <item x="118"/>
        <item x="534"/>
        <item x="535"/>
        <item x="28"/>
        <item x="119"/>
        <item x="444"/>
        <item x="573"/>
        <item x="574"/>
        <item x="641"/>
        <item x="642"/>
        <item x="643"/>
        <item x="644"/>
        <item x="645"/>
        <item x="646"/>
        <item x="647"/>
        <item x="648"/>
        <item x="649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m="1" x="688"/>
        <item x="668"/>
        <item x="669"/>
        <item x="670"/>
        <item x="671"/>
        <item x="672"/>
        <item x="153"/>
        <item x="600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564"/>
        <item x="6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5">
        <item x="0"/>
        <item h="1" x="1"/>
        <item h="1" x="2"/>
        <item h="1" x="4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71">
    <i>
      <x/>
      <x v="77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582"/>
    </i>
    <i r="1">
      <x v="583"/>
    </i>
    <i r="1">
      <x v="585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9"/>
    </i>
    <i r="1">
      <x v="603"/>
    </i>
    <i r="1">
      <x v="604"/>
    </i>
    <i r="1">
      <x v="609"/>
    </i>
    <i r="1">
      <x v="618"/>
    </i>
    <i r="1">
      <x v="619"/>
    </i>
    <i r="1">
      <x v="620"/>
    </i>
    <i r="1">
      <x v="626"/>
    </i>
    <i r="1">
      <x v="632"/>
    </i>
    <i r="1">
      <x v="633"/>
    </i>
    <i r="1">
      <x v="636"/>
    </i>
    <i r="1">
      <x v="637"/>
    </i>
    <i r="1">
      <x v="662"/>
    </i>
    <i r="1">
      <x v="663"/>
    </i>
    <i t="grand">
      <x/>
    </i>
  </rowItems>
  <colItems count="1">
    <i/>
  </colItems>
  <pageFields count="1">
    <pageField fld="4" hier="-1"/>
  </pageFields>
  <dataFields count="1">
    <dataField name="Sum of Salary" fld="3" baseField="0" baseItem="0"/>
  </dataFields>
  <formats count="1"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46767-66A8-449F-B73E-BDE64976868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2:B6" firstHeaderRow="1" firstDataRow="1" firstDataCol="1"/>
  <pivotFields count="5">
    <pivotField showAll="0"/>
    <pivotField showAll="0"/>
    <pivotField dataField="1" showAll="0"/>
    <pivotField numFmtId="43" showAll="0"/>
    <pivotField axis="axisRow" showAll="0">
      <items count="6">
        <item x="0"/>
        <item x="1"/>
        <item x="2"/>
        <item h="1" x="4"/>
        <item h="1"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TE" fld="2" baseField="0" baseItem="0" numFmtId="164"/>
  </dataFields>
  <formats count="1"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9DBC5-DC1C-484D-B718-CBB24332B0FD}" name="PivotTable14" cacheId="0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fieldListSortAscending="1">
  <location ref="A7:D15" firstHeaderRow="1" firstDataRow="4" firstDataCol="1" rowPageCount="4" colPageCount="1"/>
  <pivotFields count="32">
    <pivotField axis="axisCol" allDrilled="1" subtotalTop="0" showAll="0" dataSourceSort="1" defaultSubtotal="0">
      <items count="2">
        <item c="1" x="0" d="1"/>
        <item x="1" d="1"/>
      </items>
    </pivotField>
    <pivotField axis="axisCol" subtotalTop="0" showAll="0" dataSourceSort="1" defaultSubtotal="0">
      <items count="2">
        <item s="1" x="0"/>
        <item x="1"/>
      </items>
    </pivotField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Row" allDrilled="1" subtotalTop="0" showAll="0" dataSourceSort="1" defaultSubtotal="0">
      <items count="5">
        <item s="1"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/>
    <pivotField axis="axisRow" allDrilled="1" subtotalTop="0" showAll="0" dataSourceSort="1" defaultSubtotal="0">
      <items count="8">
        <item s="1"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>
      <items count="1">
        <item s="1"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>
      <items count="2">
        <item x="0"/>
        <item x="1"/>
      </items>
    </pivotField>
  </pivotFields>
  <rowFields count="4">
    <field x="27"/>
    <field x="23"/>
    <field x="28"/>
    <field x="31"/>
  </rowFields>
  <rowItems count="5">
    <i>
      <x/>
    </i>
    <i r="1">
      <x/>
    </i>
    <i r="2">
      <x/>
    </i>
    <i r="3">
      <x/>
    </i>
    <i r="3">
      <x v="1"/>
    </i>
  </rowItems>
  <colFields count="3">
    <field x="0"/>
    <field x="1"/>
    <field x="-2"/>
  </colFields>
  <colItems count="2">
    <i>
      <x/>
      <x/>
      <x/>
    </i>
    <i r="2" i="1">
      <x v="1"/>
    </i>
  </colItems>
  <pageFields count="4">
    <pageField fld="2" hier="17" name="[Acct_Sub_Account_Consolidated].[Hier_Consol Sub Account Code Desc].[All]" cap="All"/>
    <pageField fld="26" hier="1317" name="[Ledger].[Ledger Name].[Ledger_Name].&amp;[ARP Functional]" cap="ARP Functional"/>
    <pageField fld="29" hier="926" name="[Dataset_Information].[GFSDM Last Updated].[All]" cap="All"/>
    <pageField fld="30" hier="924" name="[Dataset_Information].[Dataset Last Refreshed].[All]" cap="All"/>
  </pageFields>
  <dataFields count="2">
    <dataField fld="24" baseField="0" baseItem="0"/>
    <dataField fld="25" baseField="0" baseItem="0"/>
  </dataFields>
  <formats count="33">
    <format dxfId="33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27" count="1">
            <x v="3"/>
          </reference>
        </references>
      </pivotArea>
    </format>
    <format dxfId="32">
      <pivotArea dataOnly="0" labelOnly="1" fieldPosition="0">
        <references count="1">
          <reference field="27" count="1">
            <x v="3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27" count="1">
            <x v="0"/>
          </reference>
        </references>
      </pivotArea>
    </format>
    <format dxfId="30">
      <pivotArea dataOnly="0" labelOnly="1" fieldPosition="0">
        <references count="1">
          <reference field="27" count="1">
            <x v="0"/>
          </reference>
        </references>
      </pivotArea>
    </format>
    <format dxfId="29">
      <pivotArea dataOnly="0" labelOnly="1" fieldPosition="0">
        <references count="1">
          <reference field="27" count="3">
            <x v="1"/>
            <x v="2"/>
            <x v="5"/>
          </reference>
        </references>
      </pivotArea>
    </format>
    <format dxfId="28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27" count="1">
            <x v="4"/>
          </reference>
        </references>
      </pivotArea>
    </format>
    <format dxfId="27">
      <pivotArea dataOnly="0" labelOnly="1" fieldPosition="0">
        <references count="1">
          <reference field="27" count="1">
            <x v="4"/>
          </reference>
        </references>
      </pivotArea>
    </format>
    <format dxfId="26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27" count="3">
            <x v="1"/>
            <x v="2"/>
            <x v="5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27" count="1">
            <x v="6"/>
          </reference>
        </references>
      </pivotArea>
    </format>
    <format dxfId="24">
      <pivotArea dataOnly="0" labelOnly="1" fieldPosition="0">
        <references count="1">
          <reference field="27" count="1">
            <x v="6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27" count="1">
            <x v="7"/>
          </reference>
        </references>
      </pivotArea>
    </format>
    <format dxfId="22">
      <pivotArea dataOnly="0" labelOnly="1" fieldPosition="0">
        <references count="1">
          <reference field="27" count="1">
            <x v="7"/>
          </reference>
        </references>
      </pivotArea>
    </format>
    <format dxfId="21">
      <pivotArea collapsedLevelsAreSubtotals="1" fieldPosition="0">
        <references count="2">
          <reference field="23" count="1">
            <x v="3"/>
          </reference>
          <reference field="27" count="1" selected="0">
            <x v="3"/>
          </reference>
        </references>
      </pivotArea>
    </format>
    <format dxfId="20">
      <pivotArea dataOnly="0" labelOnly="1" fieldPosition="0">
        <references count="2">
          <reference field="23" count="1">
            <x v="3"/>
          </reference>
          <reference field="27" count="1" selected="0">
            <x v="3"/>
          </reference>
        </references>
      </pivotArea>
    </format>
    <format dxfId="19">
      <pivotArea collapsedLevelsAreSubtotals="1" fieldPosition="0">
        <references count="2">
          <reference field="23" count="1">
            <x v="3"/>
          </reference>
          <reference field="27" count="1" selected="0">
            <x v="3"/>
          </reference>
        </references>
      </pivotArea>
    </format>
    <format dxfId="18">
      <pivotArea dataOnly="0" labelOnly="1" fieldPosition="0">
        <references count="2">
          <reference field="23" count="1">
            <x v="3"/>
          </reference>
          <reference field="27" count="1" selected="0">
            <x v="3"/>
          </reference>
        </references>
      </pivotArea>
    </format>
    <format dxfId="17">
      <pivotArea collapsedLevelsAreSubtotals="1" fieldPosition="0">
        <references count="2">
          <reference field="23" count="1">
            <x v="1"/>
          </reference>
          <reference field="27" count="1" selected="0">
            <x v="3"/>
          </reference>
        </references>
      </pivotArea>
    </format>
    <format dxfId="16">
      <pivotArea dataOnly="0" labelOnly="1" fieldPosition="0">
        <references count="2">
          <reference field="23" count="1">
            <x v="1"/>
          </reference>
          <reference field="27" count="1" selected="0">
            <x v="3"/>
          </reference>
        </references>
      </pivotArea>
    </format>
    <format dxfId="15">
      <pivotArea collapsedLevelsAreSubtotals="1" fieldPosition="0">
        <references count="2">
          <reference field="23" count="1">
            <x v="1"/>
          </reference>
          <reference field="27" count="1" selected="0">
            <x v="7"/>
          </reference>
        </references>
      </pivotArea>
    </format>
    <format dxfId="14">
      <pivotArea dataOnly="0" labelOnly="1" fieldPosition="0">
        <references count="2">
          <reference field="23" count="1">
            <x v="1"/>
          </reference>
          <reference field="27" count="1" selected="0">
            <x v="7"/>
          </reference>
        </references>
      </pivotArea>
    </format>
    <format dxfId="13">
      <pivotArea collapsedLevelsAreSubtotals="1" fieldPosition="0">
        <references count="4">
          <reference field="4294967294" count="1" selected="0">
            <x v="1"/>
          </reference>
          <reference field="0" count="0" selected="0"/>
          <reference field="23" count="1">
            <x v="3"/>
          </reference>
          <reference field="27" count="1" selected="0">
            <x v="3"/>
          </reference>
        </references>
      </pivotArea>
    </format>
    <format dxfId="12">
      <pivotArea collapsedLevelsAreSubtotals="1" fieldPosition="0">
        <references count="4">
          <reference field="4294967294" count="1" selected="0">
            <x v="1"/>
          </reference>
          <reference field="0" count="0" selected="0"/>
          <reference field="23" count="1">
            <x v="4"/>
          </reference>
          <reference field="27" count="1" selected="0">
            <x v="0"/>
          </reference>
        </references>
      </pivotArea>
    </format>
    <format dxfId="11">
      <pivotArea collapsedLevelsAreSubtotals="1" fieldPosition="0">
        <references count="4">
          <reference field="4294967294" count="1" selected="0">
            <x v="1"/>
          </reference>
          <reference field="0" count="0" selected="0"/>
          <reference field="23" count="1">
            <x v="2"/>
          </reference>
          <reference field="27" count="1" selected="0">
            <x v="0"/>
          </reference>
        </references>
      </pivotArea>
    </format>
    <format dxfId="10">
      <pivotArea collapsedLevelsAreSubtotals="1" fieldPosition="0">
        <references count="2">
          <reference field="23" count="1">
            <x v="1"/>
          </reference>
          <reference field="27" count="1" selected="0">
            <x v="0"/>
          </reference>
        </references>
      </pivotArea>
    </format>
    <format dxfId="9">
      <pivotArea dataOnly="0" labelOnly="1" fieldPosition="0">
        <references count="2">
          <reference field="23" count="1">
            <x v="1"/>
          </reference>
          <reference field="27" count="1" selected="0">
            <x v="0"/>
          </reference>
        </references>
      </pivotArea>
    </format>
    <format dxfId="8">
      <pivotArea collapsedLevelsAreSubtotals="1" fieldPosition="0">
        <references count="2">
          <reference field="23" count="1">
            <x v="1"/>
          </reference>
          <reference field="27" count="1" selected="0">
            <x v="4"/>
          </reference>
        </references>
      </pivotArea>
    </format>
    <format dxfId="7">
      <pivotArea dataOnly="0" labelOnly="1" fieldPosition="0">
        <references count="2">
          <reference field="23" count="1">
            <x v="1"/>
          </reference>
          <reference field="27" count="1" selected="0">
            <x v="4"/>
          </reference>
        </references>
      </pivotArea>
    </format>
    <format dxfId="6">
      <pivotArea outline="0" collapsedLevelsAreSubtotals="1" fieldPosition="0"/>
    </format>
    <format dxfId="5">
      <pivotArea collapsedLevelsAreSubtotals="1" fieldPosition="0">
        <references count="4">
          <reference field="4294967294" count="2" selected="0">
            <x v="0"/>
            <x v="1"/>
          </reference>
          <reference field="1" count="1" selected="0">
            <x v="1"/>
          </reference>
          <reference field="23" count="1">
            <x v="0"/>
          </reference>
          <reference field="27" count="1" selected="0">
            <x v="1"/>
          </reference>
        </references>
      </pivotArea>
    </format>
    <format dxfId="4">
      <pivotArea collapsedLevelsAreSubtotals="1" fieldPosition="0">
        <references count="3">
          <reference field="4294967294" count="2" selected="0">
            <x v="0"/>
            <x v="1"/>
          </reference>
          <reference field="1" count="1" selected="0">
            <x v="1"/>
          </reference>
          <reference field="27" count="1">
            <x v="2"/>
          </reference>
        </references>
      </pivotArea>
    </format>
    <format dxfId="3">
      <pivotArea collapsedLevelsAreSubtotals="1" fieldPosition="0">
        <references count="4">
          <reference field="4294967294" count="2" selected="0">
            <x v="0"/>
            <x v="1"/>
          </reference>
          <reference field="1" count="1" selected="0">
            <x v="1"/>
          </reference>
          <reference field="23" count="1">
            <x v="0"/>
          </reference>
          <reference field="27" count="1" selected="0">
            <x v="2"/>
          </reference>
        </references>
      </pivotArea>
    </format>
    <format dxfId="2">
      <pivotArea collapsedLevelsAreSubtotals="1" fieldPosition="0">
        <references count="3">
          <reference field="4294967294" count="2" selected="0">
            <x v="0"/>
            <x v="1"/>
          </reference>
          <reference field="1" count="1" selected="0">
            <x v="1"/>
          </reference>
          <reference field="27" count="1">
            <x v="0"/>
          </reference>
        </references>
      </pivotArea>
    </format>
    <format dxfId="1">
      <pivotArea collapsedLevelsAreSubtotals="1" fieldPosition="0">
        <references count="4">
          <reference field="4294967294" count="2" selected="0">
            <x v="0"/>
            <x v="1"/>
          </reference>
          <reference field="1" count="1" selected="0">
            <x v="1"/>
          </reference>
          <reference field="23" count="1">
            <x v="0"/>
          </reference>
          <reference field="27" count="1" selected="0">
            <x v="0"/>
          </reference>
        </references>
      </pivotArea>
    </format>
  </formats>
  <pivotHierarchies count="255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Acct_Sub_Account_Consolidated].[Consol Sub Account Code Desc].[SL_Account_Code_Desc].&amp;[A700018-98:Benefits - Attrition]"/>
        <member name="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5" level="1">
        <member name="[Ledger].[Ledger Name].[Ledger_Name].&amp;[ARP Functional]"/>
        <member name="[Ledger].[Ledger Name].[Ledger_Name].&amp;[ARS Functional]"/>
        <member name="[Ledger].[Ledger Name].[Ledger_Name].&amp;[AUD Functional]"/>
        <member name="[Ledger].[Ledger Name].[Ledger_Name].&amp;[BRL Functional]"/>
        <member name="[Ledger].[Ledger Name].[Ledger_Name].&amp;[CAD Functional]"/>
        <member name="[Ledger].[Ledger Name].[Ledger_Name].&amp;[CHF Functional]"/>
        <member name="[Ledger].[Ledger Name].[Ledger_Name].&amp;[CLP Functional]"/>
        <member name="[Ledger].[Ledger Name].[Ledger_Name].&amp;[CNY Functional]"/>
        <member name="[Ledger].[Ledger Name].[Ledger_Name].&amp;[COP Functional]"/>
        <member name="[Ledger].[Ledger Name].[Ledger_Name].&amp;[CZK Functional]"/>
        <member name="[Ledger].[Ledger Name].[Ledger_Name].&amp;[DKK Functional]"/>
        <member name="[Ledger].[Ledger Name].[Ledger_Name].&amp;[EUR Functional]"/>
        <member name="[Ledger].[Ledger Name].[Ledger_Name].&amp;[GBP Functional]"/>
        <member name="[Ledger].[Ledger Name].[Ledger_Name].&amp;[HKD Functional]"/>
        <member name="[Ledger].[Ledger Name].[Ledger_Name].&amp;[HUF Functional]"/>
        <member name="[Ledger].[Ledger Name].[Ledger_Name].&amp;[INR Functional]"/>
        <member name="[Ledger].[Ledger Name].[Ledger_Name].&amp;[IRL Functional]"/>
        <member name="[Ledger].[Ledger Name].[Ledger_Name].&amp;[JPY Functional]"/>
        <member name="[Ledger].[Ledger Name].[Ledger_Name].&amp;[KRW Functional]"/>
        <member name="[Ledger].[Ledger Name].[Ledger_Name].&amp;[MXN Functional]"/>
        <member name="[Ledger].[Ledger Name].[Ledger_Name].&amp;[MYR Functional]"/>
        <member name="[Ledger].[Ledger Name].[Ledger_Name].&amp;[NOK Functional]"/>
        <member name="[Ledger].[Ledger Name].[Ledger_Name].&amp;[NZD Functional]"/>
        <member name="[Ledger].[Ledger Name].[Ledger_Name].&amp;[PEN Functional]"/>
        <member name="[Ledger].[Ledger Name].[Ledger_Name].&amp;[PHP Functional]"/>
        <member name="[Ledger].[Ledger Name].[Ledger_Name].&amp;[PLN Functional]"/>
        <member name="[Ledger].[Ledger Name].[Ledger_Name].&amp;[RON Functional]"/>
        <member name="[Ledger].[Ledger Name].[Ledger_Name].&amp;[SEK Functional]"/>
        <member name="[Ledger].[Ledger Name].[Ledger_Name].&amp;[SGD Functional]"/>
        <member name="[Ledger].[Ledger Name].[Ledger_Name].&amp;[THB Functional]"/>
        <member name="[Ledger].[Ledger Name].[Ledger_Name].&amp;[TRY Functional]"/>
        <member name="[Ledger].[Ledger Name].[Ledger_Name].&amp;[TWD Functional]"/>
        <member name="[Ledger].[Ledger Name].[Ledger_Name].&amp;[USD Functional]"/>
        <member name="[Ledger].[Ledger Name].[Ledger_Name].&amp;[UYU Functional]"/>
        <member name="[Ledger].[Ledger Name].[Ledger_Name].&amp;[ZAR Functiona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1004"/>
    <rowHierarchyUsage hierarchyUsage="13"/>
    <rowHierarchyUsage hierarchyUsage="639"/>
    <rowHierarchyUsage hierarchyUsage="532"/>
  </rowHierarchiesUsage>
  <colHierarchiesUsage count="2">
    <colHierarchyUsage hierarchyUsage="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14B4-CA10-4587-B8B9-0C15EE259159}">
  <sheetPr>
    <tabColor rgb="FFFFC000"/>
  </sheetPr>
  <dimension ref="A1:AL2358"/>
  <sheetViews>
    <sheetView workbookViewId="0">
      <selection activeCell="A3" sqref="A3:XFD3"/>
    </sheetView>
  </sheetViews>
  <sheetFormatPr defaultRowHeight="12.75"/>
  <cols>
    <col min="1" max="2" width="14.140625" bestFit="1" customWidth="1"/>
    <col min="3" max="3" width="7.28515625" bestFit="1" customWidth="1"/>
    <col min="4" max="4" width="22.7109375" bestFit="1" customWidth="1"/>
    <col min="5" max="5" width="8.28515625" bestFit="1" customWidth="1"/>
    <col min="6" max="6" width="15.42578125" bestFit="1" customWidth="1"/>
    <col min="7" max="7" width="22.140625" bestFit="1" customWidth="1"/>
    <col min="8" max="8" width="9.28515625" bestFit="1" customWidth="1"/>
    <col min="9" max="9" width="7.28515625" bestFit="1" customWidth="1"/>
    <col min="10" max="10" width="14.85546875" bestFit="1" customWidth="1"/>
    <col min="11" max="11" width="8.28515625" bestFit="1" customWidth="1"/>
    <col min="12" max="12" width="12.7109375" bestFit="1" customWidth="1"/>
    <col min="13" max="13" width="7.5703125" bestFit="1" customWidth="1"/>
    <col min="14" max="14" width="12" bestFit="1" customWidth="1"/>
    <col min="15" max="15" width="19.28515625" bestFit="1" customWidth="1"/>
    <col min="16" max="16" width="17.5703125" bestFit="1" customWidth="1"/>
    <col min="17" max="17" width="27.5703125" bestFit="1" customWidth="1"/>
    <col min="18" max="18" width="17.42578125" bestFit="1" customWidth="1"/>
    <col min="19" max="19" width="16.85546875" bestFit="1" customWidth="1"/>
    <col min="20" max="20" width="6.28515625" bestFit="1" customWidth="1"/>
    <col min="21" max="21" width="9.5703125" bestFit="1" customWidth="1"/>
    <col min="22" max="22" width="12.42578125" bestFit="1" customWidth="1"/>
    <col min="23" max="23" width="7.5703125" bestFit="1" customWidth="1"/>
    <col min="24" max="24" width="13.28515625" bestFit="1" customWidth="1"/>
    <col min="25" max="25" width="11" bestFit="1" customWidth="1"/>
    <col min="26" max="26" width="24.5703125" bestFit="1" customWidth="1"/>
    <col min="27" max="27" width="16.85546875" bestFit="1" customWidth="1"/>
    <col min="28" max="28" width="18.140625" bestFit="1" customWidth="1"/>
    <col min="29" max="29" width="13.5703125" bestFit="1" customWidth="1"/>
    <col min="31" max="31" width="10.28515625" bestFit="1" customWidth="1"/>
    <col min="32" max="32" width="18.85546875" bestFit="1" customWidth="1"/>
    <col min="33" max="33" width="17.5703125" bestFit="1" customWidth="1"/>
    <col min="34" max="34" width="20.85546875" bestFit="1" customWidth="1"/>
    <col min="35" max="35" width="14.7109375" bestFit="1" customWidth="1"/>
    <col min="36" max="36" width="11.85546875" bestFit="1" customWidth="1"/>
    <col min="37" max="37" width="12.7109375" bestFit="1" customWidth="1"/>
    <col min="38" max="38" width="14.140625" bestFit="1" customWidth="1"/>
  </cols>
  <sheetData>
    <row r="1" spans="1:38" ht="15">
      <c r="A1" s="42" t="s">
        <v>18192</v>
      </c>
      <c r="B1" s="42" t="s">
        <v>18193</v>
      </c>
      <c r="C1" s="43" t="s">
        <v>18194</v>
      </c>
      <c r="D1" s="43" t="s">
        <v>18195</v>
      </c>
      <c r="E1" s="43" t="s">
        <v>18196</v>
      </c>
      <c r="F1" s="42" t="s">
        <v>18197</v>
      </c>
      <c r="G1" s="42" t="s">
        <v>18198</v>
      </c>
      <c r="H1" s="42" t="s">
        <v>18199</v>
      </c>
      <c r="I1" s="42" t="s">
        <v>18200</v>
      </c>
      <c r="J1" s="44" t="s">
        <v>18201</v>
      </c>
      <c r="K1" s="42" t="s">
        <v>18202</v>
      </c>
      <c r="L1" s="42" t="s">
        <v>18203</v>
      </c>
      <c r="M1" s="42" t="s">
        <v>18204</v>
      </c>
      <c r="N1" s="42" t="s">
        <v>18205</v>
      </c>
      <c r="O1" s="42" t="s">
        <v>18206</v>
      </c>
      <c r="P1" s="42" t="s">
        <v>18207</v>
      </c>
      <c r="Q1" s="42" t="s">
        <v>18208</v>
      </c>
      <c r="R1" s="42" t="s">
        <v>18209</v>
      </c>
      <c r="S1" s="42" t="s">
        <v>18210</v>
      </c>
      <c r="T1" s="42" t="s">
        <v>9617</v>
      </c>
      <c r="U1" s="42" t="s">
        <v>18211</v>
      </c>
      <c r="V1" s="42" t="s">
        <v>18212</v>
      </c>
      <c r="W1" s="42" t="s">
        <v>18213</v>
      </c>
      <c r="X1" s="42" t="s">
        <v>18214</v>
      </c>
      <c r="Y1" s="42" t="s">
        <v>18215</v>
      </c>
      <c r="Z1" s="42" t="s">
        <v>18216</v>
      </c>
      <c r="AA1" s="42" t="s">
        <v>18217</v>
      </c>
      <c r="AB1" s="42" t="s">
        <v>18218</v>
      </c>
      <c r="AC1" s="42" t="s">
        <v>18219</v>
      </c>
      <c r="AD1" s="42" t="s">
        <v>18220</v>
      </c>
      <c r="AE1" s="42" t="s">
        <v>18221</v>
      </c>
      <c r="AF1" s="42" t="s">
        <v>18222</v>
      </c>
      <c r="AG1" s="42" t="s">
        <v>18223</v>
      </c>
      <c r="AH1" s="42" t="s">
        <v>18224</v>
      </c>
      <c r="AI1" s="42" t="s">
        <v>18225</v>
      </c>
      <c r="AJ1" s="42" t="s">
        <v>18226</v>
      </c>
      <c r="AK1" s="42" t="s">
        <v>18227</v>
      </c>
      <c r="AL1" s="42" t="s">
        <v>18228</v>
      </c>
    </row>
    <row r="2" spans="1:38">
      <c r="A2" t="s">
        <v>18229</v>
      </c>
      <c r="B2" t="s">
        <v>20252</v>
      </c>
      <c r="C2" t="s">
        <v>13311</v>
      </c>
      <c r="D2" t="s">
        <v>16721</v>
      </c>
      <c r="E2" t="s">
        <v>5511</v>
      </c>
      <c r="F2" t="s">
        <v>18230</v>
      </c>
      <c r="G2" t="s">
        <v>18231</v>
      </c>
      <c r="H2" t="s">
        <v>18232</v>
      </c>
      <c r="I2" t="s">
        <v>1922</v>
      </c>
      <c r="J2" s="31">
        <f>-Allocation!I10</f>
        <v>-8646841.0762598608</v>
      </c>
      <c r="Q2" t="s">
        <v>20286</v>
      </c>
    </row>
    <row r="3" spans="1:38">
      <c r="A3" t="s">
        <v>18229</v>
      </c>
      <c r="B3" t="s">
        <v>20252</v>
      </c>
      <c r="C3" t="s">
        <v>13311</v>
      </c>
      <c r="D3" t="s">
        <v>16721</v>
      </c>
      <c r="E3" t="s">
        <v>5511</v>
      </c>
      <c r="F3" t="s">
        <v>18230</v>
      </c>
      <c r="G3" t="s">
        <v>18231</v>
      </c>
      <c r="H3" t="s">
        <v>13282</v>
      </c>
      <c r="I3" t="s">
        <v>1922</v>
      </c>
      <c r="J3" s="31">
        <f>-Allocation!I9</f>
        <v>-28628.793740133959</v>
      </c>
      <c r="Q3" t="s">
        <v>20286</v>
      </c>
    </row>
    <row r="4" spans="1:38">
      <c r="A4" t="s">
        <v>18229</v>
      </c>
      <c r="B4" t="s">
        <v>20252</v>
      </c>
      <c r="C4" s="50" t="s">
        <v>13282</v>
      </c>
      <c r="D4" t="s">
        <v>16721</v>
      </c>
      <c r="E4" s="50" t="s">
        <v>18171</v>
      </c>
      <c r="F4" t="s">
        <v>18230</v>
      </c>
      <c r="G4" t="s">
        <v>18231</v>
      </c>
      <c r="H4" t="s">
        <v>13311</v>
      </c>
      <c r="I4" t="s">
        <v>1922</v>
      </c>
      <c r="J4" s="4">
        <v>285.14560129098021</v>
      </c>
      <c r="Q4" t="s">
        <v>20286</v>
      </c>
    </row>
    <row r="5" spans="1:38">
      <c r="A5" t="s">
        <v>18229</v>
      </c>
      <c r="B5" t="s">
        <v>20252</v>
      </c>
      <c r="C5" t="s">
        <v>13311</v>
      </c>
      <c r="D5" t="s">
        <v>16721</v>
      </c>
      <c r="E5" t="s">
        <v>3601</v>
      </c>
      <c r="F5" t="s">
        <v>18230</v>
      </c>
      <c r="G5" t="s">
        <v>18231</v>
      </c>
      <c r="H5" t="s">
        <v>18232</v>
      </c>
      <c r="I5" t="s">
        <v>1922</v>
      </c>
      <c r="J5" s="4">
        <v>5520.6774455959803</v>
      </c>
      <c r="Q5" t="s">
        <v>20286</v>
      </c>
    </row>
    <row r="6" spans="1:38">
      <c r="A6" t="s">
        <v>18229</v>
      </c>
      <c r="B6" t="s">
        <v>20252</v>
      </c>
      <c r="C6" t="s">
        <v>13311</v>
      </c>
      <c r="D6" t="s">
        <v>16721</v>
      </c>
      <c r="E6" t="s">
        <v>8609</v>
      </c>
      <c r="F6" t="s">
        <v>18230</v>
      </c>
      <c r="G6" t="s">
        <v>18231</v>
      </c>
      <c r="H6" t="s">
        <v>18232</v>
      </c>
      <c r="I6" t="s">
        <v>1922</v>
      </c>
      <c r="J6" s="4">
        <v>802.9638883895492</v>
      </c>
      <c r="Q6" t="s">
        <v>20286</v>
      </c>
    </row>
    <row r="7" spans="1:38">
      <c r="A7" t="s">
        <v>18229</v>
      </c>
      <c r="B7" t="s">
        <v>20252</v>
      </c>
      <c r="C7" t="s">
        <v>13311</v>
      </c>
      <c r="D7" t="s">
        <v>16721</v>
      </c>
      <c r="E7" t="s">
        <v>3610</v>
      </c>
      <c r="F7" t="s">
        <v>18230</v>
      </c>
      <c r="G7" t="s">
        <v>18231</v>
      </c>
      <c r="H7" t="s">
        <v>18232</v>
      </c>
      <c r="I7" t="s">
        <v>1922</v>
      </c>
      <c r="J7" s="4">
        <v>10477.008191777722</v>
      </c>
      <c r="Q7" t="s">
        <v>20286</v>
      </c>
    </row>
    <row r="8" spans="1:38">
      <c r="A8" t="s">
        <v>18229</v>
      </c>
      <c r="B8" t="s">
        <v>20252</v>
      </c>
      <c r="C8" t="s">
        <v>13311</v>
      </c>
      <c r="D8" t="s">
        <v>16721</v>
      </c>
      <c r="E8" t="s">
        <v>3619</v>
      </c>
      <c r="F8" t="s">
        <v>18230</v>
      </c>
      <c r="G8" t="s">
        <v>18231</v>
      </c>
      <c r="H8" t="s">
        <v>18232</v>
      </c>
      <c r="I8" t="s">
        <v>1922</v>
      </c>
      <c r="J8" s="4">
        <v>8264.6339070882968</v>
      </c>
      <c r="Q8" t="s">
        <v>20286</v>
      </c>
    </row>
    <row r="9" spans="1:38">
      <c r="A9" t="s">
        <v>18229</v>
      </c>
      <c r="B9" t="s">
        <v>20252</v>
      </c>
      <c r="C9" t="s">
        <v>13311</v>
      </c>
      <c r="D9" t="s">
        <v>16721</v>
      </c>
      <c r="E9" t="s">
        <v>3622</v>
      </c>
      <c r="F9" t="s">
        <v>18230</v>
      </c>
      <c r="G9" t="s">
        <v>18231</v>
      </c>
      <c r="H9" t="s">
        <v>18232</v>
      </c>
      <c r="I9" t="s">
        <v>1922</v>
      </c>
      <c r="J9" s="4">
        <v>2712.9732482160039</v>
      </c>
      <c r="Q9" t="s">
        <v>20286</v>
      </c>
    </row>
    <row r="10" spans="1:38">
      <c r="A10" t="s">
        <v>18229</v>
      </c>
      <c r="B10" t="s">
        <v>20252</v>
      </c>
      <c r="C10" t="s">
        <v>13311</v>
      </c>
      <c r="D10" t="s">
        <v>16721</v>
      </c>
      <c r="E10" t="s">
        <v>7845</v>
      </c>
      <c r="F10" t="s">
        <v>18230</v>
      </c>
      <c r="G10" t="s">
        <v>18231</v>
      </c>
      <c r="H10" t="s">
        <v>18232</v>
      </c>
      <c r="I10" t="s">
        <v>1922</v>
      </c>
      <c r="J10" s="4">
        <v>5686.7713556558365</v>
      </c>
      <c r="Q10" t="s">
        <v>20286</v>
      </c>
    </row>
    <row r="11" spans="1:38">
      <c r="A11" t="s">
        <v>18229</v>
      </c>
      <c r="B11" t="s">
        <v>20252</v>
      </c>
      <c r="C11" t="s">
        <v>13311</v>
      </c>
      <c r="D11" t="s">
        <v>16721</v>
      </c>
      <c r="E11" t="s">
        <v>7039</v>
      </c>
      <c r="F11" t="s">
        <v>18230</v>
      </c>
      <c r="G11" t="s">
        <v>18231</v>
      </c>
      <c r="H11" t="s">
        <v>18232</v>
      </c>
      <c r="I11" t="s">
        <v>1922</v>
      </c>
      <c r="J11" s="4">
        <v>5762.7926020907107</v>
      </c>
      <c r="Q11" t="s">
        <v>20286</v>
      </c>
    </row>
    <row r="12" spans="1:38">
      <c r="A12" t="s">
        <v>18229</v>
      </c>
      <c r="B12" t="s">
        <v>20252</v>
      </c>
      <c r="C12" t="s">
        <v>13311</v>
      </c>
      <c r="D12" t="s">
        <v>16721</v>
      </c>
      <c r="E12" t="s">
        <v>3632</v>
      </c>
      <c r="F12" t="s">
        <v>18230</v>
      </c>
      <c r="G12" t="s">
        <v>18231</v>
      </c>
      <c r="H12" t="s">
        <v>18232</v>
      </c>
      <c r="I12" t="s">
        <v>1922</v>
      </c>
      <c r="J12" s="4">
        <v>4818.8517756691017</v>
      </c>
      <c r="Q12" t="s">
        <v>20286</v>
      </c>
    </row>
    <row r="13" spans="1:38">
      <c r="A13" t="s">
        <v>18229</v>
      </c>
      <c r="B13" t="s">
        <v>20252</v>
      </c>
      <c r="C13" t="s">
        <v>13311</v>
      </c>
      <c r="D13" t="s">
        <v>16721</v>
      </c>
      <c r="E13" t="s">
        <v>7015</v>
      </c>
      <c r="F13" t="s">
        <v>18230</v>
      </c>
      <c r="G13" t="s">
        <v>18231</v>
      </c>
      <c r="H13" t="s">
        <v>18232</v>
      </c>
      <c r="I13" t="s">
        <v>1922</v>
      </c>
      <c r="J13" s="4">
        <v>16824.505800353363</v>
      </c>
      <c r="Q13" t="s">
        <v>20286</v>
      </c>
    </row>
    <row r="14" spans="1:38">
      <c r="A14" t="s">
        <v>18229</v>
      </c>
      <c r="B14" t="s">
        <v>20252</v>
      </c>
      <c r="C14" t="s">
        <v>13311</v>
      </c>
      <c r="D14" t="s">
        <v>16721</v>
      </c>
      <c r="E14" t="s">
        <v>7012</v>
      </c>
      <c r="F14" t="s">
        <v>18230</v>
      </c>
      <c r="G14" t="s">
        <v>18231</v>
      </c>
      <c r="H14" t="s">
        <v>18232</v>
      </c>
      <c r="I14" t="s">
        <v>1922</v>
      </c>
      <c r="J14" s="4">
        <v>6416.180949411656</v>
      </c>
      <c r="Q14" t="s">
        <v>20286</v>
      </c>
    </row>
    <row r="15" spans="1:38">
      <c r="A15" t="s">
        <v>18229</v>
      </c>
      <c r="B15" t="s">
        <v>20252</v>
      </c>
      <c r="C15" t="s">
        <v>13311</v>
      </c>
      <c r="D15" t="s">
        <v>16721</v>
      </c>
      <c r="E15" t="s">
        <v>7018</v>
      </c>
      <c r="F15" t="s">
        <v>18230</v>
      </c>
      <c r="G15" t="s">
        <v>18231</v>
      </c>
      <c r="H15" t="s">
        <v>18232</v>
      </c>
      <c r="I15" t="s">
        <v>1922</v>
      </c>
      <c r="J15" s="4">
        <v>6279.5458465496122</v>
      </c>
      <c r="Q15" t="s">
        <v>20286</v>
      </c>
    </row>
    <row r="16" spans="1:38">
      <c r="A16" t="s">
        <v>18229</v>
      </c>
      <c r="B16" t="s">
        <v>20252</v>
      </c>
      <c r="C16" t="s">
        <v>13311</v>
      </c>
      <c r="D16" t="s">
        <v>16721</v>
      </c>
      <c r="E16" t="s">
        <v>7055</v>
      </c>
      <c r="F16" t="s">
        <v>18230</v>
      </c>
      <c r="G16" t="s">
        <v>18231</v>
      </c>
      <c r="H16" t="s">
        <v>18232</v>
      </c>
      <c r="I16" t="s">
        <v>1922</v>
      </c>
      <c r="J16" s="4">
        <v>4506.3536336146663</v>
      </c>
      <c r="Q16" t="s">
        <v>20286</v>
      </c>
    </row>
    <row r="17" spans="1:17">
      <c r="A17" t="s">
        <v>18229</v>
      </c>
      <c r="B17" t="s">
        <v>20252</v>
      </c>
      <c r="C17" t="s">
        <v>13311</v>
      </c>
      <c r="D17" t="s">
        <v>16721</v>
      </c>
      <c r="E17" t="s">
        <v>6397</v>
      </c>
      <c r="F17" t="s">
        <v>18230</v>
      </c>
      <c r="G17" t="s">
        <v>18231</v>
      </c>
      <c r="H17" t="s">
        <v>18232</v>
      </c>
      <c r="I17" t="s">
        <v>1922</v>
      </c>
      <c r="J17" s="4">
        <v>3027.9536541862126</v>
      </c>
      <c r="Q17" t="s">
        <v>20286</v>
      </c>
    </row>
    <row r="18" spans="1:17">
      <c r="A18" t="s">
        <v>18229</v>
      </c>
      <c r="B18" t="s">
        <v>20252</v>
      </c>
      <c r="C18" t="s">
        <v>13311</v>
      </c>
      <c r="D18" t="s">
        <v>16721</v>
      </c>
      <c r="E18" t="s">
        <v>3698</v>
      </c>
      <c r="F18" t="s">
        <v>18230</v>
      </c>
      <c r="G18" t="s">
        <v>18231</v>
      </c>
      <c r="H18" t="s">
        <v>18232</v>
      </c>
      <c r="I18" t="s">
        <v>1922</v>
      </c>
      <c r="J18" s="4">
        <v>12755.258596288077</v>
      </c>
      <c r="Q18" t="s">
        <v>20286</v>
      </c>
    </row>
    <row r="19" spans="1:17">
      <c r="A19" t="s">
        <v>18229</v>
      </c>
      <c r="B19" t="s">
        <v>20252</v>
      </c>
      <c r="C19" t="s">
        <v>13311</v>
      </c>
      <c r="D19" t="s">
        <v>16721</v>
      </c>
      <c r="E19" t="s">
        <v>3701</v>
      </c>
      <c r="F19" t="s">
        <v>18230</v>
      </c>
      <c r="G19" t="s">
        <v>18231</v>
      </c>
      <c r="H19" t="s">
        <v>18232</v>
      </c>
      <c r="I19" t="s">
        <v>1922</v>
      </c>
      <c r="J19" s="4">
        <v>13752.60637718537</v>
      </c>
      <c r="Q19" t="s">
        <v>20286</v>
      </c>
    </row>
    <row r="20" spans="1:17">
      <c r="A20" t="s">
        <v>18229</v>
      </c>
      <c r="B20" t="s">
        <v>20252</v>
      </c>
      <c r="C20" t="s">
        <v>13311</v>
      </c>
      <c r="D20" t="s">
        <v>16721</v>
      </c>
      <c r="E20" t="s">
        <v>3704</v>
      </c>
      <c r="F20" t="s">
        <v>18230</v>
      </c>
      <c r="G20" t="s">
        <v>18231</v>
      </c>
      <c r="H20" t="s">
        <v>18232</v>
      </c>
      <c r="I20" t="s">
        <v>1922</v>
      </c>
      <c r="J20" s="4">
        <v>14829.946346244351</v>
      </c>
      <c r="Q20" t="s">
        <v>20286</v>
      </c>
    </row>
    <row r="21" spans="1:17">
      <c r="A21" t="s">
        <v>18229</v>
      </c>
      <c r="B21" t="s">
        <v>20252</v>
      </c>
      <c r="C21" t="s">
        <v>13311</v>
      </c>
      <c r="D21" t="s">
        <v>16721</v>
      </c>
      <c r="E21" t="s">
        <v>5015</v>
      </c>
      <c r="F21" t="s">
        <v>18230</v>
      </c>
      <c r="G21" t="s">
        <v>18231</v>
      </c>
      <c r="H21" t="s">
        <v>18232</v>
      </c>
      <c r="I21" t="s">
        <v>1922</v>
      </c>
      <c r="J21" s="4">
        <v>14758.680362074441</v>
      </c>
      <c r="Q21" t="s">
        <v>20286</v>
      </c>
    </row>
    <row r="22" spans="1:17">
      <c r="A22" t="s">
        <v>18229</v>
      </c>
      <c r="B22" t="s">
        <v>20252</v>
      </c>
      <c r="C22" t="s">
        <v>13311</v>
      </c>
      <c r="D22" t="s">
        <v>16721</v>
      </c>
      <c r="E22" t="s">
        <v>7107</v>
      </c>
      <c r="F22" t="s">
        <v>18230</v>
      </c>
      <c r="G22" t="s">
        <v>18231</v>
      </c>
      <c r="H22" t="s">
        <v>18232</v>
      </c>
      <c r="I22" t="s">
        <v>1922</v>
      </c>
      <c r="J22" s="4">
        <v>9801.7422353457951</v>
      </c>
      <c r="Q22" t="s">
        <v>20286</v>
      </c>
    </row>
    <row r="23" spans="1:17">
      <c r="A23" t="s">
        <v>18229</v>
      </c>
      <c r="B23" t="s">
        <v>20252</v>
      </c>
      <c r="C23" t="s">
        <v>13311</v>
      </c>
      <c r="D23" t="s">
        <v>16721</v>
      </c>
      <c r="E23" t="s">
        <v>7113</v>
      </c>
      <c r="F23" t="s">
        <v>18230</v>
      </c>
      <c r="G23" t="s">
        <v>18231</v>
      </c>
      <c r="H23" t="s">
        <v>18232</v>
      </c>
      <c r="I23" t="s">
        <v>1922</v>
      </c>
      <c r="J23" s="4">
        <v>12111.828227513404</v>
      </c>
      <c r="Q23" t="s">
        <v>20286</v>
      </c>
    </row>
    <row r="24" spans="1:17">
      <c r="A24" t="s">
        <v>18229</v>
      </c>
      <c r="B24" t="s">
        <v>20252</v>
      </c>
      <c r="C24" t="s">
        <v>13311</v>
      </c>
      <c r="D24" t="s">
        <v>16721</v>
      </c>
      <c r="E24" t="s">
        <v>7110</v>
      </c>
      <c r="F24" t="s">
        <v>18230</v>
      </c>
      <c r="G24" t="s">
        <v>18231</v>
      </c>
      <c r="H24" t="s">
        <v>18232</v>
      </c>
      <c r="I24" t="s">
        <v>1922</v>
      </c>
      <c r="J24" s="4">
        <v>11009.93953601393</v>
      </c>
      <c r="Q24" t="s">
        <v>20286</v>
      </c>
    </row>
    <row r="25" spans="1:17">
      <c r="A25" t="s">
        <v>18229</v>
      </c>
      <c r="B25" t="s">
        <v>20252</v>
      </c>
      <c r="C25" t="s">
        <v>13311</v>
      </c>
      <c r="D25" t="s">
        <v>16721</v>
      </c>
      <c r="E25" t="s">
        <v>3721</v>
      </c>
      <c r="F25" t="s">
        <v>18230</v>
      </c>
      <c r="G25" t="s">
        <v>18231</v>
      </c>
      <c r="H25" t="s">
        <v>18232</v>
      </c>
      <c r="I25" t="s">
        <v>1922</v>
      </c>
      <c r="J25" s="4">
        <v>3669.7252105428697</v>
      </c>
      <c r="Q25" t="s">
        <v>20286</v>
      </c>
    </row>
    <row r="26" spans="1:17">
      <c r="A26" t="s">
        <v>18229</v>
      </c>
      <c r="B26" t="s">
        <v>20252</v>
      </c>
      <c r="C26" t="s">
        <v>13311</v>
      </c>
      <c r="D26" t="s">
        <v>16721</v>
      </c>
      <c r="E26" t="s">
        <v>3727</v>
      </c>
      <c r="F26" t="s">
        <v>18230</v>
      </c>
      <c r="G26" t="s">
        <v>18231</v>
      </c>
      <c r="H26" t="s">
        <v>18232</v>
      </c>
      <c r="I26" t="s">
        <v>1922</v>
      </c>
      <c r="J26" s="4">
        <v>6023.2771921005888</v>
      </c>
      <c r="Q26" t="s">
        <v>20286</v>
      </c>
    </row>
    <row r="27" spans="1:17">
      <c r="A27" t="s">
        <v>18229</v>
      </c>
      <c r="B27" t="s">
        <v>20252</v>
      </c>
      <c r="C27" t="s">
        <v>13311</v>
      </c>
      <c r="D27" t="s">
        <v>16721</v>
      </c>
      <c r="E27" t="s">
        <v>3762</v>
      </c>
      <c r="F27" t="s">
        <v>18230</v>
      </c>
      <c r="G27" t="s">
        <v>18231</v>
      </c>
      <c r="H27" t="s">
        <v>18232</v>
      </c>
      <c r="I27" t="s">
        <v>1922</v>
      </c>
      <c r="J27" s="4">
        <v>12567.948900738369</v>
      </c>
      <c r="Q27" t="s">
        <v>20286</v>
      </c>
    </row>
    <row r="28" spans="1:17">
      <c r="A28" t="s">
        <v>18229</v>
      </c>
      <c r="B28" t="s">
        <v>20252</v>
      </c>
      <c r="C28" t="s">
        <v>13311</v>
      </c>
      <c r="D28" t="s">
        <v>16721</v>
      </c>
      <c r="E28" t="s">
        <v>7419</v>
      </c>
      <c r="F28" t="s">
        <v>18230</v>
      </c>
      <c r="G28" t="s">
        <v>18231</v>
      </c>
      <c r="H28" t="s">
        <v>18232</v>
      </c>
      <c r="I28" t="s">
        <v>1922</v>
      </c>
      <c r="J28" s="4">
        <v>17661.687160897829</v>
      </c>
      <c r="Q28" t="s">
        <v>20286</v>
      </c>
    </row>
    <row r="29" spans="1:17">
      <c r="A29" t="s">
        <v>18229</v>
      </c>
      <c r="B29" t="s">
        <v>20252</v>
      </c>
      <c r="C29" t="s">
        <v>13311</v>
      </c>
      <c r="D29" t="s">
        <v>16721</v>
      </c>
      <c r="E29" t="s">
        <v>3797</v>
      </c>
      <c r="F29" t="s">
        <v>18230</v>
      </c>
      <c r="G29" t="s">
        <v>18231</v>
      </c>
      <c r="H29" t="s">
        <v>18232</v>
      </c>
      <c r="I29" t="s">
        <v>1922</v>
      </c>
      <c r="J29" s="4">
        <v>11383.000494113443</v>
      </c>
      <c r="Q29" t="s">
        <v>20286</v>
      </c>
    </row>
    <row r="30" spans="1:17">
      <c r="A30" t="s">
        <v>18229</v>
      </c>
      <c r="B30" t="s">
        <v>20252</v>
      </c>
      <c r="C30" t="s">
        <v>13311</v>
      </c>
      <c r="D30" t="s">
        <v>16721</v>
      </c>
      <c r="E30" t="s">
        <v>3811</v>
      </c>
      <c r="F30" t="s">
        <v>18230</v>
      </c>
      <c r="G30" t="s">
        <v>18231</v>
      </c>
      <c r="H30" t="s">
        <v>18232</v>
      </c>
      <c r="I30" t="s">
        <v>1922</v>
      </c>
      <c r="J30" s="4">
        <v>6903.4685812884682</v>
      </c>
      <c r="Q30" t="s">
        <v>20286</v>
      </c>
    </row>
    <row r="31" spans="1:17">
      <c r="A31" t="s">
        <v>18229</v>
      </c>
      <c r="B31" t="s">
        <v>20252</v>
      </c>
      <c r="C31" t="s">
        <v>13311</v>
      </c>
      <c r="D31" t="s">
        <v>16721</v>
      </c>
      <c r="E31" t="s">
        <v>7058</v>
      </c>
      <c r="F31" t="s">
        <v>18230</v>
      </c>
      <c r="G31" t="s">
        <v>18231</v>
      </c>
      <c r="H31" t="s">
        <v>18232</v>
      </c>
      <c r="I31" t="s">
        <v>1922</v>
      </c>
      <c r="J31" s="4">
        <v>18844.502079551283</v>
      </c>
      <c r="Q31" t="s">
        <v>20286</v>
      </c>
    </row>
    <row r="32" spans="1:17">
      <c r="A32" t="s">
        <v>18229</v>
      </c>
      <c r="B32" t="s">
        <v>20252</v>
      </c>
      <c r="C32" t="s">
        <v>13311</v>
      </c>
      <c r="D32" t="s">
        <v>16721</v>
      </c>
      <c r="E32" t="s">
        <v>7061</v>
      </c>
      <c r="F32" t="s">
        <v>18230</v>
      </c>
      <c r="G32" t="s">
        <v>18231</v>
      </c>
      <c r="H32" t="s">
        <v>18232</v>
      </c>
      <c r="I32" t="s">
        <v>1922</v>
      </c>
      <c r="J32" s="4">
        <v>11386.474642787884</v>
      </c>
      <c r="Q32" t="s">
        <v>20286</v>
      </c>
    </row>
    <row r="33" spans="1:17">
      <c r="A33" t="s">
        <v>18229</v>
      </c>
      <c r="B33" t="s">
        <v>20252</v>
      </c>
      <c r="C33" t="s">
        <v>13311</v>
      </c>
      <c r="D33" t="s">
        <v>16721</v>
      </c>
      <c r="E33" t="s">
        <v>7064</v>
      </c>
      <c r="F33" t="s">
        <v>18230</v>
      </c>
      <c r="G33" t="s">
        <v>18231</v>
      </c>
      <c r="H33" t="s">
        <v>18232</v>
      </c>
      <c r="I33" t="s">
        <v>1922</v>
      </c>
      <c r="J33" s="4">
        <v>21592.053485288994</v>
      </c>
      <c r="Q33" t="s">
        <v>20286</v>
      </c>
    </row>
    <row r="34" spans="1:17">
      <c r="A34" t="s">
        <v>18229</v>
      </c>
      <c r="B34" t="s">
        <v>20252</v>
      </c>
      <c r="C34" t="s">
        <v>13311</v>
      </c>
      <c r="D34" t="s">
        <v>16721</v>
      </c>
      <c r="E34" t="s">
        <v>3832</v>
      </c>
      <c r="F34" t="s">
        <v>18230</v>
      </c>
      <c r="G34" t="s">
        <v>18231</v>
      </c>
      <c r="H34" t="s">
        <v>18232</v>
      </c>
      <c r="I34" t="s">
        <v>1922</v>
      </c>
      <c r="J34" s="4">
        <v>5957.3619413200604</v>
      </c>
      <c r="Q34" t="s">
        <v>20286</v>
      </c>
    </row>
    <row r="35" spans="1:17">
      <c r="A35" t="s">
        <v>18229</v>
      </c>
      <c r="B35" t="s">
        <v>20252</v>
      </c>
      <c r="C35" t="s">
        <v>13311</v>
      </c>
      <c r="D35" t="s">
        <v>16721</v>
      </c>
      <c r="E35" t="s">
        <v>3835</v>
      </c>
      <c r="F35" t="s">
        <v>18230</v>
      </c>
      <c r="G35" t="s">
        <v>18231</v>
      </c>
      <c r="H35" t="s">
        <v>18232</v>
      </c>
      <c r="I35" t="s">
        <v>1922</v>
      </c>
      <c r="J35" s="4">
        <v>7231.8521915962083</v>
      </c>
      <c r="Q35" t="s">
        <v>20286</v>
      </c>
    </row>
    <row r="36" spans="1:17">
      <c r="A36" t="s">
        <v>18229</v>
      </c>
      <c r="B36" t="s">
        <v>20252</v>
      </c>
      <c r="C36" t="s">
        <v>13311</v>
      </c>
      <c r="D36" t="s">
        <v>16721</v>
      </c>
      <c r="E36" t="s">
        <v>6071</v>
      </c>
      <c r="F36" t="s">
        <v>18230</v>
      </c>
      <c r="G36" t="s">
        <v>18231</v>
      </c>
      <c r="H36" t="s">
        <v>18232</v>
      </c>
      <c r="I36" t="s">
        <v>1922</v>
      </c>
      <c r="J36" s="4">
        <v>6623.9884624097722</v>
      </c>
      <c r="Q36" t="s">
        <v>20286</v>
      </c>
    </row>
    <row r="37" spans="1:17">
      <c r="A37" t="s">
        <v>18229</v>
      </c>
      <c r="B37" t="s">
        <v>20252</v>
      </c>
      <c r="C37" t="s">
        <v>13311</v>
      </c>
      <c r="D37" t="s">
        <v>16721</v>
      </c>
      <c r="E37" t="s">
        <v>3841</v>
      </c>
      <c r="F37" t="s">
        <v>18230</v>
      </c>
      <c r="G37" t="s">
        <v>18231</v>
      </c>
      <c r="H37" t="s">
        <v>18232</v>
      </c>
      <c r="I37" t="s">
        <v>1922</v>
      </c>
      <c r="J37" s="4">
        <v>16615.05478705186</v>
      </c>
      <c r="Q37" t="s">
        <v>20286</v>
      </c>
    </row>
    <row r="38" spans="1:17">
      <c r="A38" t="s">
        <v>18229</v>
      </c>
      <c r="B38" t="s">
        <v>20252</v>
      </c>
      <c r="C38" t="s">
        <v>13311</v>
      </c>
      <c r="D38" t="s">
        <v>16721</v>
      </c>
      <c r="E38" t="s">
        <v>3848</v>
      </c>
      <c r="F38" t="s">
        <v>18230</v>
      </c>
      <c r="G38" t="s">
        <v>18231</v>
      </c>
      <c r="H38" t="s">
        <v>18232</v>
      </c>
      <c r="I38" t="s">
        <v>1922</v>
      </c>
      <c r="J38" s="4">
        <v>10062.231929393882</v>
      </c>
      <c r="Q38" t="s">
        <v>20286</v>
      </c>
    </row>
    <row r="39" spans="1:17">
      <c r="A39" t="s">
        <v>18229</v>
      </c>
      <c r="B39" t="s">
        <v>20252</v>
      </c>
      <c r="C39" t="s">
        <v>13311</v>
      </c>
      <c r="D39" t="s">
        <v>16721</v>
      </c>
      <c r="E39" t="s">
        <v>3851</v>
      </c>
      <c r="F39" t="s">
        <v>18230</v>
      </c>
      <c r="G39" t="s">
        <v>18231</v>
      </c>
      <c r="H39" t="s">
        <v>18232</v>
      </c>
      <c r="I39" t="s">
        <v>1922</v>
      </c>
      <c r="J39" s="4">
        <v>6525.5009411237806</v>
      </c>
      <c r="Q39" t="s">
        <v>20286</v>
      </c>
    </row>
    <row r="40" spans="1:17">
      <c r="A40" t="s">
        <v>18229</v>
      </c>
      <c r="B40" t="s">
        <v>20252</v>
      </c>
      <c r="C40" t="s">
        <v>13311</v>
      </c>
      <c r="D40" t="s">
        <v>16721</v>
      </c>
      <c r="E40" t="s">
        <v>3854</v>
      </c>
      <c r="F40" t="s">
        <v>18230</v>
      </c>
      <c r="G40" t="s">
        <v>18231</v>
      </c>
      <c r="H40" t="s">
        <v>18232</v>
      </c>
      <c r="I40" t="s">
        <v>1922</v>
      </c>
      <c r="J40" s="4">
        <v>3127.8583967483105</v>
      </c>
      <c r="Q40" t="s">
        <v>20286</v>
      </c>
    </row>
    <row r="41" spans="1:17">
      <c r="A41" t="s">
        <v>18229</v>
      </c>
      <c r="B41" t="s">
        <v>20252</v>
      </c>
      <c r="C41" t="s">
        <v>13311</v>
      </c>
      <c r="D41" t="s">
        <v>16721</v>
      </c>
      <c r="E41" t="s">
        <v>3860</v>
      </c>
      <c r="F41" t="s">
        <v>18230</v>
      </c>
      <c r="G41" t="s">
        <v>18231</v>
      </c>
      <c r="H41" t="s">
        <v>18232</v>
      </c>
      <c r="I41" t="s">
        <v>1922</v>
      </c>
      <c r="J41" s="4">
        <v>7546.4497947007212</v>
      </c>
      <c r="Q41" t="s">
        <v>20286</v>
      </c>
    </row>
    <row r="42" spans="1:17">
      <c r="A42" t="s">
        <v>18229</v>
      </c>
      <c r="B42" t="s">
        <v>20252</v>
      </c>
      <c r="C42" t="s">
        <v>13311</v>
      </c>
      <c r="D42" t="s">
        <v>16721</v>
      </c>
      <c r="E42" t="s">
        <v>5333</v>
      </c>
      <c r="F42" t="s">
        <v>18230</v>
      </c>
      <c r="G42" t="s">
        <v>18231</v>
      </c>
      <c r="H42" t="s">
        <v>18232</v>
      </c>
      <c r="I42" t="s">
        <v>1922</v>
      </c>
      <c r="J42" s="4">
        <v>3267.4419323492402</v>
      </c>
      <c r="Q42" t="s">
        <v>20286</v>
      </c>
    </row>
    <row r="43" spans="1:17">
      <c r="A43" t="s">
        <v>18229</v>
      </c>
      <c r="B43" t="s">
        <v>20252</v>
      </c>
      <c r="C43" t="s">
        <v>13311</v>
      </c>
      <c r="D43" t="s">
        <v>16721</v>
      </c>
      <c r="E43" t="s">
        <v>3888</v>
      </c>
      <c r="F43" t="s">
        <v>18230</v>
      </c>
      <c r="G43" t="s">
        <v>18231</v>
      </c>
      <c r="H43" t="s">
        <v>18232</v>
      </c>
      <c r="I43" t="s">
        <v>1922</v>
      </c>
      <c r="J43" s="4">
        <v>11713.116074720194</v>
      </c>
      <c r="Q43" t="s">
        <v>20286</v>
      </c>
    </row>
    <row r="44" spans="1:17">
      <c r="A44" t="s">
        <v>18229</v>
      </c>
      <c r="B44" t="s">
        <v>20252</v>
      </c>
      <c r="C44" t="s">
        <v>13311</v>
      </c>
      <c r="D44" t="s">
        <v>16721</v>
      </c>
      <c r="E44" t="s">
        <v>3896</v>
      </c>
      <c r="F44" t="s">
        <v>18230</v>
      </c>
      <c r="G44" t="s">
        <v>18231</v>
      </c>
      <c r="H44" t="s">
        <v>18232</v>
      </c>
      <c r="I44" t="s">
        <v>1922</v>
      </c>
      <c r="J44" s="4">
        <v>17203.422791624973</v>
      </c>
      <c r="Q44" t="s">
        <v>20286</v>
      </c>
    </row>
    <row r="45" spans="1:17">
      <c r="A45" t="s">
        <v>18229</v>
      </c>
      <c r="B45" t="s">
        <v>20252</v>
      </c>
      <c r="C45" t="s">
        <v>13311</v>
      </c>
      <c r="D45" t="s">
        <v>16721</v>
      </c>
      <c r="E45" t="s">
        <v>7073</v>
      </c>
      <c r="F45" t="s">
        <v>18230</v>
      </c>
      <c r="G45" t="s">
        <v>18231</v>
      </c>
      <c r="H45" t="s">
        <v>18232</v>
      </c>
      <c r="I45" t="s">
        <v>1922</v>
      </c>
      <c r="J45" s="4">
        <v>8310.4205325175517</v>
      </c>
      <c r="Q45" t="s">
        <v>20286</v>
      </c>
    </row>
    <row r="46" spans="1:17">
      <c r="A46" t="s">
        <v>18229</v>
      </c>
      <c r="B46" t="s">
        <v>20252</v>
      </c>
      <c r="C46" t="s">
        <v>13311</v>
      </c>
      <c r="D46" t="s">
        <v>16721</v>
      </c>
      <c r="E46" t="s">
        <v>3905</v>
      </c>
      <c r="F46" t="s">
        <v>18230</v>
      </c>
      <c r="G46" t="s">
        <v>18231</v>
      </c>
      <c r="H46" t="s">
        <v>18232</v>
      </c>
      <c r="I46" t="s">
        <v>1922</v>
      </c>
      <c r="J46" s="4">
        <v>4493.3264267585491</v>
      </c>
      <c r="Q46" t="s">
        <v>20286</v>
      </c>
    </row>
    <row r="47" spans="1:17">
      <c r="A47" t="s">
        <v>18229</v>
      </c>
      <c r="B47" t="s">
        <v>20252</v>
      </c>
      <c r="C47" t="s">
        <v>13311</v>
      </c>
      <c r="D47" t="s">
        <v>16721</v>
      </c>
      <c r="E47" t="s">
        <v>3910</v>
      </c>
      <c r="F47" t="s">
        <v>18230</v>
      </c>
      <c r="G47" t="s">
        <v>18231</v>
      </c>
      <c r="H47" t="s">
        <v>18232</v>
      </c>
      <c r="I47" t="s">
        <v>1922</v>
      </c>
      <c r="J47" s="4">
        <v>1948.6945667605494</v>
      </c>
      <c r="Q47" t="s">
        <v>20286</v>
      </c>
    </row>
    <row r="48" spans="1:17">
      <c r="A48" t="s">
        <v>18229</v>
      </c>
      <c r="B48" t="s">
        <v>20252</v>
      </c>
      <c r="C48" t="s">
        <v>13311</v>
      </c>
      <c r="D48" t="s">
        <v>16721</v>
      </c>
      <c r="E48" t="s">
        <v>5018</v>
      </c>
      <c r="F48" t="s">
        <v>18230</v>
      </c>
      <c r="G48" t="s">
        <v>18231</v>
      </c>
      <c r="H48" t="s">
        <v>18232</v>
      </c>
      <c r="I48" t="s">
        <v>1922</v>
      </c>
      <c r="J48" s="4">
        <v>9160.9557583635251</v>
      </c>
      <c r="Q48" t="s">
        <v>20286</v>
      </c>
    </row>
    <row r="49" spans="1:17">
      <c r="A49" t="s">
        <v>18229</v>
      </c>
      <c r="B49" t="s">
        <v>20252</v>
      </c>
      <c r="C49" t="s">
        <v>13311</v>
      </c>
      <c r="D49" t="s">
        <v>16721</v>
      </c>
      <c r="E49" t="s">
        <v>3967</v>
      </c>
      <c r="F49" t="s">
        <v>18230</v>
      </c>
      <c r="G49" t="s">
        <v>18231</v>
      </c>
      <c r="H49" t="s">
        <v>18232</v>
      </c>
      <c r="I49" t="s">
        <v>1922</v>
      </c>
      <c r="J49" s="4">
        <v>386.3756924414177</v>
      </c>
      <c r="Q49" t="s">
        <v>20286</v>
      </c>
    </row>
    <row r="50" spans="1:17">
      <c r="A50" t="s">
        <v>18229</v>
      </c>
      <c r="B50" t="s">
        <v>20252</v>
      </c>
      <c r="C50" t="s">
        <v>13311</v>
      </c>
      <c r="D50" t="s">
        <v>16721</v>
      </c>
      <c r="E50" t="s">
        <v>5024</v>
      </c>
      <c r="F50" t="s">
        <v>18230</v>
      </c>
      <c r="G50" t="s">
        <v>18231</v>
      </c>
      <c r="H50" t="s">
        <v>18232</v>
      </c>
      <c r="I50" t="s">
        <v>1922</v>
      </c>
      <c r="J50" s="4">
        <v>8051.8975945260991</v>
      </c>
      <c r="Q50" t="s">
        <v>20286</v>
      </c>
    </row>
    <row r="51" spans="1:17">
      <c r="A51" t="s">
        <v>18229</v>
      </c>
      <c r="B51" t="s">
        <v>20252</v>
      </c>
      <c r="C51" t="s">
        <v>13311</v>
      </c>
      <c r="D51" t="s">
        <v>16721</v>
      </c>
      <c r="E51" t="s">
        <v>3979</v>
      </c>
      <c r="F51" t="s">
        <v>18230</v>
      </c>
      <c r="G51" t="s">
        <v>18231</v>
      </c>
      <c r="H51" t="s">
        <v>18232</v>
      </c>
      <c r="I51" t="s">
        <v>1922</v>
      </c>
      <c r="J51" s="4">
        <v>4035.5146155402485</v>
      </c>
      <c r="Q51" t="s">
        <v>20286</v>
      </c>
    </row>
    <row r="52" spans="1:17">
      <c r="A52" t="s">
        <v>18229</v>
      </c>
      <c r="B52" t="s">
        <v>20252</v>
      </c>
      <c r="C52" t="s">
        <v>13311</v>
      </c>
      <c r="D52" t="s">
        <v>16721</v>
      </c>
      <c r="E52" t="s">
        <v>3982</v>
      </c>
      <c r="F52" t="s">
        <v>18230</v>
      </c>
      <c r="G52" t="s">
        <v>18231</v>
      </c>
      <c r="H52" t="s">
        <v>18232</v>
      </c>
      <c r="I52" t="s">
        <v>1922</v>
      </c>
      <c r="J52" s="4">
        <v>7278.385707950084</v>
      </c>
      <c r="Q52" t="s">
        <v>20286</v>
      </c>
    </row>
    <row r="53" spans="1:17">
      <c r="A53" t="s">
        <v>18229</v>
      </c>
      <c r="B53" t="s">
        <v>20252</v>
      </c>
      <c r="C53" t="s">
        <v>13311</v>
      </c>
      <c r="D53" t="s">
        <v>16721</v>
      </c>
      <c r="E53" t="s">
        <v>3985</v>
      </c>
      <c r="F53" t="s">
        <v>18230</v>
      </c>
      <c r="G53" t="s">
        <v>18231</v>
      </c>
      <c r="H53" t="s">
        <v>18232</v>
      </c>
      <c r="I53" t="s">
        <v>1922</v>
      </c>
      <c r="J53" s="4">
        <v>855.60013309563715</v>
      </c>
      <c r="Q53" t="s">
        <v>20286</v>
      </c>
    </row>
    <row r="54" spans="1:17">
      <c r="A54" t="s">
        <v>18229</v>
      </c>
      <c r="B54" t="s">
        <v>20252</v>
      </c>
      <c r="C54" t="s">
        <v>13311</v>
      </c>
      <c r="D54" t="s">
        <v>16721</v>
      </c>
      <c r="E54" t="s">
        <v>3991</v>
      </c>
      <c r="F54" t="s">
        <v>18230</v>
      </c>
      <c r="G54" t="s">
        <v>18231</v>
      </c>
      <c r="H54" t="s">
        <v>18232</v>
      </c>
      <c r="I54" t="s">
        <v>1922</v>
      </c>
      <c r="J54" s="4">
        <v>2915.125486878253</v>
      </c>
      <c r="Q54" t="s">
        <v>20286</v>
      </c>
    </row>
    <row r="55" spans="1:17">
      <c r="A55" t="s">
        <v>18229</v>
      </c>
      <c r="B55" t="s">
        <v>20252</v>
      </c>
      <c r="C55" t="s">
        <v>13311</v>
      </c>
      <c r="D55" t="s">
        <v>16721</v>
      </c>
      <c r="E55" t="s">
        <v>3997</v>
      </c>
      <c r="F55" t="s">
        <v>18230</v>
      </c>
      <c r="G55" t="s">
        <v>18231</v>
      </c>
      <c r="H55" t="s">
        <v>18232</v>
      </c>
      <c r="I55" t="s">
        <v>1922</v>
      </c>
      <c r="J55" s="4">
        <v>47518.000257139771</v>
      </c>
      <c r="Q55" t="s">
        <v>20286</v>
      </c>
    </row>
    <row r="56" spans="1:17">
      <c r="A56" t="s">
        <v>18229</v>
      </c>
      <c r="B56" t="s">
        <v>20252</v>
      </c>
      <c r="C56" t="s">
        <v>13311</v>
      </c>
      <c r="D56" t="s">
        <v>16721</v>
      </c>
      <c r="E56" t="s">
        <v>5027</v>
      </c>
      <c r="F56" t="s">
        <v>18230</v>
      </c>
      <c r="G56" t="s">
        <v>18231</v>
      </c>
      <c r="H56" t="s">
        <v>18232</v>
      </c>
      <c r="I56" t="s">
        <v>1922</v>
      </c>
      <c r="J56" s="4">
        <v>11139.891751513975</v>
      </c>
      <c r="Q56" t="s">
        <v>20286</v>
      </c>
    </row>
    <row r="57" spans="1:17">
      <c r="A57" t="s">
        <v>18229</v>
      </c>
      <c r="B57" t="s">
        <v>20252</v>
      </c>
      <c r="C57" t="s">
        <v>13311</v>
      </c>
      <c r="D57" t="s">
        <v>16721</v>
      </c>
      <c r="E57" t="s">
        <v>4012</v>
      </c>
      <c r="F57" t="s">
        <v>18230</v>
      </c>
      <c r="G57" t="s">
        <v>18231</v>
      </c>
      <c r="H57" t="s">
        <v>18232</v>
      </c>
      <c r="I57" t="s">
        <v>1922</v>
      </c>
      <c r="J57" s="4">
        <v>1713.6536072238614</v>
      </c>
      <c r="Q57" t="s">
        <v>20286</v>
      </c>
    </row>
    <row r="58" spans="1:17">
      <c r="A58" t="s">
        <v>18229</v>
      </c>
      <c r="B58" t="s">
        <v>20252</v>
      </c>
      <c r="C58" t="s">
        <v>13311</v>
      </c>
      <c r="D58" t="s">
        <v>16721</v>
      </c>
      <c r="E58" t="s">
        <v>5021</v>
      </c>
      <c r="F58" t="s">
        <v>18230</v>
      </c>
      <c r="G58" t="s">
        <v>18231</v>
      </c>
      <c r="H58" t="s">
        <v>18232</v>
      </c>
      <c r="I58" t="s">
        <v>1922</v>
      </c>
      <c r="J58" s="4">
        <v>1449.500915087591</v>
      </c>
      <c r="Q58" t="s">
        <v>20286</v>
      </c>
    </row>
    <row r="59" spans="1:17">
      <c r="A59" t="s">
        <v>18229</v>
      </c>
      <c r="B59" t="s">
        <v>20252</v>
      </c>
      <c r="C59" t="s">
        <v>13311</v>
      </c>
      <c r="D59" t="s">
        <v>16721</v>
      </c>
      <c r="E59" t="s">
        <v>4021</v>
      </c>
      <c r="F59" t="s">
        <v>18230</v>
      </c>
      <c r="G59" t="s">
        <v>18231</v>
      </c>
      <c r="H59" t="s">
        <v>18232</v>
      </c>
      <c r="I59" t="s">
        <v>1922</v>
      </c>
      <c r="J59" s="4">
        <v>25925.669452441405</v>
      </c>
      <c r="Q59" t="s">
        <v>20286</v>
      </c>
    </row>
    <row r="60" spans="1:17">
      <c r="A60" t="s">
        <v>18229</v>
      </c>
      <c r="B60" t="s">
        <v>20252</v>
      </c>
      <c r="C60" t="s">
        <v>13311</v>
      </c>
      <c r="D60" t="s">
        <v>16721</v>
      </c>
      <c r="E60" t="s">
        <v>6012</v>
      </c>
      <c r="F60" t="s">
        <v>18230</v>
      </c>
      <c r="G60" t="s">
        <v>18231</v>
      </c>
      <c r="H60" t="s">
        <v>18232</v>
      </c>
      <c r="I60" t="s">
        <v>1922</v>
      </c>
      <c r="J60" s="4">
        <v>7747.4042857298637</v>
      </c>
      <c r="Q60" t="s">
        <v>20286</v>
      </c>
    </row>
    <row r="61" spans="1:17">
      <c r="A61" t="s">
        <v>18229</v>
      </c>
      <c r="B61" t="s">
        <v>20252</v>
      </c>
      <c r="C61" t="s">
        <v>13311</v>
      </c>
      <c r="D61" t="s">
        <v>16721</v>
      </c>
      <c r="E61" t="s">
        <v>5968</v>
      </c>
      <c r="F61" t="s">
        <v>18230</v>
      </c>
      <c r="G61" t="s">
        <v>18231</v>
      </c>
      <c r="H61" t="s">
        <v>18232</v>
      </c>
      <c r="I61" t="s">
        <v>1922</v>
      </c>
      <c r="J61" s="4">
        <v>1510.3121276588531</v>
      </c>
      <c r="Q61" t="s">
        <v>20286</v>
      </c>
    </row>
    <row r="62" spans="1:17">
      <c r="A62" t="s">
        <v>18229</v>
      </c>
      <c r="B62" t="s">
        <v>20252</v>
      </c>
      <c r="C62" t="s">
        <v>13311</v>
      </c>
      <c r="D62" t="s">
        <v>16721</v>
      </c>
      <c r="E62" t="s">
        <v>4030</v>
      </c>
      <c r="F62" t="s">
        <v>18230</v>
      </c>
      <c r="G62" t="s">
        <v>18231</v>
      </c>
      <c r="H62" t="s">
        <v>18232</v>
      </c>
      <c r="I62" t="s">
        <v>1922</v>
      </c>
      <c r="J62" s="4">
        <v>15603.657290310528</v>
      </c>
      <c r="Q62" t="s">
        <v>20286</v>
      </c>
    </row>
    <row r="63" spans="1:17">
      <c r="A63" t="s">
        <v>18229</v>
      </c>
      <c r="B63" t="s">
        <v>20252</v>
      </c>
      <c r="C63" t="s">
        <v>13311</v>
      </c>
      <c r="D63" t="s">
        <v>16721</v>
      </c>
      <c r="E63" t="s">
        <v>7076</v>
      </c>
      <c r="F63" t="s">
        <v>18230</v>
      </c>
      <c r="G63" t="s">
        <v>18231</v>
      </c>
      <c r="H63" t="s">
        <v>18232</v>
      </c>
      <c r="I63" t="s">
        <v>1922</v>
      </c>
      <c r="J63" s="4">
        <v>16721.926541769608</v>
      </c>
      <c r="Q63" t="s">
        <v>20286</v>
      </c>
    </row>
    <row r="64" spans="1:17">
      <c r="A64" t="s">
        <v>18229</v>
      </c>
      <c r="B64" t="s">
        <v>20252</v>
      </c>
      <c r="C64" t="s">
        <v>13311</v>
      </c>
      <c r="D64" t="s">
        <v>16721</v>
      </c>
      <c r="E64" t="s">
        <v>18169</v>
      </c>
      <c r="F64" t="s">
        <v>18230</v>
      </c>
      <c r="G64" t="s">
        <v>18231</v>
      </c>
      <c r="H64" t="s">
        <v>18232</v>
      </c>
      <c r="I64" t="s">
        <v>1922</v>
      </c>
      <c r="J64" s="4">
        <v>3689.8861614694692</v>
      </c>
      <c r="Q64" t="s">
        <v>20286</v>
      </c>
    </row>
    <row r="65" spans="1:17">
      <c r="A65" t="s">
        <v>18229</v>
      </c>
      <c r="B65" t="s">
        <v>20252</v>
      </c>
      <c r="C65" t="s">
        <v>13311</v>
      </c>
      <c r="D65" t="s">
        <v>16721</v>
      </c>
      <c r="E65" t="s">
        <v>18173</v>
      </c>
      <c r="F65" t="s">
        <v>18230</v>
      </c>
      <c r="G65" t="s">
        <v>18231</v>
      </c>
      <c r="H65" t="s">
        <v>18232</v>
      </c>
      <c r="I65" t="s">
        <v>1922</v>
      </c>
      <c r="J65" s="4">
        <v>4395.7270081209699</v>
      </c>
      <c r="Q65" t="s">
        <v>20286</v>
      </c>
    </row>
    <row r="66" spans="1:17">
      <c r="A66" t="s">
        <v>18229</v>
      </c>
      <c r="B66" t="s">
        <v>20252</v>
      </c>
      <c r="C66" t="s">
        <v>13311</v>
      </c>
      <c r="D66" t="s">
        <v>16721</v>
      </c>
      <c r="E66" t="s">
        <v>18171</v>
      </c>
      <c r="F66" t="s">
        <v>18230</v>
      </c>
      <c r="G66" t="s">
        <v>18231</v>
      </c>
      <c r="H66" t="s">
        <v>18232</v>
      </c>
      <c r="I66" t="s">
        <v>1922</v>
      </c>
      <c r="J66" s="4">
        <v>12611.333225517128</v>
      </c>
      <c r="Q66" t="s">
        <v>20286</v>
      </c>
    </row>
    <row r="67" spans="1:17">
      <c r="A67" t="s">
        <v>18229</v>
      </c>
      <c r="B67" t="s">
        <v>20252</v>
      </c>
      <c r="C67" t="s">
        <v>13311</v>
      </c>
      <c r="D67" t="s">
        <v>16721</v>
      </c>
      <c r="E67" t="s">
        <v>18174</v>
      </c>
      <c r="F67" t="s">
        <v>18230</v>
      </c>
      <c r="G67" t="s">
        <v>18231</v>
      </c>
      <c r="H67" t="s">
        <v>18232</v>
      </c>
      <c r="I67" t="s">
        <v>1922</v>
      </c>
      <c r="J67" s="4">
        <v>3062.5726440135923</v>
      </c>
      <c r="Q67" t="s">
        <v>20286</v>
      </c>
    </row>
    <row r="68" spans="1:17">
      <c r="A68" t="s">
        <v>18229</v>
      </c>
      <c r="B68" t="s">
        <v>20252</v>
      </c>
      <c r="C68" t="s">
        <v>13311</v>
      </c>
      <c r="D68" t="s">
        <v>16721</v>
      </c>
      <c r="E68" t="s">
        <v>18176</v>
      </c>
      <c r="F68" t="s">
        <v>18230</v>
      </c>
      <c r="G68" t="s">
        <v>18231</v>
      </c>
      <c r="H68" t="s">
        <v>18232</v>
      </c>
      <c r="I68" t="s">
        <v>1922</v>
      </c>
      <c r="J68" s="4">
        <v>4856.8666522517124</v>
      </c>
      <c r="Q68" t="s">
        <v>20286</v>
      </c>
    </row>
    <row r="69" spans="1:17">
      <c r="A69" t="s">
        <v>18229</v>
      </c>
      <c r="B69" t="s">
        <v>20252</v>
      </c>
      <c r="C69" t="s">
        <v>13311</v>
      </c>
      <c r="D69" t="s">
        <v>16721</v>
      </c>
      <c r="E69" t="s">
        <v>18178</v>
      </c>
      <c r="F69" t="s">
        <v>18230</v>
      </c>
      <c r="G69" t="s">
        <v>18231</v>
      </c>
      <c r="H69" t="s">
        <v>18232</v>
      </c>
      <c r="I69" t="s">
        <v>1922</v>
      </c>
      <c r="J69" s="4">
        <v>13610.333013448158</v>
      </c>
      <c r="Q69" t="s">
        <v>20286</v>
      </c>
    </row>
    <row r="70" spans="1:17">
      <c r="A70" t="s">
        <v>18229</v>
      </c>
      <c r="B70" t="s">
        <v>20252</v>
      </c>
      <c r="C70" t="s">
        <v>13311</v>
      </c>
      <c r="D70" t="s">
        <v>16721</v>
      </c>
      <c r="E70" t="s">
        <v>4036</v>
      </c>
      <c r="F70" t="s">
        <v>18230</v>
      </c>
      <c r="G70" t="s">
        <v>18231</v>
      </c>
      <c r="H70" t="s">
        <v>18232</v>
      </c>
      <c r="I70" t="s">
        <v>1922</v>
      </c>
      <c r="J70" s="4">
        <v>3234.7590743492419</v>
      </c>
      <c r="Q70" t="s">
        <v>20286</v>
      </c>
    </row>
    <row r="71" spans="1:17">
      <c r="A71" t="s">
        <v>18229</v>
      </c>
      <c r="B71" t="s">
        <v>20252</v>
      </c>
      <c r="C71" t="s">
        <v>13311</v>
      </c>
      <c r="D71" t="s">
        <v>16721</v>
      </c>
      <c r="E71" t="s">
        <v>4047</v>
      </c>
      <c r="F71" t="s">
        <v>18230</v>
      </c>
      <c r="G71" t="s">
        <v>18231</v>
      </c>
      <c r="H71" t="s">
        <v>18232</v>
      </c>
      <c r="I71" t="s">
        <v>1922</v>
      </c>
      <c r="J71" s="4">
        <v>8036.5514529769071</v>
      </c>
      <c r="Q71" t="s">
        <v>20286</v>
      </c>
    </row>
    <row r="72" spans="1:17">
      <c r="A72" t="s">
        <v>18229</v>
      </c>
      <c r="B72" t="s">
        <v>20252</v>
      </c>
      <c r="C72" t="s">
        <v>13311</v>
      </c>
      <c r="D72" t="s">
        <v>16721</v>
      </c>
      <c r="E72" t="s">
        <v>4050</v>
      </c>
      <c r="F72" t="s">
        <v>18230</v>
      </c>
      <c r="G72" t="s">
        <v>18231</v>
      </c>
      <c r="H72" t="s">
        <v>18232</v>
      </c>
      <c r="I72" t="s">
        <v>1922</v>
      </c>
      <c r="J72" s="4">
        <v>4094.2961222502931</v>
      </c>
      <c r="Q72" t="s">
        <v>20286</v>
      </c>
    </row>
    <row r="73" spans="1:17">
      <c r="A73" t="s">
        <v>18229</v>
      </c>
      <c r="B73" t="s">
        <v>20252</v>
      </c>
      <c r="C73" t="s">
        <v>13311</v>
      </c>
      <c r="D73" t="s">
        <v>16721</v>
      </c>
      <c r="E73" t="s">
        <v>4053</v>
      </c>
      <c r="F73" t="s">
        <v>18230</v>
      </c>
      <c r="G73" t="s">
        <v>18231</v>
      </c>
      <c r="H73" t="s">
        <v>18232</v>
      </c>
      <c r="I73" t="s">
        <v>1922</v>
      </c>
      <c r="J73" s="4">
        <v>8020.5434878065789</v>
      </c>
      <c r="Q73" t="s">
        <v>20286</v>
      </c>
    </row>
    <row r="74" spans="1:17">
      <c r="A74" t="s">
        <v>18229</v>
      </c>
      <c r="B74" t="s">
        <v>20252</v>
      </c>
      <c r="C74" t="s">
        <v>13311</v>
      </c>
      <c r="D74" t="s">
        <v>16721</v>
      </c>
      <c r="E74" t="s">
        <v>4056</v>
      </c>
      <c r="F74" t="s">
        <v>18230</v>
      </c>
      <c r="G74" t="s">
        <v>18231</v>
      </c>
      <c r="H74" t="s">
        <v>18232</v>
      </c>
      <c r="I74" t="s">
        <v>1922</v>
      </c>
      <c r="J74" s="4">
        <v>4067.5781835708563</v>
      </c>
      <c r="Q74" t="s">
        <v>20286</v>
      </c>
    </row>
    <row r="75" spans="1:17">
      <c r="A75" t="s">
        <v>18229</v>
      </c>
      <c r="B75" t="s">
        <v>20252</v>
      </c>
      <c r="C75" t="s">
        <v>13311</v>
      </c>
      <c r="D75" t="s">
        <v>16721</v>
      </c>
      <c r="E75" t="s">
        <v>7082</v>
      </c>
      <c r="F75" t="s">
        <v>18230</v>
      </c>
      <c r="G75" t="s">
        <v>18231</v>
      </c>
      <c r="H75" t="s">
        <v>18232</v>
      </c>
      <c r="I75" t="s">
        <v>1922</v>
      </c>
      <c r="J75" s="4">
        <v>11805.645482069902</v>
      </c>
      <c r="Q75" t="s">
        <v>20286</v>
      </c>
    </row>
    <row r="76" spans="1:17">
      <c r="A76" t="s">
        <v>18229</v>
      </c>
      <c r="B76" t="s">
        <v>20252</v>
      </c>
      <c r="C76" t="s">
        <v>13311</v>
      </c>
      <c r="D76" t="s">
        <v>16721</v>
      </c>
      <c r="E76" t="s">
        <v>4066</v>
      </c>
      <c r="F76" t="s">
        <v>18230</v>
      </c>
      <c r="G76" t="s">
        <v>18231</v>
      </c>
      <c r="H76" t="s">
        <v>18232</v>
      </c>
      <c r="I76" t="s">
        <v>1922</v>
      </c>
      <c r="J76" s="4">
        <v>1654.1728472791481</v>
      </c>
      <c r="Q76" t="s">
        <v>20286</v>
      </c>
    </row>
    <row r="77" spans="1:17">
      <c r="A77" t="s">
        <v>18229</v>
      </c>
      <c r="B77" t="s">
        <v>20252</v>
      </c>
      <c r="C77" t="s">
        <v>13311</v>
      </c>
      <c r="D77" t="s">
        <v>16721</v>
      </c>
      <c r="E77" t="s">
        <v>4073</v>
      </c>
      <c r="F77" t="s">
        <v>18230</v>
      </c>
      <c r="G77" t="s">
        <v>18231</v>
      </c>
      <c r="H77" t="s">
        <v>18232</v>
      </c>
      <c r="I77" t="s">
        <v>1922</v>
      </c>
      <c r="J77" s="4">
        <v>9623.5976910738609</v>
      </c>
      <c r="Q77" t="s">
        <v>20286</v>
      </c>
    </row>
    <row r="78" spans="1:17">
      <c r="A78" t="s">
        <v>18229</v>
      </c>
      <c r="B78" t="s">
        <v>20252</v>
      </c>
      <c r="C78" t="s">
        <v>13311</v>
      </c>
      <c r="D78" t="s">
        <v>16721</v>
      </c>
      <c r="E78" t="s">
        <v>7079</v>
      </c>
      <c r="F78" t="s">
        <v>18230</v>
      </c>
      <c r="G78" t="s">
        <v>18231</v>
      </c>
      <c r="H78" t="s">
        <v>18232</v>
      </c>
      <c r="I78" t="s">
        <v>1922</v>
      </c>
      <c r="J78" s="4">
        <v>2646.3791603536438</v>
      </c>
      <c r="Q78" t="s">
        <v>20286</v>
      </c>
    </row>
    <row r="79" spans="1:17">
      <c r="A79" t="s">
        <v>18229</v>
      </c>
      <c r="B79" t="s">
        <v>20252</v>
      </c>
      <c r="C79" t="s">
        <v>13311</v>
      </c>
      <c r="D79" t="s">
        <v>16721</v>
      </c>
      <c r="E79" t="s">
        <v>4079</v>
      </c>
      <c r="F79" t="s">
        <v>18230</v>
      </c>
      <c r="G79" t="s">
        <v>18231</v>
      </c>
      <c r="H79" t="s">
        <v>18232</v>
      </c>
      <c r="I79" t="s">
        <v>1922</v>
      </c>
      <c r="J79" s="4">
        <v>2208.9698912038475</v>
      </c>
      <c r="Q79" t="s">
        <v>20286</v>
      </c>
    </row>
    <row r="80" spans="1:17">
      <c r="A80" t="s">
        <v>18229</v>
      </c>
      <c r="B80" t="s">
        <v>20252</v>
      </c>
      <c r="C80" t="s">
        <v>13311</v>
      </c>
      <c r="D80" t="s">
        <v>16721</v>
      </c>
      <c r="E80" t="s">
        <v>4082</v>
      </c>
      <c r="F80" t="s">
        <v>18230</v>
      </c>
      <c r="G80" t="s">
        <v>18231</v>
      </c>
      <c r="H80" t="s">
        <v>18232</v>
      </c>
      <c r="I80" t="s">
        <v>1922</v>
      </c>
      <c r="J80" s="4">
        <v>4086.3406280281174</v>
      </c>
      <c r="Q80" t="s">
        <v>20286</v>
      </c>
    </row>
    <row r="81" spans="1:17">
      <c r="A81" t="s">
        <v>18229</v>
      </c>
      <c r="B81" t="s">
        <v>20252</v>
      </c>
      <c r="C81" t="s">
        <v>13311</v>
      </c>
      <c r="D81" t="s">
        <v>16721</v>
      </c>
      <c r="E81" t="s">
        <v>4085</v>
      </c>
      <c r="F81" t="s">
        <v>18230</v>
      </c>
      <c r="G81" t="s">
        <v>18231</v>
      </c>
      <c r="H81" t="s">
        <v>18232</v>
      </c>
      <c r="I81" t="s">
        <v>1922</v>
      </c>
      <c r="J81" s="4">
        <v>8333.6575171382665</v>
      </c>
      <c r="Q81" t="s">
        <v>20286</v>
      </c>
    </row>
    <row r="82" spans="1:17">
      <c r="A82" t="s">
        <v>18229</v>
      </c>
      <c r="B82" t="s">
        <v>20252</v>
      </c>
      <c r="C82" t="s">
        <v>13311</v>
      </c>
      <c r="D82" t="s">
        <v>16721</v>
      </c>
      <c r="E82" t="s">
        <v>4090</v>
      </c>
      <c r="F82" t="s">
        <v>18230</v>
      </c>
      <c r="G82" t="s">
        <v>18231</v>
      </c>
      <c r="H82" t="s">
        <v>18232</v>
      </c>
      <c r="I82" t="s">
        <v>1922</v>
      </c>
      <c r="J82" s="4">
        <v>5410.484663350072</v>
      </c>
      <c r="Q82" t="s">
        <v>20286</v>
      </c>
    </row>
    <row r="83" spans="1:17">
      <c r="A83" t="s">
        <v>18229</v>
      </c>
      <c r="B83" t="s">
        <v>20252</v>
      </c>
      <c r="C83" t="s">
        <v>13311</v>
      </c>
      <c r="D83" t="s">
        <v>16721</v>
      </c>
      <c r="E83" t="s">
        <v>5249</v>
      </c>
      <c r="F83" t="s">
        <v>18230</v>
      </c>
      <c r="G83" t="s">
        <v>18231</v>
      </c>
      <c r="H83" t="s">
        <v>18232</v>
      </c>
      <c r="I83" t="s">
        <v>1922</v>
      </c>
      <c r="J83" s="4">
        <v>5588.7925368447004</v>
      </c>
      <c r="Q83" t="s">
        <v>20286</v>
      </c>
    </row>
    <row r="84" spans="1:17">
      <c r="A84" t="s">
        <v>18229</v>
      </c>
      <c r="B84" t="s">
        <v>20252</v>
      </c>
      <c r="C84" t="s">
        <v>13311</v>
      </c>
      <c r="D84" t="s">
        <v>16721</v>
      </c>
      <c r="E84" t="s">
        <v>7085</v>
      </c>
      <c r="F84" t="s">
        <v>18230</v>
      </c>
      <c r="G84" t="s">
        <v>18231</v>
      </c>
      <c r="H84" t="s">
        <v>18232</v>
      </c>
      <c r="I84" t="s">
        <v>1922</v>
      </c>
      <c r="J84" s="4">
        <v>1625.581726576911</v>
      </c>
      <c r="Q84" t="s">
        <v>20286</v>
      </c>
    </row>
    <row r="85" spans="1:17">
      <c r="A85" t="s">
        <v>18229</v>
      </c>
      <c r="B85" t="s">
        <v>20252</v>
      </c>
      <c r="C85" t="s">
        <v>13311</v>
      </c>
      <c r="D85" t="s">
        <v>16721</v>
      </c>
      <c r="E85" t="s">
        <v>5255</v>
      </c>
      <c r="F85" t="s">
        <v>18230</v>
      </c>
      <c r="G85" t="s">
        <v>18231</v>
      </c>
      <c r="H85" t="s">
        <v>18232</v>
      </c>
      <c r="I85" t="s">
        <v>1922</v>
      </c>
      <c r="J85" s="4">
        <v>17125.075805112741</v>
      </c>
      <c r="Q85" t="s">
        <v>20286</v>
      </c>
    </row>
    <row r="86" spans="1:17">
      <c r="A86" t="s">
        <v>18229</v>
      </c>
      <c r="B86" t="s">
        <v>20252</v>
      </c>
      <c r="C86" t="s">
        <v>13311</v>
      </c>
      <c r="D86" t="s">
        <v>16721</v>
      </c>
      <c r="E86" t="s">
        <v>5258</v>
      </c>
      <c r="F86" t="s">
        <v>18230</v>
      </c>
      <c r="G86" t="s">
        <v>18231</v>
      </c>
      <c r="H86" t="s">
        <v>18232</v>
      </c>
      <c r="I86" t="s">
        <v>1922</v>
      </c>
      <c r="J86" s="4">
        <v>4613.4907983192943</v>
      </c>
      <c r="Q86" t="s">
        <v>20286</v>
      </c>
    </row>
    <row r="87" spans="1:17">
      <c r="A87" t="s">
        <v>18229</v>
      </c>
      <c r="B87" t="s">
        <v>20252</v>
      </c>
      <c r="C87" t="s">
        <v>13311</v>
      </c>
      <c r="D87" t="s">
        <v>16721</v>
      </c>
      <c r="E87" t="s">
        <v>5261</v>
      </c>
      <c r="F87" t="s">
        <v>18230</v>
      </c>
      <c r="G87" t="s">
        <v>18231</v>
      </c>
      <c r="H87" t="s">
        <v>18232</v>
      </c>
      <c r="I87" t="s">
        <v>1922</v>
      </c>
      <c r="J87" s="4">
        <v>7920.7595408154339</v>
      </c>
      <c r="Q87" t="s">
        <v>20286</v>
      </c>
    </row>
    <row r="88" spans="1:17">
      <c r="A88" t="s">
        <v>18229</v>
      </c>
      <c r="B88" t="s">
        <v>20252</v>
      </c>
      <c r="C88" t="s">
        <v>13311</v>
      </c>
      <c r="D88" t="s">
        <v>16721</v>
      </c>
      <c r="E88" t="s">
        <v>5264</v>
      </c>
      <c r="F88" t="s">
        <v>18230</v>
      </c>
      <c r="G88" t="s">
        <v>18231</v>
      </c>
      <c r="H88" t="s">
        <v>18232</v>
      </c>
      <c r="I88" t="s">
        <v>1922</v>
      </c>
      <c r="J88" s="4">
        <v>5516.8664303997284</v>
      </c>
      <c r="Q88" t="s">
        <v>20286</v>
      </c>
    </row>
    <row r="89" spans="1:17">
      <c r="A89" t="s">
        <v>18229</v>
      </c>
      <c r="B89" t="s">
        <v>20252</v>
      </c>
      <c r="C89" t="s">
        <v>13311</v>
      </c>
      <c r="D89" t="s">
        <v>16721</v>
      </c>
      <c r="E89" t="s">
        <v>5267</v>
      </c>
      <c r="F89" t="s">
        <v>18230</v>
      </c>
      <c r="G89" t="s">
        <v>18231</v>
      </c>
      <c r="H89" t="s">
        <v>18232</v>
      </c>
      <c r="I89" t="s">
        <v>1922</v>
      </c>
      <c r="J89" s="4">
        <v>8387.1597469938606</v>
      </c>
      <c r="Q89" t="s">
        <v>20286</v>
      </c>
    </row>
    <row r="90" spans="1:17">
      <c r="A90" t="s">
        <v>18229</v>
      </c>
      <c r="B90" t="s">
        <v>20252</v>
      </c>
      <c r="C90" t="s">
        <v>13311</v>
      </c>
      <c r="D90" t="s">
        <v>16721</v>
      </c>
      <c r="E90" t="s">
        <v>5276</v>
      </c>
      <c r="F90" t="s">
        <v>18230</v>
      </c>
      <c r="G90" t="s">
        <v>18231</v>
      </c>
      <c r="H90" t="s">
        <v>18232</v>
      </c>
      <c r="I90" t="s">
        <v>1922</v>
      </c>
      <c r="J90" s="4">
        <v>3882.5908254063679</v>
      </c>
      <c r="Q90" t="s">
        <v>20286</v>
      </c>
    </row>
    <row r="91" spans="1:17">
      <c r="A91" t="s">
        <v>18229</v>
      </c>
      <c r="B91" t="s">
        <v>20252</v>
      </c>
      <c r="C91" t="s">
        <v>13311</v>
      </c>
      <c r="D91" t="s">
        <v>16721</v>
      </c>
      <c r="E91" t="s">
        <v>5279</v>
      </c>
      <c r="F91" t="s">
        <v>18230</v>
      </c>
      <c r="G91" t="s">
        <v>18231</v>
      </c>
      <c r="H91" t="s">
        <v>18232</v>
      </c>
      <c r="I91" t="s">
        <v>1922</v>
      </c>
      <c r="J91" s="4">
        <v>12663.700657544197</v>
      </c>
      <c r="Q91" t="s">
        <v>20286</v>
      </c>
    </row>
    <row r="92" spans="1:17">
      <c r="A92" t="s">
        <v>18229</v>
      </c>
      <c r="B92" t="s">
        <v>20252</v>
      </c>
      <c r="C92" t="s">
        <v>13311</v>
      </c>
      <c r="D92" t="s">
        <v>16721</v>
      </c>
      <c r="E92" t="s">
        <v>5148</v>
      </c>
      <c r="F92" t="s">
        <v>18230</v>
      </c>
      <c r="G92" t="s">
        <v>18231</v>
      </c>
      <c r="H92" t="s">
        <v>18232</v>
      </c>
      <c r="I92" t="s">
        <v>1922</v>
      </c>
      <c r="J92" s="4">
        <v>1729.423383944423</v>
      </c>
      <c r="Q92" t="s">
        <v>20286</v>
      </c>
    </row>
    <row r="93" spans="1:17">
      <c r="A93" t="s">
        <v>18229</v>
      </c>
      <c r="B93" t="s">
        <v>20252</v>
      </c>
      <c r="C93" t="s">
        <v>13311</v>
      </c>
      <c r="D93" t="s">
        <v>16721</v>
      </c>
      <c r="E93" t="s">
        <v>5159</v>
      </c>
      <c r="F93" t="s">
        <v>18230</v>
      </c>
      <c r="G93" t="s">
        <v>18231</v>
      </c>
      <c r="H93" t="s">
        <v>18232</v>
      </c>
      <c r="I93" t="s">
        <v>1922</v>
      </c>
      <c r="J93" s="4">
        <v>10360.289046008234</v>
      </c>
      <c r="Q93" t="s">
        <v>20286</v>
      </c>
    </row>
    <row r="94" spans="1:17">
      <c r="A94" t="s">
        <v>18229</v>
      </c>
      <c r="B94" t="s">
        <v>20252</v>
      </c>
      <c r="C94" t="s">
        <v>13311</v>
      </c>
      <c r="D94" t="s">
        <v>16721</v>
      </c>
      <c r="E94" t="s">
        <v>5291</v>
      </c>
      <c r="F94" t="s">
        <v>18230</v>
      </c>
      <c r="G94" t="s">
        <v>18231</v>
      </c>
      <c r="H94" t="s">
        <v>18232</v>
      </c>
      <c r="I94" t="s">
        <v>1922</v>
      </c>
      <c r="J94" s="4">
        <v>11951.845552536113</v>
      </c>
      <c r="Q94" t="s">
        <v>20286</v>
      </c>
    </row>
    <row r="95" spans="1:17">
      <c r="A95" t="s">
        <v>18229</v>
      </c>
      <c r="B95" t="s">
        <v>20252</v>
      </c>
      <c r="C95" t="s">
        <v>13311</v>
      </c>
      <c r="D95" t="s">
        <v>16721</v>
      </c>
      <c r="E95" t="s">
        <v>5297</v>
      </c>
      <c r="F95" t="s">
        <v>18230</v>
      </c>
      <c r="G95" t="s">
        <v>18231</v>
      </c>
      <c r="H95" t="s">
        <v>18232</v>
      </c>
      <c r="I95" t="s">
        <v>1922</v>
      </c>
      <c r="J95" s="4">
        <v>5003.3440421272908</v>
      </c>
      <c r="Q95" t="s">
        <v>20286</v>
      </c>
    </row>
    <row r="96" spans="1:17">
      <c r="A96" t="s">
        <v>18229</v>
      </c>
      <c r="B96" t="s">
        <v>20252</v>
      </c>
      <c r="C96" t="s">
        <v>13311</v>
      </c>
      <c r="D96" t="s">
        <v>16721</v>
      </c>
      <c r="E96" t="s">
        <v>7007</v>
      </c>
      <c r="F96" t="s">
        <v>18230</v>
      </c>
      <c r="G96" t="s">
        <v>18231</v>
      </c>
      <c r="H96" t="s">
        <v>18232</v>
      </c>
      <c r="I96" t="s">
        <v>1922</v>
      </c>
      <c r="J96" s="4">
        <v>3887.9228439889807</v>
      </c>
      <c r="Q96" t="s">
        <v>20286</v>
      </c>
    </row>
    <row r="97" spans="1:17">
      <c r="A97" t="s">
        <v>18229</v>
      </c>
      <c r="B97" t="s">
        <v>20252</v>
      </c>
      <c r="C97" t="s">
        <v>13311</v>
      </c>
      <c r="D97" t="s">
        <v>16721</v>
      </c>
      <c r="E97" t="s">
        <v>5377</v>
      </c>
      <c r="F97" t="s">
        <v>18230</v>
      </c>
      <c r="G97" t="s">
        <v>18231</v>
      </c>
      <c r="H97" t="s">
        <v>18232</v>
      </c>
      <c r="I97" t="s">
        <v>1922</v>
      </c>
      <c r="J97" s="4">
        <v>4795.2898339490603</v>
      </c>
      <c r="Q97" t="s">
        <v>20286</v>
      </c>
    </row>
    <row r="98" spans="1:17">
      <c r="A98" t="s">
        <v>18229</v>
      </c>
      <c r="B98" t="s">
        <v>20252</v>
      </c>
      <c r="C98" t="s">
        <v>13311</v>
      </c>
      <c r="D98" t="s">
        <v>16721</v>
      </c>
      <c r="E98" t="s">
        <v>5180</v>
      </c>
      <c r="F98" t="s">
        <v>18230</v>
      </c>
      <c r="G98" t="s">
        <v>18231</v>
      </c>
      <c r="H98" t="s">
        <v>18232</v>
      </c>
      <c r="I98" t="s">
        <v>1922</v>
      </c>
      <c r="J98" s="4">
        <v>4552.1215442371513</v>
      </c>
      <c r="Q98" t="s">
        <v>20286</v>
      </c>
    </row>
    <row r="99" spans="1:17">
      <c r="A99" t="s">
        <v>18229</v>
      </c>
      <c r="B99" t="s">
        <v>20252</v>
      </c>
      <c r="C99" t="s">
        <v>13311</v>
      </c>
      <c r="D99" t="s">
        <v>16721</v>
      </c>
      <c r="E99" t="s">
        <v>5153</v>
      </c>
      <c r="F99" t="s">
        <v>18230</v>
      </c>
      <c r="G99" t="s">
        <v>18231</v>
      </c>
      <c r="H99" t="s">
        <v>18232</v>
      </c>
      <c r="I99" t="s">
        <v>1922</v>
      </c>
      <c r="J99" s="4">
        <v>1758.8124359533751</v>
      </c>
      <c r="Q99" t="s">
        <v>20286</v>
      </c>
    </row>
    <row r="100" spans="1:17">
      <c r="A100" t="s">
        <v>18229</v>
      </c>
      <c r="B100" t="s">
        <v>20252</v>
      </c>
      <c r="C100" t="s">
        <v>13311</v>
      </c>
      <c r="D100" t="s">
        <v>16721</v>
      </c>
      <c r="E100" t="s">
        <v>5410</v>
      </c>
      <c r="F100" t="s">
        <v>18230</v>
      </c>
      <c r="G100" t="s">
        <v>18231</v>
      </c>
      <c r="H100" t="s">
        <v>18232</v>
      </c>
      <c r="I100" t="s">
        <v>1922</v>
      </c>
      <c r="J100" s="4">
        <v>6310.039072157836</v>
      </c>
      <c r="Q100" t="s">
        <v>20286</v>
      </c>
    </row>
    <row r="101" spans="1:17">
      <c r="A101" t="s">
        <v>18229</v>
      </c>
      <c r="B101" t="s">
        <v>20252</v>
      </c>
      <c r="C101" t="s">
        <v>13311</v>
      </c>
      <c r="D101" t="s">
        <v>16721</v>
      </c>
      <c r="E101" t="s">
        <v>5413</v>
      </c>
      <c r="F101" t="s">
        <v>18230</v>
      </c>
      <c r="G101" t="s">
        <v>18231</v>
      </c>
      <c r="H101" t="s">
        <v>18232</v>
      </c>
      <c r="I101" t="s">
        <v>1922</v>
      </c>
      <c r="J101" s="4">
        <v>20658.038311838336</v>
      </c>
      <c r="Q101" t="s">
        <v>20286</v>
      </c>
    </row>
    <row r="102" spans="1:17">
      <c r="A102" t="s">
        <v>18229</v>
      </c>
      <c r="B102" t="s">
        <v>20252</v>
      </c>
      <c r="C102" t="s">
        <v>13311</v>
      </c>
      <c r="D102" t="s">
        <v>16721</v>
      </c>
      <c r="E102" t="s">
        <v>5429</v>
      </c>
      <c r="F102" t="s">
        <v>18230</v>
      </c>
      <c r="G102" t="s">
        <v>18231</v>
      </c>
      <c r="H102" t="s">
        <v>18232</v>
      </c>
      <c r="I102" t="s">
        <v>1922</v>
      </c>
      <c r="J102" s="4">
        <v>7759.636963971403</v>
      </c>
      <c r="Q102" t="s">
        <v>20286</v>
      </c>
    </row>
    <row r="103" spans="1:17">
      <c r="A103" t="s">
        <v>18229</v>
      </c>
      <c r="B103" t="s">
        <v>20252</v>
      </c>
      <c r="C103" t="s">
        <v>13311</v>
      </c>
      <c r="D103" t="s">
        <v>16721</v>
      </c>
      <c r="E103" t="s">
        <v>5432</v>
      </c>
      <c r="F103" t="s">
        <v>18230</v>
      </c>
      <c r="G103" t="s">
        <v>18231</v>
      </c>
      <c r="H103" t="s">
        <v>18232</v>
      </c>
      <c r="I103" t="s">
        <v>1922</v>
      </c>
      <c r="J103" s="4">
        <v>6047.7816795432727</v>
      </c>
      <c r="Q103" t="s">
        <v>20286</v>
      </c>
    </row>
    <row r="104" spans="1:17">
      <c r="A104" t="s">
        <v>18229</v>
      </c>
      <c r="B104" t="s">
        <v>20252</v>
      </c>
      <c r="C104" t="s">
        <v>13311</v>
      </c>
      <c r="D104" t="s">
        <v>16721</v>
      </c>
      <c r="E104" t="s">
        <v>5435</v>
      </c>
      <c r="F104" t="s">
        <v>18230</v>
      </c>
      <c r="G104" t="s">
        <v>18231</v>
      </c>
      <c r="H104" t="s">
        <v>18232</v>
      </c>
      <c r="I104" t="s">
        <v>1922</v>
      </c>
      <c r="J104" s="4">
        <v>14179.969197793262</v>
      </c>
      <c r="Q104" t="s">
        <v>20286</v>
      </c>
    </row>
    <row r="105" spans="1:17">
      <c r="A105" t="s">
        <v>18229</v>
      </c>
      <c r="B105" t="s">
        <v>20252</v>
      </c>
      <c r="C105" t="s">
        <v>13311</v>
      </c>
      <c r="D105" t="s">
        <v>16721</v>
      </c>
      <c r="E105" t="s">
        <v>5438</v>
      </c>
      <c r="F105" t="s">
        <v>18230</v>
      </c>
      <c r="G105" t="s">
        <v>18231</v>
      </c>
      <c r="H105" t="s">
        <v>18232</v>
      </c>
      <c r="I105" t="s">
        <v>1922</v>
      </c>
      <c r="J105" s="4">
        <v>5457.7990975499652</v>
      </c>
      <c r="Q105" t="s">
        <v>20286</v>
      </c>
    </row>
    <row r="106" spans="1:17">
      <c r="A106" t="s">
        <v>18229</v>
      </c>
      <c r="B106" t="s">
        <v>20252</v>
      </c>
      <c r="C106" t="s">
        <v>13311</v>
      </c>
      <c r="D106" t="s">
        <v>16721</v>
      </c>
      <c r="E106" t="s">
        <v>7088</v>
      </c>
      <c r="F106" t="s">
        <v>18230</v>
      </c>
      <c r="G106" t="s">
        <v>18231</v>
      </c>
      <c r="H106" t="s">
        <v>18232</v>
      </c>
      <c r="I106" t="s">
        <v>1922</v>
      </c>
      <c r="J106" s="4">
        <v>6430.3803837098339</v>
      </c>
      <c r="Q106" t="s">
        <v>20286</v>
      </c>
    </row>
    <row r="107" spans="1:17">
      <c r="A107" t="s">
        <v>18229</v>
      </c>
      <c r="B107" t="s">
        <v>20252</v>
      </c>
      <c r="C107" t="s">
        <v>13311</v>
      </c>
      <c r="D107" t="s">
        <v>16721</v>
      </c>
      <c r="E107" t="s">
        <v>5450</v>
      </c>
      <c r="F107" t="s">
        <v>18230</v>
      </c>
      <c r="G107" t="s">
        <v>18231</v>
      </c>
      <c r="H107" t="s">
        <v>18232</v>
      </c>
      <c r="I107" t="s">
        <v>1922</v>
      </c>
      <c r="J107" s="4">
        <v>19232.017673859435</v>
      </c>
      <c r="Q107" t="s">
        <v>20286</v>
      </c>
    </row>
    <row r="108" spans="1:17">
      <c r="A108" t="s">
        <v>18229</v>
      </c>
      <c r="B108" t="s">
        <v>20252</v>
      </c>
      <c r="C108" t="s">
        <v>13311</v>
      </c>
      <c r="D108" t="s">
        <v>16721</v>
      </c>
      <c r="E108" t="s">
        <v>5839</v>
      </c>
      <c r="F108" t="s">
        <v>18230</v>
      </c>
      <c r="G108" t="s">
        <v>18231</v>
      </c>
      <c r="H108" t="s">
        <v>18232</v>
      </c>
      <c r="I108" t="s">
        <v>1922</v>
      </c>
      <c r="J108" s="4">
        <v>9687.3981686896841</v>
      </c>
      <c r="Q108" t="s">
        <v>20286</v>
      </c>
    </row>
    <row r="109" spans="1:17">
      <c r="A109" t="s">
        <v>18229</v>
      </c>
      <c r="B109" t="s">
        <v>20252</v>
      </c>
      <c r="C109" t="s">
        <v>13311</v>
      </c>
      <c r="D109" t="s">
        <v>16721</v>
      </c>
      <c r="E109" t="s">
        <v>5459</v>
      </c>
      <c r="F109" t="s">
        <v>18230</v>
      </c>
      <c r="G109" t="s">
        <v>18231</v>
      </c>
      <c r="H109" t="s">
        <v>18232</v>
      </c>
      <c r="I109" t="s">
        <v>1922</v>
      </c>
      <c r="J109" s="4">
        <v>24644.241112892796</v>
      </c>
      <c r="Q109" t="s">
        <v>20286</v>
      </c>
    </row>
    <row r="110" spans="1:17">
      <c r="A110" t="s">
        <v>18229</v>
      </c>
      <c r="B110" t="s">
        <v>20252</v>
      </c>
      <c r="C110" t="s">
        <v>13311</v>
      </c>
      <c r="D110" t="s">
        <v>16721</v>
      </c>
      <c r="E110" t="s">
        <v>7100</v>
      </c>
      <c r="F110" t="s">
        <v>18230</v>
      </c>
      <c r="G110" t="s">
        <v>18231</v>
      </c>
      <c r="H110" t="s">
        <v>18232</v>
      </c>
      <c r="I110" t="s">
        <v>1922</v>
      </c>
      <c r="J110" s="4">
        <v>11036.769763533968</v>
      </c>
      <c r="Q110" t="s">
        <v>20286</v>
      </c>
    </row>
    <row r="111" spans="1:17">
      <c r="A111" t="s">
        <v>18229</v>
      </c>
      <c r="B111" t="s">
        <v>20252</v>
      </c>
      <c r="C111" t="s">
        <v>13311</v>
      </c>
      <c r="D111" t="s">
        <v>16721</v>
      </c>
      <c r="E111" t="s">
        <v>5462</v>
      </c>
      <c r="F111" t="s">
        <v>18230</v>
      </c>
      <c r="G111" t="s">
        <v>18231</v>
      </c>
      <c r="H111" t="s">
        <v>18232</v>
      </c>
      <c r="I111" t="s">
        <v>1922</v>
      </c>
      <c r="J111" s="4">
        <v>7063.5108033782053</v>
      </c>
      <c r="Q111" t="s">
        <v>20286</v>
      </c>
    </row>
    <row r="112" spans="1:17">
      <c r="A112" t="s">
        <v>18229</v>
      </c>
      <c r="B112" t="s">
        <v>20252</v>
      </c>
      <c r="C112" t="s">
        <v>13311</v>
      </c>
      <c r="D112" t="s">
        <v>16721</v>
      </c>
      <c r="E112" t="s">
        <v>5538</v>
      </c>
      <c r="F112" t="s">
        <v>18230</v>
      </c>
      <c r="G112" t="s">
        <v>18231</v>
      </c>
      <c r="H112" t="s">
        <v>18232</v>
      </c>
      <c r="I112" t="s">
        <v>1922</v>
      </c>
      <c r="J112" s="4">
        <v>3757.2781806385451</v>
      </c>
      <c r="Q112" t="s">
        <v>20286</v>
      </c>
    </row>
    <row r="113" spans="1:17">
      <c r="A113" t="s">
        <v>18229</v>
      </c>
      <c r="B113" t="s">
        <v>20252</v>
      </c>
      <c r="C113" t="s">
        <v>13311</v>
      </c>
      <c r="D113" t="s">
        <v>16721</v>
      </c>
      <c r="E113" t="s">
        <v>5474</v>
      </c>
      <c r="F113" t="s">
        <v>18230</v>
      </c>
      <c r="G113" t="s">
        <v>18231</v>
      </c>
      <c r="H113" t="s">
        <v>18232</v>
      </c>
      <c r="I113" t="s">
        <v>1922</v>
      </c>
      <c r="J113" s="4">
        <v>2837.6614989762261</v>
      </c>
      <c r="Q113" t="s">
        <v>20286</v>
      </c>
    </row>
    <row r="114" spans="1:17">
      <c r="A114" t="s">
        <v>18229</v>
      </c>
      <c r="B114" t="s">
        <v>20252</v>
      </c>
      <c r="C114" t="s">
        <v>13311</v>
      </c>
      <c r="D114" t="s">
        <v>16721</v>
      </c>
      <c r="E114" t="s">
        <v>5477</v>
      </c>
      <c r="F114" t="s">
        <v>18230</v>
      </c>
      <c r="G114" t="s">
        <v>18231</v>
      </c>
      <c r="H114" t="s">
        <v>18232</v>
      </c>
      <c r="I114" t="s">
        <v>1922</v>
      </c>
      <c r="J114" s="4">
        <v>8940.0393738979456</v>
      </c>
      <c r="Q114" t="s">
        <v>20286</v>
      </c>
    </row>
    <row r="115" spans="1:17">
      <c r="A115" t="s">
        <v>18229</v>
      </c>
      <c r="B115" t="s">
        <v>20252</v>
      </c>
      <c r="C115" t="s">
        <v>13311</v>
      </c>
      <c r="D115" t="s">
        <v>16721</v>
      </c>
      <c r="E115" t="s">
        <v>7091</v>
      </c>
      <c r="F115" t="s">
        <v>18230</v>
      </c>
      <c r="G115" t="s">
        <v>18231</v>
      </c>
      <c r="H115" t="s">
        <v>18232</v>
      </c>
      <c r="I115" t="s">
        <v>1922</v>
      </c>
      <c r="J115" s="4">
        <v>3776.9151169756597</v>
      </c>
      <c r="Q115" t="s">
        <v>20286</v>
      </c>
    </row>
    <row r="116" spans="1:17">
      <c r="A116" t="s">
        <v>18229</v>
      </c>
      <c r="B116" t="s">
        <v>20252</v>
      </c>
      <c r="C116" t="s">
        <v>13311</v>
      </c>
      <c r="D116" t="s">
        <v>16721</v>
      </c>
      <c r="E116" t="s">
        <v>5518</v>
      </c>
      <c r="F116" t="s">
        <v>18230</v>
      </c>
      <c r="G116" t="s">
        <v>18231</v>
      </c>
      <c r="H116" t="s">
        <v>18232</v>
      </c>
      <c r="I116" t="s">
        <v>1922</v>
      </c>
      <c r="J116" s="4">
        <v>4386.8629950975455</v>
      </c>
      <c r="Q116" t="s">
        <v>20286</v>
      </c>
    </row>
    <row r="117" spans="1:17">
      <c r="A117" t="s">
        <v>18229</v>
      </c>
      <c r="B117" t="s">
        <v>20252</v>
      </c>
      <c r="C117" t="s">
        <v>13311</v>
      </c>
      <c r="D117" t="s">
        <v>16721</v>
      </c>
      <c r="E117" t="s">
        <v>5527</v>
      </c>
      <c r="F117" t="s">
        <v>18230</v>
      </c>
      <c r="G117" t="s">
        <v>18231</v>
      </c>
      <c r="H117" t="s">
        <v>18232</v>
      </c>
      <c r="I117" t="s">
        <v>1922</v>
      </c>
      <c r="J117" s="4">
        <v>3926.3528490126118</v>
      </c>
      <c r="Q117" t="s">
        <v>20286</v>
      </c>
    </row>
    <row r="118" spans="1:17">
      <c r="A118" t="s">
        <v>18229</v>
      </c>
      <c r="B118" t="s">
        <v>20252</v>
      </c>
      <c r="C118" t="s">
        <v>13311</v>
      </c>
      <c r="D118" t="s">
        <v>16721</v>
      </c>
      <c r="E118" t="s">
        <v>5546</v>
      </c>
      <c r="F118" t="s">
        <v>18230</v>
      </c>
      <c r="G118" t="s">
        <v>18231</v>
      </c>
      <c r="H118" t="s">
        <v>18232</v>
      </c>
      <c r="I118" t="s">
        <v>1922</v>
      </c>
      <c r="J118" s="4">
        <v>8294.8566186714288</v>
      </c>
      <c r="Q118" t="s">
        <v>20286</v>
      </c>
    </row>
    <row r="119" spans="1:17">
      <c r="A119" t="s">
        <v>18229</v>
      </c>
      <c r="B119" t="s">
        <v>20252</v>
      </c>
      <c r="C119" t="s">
        <v>13311</v>
      </c>
      <c r="D119" t="s">
        <v>16721</v>
      </c>
      <c r="E119" t="s">
        <v>5549</v>
      </c>
      <c r="F119" t="s">
        <v>18230</v>
      </c>
      <c r="G119" t="s">
        <v>18231</v>
      </c>
      <c r="H119" t="s">
        <v>18232</v>
      </c>
      <c r="I119" t="s">
        <v>1922</v>
      </c>
      <c r="J119" s="4">
        <v>9098.7239218240193</v>
      </c>
      <c r="Q119" t="s">
        <v>20286</v>
      </c>
    </row>
    <row r="120" spans="1:17">
      <c r="A120" t="s">
        <v>18229</v>
      </c>
      <c r="B120" t="s">
        <v>20252</v>
      </c>
      <c r="C120" t="s">
        <v>13311</v>
      </c>
      <c r="D120" t="s">
        <v>16721</v>
      </c>
      <c r="E120" t="s">
        <v>6949</v>
      </c>
      <c r="F120" t="s">
        <v>18230</v>
      </c>
      <c r="G120" t="s">
        <v>18231</v>
      </c>
      <c r="H120" t="s">
        <v>18232</v>
      </c>
      <c r="I120" t="s">
        <v>1922</v>
      </c>
      <c r="J120" s="4">
        <v>5148.4756672616932</v>
      </c>
      <c r="Q120" t="s">
        <v>20286</v>
      </c>
    </row>
    <row r="121" spans="1:17">
      <c r="A121" t="s">
        <v>18229</v>
      </c>
      <c r="B121" t="s">
        <v>20252</v>
      </c>
      <c r="C121" t="s">
        <v>13311</v>
      </c>
      <c r="D121" t="s">
        <v>16721</v>
      </c>
      <c r="E121" t="s">
        <v>7968</v>
      </c>
      <c r="F121" t="s">
        <v>18230</v>
      </c>
      <c r="G121" t="s">
        <v>18231</v>
      </c>
      <c r="H121" t="s">
        <v>18232</v>
      </c>
      <c r="I121" t="s">
        <v>1922</v>
      </c>
      <c r="J121" s="4">
        <v>6653.9321532374652</v>
      </c>
      <c r="Q121" t="s">
        <v>20286</v>
      </c>
    </row>
    <row r="122" spans="1:17">
      <c r="A122" t="s">
        <v>18229</v>
      </c>
      <c r="B122" t="s">
        <v>20252</v>
      </c>
      <c r="C122" t="s">
        <v>13311</v>
      </c>
      <c r="D122" t="s">
        <v>16721</v>
      </c>
      <c r="E122" t="s">
        <v>8041</v>
      </c>
      <c r="F122" t="s">
        <v>18230</v>
      </c>
      <c r="G122" t="s">
        <v>18231</v>
      </c>
      <c r="H122" t="s">
        <v>18232</v>
      </c>
      <c r="I122" t="s">
        <v>1922</v>
      </c>
      <c r="J122" s="4">
        <v>4203.6382314613238</v>
      </c>
      <c r="Q122" t="s">
        <v>20286</v>
      </c>
    </row>
    <row r="123" spans="1:17">
      <c r="A123" t="s">
        <v>18229</v>
      </c>
      <c r="B123" t="s">
        <v>20252</v>
      </c>
      <c r="C123" t="s">
        <v>13311</v>
      </c>
      <c r="D123" t="s">
        <v>16721</v>
      </c>
      <c r="E123" t="s">
        <v>5564</v>
      </c>
      <c r="F123" t="s">
        <v>18230</v>
      </c>
      <c r="G123" t="s">
        <v>18231</v>
      </c>
      <c r="H123" t="s">
        <v>18232</v>
      </c>
      <c r="I123" t="s">
        <v>1922</v>
      </c>
      <c r="J123" s="4">
        <v>7714.1106444908228</v>
      </c>
      <c r="Q123" t="s">
        <v>20286</v>
      </c>
    </row>
    <row r="124" spans="1:17">
      <c r="A124" t="s">
        <v>18229</v>
      </c>
      <c r="B124" t="s">
        <v>20252</v>
      </c>
      <c r="C124" t="s">
        <v>13311</v>
      </c>
      <c r="D124" t="s">
        <v>16721</v>
      </c>
      <c r="E124" t="s">
        <v>5567</v>
      </c>
      <c r="F124" t="s">
        <v>18230</v>
      </c>
      <c r="G124" t="s">
        <v>18231</v>
      </c>
      <c r="H124" t="s">
        <v>18232</v>
      </c>
      <c r="I124" t="s">
        <v>1922</v>
      </c>
      <c r="J124" s="4">
        <v>2140.3001611363861</v>
      </c>
      <c r="Q124" t="s">
        <v>20286</v>
      </c>
    </row>
    <row r="125" spans="1:17">
      <c r="A125" t="s">
        <v>18229</v>
      </c>
      <c r="B125" t="s">
        <v>20252</v>
      </c>
      <c r="C125" t="s">
        <v>13311</v>
      </c>
      <c r="D125" t="s">
        <v>16721</v>
      </c>
      <c r="E125" t="s">
        <v>5570</v>
      </c>
      <c r="F125" t="s">
        <v>18230</v>
      </c>
      <c r="G125" t="s">
        <v>18231</v>
      </c>
      <c r="H125" t="s">
        <v>18232</v>
      </c>
      <c r="I125" t="s">
        <v>1922</v>
      </c>
      <c r="J125" s="4">
        <v>5340.2445908602267</v>
      </c>
      <c r="Q125" t="s">
        <v>20286</v>
      </c>
    </row>
    <row r="126" spans="1:17">
      <c r="A126" t="s">
        <v>18229</v>
      </c>
      <c r="B126" t="s">
        <v>20252</v>
      </c>
      <c r="C126" t="s">
        <v>13311</v>
      </c>
      <c r="D126" t="s">
        <v>16721</v>
      </c>
      <c r="E126" t="s">
        <v>5575</v>
      </c>
      <c r="F126" t="s">
        <v>18230</v>
      </c>
      <c r="G126" t="s">
        <v>18231</v>
      </c>
      <c r="H126" t="s">
        <v>18232</v>
      </c>
      <c r="I126" t="s">
        <v>1922</v>
      </c>
      <c r="J126" s="4">
        <v>11179.512698786433</v>
      </c>
      <c r="Q126" t="s">
        <v>20286</v>
      </c>
    </row>
    <row r="127" spans="1:17">
      <c r="A127" t="s">
        <v>18229</v>
      </c>
      <c r="B127" t="s">
        <v>20252</v>
      </c>
      <c r="C127" t="s">
        <v>13311</v>
      </c>
      <c r="D127" t="s">
        <v>16721</v>
      </c>
      <c r="E127" t="s">
        <v>5578</v>
      </c>
      <c r="F127" t="s">
        <v>18230</v>
      </c>
      <c r="G127" t="s">
        <v>18231</v>
      </c>
      <c r="H127" t="s">
        <v>18232</v>
      </c>
      <c r="I127" t="s">
        <v>1922</v>
      </c>
      <c r="J127" s="4">
        <v>16108.492605550793</v>
      </c>
      <c r="Q127" t="s">
        <v>20286</v>
      </c>
    </row>
    <row r="128" spans="1:17">
      <c r="A128" t="s">
        <v>18229</v>
      </c>
      <c r="B128" t="s">
        <v>20252</v>
      </c>
      <c r="C128" t="s">
        <v>13311</v>
      </c>
      <c r="D128" t="s">
        <v>16721</v>
      </c>
      <c r="E128" t="s">
        <v>5583</v>
      </c>
      <c r="F128" t="s">
        <v>18230</v>
      </c>
      <c r="G128" t="s">
        <v>18231</v>
      </c>
      <c r="H128" t="s">
        <v>18232</v>
      </c>
      <c r="I128" t="s">
        <v>1922</v>
      </c>
      <c r="J128" s="4">
        <v>11281.225972220684</v>
      </c>
      <c r="Q128" t="s">
        <v>20286</v>
      </c>
    </row>
    <row r="129" spans="1:17">
      <c r="A129" t="s">
        <v>18229</v>
      </c>
      <c r="B129" t="s">
        <v>20252</v>
      </c>
      <c r="C129" t="s">
        <v>13311</v>
      </c>
      <c r="D129" t="s">
        <v>16721</v>
      </c>
      <c r="E129" t="s">
        <v>5604</v>
      </c>
      <c r="F129" t="s">
        <v>18230</v>
      </c>
      <c r="G129" t="s">
        <v>18231</v>
      </c>
      <c r="H129" t="s">
        <v>18232</v>
      </c>
      <c r="I129" t="s">
        <v>1922</v>
      </c>
      <c r="J129" s="4">
        <v>17491.452174504189</v>
      </c>
      <c r="Q129" t="s">
        <v>20286</v>
      </c>
    </row>
    <row r="130" spans="1:17">
      <c r="A130" t="s">
        <v>18229</v>
      </c>
      <c r="B130" t="s">
        <v>20252</v>
      </c>
      <c r="C130" t="s">
        <v>13311</v>
      </c>
      <c r="D130" t="s">
        <v>16721</v>
      </c>
      <c r="E130" t="s">
        <v>5609</v>
      </c>
      <c r="F130" t="s">
        <v>18230</v>
      </c>
      <c r="G130" t="s">
        <v>18231</v>
      </c>
      <c r="H130" t="s">
        <v>18232</v>
      </c>
      <c r="I130" t="s">
        <v>1922</v>
      </c>
      <c r="J130" s="4">
        <v>721.76374451834033</v>
      </c>
      <c r="Q130" t="s">
        <v>20286</v>
      </c>
    </row>
    <row r="131" spans="1:17">
      <c r="A131" t="s">
        <v>18229</v>
      </c>
      <c r="B131" t="s">
        <v>20252</v>
      </c>
      <c r="C131" t="s">
        <v>13311</v>
      </c>
      <c r="D131" t="s">
        <v>16721</v>
      </c>
      <c r="E131" t="s">
        <v>5618</v>
      </c>
      <c r="F131" t="s">
        <v>18230</v>
      </c>
      <c r="G131" t="s">
        <v>18231</v>
      </c>
      <c r="H131" t="s">
        <v>18232</v>
      </c>
      <c r="I131" t="s">
        <v>1922</v>
      </c>
      <c r="J131" s="4">
        <v>14328.578374294246</v>
      </c>
      <c r="Q131" t="s">
        <v>20286</v>
      </c>
    </row>
    <row r="132" spans="1:17">
      <c r="A132" t="s">
        <v>18229</v>
      </c>
      <c r="B132" t="s">
        <v>20252</v>
      </c>
      <c r="C132" t="s">
        <v>13311</v>
      </c>
      <c r="D132" t="s">
        <v>16721</v>
      </c>
      <c r="E132" t="s">
        <v>8140</v>
      </c>
      <c r="F132" t="s">
        <v>18230</v>
      </c>
      <c r="G132" t="s">
        <v>18231</v>
      </c>
      <c r="H132" t="s">
        <v>18232</v>
      </c>
      <c r="I132" t="s">
        <v>1922</v>
      </c>
      <c r="J132" s="4">
        <v>8907.5930030016425</v>
      </c>
      <c r="Q132" t="s">
        <v>20286</v>
      </c>
    </row>
    <row r="133" spans="1:17">
      <c r="A133" t="s">
        <v>18229</v>
      </c>
      <c r="B133" t="s">
        <v>20252</v>
      </c>
      <c r="C133" t="s">
        <v>13311</v>
      </c>
      <c r="D133" t="s">
        <v>16721</v>
      </c>
      <c r="E133" t="s">
        <v>6121</v>
      </c>
      <c r="F133" t="s">
        <v>18230</v>
      </c>
      <c r="G133" t="s">
        <v>18231</v>
      </c>
      <c r="H133" t="s">
        <v>18232</v>
      </c>
      <c r="I133" t="s">
        <v>1922</v>
      </c>
      <c r="J133" s="4">
        <v>1800.9275565640964</v>
      </c>
      <c r="Q133" t="s">
        <v>20286</v>
      </c>
    </row>
    <row r="134" spans="1:17">
      <c r="A134" t="s">
        <v>18229</v>
      </c>
      <c r="B134" t="s">
        <v>20252</v>
      </c>
      <c r="C134" t="s">
        <v>13311</v>
      </c>
      <c r="D134" t="s">
        <v>16721</v>
      </c>
      <c r="E134" t="s">
        <v>5627</v>
      </c>
      <c r="F134" t="s">
        <v>18230</v>
      </c>
      <c r="G134" t="s">
        <v>18231</v>
      </c>
      <c r="H134" t="s">
        <v>18232</v>
      </c>
      <c r="I134" t="s">
        <v>1922</v>
      </c>
      <c r="J134" s="4">
        <v>8193.6775679030834</v>
      </c>
      <c r="Q134" t="s">
        <v>20286</v>
      </c>
    </row>
    <row r="135" spans="1:17">
      <c r="A135" t="s">
        <v>18229</v>
      </c>
      <c r="B135" t="s">
        <v>20252</v>
      </c>
      <c r="C135" t="s">
        <v>13311</v>
      </c>
      <c r="D135" t="s">
        <v>16721</v>
      </c>
      <c r="E135" t="s">
        <v>5630</v>
      </c>
      <c r="F135" t="s">
        <v>18230</v>
      </c>
      <c r="G135" t="s">
        <v>18231</v>
      </c>
      <c r="H135" t="s">
        <v>18232</v>
      </c>
      <c r="I135" t="s">
        <v>1922</v>
      </c>
      <c r="J135" s="4">
        <v>4859.7827594152732</v>
      </c>
      <c r="Q135" t="s">
        <v>20286</v>
      </c>
    </row>
    <row r="136" spans="1:17">
      <c r="A136" t="s">
        <v>18229</v>
      </c>
      <c r="B136" t="s">
        <v>20252</v>
      </c>
      <c r="C136" t="s">
        <v>13311</v>
      </c>
      <c r="D136" t="s">
        <v>16721</v>
      </c>
      <c r="E136" t="s">
        <v>5633</v>
      </c>
      <c r="F136" t="s">
        <v>18230</v>
      </c>
      <c r="G136" t="s">
        <v>18231</v>
      </c>
      <c r="H136" t="s">
        <v>18232</v>
      </c>
      <c r="I136" t="s">
        <v>1922</v>
      </c>
      <c r="J136" s="4">
        <v>6318.8452394148881</v>
      </c>
      <c r="Q136" t="s">
        <v>20286</v>
      </c>
    </row>
    <row r="137" spans="1:17">
      <c r="A137" t="s">
        <v>18229</v>
      </c>
      <c r="B137" t="s">
        <v>20252</v>
      </c>
      <c r="C137" t="s">
        <v>13311</v>
      </c>
      <c r="D137" t="s">
        <v>16721</v>
      </c>
      <c r="E137" t="s">
        <v>5636</v>
      </c>
      <c r="F137" t="s">
        <v>18230</v>
      </c>
      <c r="G137" t="s">
        <v>18231</v>
      </c>
      <c r="H137" t="s">
        <v>18232</v>
      </c>
      <c r="I137" t="s">
        <v>1922</v>
      </c>
      <c r="J137" s="4">
        <v>11486.803020521351</v>
      </c>
      <c r="Q137" t="s">
        <v>20286</v>
      </c>
    </row>
    <row r="138" spans="1:17">
      <c r="A138" t="s">
        <v>18229</v>
      </c>
      <c r="B138" t="s">
        <v>20252</v>
      </c>
      <c r="C138" t="s">
        <v>13311</v>
      </c>
      <c r="D138" t="s">
        <v>16721</v>
      </c>
      <c r="E138" t="s">
        <v>5639</v>
      </c>
      <c r="F138" t="s">
        <v>18230</v>
      </c>
      <c r="G138" t="s">
        <v>18231</v>
      </c>
      <c r="H138" t="s">
        <v>18232</v>
      </c>
      <c r="I138" t="s">
        <v>1922</v>
      </c>
      <c r="J138" s="4">
        <v>9303.9692076410829</v>
      </c>
      <c r="Q138" t="s">
        <v>20286</v>
      </c>
    </row>
    <row r="139" spans="1:17">
      <c r="A139" t="s">
        <v>18229</v>
      </c>
      <c r="B139" t="s">
        <v>20252</v>
      </c>
      <c r="C139" t="s">
        <v>13311</v>
      </c>
      <c r="D139" t="s">
        <v>16721</v>
      </c>
      <c r="E139" t="s">
        <v>5049</v>
      </c>
      <c r="F139" t="s">
        <v>18230</v>
      </c>
      <c r="G139" t="s">
        <v>18231</v>
      </c>
      <c r="H139" t="s">
        <v>18232</v>
      </c>
      <c r="I139" t="s">
        <v>1922</v>
      </c>
      <c r="J139" s="4">
        <v>8544.2790565357573</v>
      </c>
      <c r="Q139" t="s">
        <v>20286</v>
      </c>
    </row>
    <row r="140" spans="1:17">
      <c r="A140" t="s">
        <v>18229</v>
      </c>
      <c r="B140" t="s">
        <v>20252</v>
      </c>
      <c r="C140" t="s">
        <v>13311</v>
      </c>
      <c r="D140" t="s">
        <v>16721</v>
      </c>
      <c r="E140" t="s">
        <v>7822</v>
      </c>
      <c r="F140" t="s">
        <v>18230</v>
      </c>
      <c r="G140" t="s">
        <v>18231</v>
      </c>
      <c r="H140" t="s">
        <v>18232</v>
      </c>
      <c r="I140" t="s">
        <v>1922</v>
      </c>
      <c r="J140" s="4">
        <v>2032.4535351206703</v>
      </c>
      <c r="Q140" t="s">
        <v>20286</v>
      </c>
    </row>
    <row r="141" spans="1:17">
      <c r="A141" t="s">
        <v>18229</v>
      </c>
      <c r="B141" t="s">
        <v>20252</v>
      </c>
      <c r="C141" t="s">
        <v>13311</v>
      </c>
      <c r="D141" t="s">
        <v>16721</v>
      </c>
      <c r="E141" t="s">
        <v>5656</v>
      </c>
      <c r="F141" t="s">
        <v>18230</v>
      </c>
      <c r="G141" t="s">
        <v>18231</v>
      </c>
      <c r="H141" t="s">
        <v>18232</v>
      </c>
      <c r="I141" t="s">
        <v>1922</v>
      </c>
      <c r="J141" s="4">
        <v>6644.4573569749982</v>
      </c>
      <c r="Q141" t="s">
        <v>20286</v>
      </c>
    </row>
    <row r="142" spans="1:17">
      <c r="A142" t="s">
        <v>18229</v>
      </c>
      <c r="B142" t="s">
        <v>20252</v>
      </c>
      <c r="C142" t="s">
        <v>13311</v>
      </c>
      <c r="D142" t="s">
        <v>16721</v>
      </c>
      <c r="E142" t="s">
        <v>5659</v>
      </c>
      <c r="F142" t="s">
        <v>18230</v>
      </c>
      <c r="G142" t="s">
        <v>18231</v>
      </c>
      <c r="H142" t="s">
        <v>18232</v>
      </c>
      <c r="I142" t="s">
        <v>1922</v>
      </c>
      <c r="J142" s="4">
        <v>5017.6948962256765</v>
      </c>
      <c r="Q142" t="s">
        <v>20286</v>
      </c>
    </row>
    <row r="143" spans="1:17">
      <c r="A143" t="s">
        <v>18229</v>
      </c>
      <c r="B143" t="s">
        <v>20252</v>
      </c>
      <c r="C143" t="s">
        <v>13311</v>
      </c>
      <c r="D143" t="s">
        <v>16721</v>
      </c>
      <c r="E143" t="s">
        <v>5662</v>
      </c>
      <c r="F143" t="s">
        <v>18230</v>
      </c>
      <c r="G143" t="s">
        <v>18231</v>
      </c>
      <c r="H143" t="s">
        <v>18232</v>
      </c>
      <c r="I143" t="s">
        <v>1922</v>
      </c>
      <c r="J143" s="4">
        <v>6700.402719786759</v>
      </c>
      <c r="Q143" t="s">
        <v>20286</v>
      </c>
    </row>
    <row r="144" spans="1:17">
      <c r="A144" t="s">
        <v>18229</v>
      </c>
      <c r="B144" t="s">
        <v>20252</v>
      </c>
      <c r="C144" t="s">
        <v>13311</v>
      </c>
      <c r="D144" t="s">
        <v>16721</v>
      </c>
      <c r="E144" t="s">
        <v>7936</v>
      </c>
      <c r="F144" t="s">
        <v>18230</v>
      </c>
      <c r="G144" t="s">
        <v>18231</v>
      </c>
      <c r="H144" t="s">
        <v>18232</v>
      </c>
      <c r="I144" t="s">
        <v>1922</v>
      </c>
      <c r="J144" s="4">
        <v>4182.5024092367539</v>
      </c>
      <c r="Q144" t="s">
        <v>20286</v>
      </c>
    </row>
    <row r="145" spans="1:17">
      <c r="A145" t="s">
        <v>18229</v>
      </c>
      <c r="B145" t="s">
        <v>20252</v>
      </c>
      <c r="C145" t="s">
        <v>13311</v>
      </c>
      <c r="D145" t="s">
        <v>16721</v>
      </c>
      <c r="E145" t="s">
        <v>5675</v>
      </c>
      <c r="F145" t="s">
        <v>18230</v>
      </c>
      <c r="G145" t="s">
        <v>18231</v>
      </c>
      <c r="H145" t="s">
        <v>18232</v>
      </c>
      <c r="I145" t="s">
        <v>1922</v>
      </c>
      <c r="J145" s="4">
        <v>12650.693866840918</v>
      </c>
      <c r="Q145" t="s">
        <v>20286</v>
      </c>
    </row>
    <row r="146" spans="1:17">
      <c r="A146" t="s">
        <v>18229</v>
      </c>
      <c r="B146" t="s">
        <v>20252</v>
      </c>
      <c r="C146" t="s">
        <v>13311</v>
      </c>
      <c r="D146" t="s">
        <v>16721</v>
      </c>
      <c r="E146" t="s">
        <v>5687</v>
      </c>
      <c r="F146" t="s">
        <v>18230</v>
      </c>
      <c r="G146" t="s">
        <v>18231</v>
      </c>
      <c r="H146" t="s">
        <v>18232</v>
      </c>
      <c r="I146" t="s">
        <v>1922</v>
      </c>
      <c r="J146" s="4">
        <v>3597.2801935466214</v>
      </c>
      <c r="Q146" t="s">
        <v>20286</v>
      </c>
    </row>
    <row r="147" spans="1:17">
      <c r="A147" t="s">
        <v>18229</v>
      </c>
      <c r="B147" t="s">
        <v>20252</v>
      </c>
      <c r="C147" t="s">
        <v>13311</v>
      </c>
      <c r="D147" t="s">
        <v>16721</v>
      </c>
      <c r="E147" t="s">
        <v>18179</v>
      </c>
      <c r="F147" t="s">
        <v>18230</v>
      </c>
      <c r="G147" t="s">
        <v>18231</v>
      </c>
      <c r="H147" t="s">
        <v>18232</v>
      </c>
      <c r="I147" t="s">
        <v>1922</v>
      </c>
      <c r="J147" s="4">
        <v>3546.2602276068005</v>
      </c>
      <c r="Q147" t="s">
        <v>20286</v>
      </c>
    </row>
    <row r="148" spans="1:17">
      <c r="A148" t="s">
        <v>18229</v>
      </c>
      <c r="B148" t="s">
        <v>20252</v>
      </c>
      <c r="C148" t="s">
        <v>13311</v>
      </c>
      <c r="D148" t="s">
        <v>16721</v>
      </c>
      <c r="E148" t="s">
        <v>5712</v>
      </c>
      <c r="F148" t="s">
        <v>18230</v>
      </c>
      <c r="G148" t="s">
        <v>18231</v>
      </c>
      <c r="H148" t="s">
        <v>18232</v>
      </c>
      <c r="I148" t="s">
        <v>1922</v>
      </c>
      <c r="J148" s="4">
        <v>17338.128568043918</v>
      </c>
      <c r="Q148" t="s">
        <v>20286</v>
      </c>
    </row>
    <row r="149" spans="1:17">
      <c r="A149" t="s">
        <v>18229</v>
      </c>
      <c r="B149" t="s">
        <v>20252</v>
      </c>
      <c r="C149" t="s">
        <v>13311</v>
      </c>
      <c r="D149" t="s">
        <v>16721</v>
      </c>
      <c r="E149" t="s">
        <v>5094</v>
      </c>
      <c r="F149" t="s">
        <v>18230</v>
      </c>
      <c r="G149" t="s">
        <v>18231</v>
      </c>
      <c r="H149" t="s">
        <v>18232</v>
      </c>
      <c r="I149" t="s">
        <v>1922</v>
      </c>
      <c r="J149" s="4">
        <v>6530.5828618341402</v>
      </c>
      <c r="Q149" t="s">
        <v>20286</v>
      </c>
    </row>
    <row r="150" spans="1:17">
      <c r="A150" t="s">
        <v>18229</v>
      </c>
      <c r="B150" t="s">
        <v>20252</v>
      </c>
      <c r="C150" t="s">
        <v>13311</v>
      </c>
      <c r="D150" t="s">
        <v>16721</v>
      </c>
      <c r="E150" t="s">
        <v>6937</v>
      </c>
      <c r="F150" t="s">
        <v>18230</v>
      </c>
      <c r="G150" t="s">
        <v>18231</v>
      </c>
      <c r="H150" t="s">
        <v>18232</v>
      </c>
      <c r="I150" t="s">
        <v>1922</v>
      </c>
      <c r="J150" s="4">
        <v>7544.6191463296645</v>
      </c>
      <c r="Q150" t="s">
        <v>20286</v>
      </c>
    </row>
    <row r="151" spans="1:17">
      <c r="A151" t="s">
        <v>18229</v>
      </c>
      <c r="B151" t="s">
        <v>20252</v>
      </c>
      <c r="C151" t="s">
        <v>13311</v>
      </c>
      <c r="D151" t="s">
        <v>16721</v>
      </c>
      <c r="E151" t="s">
        <v>6898</v>
      </c>
      <c r="F151" t="s">
        <v>18230</v>
      </c>
      <c r="G151" t="s">
        <v>18231</v>
      </c>
      <c r="H151" t="s">
        <v>18232</v>
      </c>
      <c r="I151" t="s">
        <v>1922</v>
      </c>
      <c r="J151" s="4">
        <v>10489.2051417518</v>
      </c>
      <c r="Q151" t="s">
        <v>20286</v>
      </c>
    </row>
    <row r="152" spans="1:17">
      <c r="A152" t="s">
        <v>18229</v>
      </c>
      <c r="B152" t="s">
        <v>20252</v>
      </c>
      <c r="C152" t="s">
        <v>13311</v>
      </c>
      <c r="D152" t="s">
        <v>16721</v>
      </c>
      <c r="E152" t="s">
        <v>5726</v>
      </c>
      <c r="F152" t="s">
        <v>18230</v>
      </c>
      <c r="G152" t="s">
        <v>18231</v>
      </c>
      <c r="H152" t="s">
        <v>18232</v>
      </c>
      <c r="I152" t="s">
        <v>1922</v>
      </c>
      <c r="J152" s="4">
        <v>4258.2667524150947</v>
      </c>
      <c r="Q152" t="s">
        <v>20286</v>
      </c>
    </row>
    <row r="153" spans="1:17">
      <c r="A153" t="s">
        <v>18229</v>
      </c>
      <c r="B153" t="s">
        <v>20252</v>
      </c>
      <c r="C153" t="s">
        <v>13311</v>
      </c>
      <c r="D153" t="s">
        <v>16721</v>
      </c>
      <c r="E153" t="s">
        <v>6904</v>
      </c>
      <c r="F153" t="s">
        <v>18230</v>
      </c>
      <c r="G153" t="s">
        <v>18231</v>
      </c>
      <c r="H153" t="s">
        <v>18232</v>
      </c>
      <c r="I153" t="s">
        <v>1922</v>
      </c>
      <c r="J153" s="4">
        <v>8287.6429113356644</v>
      </c>
      <c r="Q153" t="s">
        <v>20286</v>
      </c>
    </row>
    <row r="154" spans="1:17">
      <c r="A154" t="s">
        <v>18229</v>
      </c>
      <c r="B154" t="s">
        <v>20252</v>
      </c>
      <c r="C154" t="s">
        <v>13311</v>
      </c>
      <c r="D154" t="s">
        <v>16721</v>
      </c>
      <c r="E154" t="s">
        <v>6907</v>
      </c>
      <c r="F154" t="s">
        <v>18230</v>
      </c>
      <c r="G154" t="s">
        <v>18231</v>
      </c>
      <c r="H154" t="s">
        <v>18232</v>
      </c>
      <c r="I154" t="s">
        <v>1922</v>
      </c>
      <c r="J154" s="4">
        <v>2008.2893168919366</v>
      </c>
      <c r="Q154" t="s">
        <v>20286</v>
      </c>
    </row>
    <row r="155" spans="1:17">
      <c r="A155" t="s">
        <v>18229</v>
      </c>
      <c r="B155" t="s">
        <v>20252</v>
      </c>
      <c r="C155" t="s">
        <v>13311</v>
      </c>
      <c r="D155" t="s">
        <v>16721</v>
      </c>
      <c r="E155" t="s">
        <v>5740</v>
      </c>
      <c r="F155" t="s">
        <v>18230</v>
      </c>
      <c r="G155" t="s">
        <v>18231</v>
      </c>
      <c r="H155" t="s">
        <v>18232</v>
      </c>
      <c r="I155" t="s">
        <v>1922</v>
      </c>
      <c r="J155" s="4">
        <v>2173.2416237389871</v>
      </c>
      <c r="Q155" t="s">
        <v>20286</v>
      </c>
    </row>
    <row r="156" spans="1:17">
      <c r="A156" t="s">
        <v>18229</v>
      </c>
      <c r="B156" t="s">
        <v>20252</v>
      </c>
      <c r="C156" t="s">
        <v>13311</v>
      </c>
      <c r="D156" t="s">
        <v>16721</v>
      </c>
      <c r="E156" t="s">
        <v>5745</v>
      </c>
      <c r="F156" t="s">
        <v>18230</v>
      </c>
      <c r="G156" t="s">
        <v>18231</v>
      </c>
      <c r="H156" t="s">
        <v>18232</v>
      </c>
      <c r="I156" t="s">
        <v>1922</v>
      </c>
      <c r="J156" s="4">
        <v>867.07741368220604</v>
      </c>
      <c r="Q156" t="s">
        <v>20286</v>
      </c>
    </row>
    <row r="157" spans="1:17">
      <c r="A157" t="s">
        <v>18229</v>
      </c>
      <c r="B157" t="s">
        <v>20252</v>
      </c>
      <c r="C157" t="s">
        <v>13311</v>
      </c>
      <c r="D157" t="s">
        <v>16721</v>
      </c>
      <c r="E157" t="s">
        <v>5757</v>
      </c>
      <c r="F157" t="s">
        <v>18230</v>
      </c>
      <c r="G157" t="s">
        <v>18231</v>
      </c>
      <c r="H157" t="s">
        <v>18232</v>
      </c>
      <c r="I157" t="s">
        <v>1922</v>
      </c>
      <c r="J157" s="4">
        <v>2471.1660353598995</v>
      </c>
      <c r="Q157" t="s">
        <v>20286</v>
      </c>
    </row>
    <row r="158" spans="1:17">
      <c r="A158" t="s">
        <v>18229</v>
      </c>
      <c r="B158" t="s">
        <v>20252</v>
      </c>
      <c r="C158" t="s">
        <v>13311</v>
      </c>
      <c r="D158" t="s">
        <v>16721</v>
      </c>
      <c r="E158" t="s">
        <v>5764</v>
      </c>
      <c r="F158" t="s">
        <v>18230</v>
      </c>
      <c r="G158" t="s">
        <v>18231</v>
      </c>
      <c r="H158" t="s">
        <v>18232</v>
      </c>
      <c r="I158" t="s">
        <v>1922</v>
      </c>
      <c r="J158" s="4">
        <v>8535.1598416018696</v>
      </c>
      <c r="Q158" t="s">
        <v>20286</v>
      </c>
    </row>
    <row r="159" spans="1:17">
      <c r="A159" t="s">
        <v>18229</v>
      </c>
      <c r="B159" t="s">
        <v>20252</v>
      </c>
      <c r="C159" t="s">
        <v>13311</v>
      </c>
      <c r="D159" t="s">
        <v>16721</v>
      </c>
      <c r="E159" t="s">
        <v>5770</v>
      </c>
      <c r="F159" t="s">
        <v>18230</v>
      </c>
      <c r="G159" t="s">
        <v>18231</v>
      </c>
      <c r="H159" t="s">
        <v>18232</v>
      </c>
      <c r="I159" t="s">
        <v>1922</v>
      </c>
      <c r="J159" s="4">
        <v>2177.8726877408608</v>
      </c>
      <c r="Q159" t="s">
        <v>20286</v>
      </c>
    </row>
    <row r="160" spans="1:17">
      <c r="A160" t="s">
        <v>18229</v>
      </c>
      <c r="B160" t="s">
        <v>20252</v>
      </c>
      <c r="C160" t="s">
        <v>13311</v>
      </c>
      <c r="D160" t="s">
        <v>16721</v>
      </c>
      <c r="E160" t="s">
        <v>5788</v>
      </c>
      <c r="F160" t="s">
        <v>18230</v>
      </c>
      <c r="G160" t="s">
        <v>18231</v>
      </c>
      <c r="H160" t="s">
        <v>18232</v>
      </c>
      <c r="I160" t="s">
        <v>1922</v>
      </c>
      <c r="J160" s="4">
        <v>3109.381778430768</v>
      </c>
      <c r="Q160" t="s">
        <v>20286</v>
      </c>
    </row>
    <row r="161" spans="1:17">
      <c r="A161" t="s">
        <v>18229</v>
      </c>
      <c r="B161" t="s">
        <v>20252</v>
      </c>
      <c r="C161" t="s">
        <v>13311</v>
      </c>
      <c r="D161" t="s">
        <v>16721</v>
      </c>
      <c r="E161" t="s">
        <v>5091</v>
      </c>
      <c r="F161" t="s">
        <v>18230</v>
      </c>
      <c r="G161" t="s">
        <v>18231</v>
      </c>
      <c r="H161" t="s">
        <v>18232</v>
      </c>
      <c r="I161" t="s">
        <v>1922</v>
      </c>
      <c r="J161" s="4">
        <v>2289.8416752835938</v>
      </c>
      <c r="Q161" t="s">
        <v>20286</v>
      </c>
    </row>
    <row r="162" spans="1:17">
      <c r="A162" t="s">
        <v>18229</v>
      </c>
      <c r="B162" t="s">
        <v>20252</v>
      </c>
      <c r="C162" t="s">
        <v>13311</v>
      </c>
      <c r="D162" t="s">
        <v>16721</v>
      </c>
      <c r="E162" t="s">
        <v>5805</v>
      </c>
      <c r="F162" t="s">
        <v>18230</v>
      </c>
      <c r="G162" t="s">
        <v>18231</v>
      </c>
      <c r="H162" t="s">
        <v>18232</v>
      </c>
      <c r="I162" t="s">
        <v>1922</v>
      </c>
      <c r="J162" s="4">
        <v>5623.8096416524031</v>
      </c>
      <c r="Q162" t="s">
        <v>20286</v>
      </c>
    </row>
    <row r="163" spans="1:17">
      <c r="A163" t="s">
        <v>18229</v>
      </c>
      <c r="B163" t="s">
        <v>20252</v>
      </c>
      <c r="C163" t="s">
        <v>13311</v>
      </c>
      <c r="D163" t="s">
        <v>16721</v>
      </c>
      <c r="E163" t="s">
        <v>5808</v>
      </c>
      <c r="F163" t="s">
        <v>18230</v>
      </c>
      <c r="G163" t="s">
        <v>18231</v>
      </c>
      <c r="H163" t="s">
        <v>18232</v>
      </c>
      <c r="I163" t="s">
        <v>1922</v>
      </c>
      <c r="J163" s="4">
        <v>13019.887665323877</v>
      </c>
      <c r="Q163" t="s">
        <v>20286</v>
      </c>
    </row>
    <row r="164" spans="1:17">
      <c r="A164" t="s">
        <v>18229</v>
      </c>
      <c r="B164" t="s">
        <v>20252</v>
      </c>
      <c r="C164" t="s">
        <v>13311</v>
      </c>
      <c r="D164" t="s">
        <v>16721</v>
      </c>
      <c r="E164" t="s">
        <v>5811</v>
      </c>
      <c r="F164" t="s">
        <v>18230</v>
      </c>
      <c r="G164" t="s">
        <v>18231</v>
      </c>
      <c r="H164" t="s">
        <v>18232</v>
      </c>
      <c r="I164" t="s">
        <v>1922</v>
      </c>
      <c r="J164" s="4">
        <v>13519.926885993502</v>
      </c>
      <c r="Q164" t="s">
        <v>20286</v>
      </c>
    </row>
    <row r="165" spans="1:17">
      <c r="A165" t="s">
        <v>18229</v>
      </c>
      <c r="B165" t="s">
        <v>20252</v>
      </c>
      <c r="C165" t="s">
        <v>13311</v>
      </c>
      <c r="D165" t="s">
        <v>16721</v>
      </c>
      <c r="E165" t="s">
        <v>5814</v>
      </c>
      <c r="F165" t="s">
        <v>18230</v>
      </c>
      <c r="G165" t="s">
        <v>18231</v>
      </c>
      <c r="H165" t="s">
        <v>18232</v>
      </c>
      <c r="I165" t="s">
        <v>1922</v>
      </c>
      <c r="J165" s="4">
        <v>4525.8544622662012</v>
      </c>
      <c r="Q165" t="s">
        <v>20286</v>
      </c>
    </row>
    <row r="166" spans="1:17">
      <c r="A166" t="s">
        <v>18229</v>
      </c>
      <c r="B166" t="s">
        <v>20252</v>
      </c>
      <c r="C166" t="s">
        <v>13311</v>
      </c>
      <c r="D166" t="s">
        <v>16721</v>
      </c>
      <c r="E166" t="s">
        <v>7880</v>
      </c>
      <c r="F166" t="s">
        <v>18230</v>
      </c>
      <c r="G166" t="s">
        <v>18231</v>
      </c>
      <c r="H166" t="s">
        <v>18232</v>
      </c>
      <c r="I166" t="s">
        <v>1922</v>
      </c>
      <c r="J166" s="4">
        <v>73315.405229382333</v>
      </c>
      <c r="Q166" t="s">
        <v>20286</v>
      </c>
    </row>
    <row r="167" spans="1:17">
      <c r="A167" t="s">
        <v>18229</v>
      </c>
      <c r="B167" t="s">
        <v>20252</v>
      </c>
      <c r="C167" t="s">
        <v>13311</v>
      </c>
      <c r="D167" t="s">
        <v>16721</v>
      </c>
      <c r="E167" t="s">
        <v>5122</v>
      </c>
      <c r="F167" t="s">
        <v>18230</v>
      </c>
      <c r="G167" t="s">
        <v>18231</v>
      </c>
      <c r="H167" t="s">
        <v>18232</v>
      </c>
      <c r="I167" t="s">
        <v>1922</v>
      </c>
      <c r="J167" s="4">
        <v>3748.3835433858644</v>
      </c>
      <c r="Q167" t="s">
        <v>20286</v>
      </c>
    </row>
    <row r="168" spans="1:17">
      <c r="A168" t="s">
        <v>18229</v>
      </c>
      <c r="B168" t="s">
        <v>20252</v>
      </c>
      <c r="C168" t="s">
        <v>13311</v>
      </c>
      <c r="D168" t="s">
        <v>16721</v>
      </c>
      <c r="E168" t="s">
        <v>5352</v>
      </c>
      <c r="F168" t="s">
        <v>18230</v>
      </c>
      <c r="G168" t="s">
        <v>18231</v>
      </c>
      <c r="H168" t="s">
        <v>18232</v>
      </c>
      <c r="I168" t="s">
        <v>1922</v>
      </c>
      <c r="J168" s="4">
        <v>9800.493447330593</v>
      </c>
      <c r="Q168" t="s">
        <v>20286</v>
      </c>
    </row>
    <row r="169" spans="1:17">
      <c r="A169" t="s">
        <v>18229</v>
      </c>
      <c r="B169" t="s">
        <v>20252</v>
      </c>
      <c r="C169" t="s">
        <v>13311</v>
      </c>
      <c r="D169" t="s">
        <v>16721</v>
      </c>
      <c r="E169" t="s">
        <v>5363</v>
      </c>
      <c r="F169" t="s">
        <v>18230</v>
      </c>
      <c r="G169" t="s">
        <v>18231</v>
      </c>
      <c r="H169" t="s">
        <v>18232</v>
      </c>
      <c r="I169" t="s">
        <v>1922</v>
      </c>
      <c r="J169" s="4">
        <v>408.05084137009965</v>
      </c>
      <c r="Q169" t="s">
        <v>20286</v>
      </c>
    </row>
    <row r="170" spans="1:17">
      <c r="A170" t="s">
        <v>18229</v>
      </c>
      <c r="B170" t="s">
        <v>20252</v>
      </c>
      <c r="C170" t="s">
        <v>13311</v>
      </c>
      <c r="D170" t="s">
        <v>16721</v>
      </c>
      <c r="E170" t="s">
        <v>5842</v>
      </c>
      <c r="F170" t="s">
        <v>18230</v>
      </c>
      <c r="G170" t="s">
        <v>18231</v>
      </c>
      <c r="H170" t="s">
        <v>18232</v>
      </c>
      <c r="I170" t="s">
        <v>1922</v>
      </c>
      <c r="J170" s="4">
        <v>6835.0846773607254</v>
      </c>
      <c r="Q170" t="s">
        <v>20286</v>
      </c>
    </row>
    <row r="171" spans="1:17">
      <c r="A171" t="s">
        <v>18229</v>
      </c>
      <c r="B171" t="s">
        <v>20252</v>
      </c>
      <c r="C171" t="s">
        <v>13311</v>
      </c>
      <c r="D171" t="s">
        <v>16721</v>
      </c>
      <c r="E171" t="s">
        <v>5856</v>
      </c>
      <c r="F171" t="s">
        <v>18230</v>
      </c>
      <c r="G171" t="s">
        <v>18231</v>
      </c>
      <c r="H171" t="s">
        <v>18232</v>
      </c>
      <c r="I171" t="s">
        <v>1922</v>
      </c>
      <c r="J171" s="4">
        <v>28838.472601934442</v>
      </c>
      <c r="Q171" t="s">
        <v>20286</v>
      </c>
    </row>
    <row r="172" spans="1:17">
      <c r="A172" t="s">
        <v>18229</v>
      </c>
      <c r="B172" t="s">
        <v>20252</v>
      </c>
      <c r="C172" t="s">
        <v>13311</v>
      </c>
      <c r="D172" t="s">
        <v>16721</v>
      </c>
      <c r="E172" t="s">
        <v>7941</v>
      </c>
      <c r="F172" t="s">
        <v>18230</v>
      </c>
      <c r="G172" t="s">
        <v>18231</v>
      </c>
      <c r="H172" t="s">
        <v>18232</v>
      </c>
      <c r="I172" t="s">
        <v>1922</v>
      </c>
      <c r="J172" s="4">
        <v>1437.6629491342342</v>
      </c>
      <c r="Q172" t="s">
        <v>20286</v>
      </c>
    </row>
    <row r="173" spans="1:17">
      <c r="A173" t="s">
        <v>18229</v>
      </c>
      <c r="B173" t="s">
        <v>20252</v>
      </c>
      <c r="C173" t="s">
        <v>13311</v>
      </c>
      <c r="D173" t="s">
        <v>16721</v>
      </c>
      <c r="E173" t="s">
        <v>5877</v>
      </c>
      <c r="F173" t="s">
        <v>18230</v>
      </c>
      <c r="G173" t="s">
        <v>18231</v>
      </c>
      <c r="H173" t="s">
        <v>18232</v>
      </c>
      <c r="I173" t="s">
        <v>1922</v>
      </c>
      <c r="J173" s="4">
        <v>6255.6385315774123</v>
      </c>
      <c r="Q173" t="s">
        <v>20286</v>
      </c>
    </row>
    <row r="174" spans="1:17">
      <c r="A174" t="s">
        <v>18229</v>
      </c>
      <c r="B174" t="s">
        <v>20252</v>
      </c>
      <c r="C174" t="s">
        <v>13311</v>
      </c>
      <c r="D174" t="s">
        <v>16721</v>
      </c>
      <c r="E174" t="s">
        <v>7946</v>
      </c>
      <c r="F174" t="s">
        <v>18230</v>
      </c>
      <c r="G174" t="s">
        <v>18231</v>
      </c>
      <c r="H174" t="s">
        <v>18232</v>
      </c>
      <c r="I174" t="s">
        <v>1922</v>
      </c>
      <c r="J174" s="4">
        <v>6882.5233098237104</v>
      </c>
      <c r="Q174" t="s">
        <v>20286</v>
      </c>
    </row>
    <row r="175" spans="1:17">
      <c r="A175" t="s">
        <v>18229</v>
      </c>
      <c r="B175" t="s">
        <v>20252</v>
      </c>
      <c r="C175" t="s">
        <v>13311</v>
      </c>
      <c r="D175" t="s">
        <v>16721</v>
      </c>
      <c r="E175" t="s">
        <v>5886</v>
      </c>
      <c r="F175" t="s">
        <v>18230</v>
      </c>
      <c r="G175" t="s">
        <v>18231</v>
      </c>
      <c r="H175" t="s">
        <v>18232</v>
      </c>
      <c r="I175" t="s">
        <v>1922</v>
      </c>
      <c r="J175" s="4">
        <v>8531.3590344820368</v>
      </c>
      <c r="Q175" t="s">
        <v>20286</v>
      </c>
    </row>
    <row r="176" spans="1:17">
      <c r="A176" t="s">
        <v>18229</v>
      </c>
      <c r="B176" t="s">
        <v>20252</v>
      </c>
      <c r="C176" t="s">
        <v>13311</v>
      </c>
      <c r="D176" t="s">
        <v>16721</v>
      </c>
      <c r="E176" t="s">
        <v>5889</v>
      </c>
      <c r="F176" t="s">
        <v>18230</v>
      </c>
      <c r="G176" t="s">
        <v>18231</v>
      </c>
      <c r="H176" t="s">
        <v>18232</v>
      </c>
      <c r="I176" t="s">
        <v>1922</v>
      </c>
      <c r="J176" s="4">
        <v>4446.5326044560015</v>
      </c>
      <c r="Q176" t="s">
        <v>20286</v>
      </c>
    </row>
    <row r="177" spans="1:17">
      <c r="A177" t="s">
        <v>18229</v>
      </c>
      <c r="B177" t="s">
        <v>20252</v>
      </c>
      <c r="C177" t="s">
        <v>13311</v>
      </c>
      <c r="D177" t="s">
        <v>16721</v>
      </c>
      <c r="E177" t="s">
        <v>5897</v>
      </c>
      <c r="F177" t="s">
        <v>18230</v>
      </c>
      <c r="G177" t="s">
        <v>18231</v>
      </c>
      <c r="H177" t="s">
        <v>18232</v>
      </c>
      <c r="I177" t="s">
        <v>1922</v>
      </c>
      <c r="J177" s="4">
        <v>4136.418048245293</v>
      </c>
      <c r="Q177" t="s">
        <v>20286</v>
      </c>
    </row>
    <row r="178" spans="1:17">
      <c r="A178" t="s">
        <v>18229</v>
      </c>
      <c r="B178" t="s">
        <v>20252</v>
      </c>
      <c r="C178" t="s">
        <v>13311</v>
      </c>
      <c r="D178" t="s">
        <v>16721</v>
      </c>
      <c r="E178" t="s">
        <v>5900</v>
      </c>
      <c r="F178" t="s">
        <v>18230</v>
      </c>
      <c r="G178" t="s">
        <v>18231</v>
      </c>
      <c r="H178" t="s">
        <v>18232</v>
      </c>
      <c r="I178" t="s">
        <v>1922</v>
      </c>
      <c r="J178" s="4">
        <v>5200.7784481381095</v>
      </c>
      <c r="Q178" t="s">
        <v>20286</v>
      </c>
    </row>
    <row r="179" spans="1:17">
      <c r="A179" t="s">
        <v>18229</v>
      </c>
      <c r="B179" t="s">
        <v>20252</v>
      </c>
      <c r="C179" t="s">
        <v>13311</v>
      </c>
      <c r="D179" t="s">
        <v>16721</v>
      </c>
      <c r="E179" t="s">
        <v>5903</v>
      </c>
      <c r="F179" t="s">
        <v>18230</v>
      </c>
      <c r="G179" t="s">
        <v>18231</v>
      </c>
      <c r="H179" t="s">
        <v>18232</v>
      </c>
      <c r="I179" t="s">
        <v>1922</v>
      </c>
      <c r="J179" s="4">
        <v>1575.5162157822233</v>
      </c>
      <c r="Q179" t="s">
        <v>20286</v>
      </c>
    </row>
    <row r="180" spans="1:17">
      <c r="A180" t="s">
        <v>18229</v>
      </c>
      <c r="B180" t="s">
        <v>20252</v>
      </c>
      <c r="C180" t="s">
        <v>13311</v>
      </c>
      <c r="D180" t="s">
        <v>16721</v>
      </c>
      <c r="E180" t="s">
        <v>5908</v>
      </c>
      <c r="F180" t="s">
        <v>18230</v>
      </c>
      <c r="G180" t="s">
        <v>18231</v>
      </c>
      <c r="H180" t="s">
        <v>18232</v>
      </c>
      <c r="I180" t="s">
        <v>1922</v>
      </c>
      <c r="J180" s="4">
        <v>413.41688687410766</v>
      </c>
      <c r="Q180" t="s">
        <v>20286</v>
      </c>
    </row>
    <row r="181" spans="1:17">
      <c r="A181" t="s">
        <v>18229</v>
      </c>
      <c r="B181" t="s">
        <v>20252</v>
      </c>
      <c r="C181" t="s">
        <v>13311</v>
      </c>
      <c r="D181" t="s">
        <v>16721</v>
      </c>
      <c r="E181" t="s">
        <v>5482</v>
      </c>
      <c r="F181" t="s">
        <v>18230</v>
      </c>
      <c r="G181" t="s">
        <v>18231</v>
      </c>
      <c r="H181" t="s">
        <v>18232</v>
      </c>
      <c r="I181" t="s">
        <v>1922</v>
      </c>
      <c r="J181" s="4">
        <v>2999.4595102099511</v>
      </c>
      <c r="Q181" t="s">
        <v>20286</v>
      </c>
    </row>
    <row r="182" spans="1:17">
      <c r="A182" t="s">
        <v>18229</v>
      </c>
      <c r="B182" t="s">
        <v>20252</v>
      </c>
      <c r="C182" t="s">
        <v>13311</v>
      </c>
      <c r="D182" t="s">
        <v>16721</v>
      </c>
      <c r="E182" t="s">
        <v>5489</v>
      </c>
      <c r="F182" t="s">
        <v>18230</v>
      </c>
      <c r="G182" t="s">
        <v>18231</v>
      </c>
      <c r="H182" t="s">
        <v>18232</v>
      </c>
      <c r="I182" t="s">
        <v>1922</v>
      </c>
      <c r="J182" s="4">
        <v>838.9694752637796</v>
      </c>
      <c r="Q182" t="s">
        <v>20286</v>
      </c>
    </row>
    <row r="183" spans="1:17">
      <c r="A183" t="s">
        <v>18229</v>
      </c>
      <c r="B183" t="s">
        <v>20252</v>
      </c>
      <c r="C183" t="s">
        <v>13311</v>
      </c>
      <c r="D183" t="s">
        <v>16721</v>
      </c>
      <c r="E183" t="s">
        <v>5914</v>
      </c>
      <c r="F183" t="s">
        <v>18230</v>
      </c>
      <c r="G183" t="s">
        <v>18231</v>
      </c>
      <c r="H183" t="s">
        <v>18232</v>
      </c>
      <c r="I183" t="s">
        <v>1922</v>
      </c>
      <c r="J183" s="4">
        <v>2464.7910916365263</v>
      </c>
      <c r="Q183" t="s">
        <v>20286</v>
      </c>
    </row>
    <row r="184" spans="1:17">
      <c r="A184" t="s">
        <v>18229</v>
      </c>
      <c r="B184" t="s">
        <v>20252</v>
      </c>
      <c r="C184" t="s">
        <v>13311</v>
      </c>
      <c r="D184" t="s">
        <v>16721</v>
      </c>
      <c r="E184" t="s">
        <v>3930</v>
      </c>
      <c r="F184" t="s">
        <v>18230</v>
      </c>
      <c r="G184" t="s">
        <v>18231</v>
      </c>
      <c r="H184" t="s">
        <v>18232</v>
      </c>
      <c r="I184" t="s">
        <v>1922</v>
      </c>
      <c r="J184" s="4">
        <v>2876.6104145511335</v>
      </c>
      <c r="Q184" t="s">
        <v>20286</v>
      </c>
    </row>
    <row r="185" spans="1:17">
      <c r="A185" t="s">
        <v>18229</v>
      </c>
      <c r="B185" t="s">
        <v>20252</v>
      </c>
      <c r="C185" t="s">
        <v>13311</v>
      </c>
      <c r="D185" t="s">
        <v>16721</v>
      </c>
      <c r="E185" t="s">
        <v>8012</v>
      </c>
      <c r="F185" t="s">
        <v>18230</v>
      </c>
      <c r="G185" t="s">
        <v>18231</v>
      </c>
      <c r="H185" t="s">
        <v>18232</v>
      </c>
      <c r="I185" t="s">
        <v>1922</v>
      </c>
      <c r="J185" s="4">
        <v>1575.5706588564553</v>
      </c>
      <c r="Q185" t="s">
        <v>20286</v>
      </c>
    </row>
    <row r="186" spans="1:17">
      <c r="A186" t="s">
        <v>18229</v>
      </c>
      <c r="B186" t="s">
        <v>20252</v>
      </c>
      <c r="C186" t="s">
        <v>13311</v>
      </c>
      <c r="D186" t="s">
        <v>16721</v>
      </c>
      <c r="E186" t="s">
        <v>11590</v>
      </c>
      <c r="F186" t="s">
        <v>18230</v>
      </c>
      <c r="G186" t="s">
        <v>18231</v>
      </c>
      <c r="H186" t="s">
        <v>18232</v>
      </c>
      <c r="I186" t="s">
        <v>1922</v>
      </c>
      <c r="J186" s="4">
        <v>1977.421795148367</v>
      </c>
      <c r="Q186" t="s">
        <v>20286</v>
      </c>
    </row>
    <row r="187" spans="1:17">
      <c r="A187" t="s">
        <v>18229</v>
      </c>
      <c r="B187" t="s">
        <v>20252</v>
      </c>
      <c r="C187" t="s">
        <v>13311</v>
      </c>
      <c r="D187" t="s">
        <v>16721</v>
      </c>
      <c r="E187" t="s">
        <v>6055</v>
      </c>
      <c r="F187" t="s">
        <v>18230</v>
      </c>
      <c r="G187" t="s">
        <v>18231</v>
      </c>
      <c r="H187" t="s">
        <v>18232</v>
      </c>
      <c r="I187" t="s">
        <v>1922</v>
      </c>
      <c r="J187" s="4">
        <v>9511.1846522069227</v>
      </c>
      <c r="Q187" t="s">
        <v>20286</v>
      </c>
    </row>
    <row r="188" spans="1:17">
      <c r="A188" t="s">
        <v>18229</v>
      </c>
      <c r="B188" t="s">
        <v>20252</v>
      </c>
      <c r="C188" t="s">
        <v>13311</v>
      </c>
      <c r="D188" t="s">
        <v>16721</v>
      </c>
      <c r="E188" t="s">
        <v>7492</v>
      </c>
      <c r="F188" t="s">
        <v>18230</v>
      </c>
      <c r="G188" t="s">
        <v>18231</v>
      </c>
      <c r="H188" t="s">
        <v>18232</v>
      </c>
      <c r="I188" t="s">
        <v>1922</v>
      </c>
      <c r="J188" s="4">
        <v>4127.6510119478444</v>
      </c>
      <c r="Q188" t="s">
        <v>20286</v>
      </c>
    </row>
    <row r="189" spans="1:17">
      <c r="A189" t="s">
        <v>18229</v>
      </c>
      <c r="B189" t="s">
        <v>20252</v>
      </c>
      <c r="C189" t="s">
        <v>13311</v>
      </c>
      <c r="D189" t="s">
        <v>16721</v>
      </c>
      <c r="E189" t="s">
        <v>6065</v>
      </c>
      <c r="F189" t="s">
        <v>18230</v>
      </c>
      <c r="G189" t="s">
        <v>18231</v>
      </c>
      <c r="H189" t="s">
        <v>18232</v>
      </c>
      <c r="I189" t="s">
        <v>1922</v>
      </c>
      <c r="J189" s="4">
        <v>1656.2808150595749</v>
      </c>
      <c r="Q189" t="s">
        <v>20286</v>
      </c>
    </row>
    <row r="190" spans="1:17">
      <c r="A190" t="s">
        <v>18229</v>
      </c>
      <c r="B190" t="s">
        <v>20252</v>
      </c>
      <c r="C190" t="s">
        <v>13311</v>
      </c>
      <c r="D190" t="s">
        <v>16721</v>
      </c>
      <c r="E190" t="s">
        <v>7557</v>
      </c>
      <c r="F190" t="s">
        <v>18230</v>
      </c>
      <c r="G190" t="s">
        <v>18231</v>
      </c>
      <c r="H190" t="s">
        <v>18232</v>
      </c>
      <c r="I190" t="s">
        <v>1922</v>
      </c>
      <c r="J190" s="4">
        <v>3050.651312102817</v>
      </c>
      <c r="Q190" t="s">
        <v>20286</v>
      </c>
    </row>
    <row r="191" spans="1:17">
      <c r="A191" t="s">
        <v>18229</v>
      </c>
      <c r="B191" t="s">
        <v>20252</v>
      </c>
      <c r="C191" t="s">
        <v>13311</v>
      </c>
      <c r="D191" t="s">
        <v>16721</v>
      </c>
      <c r="E191" t="s">
        <v>6080</v>
      </c>
      <c r="F191" t="s">
        <v>18230</v>
      </c>
      <c r="G191" t="s">
        <v>18231</v>
      </c>
      <c r="H191" t="s">
        <v>18232</v>
      </c>
      <c r="I191" t="s">
        <v>1922</v>
      </c>
      <c r="J191" s="4">
        <v>9758.7117905495452</v>
      </c>
      <c r="Q191" t="s">
        <v>20286</v>
      </c>
    </row>
    <row r="192" spans="1:17">
      <c r="A192" t="s">
        <v>18229</v>
      </c>
      <c r="B192" t="s">
        <v>20252</v>
      </c>
      <c r="C192" t="s">
        <v>13311</v>
      </c>
      <c r="D192" t="s">
        <v>16721</v>
      </c>
      <c r="E192" t="s">
        <v>6083</v>
      </c>
      <c r="F192" t="s">
        <v>18230</v>
      </c>
      <c r="G192" t="s">
        <v>18231</v>
      </c>
      <c r="H192" t="s">
        <v>18232</v>
      </c>
      <c r="I192" t="s">
        <v>1922</v>
      </c>
      <c r="J192" s="4">
        <v>1133.3823085967167</v>
      </c>
      <c r="Q192" t="s">
        <v>20286</v>
      </c>
    </row>
    <row r="193" spans="1:17">
      <c r="A193" t="s">
        <v>18229</v>
      </c>
      <c r="B193" t="s">
        <v>20252</v>
      </c>
      <c r="C193" t="s">
        <v>13311</v>
      </c>
      <c r="D193" t="s">
        <v>16721</v>
      </c>
      <c r="E193" t="s">
        <v>6086</v>
      </c>
      <c r="F193" t="s">
        <v>18230</v>
      </c>
      <c r="G193" t="s">
        <v>18231</v>
      </c>
      <c r="H193" t="s">
        <v>18232</v>
      </c>
      <c r="I193" t="s">
        <v>1922</v>
      </c>
      <c r="J193" s="4">
        <v>9865.2075477858743</v>
      </c>
      <c r="Q193" t="s">
        <v>20286</v>
      </c>
    </row>
    <row r="194" spans="1:17">
      <c r="A194" t="s">
        <v>18229</v>
      </c>
      <c r="B194" t="s">
        <v>20252</v>
      </c>
      <c r="C194" t="s">
        <v>13311</v>
      </c>
      <c r="D194" t="s">
        <v>16721</v>
      </c>
      <c r="E194" t="s">
        <v>7586</v>
      </c>
      <c r="F194" t="s">
        <v>18230</v>
      </c>
      <c r="G194" t="s">
        <v>18231</v>
      </c>
      <c r="H194" t="s">
        <v>18232</v>
      </c>
      <c r="I194" t="s">
        <v>1922</v>
      </c>
      <c r="J194" s="4">
        <v>10951.004908157607</v>
      </c>
      <c r="Q194" t="s">
        <v>20286</v>
      </c>
    </row>
    <row r="195" spans="1:17">
      <c r="A195" t="s">
        <v>18229</v>
      </c>
      <c r="B195" t="s">
        <v>20252</v>
      </c>
      <c r="C195" t="s">
        <v>13311</v>
      </c>
      <c r="D195" t="s">
        <v>16721</v>
      </c>
      <c r="E195" t="s">
        <v>7495</v>
      </c>
      <c r="F195" t="s">
        <v>18230</v>
      </c>
      <c r="G195" t="s">
        <v>18231</v>
      </c>
      <c r="H195" t="s">
        <v>18232</v>
      </c>
      <c r="I195" t="s">
        <v>1922</v>
      </c>
      <c r="J195" s="4">
        <v>24813.191583003772</v>
      </c>
      <c r="Q195" t="s">
        <v>20286</v>
      </c>
    </row>
    <row r="196" spans="1:17">
      <c r="A196" t="s">
        <v>18229</v>
      </c>
      <c r="B196" t="s">
        <v>20252</v>
      </c>
      <c r="C196" t="s">
        <v>13311</v>
      </c>
      <c r="D196" t="s">
        <v>16721</v>
      </c>
      <c r="E196" t="s">
        <v>7465</v>
      </c>
      <c r="F196" t="s">
        <v>18230</v>
      </c>
      <c r="G196" t="s">
        <v>18231</v>
      </c>
      <c r="H196" t="s">
        <v>18232</v>
      </c>
      <c r="I196" t="s">
        <v>1922</v>
      </c>
      <c r="J196" s="4">
        <v>4797.6972386377638</v>
      </c>
      <c r="Q196" t="s">
        <v>20286</v>
      </c>
    </row>
    <row r="197" spans="1:17">
      <c r="A197" t="s">
        <v>18229</v>
      </c>
      <c r="B197" t="s">
        <v>20252</v>
      </c>
      <c r="C197" t="s">
        <v>13311</v>
      </c>
      <c r="D197" t="s">
        <v>16721</v>
      </c>
      <c r="E197" t="s">
        <v>7512</v>
      </c>
      <c r="F197" t="s">
        <v>18230</v>
      </c>
      <c r="G197" t="s">
        <v>18231</v>
      </c>
      <c r="H197" t="s">
        <v>18232</v>
      </c>
      <c r="I197" t="s">
        <v>1922</v>
      </c>
      <c r="J197" s="4">
        <v>3305.8004808379424</v>
      </c>
      <c r="Q197" t="s">
        <v>20286</v>
      </c>
    </row>
    <row r="198" spans="1:17">
      <c r="A198" t="s">
        <v>18229</v>
      </c>
      <c r="B198" t="s">
        <v>20252</v>
      </c>
      <c r="C198" t="s">
        <v>13311</v>
      </c>
      <c r="D198" t="s">
        <v>16721</v>
      </c>
      <c r="E198" t="s">
        <v>6097</v>
      </c>
      <c r="F198" t="s">
        <v>18230</v>
      </c>
      <c r="G198" t="s">
        <v>18231</v>
      </c>
      <c r="H198" t="s">
        <v>18232</v>
      </c>
      <c r="I198" t="s">
        <v>1922</v>
      </c>
      <c r="J198" s="4">
        <v>7515.0905839429934</v>
      </c>
      <c r="Q198" t="s">
        <v>20286</v>
      </c>
    </row>
    <row r="199" spans="1:17">
      <c r="A199" t="s">
        <v>18229</v>
      </c>
      <c r="B199" t="s">
        <v>20252</v>
      </c>
      <c r="C199" t="s">
        <v>13311</v>
      </c>
      <c r="D199" t="s">
        <v>16721</v>
      </c>
      <c r="E199" t="s">
        <v>6100</v>
      </c>
      <c r="F199" t="s">
        <v>18230</v>
      </c>
      <c r="G199" t="s">
        <v>18231</v>
      </c>
      <c r="H199" t="s">
        <v>18232</v>
      </c>
      <c r="I199" t="s">
        <v>1922</v>
      </c>
      <c r="J199" s="4">
        <v>12304.010578206891</v>
      </c>
      <c r="Q199" t="s">
        <v>20286</v>
      </c>
    </row>
    <row r="200" spans="1:17">
      <c r="A200" t="s">
        <v>18229</v>
      </c>
      <c r="B200" t="s">
        <v>20252</v>
      </c>
      <c r="C200" t="s">
        <v>13311</v>
      </c>
      <c r="D200" t="s">
        <v>16721</v>
      </c>
      <c r="E200" t="s">
        <v>6103</v>
      </c>
      <c r="F200" t="s">
        <v>18230</v>
      </c>
      <c r="G200" t="s">
        <v>18231</v>
      </c>
      <c r="H200" t="s">
        <v>18232</v>
      </c>
      <c r="I200" t="s">
        <v>1922</v>
      </c>
      <c r="J200" s="4">
        <v>3163.6598220941701</v>
      </c>
      <c r="Q200" t="s">
        <v>20286</v>
      </c>
    </row>
    <row r="201" spans="1:17">
      <c r="A201" t="s">
        <v>18229</v>
      </c>
      <c r="B201" t="s">
        <v>20252</v>
      </c>
      <c r="C201" t="s">
        <v>13311</v>
      </c>
      <c r="D201" t="s">
        <v>16721</v>
      </c>
      <c r="E201" t="s">
        <v>6106</v>
      </c>
      <c r="F201" t="s">
        <v>18230</v>
      </c>
      <c r="G201" t="s">
        <v>18231</v>
      </c>
      <c r="H201" t="s">
        <v>18232</v>
      </c>
      <c r="I201" t="s">
        <v>1922</v>
      </c>
      <c r="J201" s="4">
        <v>5416.7200966957244</v>
      </c>
      <c r="Q201" t="s">
        <v>20286</v>
      </c>
    </row>
    <row r="202" spans="1:17">
      <c r="A202" t="s">
        <v>18229</v>
      </c>
      <c r="B202" t="s">
        <v>20252</v>
      </c>
      <c r="C202" t="s">
        <v>13311</v>
      </c>
      <c r="D202" t="s">
        <v>16721</v>
      </c>
      <c r="E202" t="s">
        <v>6109</v>
      </c>
      <c r="F202" t="s">
        <v>18230</v>
      </c>
      <c r="G202" t="s">
        <v>18231</v>
      </c>
      <c r="H202" t="s">
        <v>18232</v>
      </c>
      <c r="I202" t="s">
        <v>1922</v>
      </c>
      <c r="J202" s="4">
        <v>4054.5339632540436</v>
      </c>
      <c r="Q202" t="s">
        <v>20286</v>
      </c>
    </row>
    <row r="203" spans="1:17">
      <c r="A203" t="s">
        <v>18229</v>
      </c>
      <c r="B203" t="s">
        <v>20252</v>
      </c>
      <c r="C203" t="s">
        <v>13311</v>
      </c>
      <c r="D203" t="s">
        <v>16721</v>
      </c>
      <c r="E203" t="s">
        <v>7450</v>
      </c>
      <c r="F203" t="s">
        <v>18230</v>
      </c>
      <c r="G203" t="s">
        <v>18231</v>
      </c>
      <c r="H203" t="s">
        <v>18232</v>
      </c>
      <c r="I203" t="s">
        <v>1922</v>
      </c>
      <c r="J203" s="4">
        <v>1021.573247584541</v>
      </c>
      <c r="Q203" t="s">
        <v>20286</v>
      </c>
    </row>
    <row r="204" spans="1:17">
      <c r="A204" t="s">
        <v>18229</v>
      </c>
      <c r="B204" t="s">
        <v>20252</v>
      </c>
      <c r="C204" t="s">
        <v>13311</v>
      </c>
      <c r="D204" t="s">
        <v>16721</v>
      </c>
      <c r="E204" t="s">
        <v>18180</v>
      </c>
      <c r="F204" t="s">
        <v>18230</v>
      </c>
      <c r="G204" t="s">
        <v>18231</v>
      </c>
      <c r="H204" t="s">
        <v>18232</v>
      </c>
      <c r="I204" t="s">
        <v>1922</v>
      </c>
      <c r="J204" s="4">
        <v>7753.6635379204918</v>
      </c>
      <c r="Q204" t="s">
        <v>20286</v>
      </c>
    </row>
    <row r="205" spans="1:17">
      <c r="A205" t="s">
        <v>18229</v>
      </c>
      <c r="B205" t="s">
        <v>20252</v>
      </c>
      <c r="C205" t="s">
        <v>13311</v>
      </c>
      <c r="D205" t="s">
        <v>16721</v>
      </c>
      <c r="E205" t="s">
        <v>7530</v>
      </c>
      <c r="F205" t="s">
        <v>18230</v>
      </c>
      <c r="G205" t="s">
        <v>18231</v>
      </c>
      <c r="H205" t="s">
        <v>18232</v>
      </c>
      <c r="I205" t="s">
        <v>1922</v>
      </c>
      <c r="J205" s="4">
        <v>11914.984188588793</v>
      </c>
      <c r="Q205" t="s">
        <v>20286</v>
      </c>
    </row>
    <row r="206" spans="1:17">
      <c r="A206" t="s">
        <v>18229</v>
      </c>
      <c r="B206" t="s">
        <v>20252</v>
      </c>
      <c r="C206" t="s">
        <v>13311</v>
      </c>
      <c r="D206" t="s">
        <v>16721</v>
      </c>
      <c r="E206" t="s">
        <v>6124</v>
      </c>
      <c r="F206" t="s">
        <v>18230</v>
      </c>
      <c r="G206" t="s">
        <v>18231</v>
      </c>
      <c r="H206" t="s">
        <v>18232</v>
      </c>
      <c r="I206" t="s">
        <v>1922</v>
      </c>
      <c r="J206" s="4">
        <v>2350.705629583018</v>
      </c>
      <c r="Q206" t="s">
        <v>20286</v>
      </c>
    </row>
    <row r="207" spans="1:17">
      <c r="A207" t="s">
        <v>18229</v>
      </c>
      <c r="B207" t="s">
        <v>20252</v>
      </c>
      <c r="C207" t="s">
        <v>13311</v>
      </c>
      <c r="D207" t="s">
        <v>16721</v>
      </c>
      <c r="E207" t="s">
        <v>7562</v>
      </c>
      <c r="F207" t="s">
        <v>18230</v>
      </c>
      <c r="G207" t="s">
        <v>18231</v>
      </c>
      <c r="H207" t="s">
        <v>18232</v>
      </c>
      <c r="I207" t="s">
        <v>1922</v>
      </c>
      <c r="J207" s="4">
        <v>8736.483524728148</v>
      </c>
      <c r="Q207" t="s">
        <v>20286</v>
      </c>
    </row>
    <row r="208" spans="1:17">
      <c r="A208" t="s">
        <v>18229</v>
      </c>
      <c r="B208" t="s">
        <v>20252</v>
      </c>
      <c r="C208" t="s">
        <v>13311</v>
      </c>
      <c r="D208" t="s">
        <v>16721</v>
      </c>
      <c r="E208" t="s">
        <v>6140</v>
      </c>
      <c r="F208" t="s">
        <v>18230</v>
      </c>
      <c r="G208" t="s">
        <v>18231</v>
      </c>
      <c r="H208" t="s">
        <v>18232</v>
      </c>
      <c r="I208" t="s">
        <v>1922</v>
      </c>
      <c r="J208" s="4">
        <v>6710.6141988974305</v>
      </c>
      <c r="Q208" t="s">
        <v>20286</v>
      </c>
    </row>
    <row r="209" spans="1:17">
      <c r="A209" t="s">
        <v>18229</v>
      </c>
      <c r="B209" t="s">
        <v>20252</v>
      </c>
      <c r="C209" t="s">
        <v>13311</v>
      </c>
      <c r="D209" t="s">
        <v>16721</v>
      </c>
      <c r="E209" t="s">
        <v>7908</v>
      </c>
      <c r="F209" t="s">
        <v>18230</v>
      </c>
      <c r="G209" t="s">
        <v>18231</v>
      </c>
      <c r="H209" t="s">
        <v>18232</v>
      </c>
      <c r="I209" t="s">
        <v>1922</v>
      </c>
      <c r="J209" s="4">
        <v>3792.3344164058522</v>
      </c>
      <c r="Q209" t="s">
        <v>20286</v>
      </c>
    </row>
    <row r="210" spans="1:17">
      <c r="A210" t="s">
        <v>18229</v>
      </c>
      <c r="B210" t="s">
        <v>20252</v>
      </c>
      <c r="C210" t="s">
        <v>13311</v>
      </c>
      <c r="D210" t="s">
        <v>16721</v>
      </c>
      <c r="E210" t="s">
        <v>6153</v>
      </c>
      <c r="F210" t="s">
        <v>18230</v>
      </c>
      <c r="G210" t="s">
        <v>18231</v>
      </c>
      <c r="H210" t="s">
        <v>18232</v>
      </c>
      <c r="I210" t="s">
        <v>1922</v>
      </c>
      <c r="J210" s="4">
        <v>2150.8825336902637</v>
      </c>
      <c r="Q210" t="s">
        <v>20286</v>
      </c>
    </row>
    <row r="211" spans="1:17">
      <c r="A211" t="s">
        <v>18229</v>
      </c>
      <c r="B211" t="s">
        <v>20252</v>
      </c>
      <c r="C211" t="s">
        <v>13311</v>
      </c>
      <c r="D211" t="s">
        <v>16721</v>
      </c>
      <c r="E211" t="s">
        <v>6158</v>
      </c>
      <c r="F211" t="s">
        <v>18230</v>
      </c>
      <c r="G211" t="s">
        <v>18231</v>
      </c>
      <c r="H211" t="s">
        <v>18232</v>
      </c>
      <c r="I211" t="s">
        <v>1922</v>
      </c>
      <c r="J211" s="4">
        <v>9995.826690945265</v>
      </c>
      <c r="Q211" t="s">
        <v>20286</v>
      </c>
    </row>
    <row r="212" spans="1:17">
      <c r="A212" t="s">
        <v>18229</v>
      </c>
      <c r="B212" t="s">
        <v>20252</v>
      </c>
      <c r="C212" t="s">
        <v>13311</v>
      </c>
      <c r="D212" t="s">
        <v>16721</v>
      </c>
      <c r="E212" t="s">
        <v>7618</v>
      </c>
      <c r="F212" t="s">
        <v>18230</v>
      </c>
      <c r="G212" t="s">
        <v>18231</v>
      </c>
      <c r="H212" t="s">
        <v>18232</v>
      </c>
      <c r="I212" t="s">
        <v>1922</v>
      </c>
      <c r="J212" s="4">
        <v>1506.9740866699935</v>
      </c>
      <c r="Q212" t="s">
        <v>20286</v>
      </c>
    </row>
    <row r="213" spans="1:17">
      <c r="A213" t="s">
        <v>18229</v>
      </c>
      <c r="B213" t="s">
        <v>20252</v>
      </c>
      <c r="C213" t="s">
        <v>13311</v>
      </c>
      <c r="D213" t="s">
        <v>16721</v>
      </c>
      <c r="E213" t="s">
        <v>6174</v>
      </c>
      <c r="F213" t="s">
        <v>18230</v>
      </c>
      <c r="G213" t="s">
        <v>18231</v>
      </c>
      <c r="H213" t="s">
        <v>18232</v>
      </c>
      <c r="I213" t="s">
        <v>1922</v>
      </c>
      <c r="J213" s="4">
        <v>14996.486008974482</v>
      </c>
      <c r="Q213" t="s">
        <v>20286</v>
      </c>
    </row>
    <row r="214" spans="1:17">
      <c r="A214" t="s">
        <v>18229</v>
      </c>
      <c r="B214" t="s">
        <v>20252</v>
      </c>
      <c r="C214" t="s">
        <v>13311</v>
      </c>
      <c r="D214" t="s">
        <v>16721</v>
      </c>
      <c r="E214" t="s">
        <v>6181</v>
      </c>
      <c r="F214" t="s">
        <v>18230</v>
      </c>
      <c r="G214" t="s">
        <v>18231</v>
      </c>
      <c r="H214" t="s">
        <v>18232</v>
      </c>
      <c r="I214" t="s">
        <v>1922</v>
      </c>
      <c r="J214" s="4">
        <v>5390.6895018284686</v>
      </c>
      <c r="Q214" t="s">
        <v>20286</v>
      </c>
    </row>
    <row r="215" spans="1:17">
      <c r="A215" t="s">
        <v>18229</v>
      </c>
      <c r="B215" t="s">
        <v>20252</v>
      </c>
      <c r="C215" t="s">
        <v>13311</v>
      </c>
      <c r="D215" t="s">
        <v>16721</v>
      </c>
      <c r="E215" t="s">
        <v>6192</v>
      </c>
      <c r="F215" t="s">
        <v>18230</v>
      </c>
      <c r="G215" t="s">
        <v>18231</v>
      </c>
      <c r="H215" t="s">
        <v>18232</v>
      </c>
      <c r="I215" t="s">
        <v>1922</v>
      </c>
      <c r="J215" s="4">
        <v>4704.8905118786861</v>
      </c>
      <c r="Q215" t="s">
        <v>20286</v>
      </c>
    </row>
    <row r="216" spans="1:17">
      <c r="A216" t="s">
        <v>18229</v>
      </c>
      <c r="B216" t="s">
        <v>20252</v>
      </c>
      <c r="C216" t="s">
        <v>13311</v>
      </c>
      <c r="D216" t="s">
        <v>16721</v>
      </c>
      <c r="E216" t="s">
        <v>6195</v>
      </c>
      <c r="F216" t="s">
        <v>18230</v>
      </c>
      <c r="G216" t="s">
        <v>18231</v>
      </c>
      <c r="H216" t="s">
        <v>18232</v>
      </c>
      <c r="I216" t="s">
        <v>1922</v>
      </c>
      <c r="J216" s="4">
        <v>28310.216556697927</v>
      </c>
      <c r="Q216" t="s">
        <v>20286</v>
      </c>
    </row>
    <row r="217" spans="1:17">
      <c r="A217" t="s">
        <v>18229</v>
      </c>
      <c r="B217" t="s">
        <v>20252</v>
      </c>
      <c r="C217" t="s">
        <v>13311</v>
      </c>
      <c r="D217" t="s">
        <v>16721</v>
      </c>
      <c r="E217" t="s">
        <v>6198</v>
      </c>
      <c r="F217" t="s">
        <v>18230</v>
      </c>
      <c r="G217" t="s">
        <v>18231</v>
      </c>
      <c r="H217" t="s">
        <v>18232</v>
      </c>
      <c r="I217" t="s">
        <v>1922</v>
      </c>
      <c r="J217" s="4">
        <v>9251.7582994524328</v>
      </c>
      <c r="Q217" t="s">
        <v>20286</v>
      </c>
    </row>
    <row r="218" spans="1:17">
      <c r="A218" t="s">
        <v>18229</v>
      </c>
      <c r="B218" t="s">
        <v>20252</v>
      </c>
      <c r="C218" t="s">
        <v>13311</v>
      </c>
      <c r="D218" t="s">
        <v>16721</v>
      </c>
      <c r="E218" t="s">
        <v>7642</v>
      </c>
      <c r="F218" t="s">
        <v>18230</v>
      </c>
      <c r="G218" t="s">
        <v>18231</v>
      </c>
      <c r="H218" t="s">
        <v>18232</v>
      </c>
      <c r="I218" t="s">
        <v>1922</v>
      </c>
      <c r="J218" s="4">
        <v>3305.1488652932258</v>
      </c>
      <c r="Q218" t="s">
        <v>20286</v>
      </c>
    </row>
    <row r="219" spans="1:17">
      <c r="A219" t="s">
        <v>18229</v>
      </c>
      <c r="B219" t="s">
        <v>20252</v>
      </c>
      <c r="C219" t="s">
        <v>13311</v>
      </c>
      <c r="D219" t="s">
        <v>16721</v>
      </c>
      <c r="E219" t="s">
        <v>6204</v>
      </c>
      <c r="F219" t="s">
        <v>18230</v>
      </c>
      <c r="G219" t="s">
        <v>18231</v>
      </c>
      <c r="H219" t="s">
        <v>18232</v>
      </c>
      <c r="I219" t="s">
        <v>1922</v>
      </c>
      <c r="J219" s="4">
        <v>1825.3214565122476</v>
      </c>
      <c r="Q219" t="s">
        <v>20286</v>
      </c>
    </row>
    <row r="220" spans="1:17">
      <c r="A220" t="s">
        <v>18229</v>
      </c>
      <c r="B220" t="s">
        <v>20252</v>
      </c>
      <c r="C220" t="s">
        <v>13311</v>
      </c>
      <c r="D220" t="s">
        <v>16721</v>
      </c>
      <c r="E220" t="s">
        <v>6213</v>
      </c>
      <c r="F220" t="s">
        <v>18230</v>
      </c>
      <c r="G220" t="s">
        <v>18231</v>
      </c>
      <c r="H220" t="s">
        <v>18232</v>
      </c>
      <c r="I220" t="s">
        <v>1922</v>
      </c>
      <c r="J220" s="4">
        <v>7839.513460600343</v>
      </c>
      <c r="Q220" t="s">
        <v>20286</v>
      </c>
    </row>
    <row r="221" spans="1:17">
      <c r="A221" t="s">
        <v>18229</v>
      </c>
      <c r="B221" t="s">
        <v>20252</v>
      </c>
      <c r="C221" t="s">
        <v>13311</v>
      </c>
      <c r="D221" t="s">
        <v>16721</v>
      </c>
      <c r="E221" t="s">
        <v>6220</v>
      </c>
      <c r="F221" t="s">
        <v>18230</v>
      </c>
      <c r="G221" t="s">
        <v>18231</v>
      </c>
      <c r="H221" t="s">
        <v>18232</v>
      </c>
      <c r="I221" t="s">
        <v>1922</v>
      </c>
      <c r="J221" s="4">
        <v>1799.5647783622226</v>
      </c>
      <c r="Q221" t="s">
        <v>20286</v>
      </c>
    </row>
    <row r="222" spans="1:17">
      <c r="A222" t="s">
        <v>18229</v>
      </c>
      <c r="B222" t="s">
        <v>20252</v>
      </c>
      <c r="C222" t="s">
        <v>13311</v>
      </c>
      <c r="D222" t="s">
        <v>16721</v>
      </c>
      <c r="E222" t="s">
        <v>6234</v>
      </c>
      <c r="F222" t="s">
        <v>18230</v>
      </c>
      <c r="G222" t="s">
        <v>18231</v>
      </c>
      <c r="H222" t="s">
        <v>18232</v>
      </c>
      <c r="I222" t="s">
        <v>1922</v>
      </c>
      <c r="J222" s="4">
        <v>13268.478144960094</v>
      </c>
      <c r="Q222" t="s">
        <v>20286</v>
      </c>
    </row>
    <row r="223" spans="1:17">
      <c r="A223" t="s">
        <v>18229</v>
      </c>
      <c r="B223" t="s">
        <v>20252</v>
      </c>
      <c r="C223" t="s">
        <v>13311</v>
      </c>
      <c r="D223" t="s">
        <v>16721</v>
      </c>
      <c r="E223" t="s">
        <v>6237</v>
      </c>
      <c r="F223" t="s">
        <v>18230</v>
      </c>
      <c r="G223" t="s">
        <v>18231</v>
      </c>
      <c r="H223" t="s">
        <v>18232</v>
      </c>
      <c r="I223" t="s">
        <v>1922</v>
      </c>
      <c r="J223" s="4">
        <v>7516.5333254101452</v>
      </c>
      <c r="Q223" t="s">
        <v>20286</v>
      </c>
    </row>
    <row r="224" spans="1:17">
      <c r="A224" t="s">
        <v>18229</v>
      </c>
      <c r="B224" t="s">
        <v>20252</v>
      </c>
      <c r="C224" t="s">
        <v>13311</v>
      </c>
      <c r="D224" t="s">
        <v>16721</v>
      </c>
      <c r="E224" t="s">
        <v>6243</v>
      </c>
      <c r="F224" t="s">
        <v>18230</v>
      </c>
      <c r="G224" t="s">
        <v>18231</v>
      </c>
      <c r="H224" t="s">
        <v>18232</v>
      </c>
      <c r="I224" t="s">
        <v>1922</v>
      </c>
      <c r="J224" s="4">
        <v>5318.5456230865684</v>
      </c>
      <c r="Q224" t="s">
        <v>20286</v>
      </c>
    </row>
    <row r="225" spans="1:17">
      <c r="A225" t="s">
        <v>18229</v>
      </c>
      <c r="B225" t="s">
        <v>20252</v>
      </c>
      <c r="C225" t="s">
        <v>13311</v>
      </c>
      <c r="D225" t="s">
        <v>16721</v>
      </c>
      <c r="E225" t="s">
        <v>6246</v>
      </c>
      <c r="F225" t="s">
        <v>18230</v>
      </c>
      <c r="G225" t="s">
        <v>18231</v>
      </c>
      <c r="H225" t="s">
        <v>18232</v>
      </c>
      <c r="I225" t="s">
        <v>1922</v>
      </c>
      <c r="J225" s="4">
        <v>11119.761424816632</v>
      </c>
      <c r="Q225" t="s">
        <v>20286</v>
      </c>
    </row>
    <row r="226" spans="1:17">
      <c r="A226" t="s">
        <v>18229</v>
      </c>
      <c r="B226" t="s">
        <v>20252</v>
      </c>
      <c r="C226" t="s">
        <v>13311</v>
      </c>
      <c r="D226" t="s">
        <v>16721</v>
      </c>
      <c r="E226" t="s">
        <v>7676</v>
      </c>
      <c r="F226" t="s">
        <v>18230</v>
      </c>
      <c r="G226" t="s">
        <v>18231</v>
      </c>
      <c r="H226" t="s">
        <v>18232</v>
      </c>
      <c r="I226" t="s">
        <v>1922</v>
      </c>
      <c r="J226" s="4">
        <v>3723.0862286746733</v>
      </c>
      <c r="Q226" t="s">
        <v>20286</v>
      </c>
    </row>
    <row r="227" spans="1:17">
      <c r="A227" t="s">
        <v>18229</v>
      </c>
      <c r="B227" t="s">
        <v>20252</v>
      </c>
      <c r="C227" t="s">
        <v>13311</v>
      </c>
      <c r="D227" t="s">
        <v>16721</v>
      </c>
      <c r="E227" t="s">
        <v>6270</v>
      </c>
      <c r="F227" t="s">
        <v>18230</v>
      </c>
      <c r="G227" t="s">
        <v>18231</v>
      </c>
      <c r="H227" t="s">
        <v>18232</v>
      </c>
      <c r="I227" t="s">
        <v>1922</v>
      </c>
      <c r="J227" s="4">
        <v>788.37144314925843</v>
      </c>
      <c r="Q227" t="s">
        <v>20286</v>
      </c>
    </row>
    <row r="228" spans="1:17">
      <c r="A228" t="s">
        <v>18229</v>
      </c>
      <c r="B228" t="s">
        <v>20252</v>
      </c>
      <c r="C228" t="s">
        <v>13311</v>
      </c>
      <c r="D228" t="s">
        <v>16721</v>
      </c>
      <c r="E228" t="s">
        <v>7657</v>
      </c>
      <c r="F228" t="s">
        <v>18230</v>
      </c>
      <c r="G228" t="s">
        <v>18231</v>
      </c>
      <c r="H228" t="s">
        <v>18232</v>
      </c>
      <c r="I228" t="s">
        <v>1922</v>
      </c>
      <c r="J228" s="4">
        <v>15756.805658125615</v>
      </c>
      <c r="Q228" t="s">
        <v>20286</v>
      </c>
    </row>
    <row r="229" spans="1:17">
      <c r="A229" t="s">
        <v>18229</v>
      </c>
      <c r="B229" t="s">
        <v>20252</v>
      </c>
      <c r="C229" t="s">
        <v>13311</v>
      </c>
      <c r="D229" t="s">
        <v>16721</v>
      </c>
      <c r="E229" t="s">
        <v>6883</v>
      </c>
      <c r="F229" t="s">
        <v>18230</v>
      </c>
      <c r="G229" t="s">
        <v>18231</v>
      </c>
      <c r="H229" t="s">
        <v>18232</v>
      </c>
      <c r="I229" t="s">
        <v>1922</v>
      </c>
      <c r="J229" s="4">
        <v>1599.5562357478648</v>
      </c>
      <c r="Q229" t="s">
        <v>20286</v>
      </c>
    </row>
    <row r="230" spans="1:17">
      <c r="A230" t="s">
        <v>18229</v>
      </c>
      <c r="B230" t="s">
        <v>20252</v>
      </c>
      <c r="C230" t="s">
        <v>13311</v>
      </c>
      <c r="D230" t="s">
        <v>16721</v>
      </c>
      <c r="E230" t="s">
        <v>7789</v>
      </c>
      <c r="F230" t="s">
        <v>18230</v>
      </c>
      <c r="G230" t="s">
        <v>18231</v>
      </c>
      <c r="H230" t="s">
        <v>18232</v>
      </c>
      <c r="I230" t="s">
        <v>1922</v>
      </c>
      <c r="J230" s="4">
        <v>2579.155574445474</v>
      </c>
      <c r="Q230" t="s">
        <v>20286</v>
      </c>
    </row>
    <row r="231" spans="1:17">
      <c r="A231" t="s">
        <v>18229</v>
      </c>
      <c r="B231" t="s">
        <v>20252</v>
      </c>
      <c r="C231" t="s">
        <v>13311</v>
      </c>
      <c r="D231" t="s">
        <v>16721</v>
      </c>
      <c r="E231" t="s">
        <v>6287</v>
      </c>
      <c r="F231" t="s">
        <v>18230</v>
      </c>
      <c r="G231" t="s">
        <v>18231</v>
      </c>
      <c r="H231" t="s">
        <v>18232</v>
      </c>
      <c r="I231" t="s">
        <v>1922</v>
      </c>
      <c r="J231" s="4">
        <v>3359.9100912404383</v>
      </c>
      <c r="Q231" t="s">
        <v>20286</v>
      </c>
    </row>
    <row r="232" spans="1:17">
      <c r="A232" t="s">
        <v>18229</v>
      </c>
      <c r="B232" t="s">
        <v>20252</v>
      </c>
      <c r="C232" t="s">
        <v>13311</v>
      </c>
      <c r="D232" t="s">
        <v>16721</v>
      </c>
      <c r="E232" t="s">
        <v>6290</v>
      </c>
      <c r="F232" t="s">
        <v>18230</v>
      </c>
      <c r="G232" t="s">
        <v>18231</v>
      </c>
      <c r="H232" t="s">
        <v>18232</v>
      </c>
      <c r="I232" t="s">
        <v>1922</v>
      </c>
      <c r="J232" s="4">
        <v>2805.5077596039223</v>
      </c>
      <c r="Q232" t="s">
        <v>20286</v>
      </c>
    </row>
    <row r="233" spans="1:17">
      <c r="A233" t="s">
        <v>18229</v>
      </c>
      <c r="B233" t="s">
        <v>20252</v>
      </c>
      <c r="C233" t="s">
        <v>13311</v>
      </c>
      <c r="D233" t="s">
        <v>16721</v>
      </c>
      <c r="E233" t="s">
        <v>6297</v>
      </c>
      <c r="F233" t="s">
        <v>18230</v>
      </c>
      <c r="G233" t="s">
        <v>18231</v>
      </c>
      <c r="H233" t="s">
        <v>18232</v>
      </c>
      <c r="I233" t="s">
        <v>1922</v>
      </c>
      <c r="J233" s="4">
        <v>16664.584373834579</v>
      </c>
      <c r="Q233" t="s">
        <v>20286</v>
      </c>
    </row>
    <row r="234" spans="1:17">
      <c r="A234" t="s">
        <v>18229</v>
      </c>
      <c r="B234" t="s">
        <v>20252</v>
      </c>
      <c r="C234" t="s">
        <v>13311</v>
      </c>
      <c r="D234" t="s">
        <v>16721</v>
      </c>
      <c r="E234" t="s">
        <v>6299</v>
      </c>
      <c r="F234" t="s">
        <v>18230</v>
      </c>
      <c r="G234" t="s">
        <v>18231</v>
      </c>
      <c r="H234" t="s">
        <v>18232</v>
      </c>
      <c r="I234" t="s">
        <v>1922</v>
      </c>
      <c r="J234" s="4">
        <v>2629.7961402117389</v>
      </c>
      <c r="Q234" t="s">
        <v>20286</v>
      </c>
    </row>
    <row r="235" spans="1:17">
      <c r="A235" t="s">
        <v>18229</v>
      </c>
      <c r="B235" t="s">
        <v>20252</v>
      </c>
      <c r="C235" t="s">
        <v>13311</v>
      </c>
      <c r="D235" t="s">
        <v>16721</v>
      </c>
      <c r="E235" t="s">
        <v>6309</v>
      </c>
      <c r="F235" t="s">
        <v>18230</v>
      </c>
      <c r="G235" t="s">
        <v>18231</v>
      </c>
      <c r="H235" t="s">
        <v>18232</v>
      </c>
      <c r="I235" t="s">
        <v>1922</v>
      </c>
      <c r="J235" s="4">
        <v>1959.081284516405</v>
      </c>
      <c r="Q235" t="s">
        <v>20286</v>
      </c>
    </row>
    <row r="236" spans="1:17">
      <c r="A236" t="s">
        <v>18229</v>
      </c>
      <c r="B236" t="s">
        <v>20252</v>
      </c>
      <c r="C236" t="s">
        <v>13311</v>
      </c>
      <c r="D236" t="s">
        <v>16721</v>
      </c>
      <c r="E236" t="s">
        <v>6790</v>
      </c>
      <c r="F236" t="s">
        <v>18230</v>
      </c>
      <c r="G236" t="s">
        <v>18231</v>
      </c>
      <c r="H236" t="s">
        <v>18232</v>
      </c>
      <c r="I236" t="s">
        <v>1922</v>
      </c>
      <c r="J236" s="4">
        <v>17418.280682736156</v>
      </c>
      <c r="Q236" t="s">
        <v>20286</v>
      </c>
    </row>
    <row r="237" spans="1:17">
      <c r="A237" t="s">
        <v>18229</v>
      </c>
      <c r="B237" t="s">
        <v>20252</v>
      </c>
      <c r="C237" t="s">
        <v>13311</v>
      </c>
      <c r="D237" t="s">
        <v>16721</v>
      </c>
      <c r="E237" t="s">
        <v>6315</v>
      </c>
      <c r="F237" t="s">
        <v>18230</v>
      </c>
      <c r="G237" t="s">
        <v>18231</v>
      </c>
      <c r="H237" t="s">
        <v>18232</v>
      </c>
      <c r="I237" t="s">
        <v>1922</v>
      </c>
      <c r="J237" s="4">
        <v>14073.556806514353</v>
      </c>
      <c r="Q237" t="s">
        <v>20286</v>
      </c>
    </row>
    <row r="238" spans="1:17">
      <c r="A238" t="s">
        <v>18229</v>
      </c>
      <c r="B238" t="s">
        <v>20252</v>
      </c>
      <c r="C238" t="s">
        <v>13311</v>
      </c>
      <c r="D238" t="s">
        <v>16721</v>
      </c>
      <c r="E238" t="s">
        <v>6321</v>
      </c>
      <c r="F238" t="s">
        <v>18230</v>
      </c>
      <c r="G238" t="s">
        <v>18231</v>
      </c>
      <c r="H238" t="s">
        <v>18232</v>
      </c>
      <c r="I238" t="s">
        <v>1922</v>
      </c>
      <c r="J238" s="4">
        <v>9045.0141277479161</v>
      </c>
      <c r="Q238" t="s">
        <v>20286</v>
      </c>
    </row>
    <row r="239" spans="1:17">
      <c r="A239" t="s">
        <v>18229</v>
      </c>
      <c r="B239" t="s">
        <v>20252</v>
      </c>
      <c r="C239" t="s">
        <v>13311</v>
      </c>
      <c r="D239" t="s">
        <v>16721</v>
      </c>
      <c r="E239" t="s">
        <v>6327</v>
      </c>
      <c r="F239" t="s">
        <v>18230</v>
      </c>
      <c r="G239" t="s">
        <v>18231</v>
      </c>
      <c r="H239" t="s">
        <v>18232</v>
      </c>
      <c r="I239" t="s">
        <v>1922</v>
      </c>
      <c r="J239" s="4">
        <v>1624.9028894950786</v>
      </c>
      <c r="Q239" t="s">
        <v>20286</v>
      </c>
    </row>
    <row r="240" spans="1:17">
      <c r="A240" t="s">
        <v>18229</v>
      </c>
      <c r="B240" t="s">
        <v>20252</v>
      </c>
      <c r="C240" t="s">
        <v>13311</v>
      </c>
      <c r="D240" t="s">
        <v>16721</v>
      </c>
      <c r="E240" t="s">
        <v>18181</v>
      </c>
      <c r="F240" t="s">
        <v>18230</v>
      </c>
      <c r="G240" t="s">
        <v>18231</v>
      </c>
      <c r="H240" t="s">
        <v>18232</v>
      </c>
      <c r="I240" t="s">
        <v>1922</v>
      </c>
      <c r="J240" s="4">
        <v>4120.484942302036</v>
      </c>
      <c r="Q240" t="s">
        <v>20286</v>
      </c>
    </row>
    <row r="241" spans="1:17">
      <c r="A241" t="s">
        <v>18229</v>
      </c>
      <c r="B241" t="s">
        <v>20252</v>
      </c>
      <c r="C241" t="s">
        <v>13311</v>
      </c>
      <c r="D241" t="s">
        <v>16721</v>
      </c>
      <c r="E241" t="s">
        <v>18182</v>
      </c>
      <c r="F241" t="s">
        <v>18230</v>
      </c>
      <c r="G241" t="s">
        <v>18231</v>
      </c>
      <c r="H241" t="s">
        <v>18232</v>
      </c>
      <c r="I241" t="s">
        <v>1922</v>
      </c>
      <c r="J241" s="4">
        <v>1827.6914315874164</v>
      </c>
      <c r="Q241" t="s">
        <v>20286</v>
      </c>
    </row>
    <row r="242" spans="1:17">
      <c r="A242" t="s">
        <v>18229</v>
      </c>
      <c r="B242" t="s">
        <v>20252</v>
      </c>
      <c r="C242" t="s">
        <v>13311</v>
      </c>
      <c r="D242" t="s">
        <v>16721</v>
      </c>
      <c r="E242" t="s">
        <v>13215</v>
      </c>
      <c r="F242" t="s">
        <v>18230</v>
      </c>
      <c r="G242" t="s">
        <v>18231</v>
      </c>
      <c r="H242" t="s">
        <v>18232</v>
      </c>
      <c r="I242" t="s">
        <v>1922</v>
      </c>
      <c r="J242" s="4">
        <v>836.44127500412333</v>
      </c>
      <c r="Q242" t="s">
        <v>20286</v>
      </c>
    </row>
    <row r="243" spans="1:17">
      <c r="A243" t="s">
        <v>18229</v>
      </c>
      <c r="B243" t="s">
        <v>20252</v>
      </c>
      <c r="C243" t="s">
        <v>13311</v>
      </c>
      <c r="D243" t="s">
        <v>16721</v>
      </c>
      <c r="E243" t="s">
        <v>3667</v>
      </c>
      <c r="F243" t="s">
        <v>18230</v>
      </c>
      <c r="G243" t="s">
        <v>18231</v>
      </c>
      <c r="H243" t="s">
        <v>18232</v>
      </c>
      <c r="I243" t="s">
        <v>1922</v>
      </c>
      <c r="J243" s="4">
        <v>41564.093749687381</v>
      </c>
      <c r="Q243" t="s">
        <v>20286</v>
      </c>
    </row>
    <row r="244" spans="1:17">
      <c r="A244" t="s">
        <v>18229</v>
      </c>
      <c r="B244" t="s">
        <v>20252</v>
      </c>
      <c r="C244" t="s">
        <v>13311</v>
      </c>
      <c r="D244" t="s">
        <v>16721</v>
      </c>
      <c r="E244" t="s">
        <v>3712</v>
      </c>
      <c r="F244" t="s">
        <v>18230</v>
      </c>
      <c r="G244" t="s">
        <v>18231</v>
      </c>
      <c r="H244" t="s">
        <v>18232</v>
      </c>
      <c r="I244" t="s">
        <v>1922</v>
      </c>
      <c r="J244" s="4">
        <v>1302.1847615996237</v>
      </c>
      <c r="Q244" t="s">
        <v>20286</v>
      </c>
    </row>
    <row r="245" spans="1:17">
      <c r="A245" t="s">
        <v>18229</v>
      </c>
      <c r="B245" t="s">
        <v>20252</v>
      </c>
      <c r="C245" t="s">
        <v>13311</v>
      </c>
      <c r="D245" t="s">
        <v>16721</v>
      </c>
      <c r="E245" t="s">
        <v>3639</v>
      </c>
      <c r="F245" t="s">
        <v>18230</v>
      </c>
      <c r="G245" t="s">
        <v>18231</v>
      </c>
      <c r="H245" t="s">
        <v>18232</v>
      </c>
      <c r="I245" t="s">
        <v>1922</v>
      </c>
      <c r="J245" s="4">
        <v>507.32098184817909</v>
      </c>
      <c r="Q245" t="s">
        <v>20286</v>
      </c>
    </row>
    <row r="246" spans="1:17">
      <c r="A246" t="s">
        <v>18229</v>
      </c>
      <c r="B246" t="s">
        <v>20252</v>
      </c>
      <c r="C246" t="s">
        <v>13311</v>
      </c>
      <c r="D246" t="s">
        <v>16721</v>
      </c>
      <c r="E246" t="s">
        <v>3678</v>
      </c>
      <c r="F246" t="s">
        <v>18230</v>
      </c>
      <c r="G246" t="s">
        <v>18231</v>
      </c>
      <c r="H246" t="s">
        <v>18232</v>
      </c>
      <c r="I246" t="s">
        <v>1922</v>
      </c>
      <c r="J246" s="4">
        <v>7158.0563058205744</v>
      </c>
      <c r="Q246" t="s">
        <v>20286</v>
      </c>
    </row>
    <row r="247" spans="1:17">
      <c r="A247" t="s">
        <v>18229</v>
      </c>
      <c r="B247" t="s">
        <v>20252</v>
      </c>
      <c r="C247" t="s">
        <v>13311</v>
      </c>
      <c r="D247" t="s">
        <v>16721</v>
      </c>
      <c r="E247" t="s">
        <v>3653</v>
      </c>
      <c r="F247" t="s">
        <v>18230</v>
      </c>
      <c r="G247" t="s">
        <v>18231</v>
      </c>
      <c r="H247" t="s">
        <v>18232</v>
      </c>
      <c r="I247" t="s">
        <v>1922</v>
      </c>
      <c r="J247" s="4">
        <v>8387.1359281488822</v>
      </c>
      <c r="Q247" t="s">
        <v>20286</v>
      </c>
    </row>
    <row r="248" spans="1:17">
      <c r="A248" t="s">
        <v>18229</v>
      </c>
      <c r="B248" t="s">
        <v>20252</v>
      </c>
      <c r="C248" t="s">
        <v>13311</v>
      </c>
      <c r="D248" t="s">
        <v>16721</v>
      </c>
      <c r="E248" t="s">
        <v>6496</v>
      </c>
      <c r="F248" t="s">
        <v>18230</v>
      </c>
      <c r="G248" t="s">
        <v>18231</v>
      </c>
      <c r="H248" t="s">
        <v>18232</v>
      </c>
      <c r="I248" t="s">
        <v>1922</v>
      </c>
      <c r="J248" s="4">
        <v>850.67303487762592</v>
      </c>
      <c r="Q248" t="s">
        <v>20286</v>
      </c>
    </row>
    <row r="249" spans="1:17">
      <c r="A249" t="s">
        <v>18229</v>
      </c>
      <c r="B249" t="s">
        <v>20252</v>
      </c>
      <c r="C249" t="s">
        <v>13311</v>
      </c>
      <c r="D249" t="s">
        <v>16721</v>
      </c>
      <c r="E249" t="s">
        <v>10510</v>
      </c>
      <c r="F249" t="s">
        <v>18230</v>
      </c>
      <c r="G249" t="s">
        <v>18231</v>
      </c>
      <c r="H249" t="s">
        <v>18232</v>
      </c>
      <c r="I249" t="s">
        <v>1922</v>
      </c>
      <c r="J249" s="4">
        <v>1439.6399132672898</v>
      </c>
      <c r="Q249" t="s">
        <v>20286</v>
      </c>
    </row>
    <row r="250" spans="1:17">
      <c r="A250" t="s">
        <v>18229</v>
      </c>
      <c r="B250" t="s">
        <v>20252</v>
      </c>
      <c r="C250" t="s">
        <v>13311</v>
      </c>
      <c r="D250" t="s">
        <v>16721</v>
      </c>
      <c r="E250" t="s">
        <v>18190</v>
      </c>
      <c r="F250" t="s">
        <v>18230</v>
      </c>
      <c r="G250" t="s">
        <v>18231</v>
      </c>
      <c r="H250" t="s">
        <v>18232</v>
      </c>
      <c r="I250" t="s">
        <v>1922</v>
      </c>
      <c r="J250" s="4">
        <v>1531.7746083288157</v>
      </c>
      <c r="Q250" t="s">
        <v>20286</v>
      </c>
    </row>
    <row r="251" spans="1:17">
      <c r="A251" t="s">
        <v>18229</v>
      </c>
      <c r="B251" t="s">
        <v>20252</v>
      </c>
      <c r="C251" t="s">
        <v>13311</v>
      </c>
      <c r="D251" t="s">
        <v>16721</v>
      </c>
      <c r="E251" t="s">
        <v>11787</v>
      </c>
      <c r="F251" t="s">
        <v>18230</v>
      </c>
      <c r="G251" t="s">
        <v>18231</v>
      </c>
      <c r="H251" t="s">
        <v>18232</v>
      </c>
      <c r="I251" t="s">
        <v>1922</v>
      </c>
      <c r="J251" s="4">
        <v>3327.0417865188365</v>
      </c>
      <c r="Q251" t="s">
        <v>20286</v>
      </c>
    </row>
    <row r="252" spans="1:17">
      <c r="A252" t="s">
        <v>18229</v>
      </c>
      <c r="B252" t="s">
        <v>20252</v>
      </c>
      <c r="C252" t="s">
        <v>13311</v>
      </c>
      <c r="D252" t="s">
        <v>16721</v>
      </c>
      <c r="E252" t="s">
        <v>11846</v>
      </c>
      <c r="F252" t="s">
        <v>18230</v>
      </c>
      <c r="G252" t="s">
        <v>18231</v>
      </c>
      <c r="H252" t="s">
        <v>18232</v>
      </c>
      <c r="I252" t="s">
        <v>1922</v>
      </c>
      <c r="J252" s="4">
        <v>4616.694432968643</v>
      </c>
      <c r="Q252" t="s">
        <v>20286</v>
      </c>
    </row>
    <row r="253" spans="1:17">
      <c r="A253" t="s">
        <v>18229</v>
      </c>
      <c r="B253" t="s">
        <v>20252</v>
      </c>
      <c r="C253" t="s">
        <v>13311</v>
      </c>
      <c r="D253" t="s">
        <v>16721</v>
      </c>
      <c r="E253" t="s">
        <v>12072</v>
      </c>
      <c r="F253" t="s">
        <v>18230</v>
      </c>
      <c r="G253" t="s">
        <v>18231</v>
      </c>
      <c r="H253" t="s">
        <v>18232</v>
      </c>
      <c r="I253" t="s">
        <v>1922</v>
      </c>
      <c r="J253" s="4">
        <v>2627.2713426442224</v>
      </c>
      <c r="Q253" t="s">
        <v>20286</v>
      </c>
    </row>
    <row r="254" spans="1:17">
      <c r="A254" t="s">
        <v>18229</v>
      </c>
      <c r="B254" t="s">
        <v>20252</v>
      </c>
      <c r="C254" t="s">
        <v>13311</v>
      </c>
      <c r="D254" t="s">
        <v>16721</v>
      </c>
      <c r="E254" t="s">
        <v>12075</v>
      </c>
      <c r="F254" t="s">
        <v>18230</v>
      </c>
      <c r="G254" t="s">
        <v>18231</v>
      </c>
      <c r="H254" t="s">
        <v>18232</v>
      </c>
      <c r="I254" t="s">
        <v>1922</v>
      </c>
      <c r="J254" s="4">
        <v>2270.0856447215956</v>
      </c>
      <c r="Q254" t="s">
        <v>20286</v>
      </c>
    </row>
    <row r="255" spans="1:17">
      <c r="A255" t="s">
        <v>18229</v>
      </c>
      <c r="B255" t="s">
        <v>20252</v>
      </c>
      <c r="C255" t="s">
        <v>13311</v>
      </c>
      <c r="D255" t="s">
        <v>16721</v>
      </c>
      <c r="E255" t="s">
        <v>7067</v>
      </c>
      <c r="F255" t="s">
        <v>18230</v>
      </c>
      <c r="G255" t="s">
        <v>18231</v>
      </c>
      <c r="H255" t="s">
        <v>18232</v>
      </c>
      <c r="I255" t="s">
        <v>1922</v>
      </c>
      <c r="J255" s="4">
        <v>4669.0635663417788</v>
      </c>
      <c r="Q255" t="s">
        <v>20286</v>
      </c>
    </row>
    <row r="256" spans="1:17">
      <c r="A256" t="s">
        <v>18229</v>
      </c>
      <c r="B256" t="s">
        <v>20252</v>
      </c>
      <c r="C256" t="s">
        <v>13311</v>
      </c>
      <c r="D256" t="s">
        <v>16721</v>
      </c>
      <c r="E256" t="s">
        <v>12281</v>
      </c>
      <c r="F256" t="s">
        <v>18230</v>
      </c>
      <c r="G256" t="s">
        <v>18231</v>
      </c>
      <c r="H256" t="s">
        <v>18232</v>
      </c>
      <c r="I256" t="s">
        <v>1922</v>
      </c>
      <c r="J256" s="4">
        <v>8263.2881423471208</v>
      </c>
      <c r="Q256" t="s">
        <v>20286</v>
      </c>
    </row>
    <row r="257" spans="1:17">
      <c r="A257" t="s">
        <v>18229</v>
      </c>
      <c r="B257" t="s">
        <v>20252</v>
      </c>
      <c r="C257" t="s">
        <v>13311</v>
      </c>
      <c r="D257" t="s">
        <v>16721</v>
      </c>
      <c r="E257" t="s">
        <v>6135</v>
      </c>
      <c r="F257" t="s">
        <v>18230</v>
      </c>
      <c r="G257" t="s">
        <v>18231</v>
      </c>
      <c r="H257" t="s">
        <v>18232</v>
      </c>
      <c r="I257" t="s">
        <v>1922</v>
      </c>
      <c r="J257" s="4">
        <v>33009.453495586815</v>
      </c>
      <c r="Q257" t="s">
        <v>20286</v>
      </c>
    </row>
    <row r="258" spans="1:17">
      <c r="A258" t="s">
        <v>18229</v>
      </c>
      <c r="B258" t="s">
        <v>20252</v>
      </c>
      <c r="C258" t="s">
        <v>13311</v>
      </c>
      <c r="D258" t="s">
        <v>16721</v>
      </c>
      <c r="E258" t="s">
        <v>12340</v>
      </c>
      <c r="F258" t="s">
        <v>18230</v>
      </c>
      <c r="G258" t="s">
        <v>18231</v>
      </c>
      <c r="H258" t="s">
        <v>18232</v>
      </c>
      <c r="I258" t="s">
        <v>1922</v>
      </c>
      <c r="J258" s="4">
        <v>1382.8676962656268</v>
      </c>
      <c r="Q258" t="s">
        <v>20286</v>
      </c>
    </row>
    <row r="259" spans="1:17">
      <c r="A259" t="s">
        <v>18229</v>
      </c>
      <c r="B259" t="s">
        <v>20252</v>
      </c>
      <c r="C259" t="s">
        <v>13311</v>
      </c>
      <c r="D259" t="s">
        <v>16721</v>
      </c>
      <c r="E259" t="s">
        <v>12343</v>
      </c>
      <c r="F259" t="s">
        <v>18230</v>
      </c>
      <c r="G259" t="s">
        <v>18231</v>
      </c>
      <c r="H259" t="s">
        <v>18232</v>
      </c>
      <c r="I259" t="s">
        <v>1922</v>
      </c>
      <c r="J259" s="4">
        <v>3725.1771829944028</v>
      </c>
      <c r="Q259" t="s">
        <v>20286</v>
      </c>
    </row>
    <row r="260" spans="1:17">
      <c r="A260" t="s">
        <v>18229</v>
      </c>
      <c r="B260" t="s">
        <v>20252</v>
      </c>
      <c r="C260" t="s">
        <v>13311</v>
      </c>
      <c r="D260" t="s">
        <v>16721</v>
      </c>
      <c r="E260" t="s">
        <v>12932</v>
      </c>
      <c r="F260" t="s">
        <v>18230</v>
      </c>
      <c r="G260" t="s">
        <v>18231</v>
      </c>
      <c r="H260" t="s">
        <v>18232</v>
      </c>
      <c r="I260" t="s">
        <v>1922</v>
      </c>
      <c r="J260" s="4">
        <v>28097.305005490547</v>
      </c>
      <c r="Q260" t="s">
        <v>20286</v>
      </c>
    </row>
    <row r="261" spans="1:17">
      <c r="A261" t="s">
        <v>18229</v>
      </c>
      <c r="B261" t="s">
        <v>20252</v>
      </c>
      <c r="C261" t="s">
        <v>13311</v>
      </c>
      <c r="D261" t="s">
        <v>16721</v>
      </c>
      <c r="E261" t="s">
        <v>3924</v>
      </c>
      <c r="F261" t="s">
        <v>18230</v>
      </c>
      <c r="G261" t="s">
        <v>18231</v>
      </c>
      <c r="H261" t="s">
        <v>18232</v>
      </c>
      <c r="I261" t="s">
        <v>1922</v>
      </c>
      <c r="J261" s="4">
        <v>520.61189734510708</v>
      </c>
      <c r="Q261" t="s">
        <v>20286</v>
      </c>
    </row>
    <row r="262" spans="1:17">
      <c r="A262" t="s">
        <v>18229</v>
      </c>
      <c r="B262" t="s">
        <v>20252</v>
      </c>
      <c r="C262" t="s">
        <v>13311</v>
      </c>
      <c r="D262" t="s">
        <v>16721</v>
      </c>
      <c r="E262" t="s">
        <v>6176</v>
      </c>
      <c r="F262" t="s">
        <v>18230</v>
      </c>
      <c r="G262" t="s">
        <v>18231</v>
      </c>
      <c r="H262" t="s">
        <v>18232</v>
      </c>
      <c r="I262" t="s">
        <v>1922</v>
      </c>
      <c r="J262" s="4">
        <v>2986.0784233713262</v>
      </c>
      <c r="Q262" t="s">
        <v>20286</v>
      </c>
    </row>
    <row r="263" spans="1:17">
      <c r="A263" t="s">
        <v>18229</v>
      </c>
      <c r="B263" t="s">
        <v>20252</v>
      </c>
      <c r="C263" t="s">
        <v>13311</v>
      </c>
      <c r="D263" t="s">
        <v>16721</v>
      </c>
      <c r="E263" t="s">
        <v>11840</v>
      </c>
      <c r="F263" t="s">
        <v>18230</v>
      </c>
      <c r="G263" t="s">
        <v>18231</v>
      </c>
      <c r="H263" t="s">
        <v>18232</v>
      </c>
      <c r="I263" t="s">
        <v>1922</v>
      </c>
      <c r="J263" s="4">
        <v>1033.9403321655918</v>
      </c>
      <c r="Q263" t="s">
        <v>20286</v>
      </c>
    </row>
    <row r="264" spans="1:17">
      <c r="A264" t="s">
        <v>18229</v>
      </c>
      <c r="B264" t="s">
        <v>20252</v>
      </c>
      <c r="C264" t="s">
        <v>13311</v>
      </c>
      <c r="D264" t="s">
        <v>16721</v>
      </c>
      <c r="E264" t="s">
        <v>5717</v>
      </c>
      <c r="F264" t="s">
        <v>18230</v>
      </c>
      <c r="G264" t="s">
        <v>18231</v>
      </c>
      <c r="H264" t="s">
        <v>18232</v>
      </c>
      <c r="I264" t="s">
        <v>1922</v>
      </c>
      <c r="J264" s="4">
        <v>2811.3757021985075</v>
      </c>
      <c r="Q264" t="s">
        <v>20286</v>
      </c>
    </row>
    <row r="265" spans="1:17">
      <c r="A265" t="s">
        <v>18229</v>
      </c>
      <c r="B265" t="s">
        <v>20252</v>
      </c>
      <c r="C265" t="s">
        <v>13311</v>
      </c>
      <c r="D265" t="s">
        <v>16721</v>
      </c>
      <c r="E265" t="s">
        <v>20145</v>
      </c>
      <c r="F265" t="s">
        <v>18230</v>
      </c>
      <c r="G265" t="s">
        <v>18231</v>
      </c>
      <c r="H265" t="s">
        <v>18232</v>
      </c>
      <c r="I265" t="s">
        <v>1922</v>
      </c>
      <c r="J265" s="4">
        <v>10452.893312585013</v>
      </c>
      <c r="Q265" t="s">
        <v>20286</v>
      </c>
    </row>
    <row r="266" spans="1:17">
      <c r="A266" t="s">
        <v>18229</v>
      </c>
      <c r="B266" t="s">
        <v>20252</v>
      </c>
      <c r="C266" t="s">
        <v>13311</v>
      </c>
      <c r="D266" t="s">
        <v>16721</v>
      </c>
      <c r="E266" t="s">
        <v>5706</v>
      </c>
      <c r="F266" t="s">
        <v>18230</v>
      </c>
      <c r="G266" t="s">
        <v>18231</v>
      </c>
      <c r="H266" t="s">
        <v>18232</v>
      </c>
      <c r="I266" t="s">
        <v>1922</v>
      </c>
      <c r="J266" s="4">
        <v>9538.7124316155623</v>
      </c>
      <c r="Q266" t="s">
        <v>20286</v>
      </c>
    </row>
    <row r="267" spans="1:17">
      <c r="A267" t="s">
        <v>18229</v>
      </c>
      <c r="B267" t="s">
        <v>20252</v>
      </c>
      <c r="C267" t="s">
        <v>13311</v>
      </c>
      <c r="D267" t="s">
        <v>16721</v>
      </c>
      <c r="E267" t="s">
        <v>20152</v>
      </c>
      <c r="F267" t="s">
        <v>18230</v>
      </c>
      <c r="G267" t="s">
        <v>18231</v>
      </c>
      <c r="H267" t="s">
        <v>18232</v>
      </c>
      <c r="I267" t="s">
        <v>1922</v>
      </c>
      <c r="J267" s="4">
        <v>1422.0956325959737</v>
      </c>
      <c r="Q267" t="s">
        <v>20286</v>
      </c>
    </row>
    <row r="268" spans="1:17">
      <c r="A268" t="s">
        <v>18229</v>
      </c>
      <c r="B268" t="s">
        <v>20252</v>
      </c>
      <c r="C268" t="s">
        <v>13311</v>
      </c>
      <c r="D268" t="s">
        <v>16721</v>
      </c>
      <c r="E268" t="s">
        <v>20163</v>
      </c>
      <c r="F268" t="s">
        <v>18230</v>
      </c>
      <c r="G268" t="s">
        <v>18231</v>
      </c>
      <c r="H268" t="s">
        <v>18232</v>
      </c>
      <c r="I268" t="s">
        <v>1922</v>
      </c>
      <c r="J268" s="4">
        <v>5964.051634066338</v>
      </c>
      <c r="Q268" t="s">
        <v>20286</v>
      </c>
    </row>
    <row r="269" spans="1:17">
      <c r="A269" t="s">
        <v>18229</v>
      </c>
      <c r="B269" t="s">
        <v>20252</v>
      </c>
      <c r="C269" t="s">
        <v>13311</v>
      </c>
      <c r="D269" t="s">
        <v>16721</v>
      </c>
      <c r="E269" t="s">
        <v>20164</v>
      </c>
      <c r="F269" t="s">
        <v>18230</v>
      </c>
      <c r="G269" t="s">
        <v>18231</v>
      </c>
      <c r="H269" t="s">
        <v>18232</v>
      </c>
      <c r="I269" t="s">
        <v>1922</v>
      </c>
      <c r="J269" s="4">
        <v>7621.428115994835</v>
      </c>
      <c r="Q269" t="s">
        <v>20286</v>
      </c>
    </row>
    <row r="270" spans="1:17">
      <c r="A270" t="s">
        <v>18229</v>
      </c>
      <c r="B270" t="s">
        <v>20252</v>
      </c>
      <c r="C270" t="s">
        <v>13311</v>
      </c>
      <c r="D270" t="s">
        <v>16721</v>
      </c>
      <c r="E270" t="s">
        <v>20171</v>
      </c>
      <c r="F270" t="s">
        <v>18230</v>
      </c>
      <c r="G270" t="s">
        <v>18231</v>
      </c>
      <c r="H270" t="s">
        <v>18232</v>
      </c>
      <c r="I270" t="s">
        <v>1922</v>
      </c>
      <c r="J270" s="4">
        <v>1415.3889263889985</v>
      </c>
      <c r="Q270" t="s">
        <v>20286</v>
      </c>
    </row>
    <row r="271" spans="1:17">
      <c r="A271" t="s">
        <v>18229</v>
      </c>
      <c r="B271" t="s">
        <v>20252</v>
      </c>
      <c r="C271" t="s">
        <v>13311</v>
      </c>
      <c r="D271" t="s">
        <v>16721</v>
      </c>
      <c r="E271" t="s">
        <v>20172</v>
      </c>
      <c r="F271" t="s">
        <v>18230</v>
      </c>
      <c r="G271" t="s">
        <v>18231</v>
      </c>
      <c r="H271" t="s">
        <v>18232</v>
      </c>
      <c r="I271" t="s">
        <v>1922</v>
      </c>
      <c r="J271" s="4">
        <v>4070.1438134440477</v>
      </c>
      <c r="Q271" t="s">
        <v>20286</v>
      </c>
    </row>
    <row r="272" spans="1:17">
      <c r="A272" t="s">
        <v>18229</v>
      </c>
      <c r="B272" t="s">
        <v>20252</v>
      </c>
      <c r="C272" t="s">
        <v>13311</v>
      </c>
      <c r="D272" t="s">
        <v>16721</v>
      </c>
      <c r="E272" t="s">
        <v>20236</v>
      </c>
      <c r="F272" t="s">
        <v>18230</v>
      </c>
      <c r="G272" t="s">
        <v>18231</v>
      </c>
      <c r="H272" t="s">
        <v>18232</v>
      </c>
      <c r="I272" t="s">
        <v>1922</v>
      </c>
      <c r="J272" s="4">
        <v>10466.1246809695</v>
      </c>
      <c r="Q272" t="s">
        <v>20286</v>
      </c>
    </row>
    <row r="273" spans="1:17">
      <c r="A273" t="s">
        <v>18229</v>
      </c>
      <c r="B273" t="s">
        <v>20252</v>
      </c>
      <c r="C273" t="s">
        <v>13311</v>
      </c>
      <c r="D273" t="s">
        <v>16721</v>
      </c>
      <c r="E273" t="s">
        <v>5150</v>
      </c>
      <c r="F273" t="s">
        <v>18230</v>
      </c>
      <c r="G273" t="s">
        <v>18231</v>
      </c>
      <c r="H273" t="s">
        <v>18232</v>
      </c>
      <c r="I273" t="s">
        <v>1922</v>
      </c>
      <c r="J273" s="4">
        <v>1058.1845136596041</v>
      </c>
      <c r="Q273" t="s">
        <v>20286</v>
      </c>
    </row>
    <row r="274" spans="1:17">
      <c r="A274" t="s">
        <v>18229</v>
      </c>
      <c r="B274" t="s">
        <v>20252</v>
      </c>
      <c r="C274" t="s">
        <v>13282</v>
      </c>
      <c r="D274" t="s">
        <v>16721</v>
      </c>
      <c r="E274" t="s">
        <v>6634</v>
      </c>
      <c r="F274" t="s">
        <v>18230</v>
      </c>
      <c r="G274" t="s">
        <v>18231</v>
      </c>
      <c r="H274" t="s">
        <v>13311</v>
      </c>
      <c r="I274" t="s">
        <v>1922</v>
      </c>
      <c r="J274" s="4">
        <v>1383.752073769796</v>
      </c>
      <c r="Q274" t="s">
        <v>20286</v>
      </c>
    </row>
    <row r="275" spans="1:17">
      <c r="A275" t="s">
        <v>18229</v>
      </c>
      <c r="B275" t="s">
        <v>20252</v>
      </c>
      <c r="C275" t="s">
        <v>13282</v>
      </c>
      <c r="D275" t="s">
        <v>16721</v>
      </c>
      <c r="E275" t="s">
        <v>6637</v>
      </c>
      <c r="F275" t="s">
        <v>18230</v>
      </c>
      <c r="G275" t="s">
        <v>18231</v>
      </c>
      <c r="H275" t="s">
        <v>13311</v>
      </c>
      <c r="I275" t="s">
        <v>1922</v>
      </c>
      <c r="J275" s="4">
        <v>1845.0040545455652</v>
      </c>
      <c r="Q275" t="s">
        <v>20286</v>
      </c>
    </row>
    <row r="276" spans="1:17">
      <c r="A276" t="s">
        <v>18229</v>
      </c>
      <c r="B276" t="s">
        <v>20252</v>
      </c>
      <c r="C276" t="s">
        <v>13282</v>
      </c>
      <c r="D276" t="s">
        <v>16721</v>
      </c>
      <c r="E276" t="s">
        <v>5389</v>
      </c>
      <c r="F276" t="s">
        <v>18230</v>
      </c>
      <c r="G276" t="s">
        <v>18231</v>
      </c>
      <c r="H276" t="s">
        <v>13311</v>
      </c>
      <c r="I276" t="s">
        <v>1922</v>
      </c>
      <c r="J276" s="4">
        <v>1886.5600993450998</v>
      </c>
      <c r="Q276" t="s">
        <v>20286</v>
      </c>
    </row>
    <row r="277" spans="1:17">
      <c r="A277" t="s">
        <v>18229</v>
      </c>
      <c r="B277" t="s">
        <v>20252</v>
      </c>
      <c r="C277" t="s">
        <v>13282</v>
      </c>
      <c r="D277" t="s">
        <v>16721</v>
      </c>
      <c r="E277" t="s">
        <v>5398</v>
      </c>
      <c r="F277" t="s">
        <v>18230</v>
      </c>
      <c r="G277" t="s">
        <v>18231</v>
      </c>
      <c r="H277" t="s">
        <v>13311</v>
      </c>
      <c r="I277" t="s">
        <v>1922</v>
      </c>
      <c r="J277" s="4">
        <v>2794.7194496401989</v>
      </c>
      <c r="Q277" t="s">
        <v>20286</v>
      </c>
    </row>
    <row r="278" spans="1:17">
      <c r="A278" t="s">
        <v>18229</v>
      </c>
      <c r="B278" t="s">
        <v>20252</v>
      </c>
      <c r="C278" t="s">
        <v>13282</v>
      </c>
      <c r="D278" t="s">
        <v>16721</v>
      </c>
      <c r="E278" t="s">
        <v>6844</v>
      </c>
      <c r="F278" t="s">
        <v>18230</v>
      </c>
      <c r="G278" t="s">
        <v>18231</v>
      </c>
      <c r="H278" t="s">
        <v>13311</v>
      </c>
      <c r="I278" t="s">
        <v>1922</v>
      </c>
      <c r="J278" s="4">
        <v>1375.9994845146973</v>
      </c>
      <c r="Q278" t="s">
        <v>20286</v>
      </c>
    </row>
    <row r="279" spans="1:17">
      <c r="A279" t="s">
        <v>18229</v>
      </c>
      <c r="B279" t="s">
        <v>20252</v>
      </c>
      <c r="C279" t="s">
        <v>13282</v>
      </c>
      <c r="D279" t="s">
        <v>16721</v>
      </c>
      <c r="E279" t="s">
        <v>5983</v>
      </c>
      <c r="F279" t="s">
        <v>18230</v>
      </c>
      <c r="G279" t="s">
        <v>18231</v>
      </c>
      <c r="H279" t="s">
        <v>13311</v>
      </c>
      <c r="I279" t="s">
        <v>1922</v>
      </c>
      <c r="J279" s="4">
        <v>4029.2689972669627</v>
      </c>
      <c r="Q279" t="s">
        <v>20286</v>
      </c>
    </row>
    <row r="280" spans="1:17">
      <c r="A280" t="s">
        <v>18229</v>
      </c>
      <c r="B280" t="s">
        <v>20252</v>
      </c>
      <c r="C280" t="s">
        <v>13282</v>
      </c>
      <c r="D280" t="s">
        <v>16721</v>
      </c>
      <c r="E280" t="s">
        <v>6913</v>
      </c>
      <c r="F280" t="s">
        <v>18230</v>
      </c>
      <c r="G280" t="s">
        <v>18231</v>
      </c>
      <c r="H280" t="s">
        <v>13311</v>
      </c>
      <c r="I280" t="s">
        <v>1922</v>
      </c>
      <c r="J280" s="4">
        <v>842.8503623686662</v>
      </c>
      <c r="Q280" t="s">
        <v>20286</v>
      </c>
    </row>
    <row r="281" spans="1:17">
      <c r="A281" t="s">
        <v>18229</v>
      </c>
      <c r="B281" t="s">
        <v>20252</v>
      </c>
      <c r="C281" t="s">
        <v>13282</v>
      </c>
      <c r="D281" t="s">
        <v>16721</v>
      </c>
      <c r="E281" t="s">
        <v>5672</v>
      </c>
      <c r="F281" t="s">
        <v>18230</v>
      </c>
      <c r="G281" t="s">
        <v>18231</v>
      </c>
      <c r="H281" t="s">
        <v>13311</v>
      </c>
      <c r="I281" t="s">
        <v>1922</v>
      </c>
      <c r="J281" s="4">
        <v>743.1112125807681</v>
      </c>
      <c r="Q281" t="s">
        <v>20286</v>
      </c>
    </row>
    <row r="282" spans="1:17">
      <c r="A282" t="s">
        <v>18229</v>
      </c>
      <c r="B282" t="s">
        <v>20252</v>
      </c>
      <c r="C282" t="s">
        <v>13282</v>
      </c>
      <c r="D282" t="s">
        <v>16721</v>
      </c>
      <c r="E282" t="s">
        <v>5735</v>
      </c>
      <c r="F282" t="s">
        <v>18230</v>
      </c>
      <c r="G282" t="s">
        <v>18231</v>
      </c>
      <c r="H282" t="s">
        <v>13311</v>
      </c>
      <c r="I282" t="s">
        <v>1922</v>
      </c>
      <c r="J282" s="4">
        <v>711.10276772214308</v>
      </c>
      <c r="Q282" t="s">
        <v>20286</v>
      </c>
    </row>
    <row r="283" spans="1:17">
      <c r="A283" t="s">
        <v>18229</v>
      </c>
      <c r="B283" t="s">
        <v>20252</v>
      </c>
      <c r="C283" t="s">
        <v>13282</v>
      </c>
      <c r="D283" t="s">
        <v>16721</v>
      </c>
      <c r="E283" t="s">
        <v>5778</v>
      </c>
      <c r="F283" t="s">
        <v>18230</v>
      </c>
      <c r="G283" t="s">
        <v>18231</v>
      </c>
      <c r="H283" t="s">
        <v>13311</v>
      </c>
      <c r="I283" t="s">
        <v>1922</v>
      </c>
      <c r="J283" s="4">
        <v>1990.4424742289116</v>
      </c>
      <c r="Q283" t="s">
        <v>20286</v>
      </c>
    </row>
    <row r="284" spans="1:17">
      <c r="A284" t="s">
        <v>18229</v>
      </c>
      <c r="B284" t="s">
        <v>20252</v>
      </c>
      <c r="C284" t="s">
        <v>13282</v>
      </c>
      <c r="D284" t="s">
        <v>16721</v>
      </c>
      <c r="E284" t="s">
        <v>7033</v>
      </c>
      <c r="F284" t="s">
        <v>18230</v>
      </c>
      <c r="G284" t="s">
        <v>18231</v>
      </c>
      <c r="H284" t="s">
        <v>13311</v>
      </c>
      <c r="I284" t="s">
        <v>1922</v>
      </c>
      <c r="J284" s="4">
        <v>1717.9374144891967</v>
      </c>
      <c r="Q284" t="s">
        <v>20286</v>
      </c>
    </row>
    <row r="285" spans="1:17">
      <c r="A285" t="s">
        <v>18229</v>
      </c>
      <c r="B285" t="s">
        <v>20252</v>
      </c>
      <c r="C285" t="s">
        <v>13282</v>
      </c>
      <c r="D285" t="s">
        <v>16721</v>
      </c>
      <c r="E285" t="s">
        <v>7044</v>
      </c>
      <c r="F285" t="s">
        <v>18230</v>
      </c>
      <c r="G285" t="s">
        <v>18231</v>
      </c>
      <c r="H285" t="s">
        <v>13311</v>
      </c>
      <c r="I285" t="s">
        <v>1922</v>
      </c>
      <c r="J285" s="4">
        <v>1059.056304628617</v>
      </c>
      <c r="Q285" t="s">
        <v>20286</v>
      </c>
    </row>
    <row r="286" spans="1:17">
      <c r="A286" t="s">
        <v>18229</v>
      </c>
      <c r="B286" t="s">
        <v>20252</v>
      </c>
      <c r="C286" t="s">
        <v>13282</v>
      </c>
      <c r="D286" t="s">
        <v>16721</v>
      </c>
      <c r="E286" t="s">
        <v>6382</v>
      </c>
      <c r="F286" t="s">
        <v>18230</v>
      </c>
      <c r="G286" t="s">
        <v>18231</v>
      </c>
      <c r="H286" t="s">
        <v>13311</v>
      </c>
      <c r="I286" t="s">
        <v>1922</v>
      </c>
      <c r="J286" s="4">
        <v>1306.7097509078769</v>
      </c>
      <c r="Q286" t="s">
        <v>20286</v>
      </c>
    </row>
    <row r="287" spans="1:17">
      <c r="A287" t="s">
        <v>18229</v>
      </c>
      <c r="B287" t="s">
        <v>20252</v>
      </c>
      <c r="C287" t="s">
        <v>13282</v>
      </c>
      <c r="D287" t="s">
        <v>16721</v>
      </c>
      <c r="E287" t="s">
        <v>7148</v>
      </c>
      <c r="F287" t="s">
        <v>18230</v>
      </c>
      <c r="G287" t="s">
        <v>18231</v>
      </c>
      <c r="H287" t="s">
        <v>13311</v>
      </c>
      <c r="I287" t="s">
        <v>1922</v>
      </c>
      <c r="J287" s="4">
        <v>1092.4729044218009</v>
      </c>
      <c r="Q287" t="s">
        <v>20286</v>
      </c>
    </row>
    <row r="288" spans="1:17">
      <c r="A288" t="s">
        <v>18229</v>
      </c>
      <c r="B288" t="s">
        <v>20252</v>
      </c>
      <c r="C288" t="s">
        <v>13282</v>
      </c>
      <c r="D288" t="s">
        <v>16721</v>
      </c>
      <c r="E288" t="s">
        <v>7151</v>
      </c>
      <c r="F288" t="s">
        <v>18230</v>
      </c>
      <c r="G288" t="s">
        <v>18231</v>
      </c>
      <c r="H288" t="s">
        <v>13311</v>
      </c>
      <c r="I288" t="s">
        <v>1922</v>
      </c>
      <c r="J288" s="4">
        <v>588.9491957066798</v>
      </c>
      <c r="Q288" t="s">
        <v>20286</v>
      </c>
    </row>
    <row r="289" spans="1:17">
      <c r="A289" t="s">
        <v>18229</v>
      </c>
      <c r="B289" t="s">
        <v>20252</v>
      </c>
      <c r="C289" t="s">
        <v>13282</v>
      </c>
      <c r="D289" t="s">
        <v>16721</v>
      </c>
      <c r="E289" t="s">
        <v>7160</v>
      </c>
      <c r="F289" t="s">
        <v>18230</v>
      </c>
      <c r="G289" t="s">
        <v>18231</v>
      </c>
      <c r="H289" t="s">
        <v>13311</v>
      </c>
      <c r="I289" t="s">
        <v>1922</v>
      </c>
      <c r="J289" s="4">
        <v>637.08178827750544</v>
      </c>
      <c r="Q289" t="s">
        <v>20286</v>
      </c>
    </row>
    <row r="290" spans="1:17">
      <c r="A290" t="s">
        <v>18229</v>
      </c>
      <c r="B290" t="s">
        <v>20252</v>
      </c>
      <c r="C290" t="s">
        <v>13282</v>
      </c>
      <c r="D290" t="s">
        <v>16721</v>
      </c>
      <c r="E290" t="s">
        <v>7193</v>
      </c>
      <c r="F290" t="s">
        <v>18230</v>
      </c>
      <c r="G290" t="s">
        <v>18231</v>
      </c>
      <c r="H290" t="s">
        <v>13311</v>
      </c>
      <c r="I290" t="s">
        <v>1922</v>
      </c>
      <c r="J290" s="4">
        <v>974.63277403280199</v>
      </c>
      <c r="Q290" t="s">
        <v>20286</v>
      </c>
    </row>
    <row r="291" spans="1:17">
      <c r="A291" t="s">
        <v>18229</v>
      </c>
      <c r="B291" t="s">
        <v>20252</v>
      </c>
      <c r="C291" t="s">
        <v>13282</v>
      </c>
      <c r="D291" t="s">
        <v>16721</v>
      </c>
      <c r="E291" t="s">
        <v>7196</v>
      </c>
      <c r="F291" t="s">
        <v>18230</v>
      </c>
      <c r="G291" t="s">
        <v>18231</v>
      </c>
      <c r="H291" t="s">
        <v>13311</v>
      </c>
      <c r="I291" t="s">
        <v>1922</v>
      </c>
      <c r="J291" s="4">
        <v>835.29893810421902</v>
      </c>
      <c r="Q291" t="s">
        <v>20286</v>
      </c>
    </row>
    <row r="292" spans="1:17">
      <c r="A292" t="s">
        <v>18229</v>
      </c>
      <c r="B292" t="s">
        <v>20252</v>
      </c>
      <c r="C292" t="s">
        <v>13282</v>
      </c>
      <c r="D292" t="s">
        <v>16721</v>
      </c>
      <c r="E292" t="s">
        <v>7235</v>
      </c>
      <c r="F292" t="s">
        <v>18230</v>
      </c>
      <c r="G292" t="s">
        <v>18231</v>
      </c>
      <c r="H292" t="s">
        <v>13311</v>
      </c>
      <c r="I292" t="s">
        <v>1922</v>
      </c>
      <c r="J292" s="4">
        <v>2528.6980922914745</v>
      </c>
      <c r="Q292" t="s">
        <v>20286</v>
      </c>
    </row>
    <row r="293" spans="1:17">
      <c r="A293" t="s">
        <v>18229</v>
      </c>
      <c r="B293" t="s">
        <v>20252</v>
      </c>
      <c r="C293" t="s">
        <v>13311</v>
      </c>
      <c r="D293" t="s">
        <v>16721</v>
      </c>
      <c r="E293" t="s">
        <v>5183</v>
      </c>
      <c r="F293" t="s">
        <v>18230</v>
      </c>
      <c r="G293" t="s">
        <v>18231</v>
      </c>
      <c r="H293" t="s">
        <v>18232</v>
      </c>
      <c r="I293" t="s">
        <v>1922</v>
      </c>
      <c r="J293" s="4">
        <v>11022.653840532534</v>
      </c>
      <c r="Q293" t="s">
        <v>20286</v>
      </c>
    </row>
    <row r="294" spans="1:17">
      <c r="A294" t="s">
        <v>18229</v>
      </c>
      <c r="B294" t="s">
        <v>20252</v>
      </c>
      <c r="C294" t="s">
        <v>13311</v>
      </c>
      <c r="D294" t="s">
        <v>16721</v>
      </c>
      <c r="E294" t="s">
        <v>3733</v>
      </c>
      <c r="F294" t="s">
        <v>18230</v>
      </c>
      <c r="G294" t="s">
        <v>18231</v>
      </c>
      <c r="H294" t="s">
        <v>18232</v>
      </c>
      <c r="I294" t="s">
        <v>1922</v>
      </c>
      <c r="J294" s="4">
        <v>10371.529188484565</v>
      </c>
      <c r="Q294" t="s">
        <v>20286</v>
      </c>
    </row>
    <row r="295" spans="1:17">
      <c r="A295" t="s">
        <v>18229</v>
      </c>
      <c r="B295" t="s">
        <v>20252</v>
      </c>
      <c r="C295" t="s">
        <v>13311</v>
      </c>
      <c r="D295" t="s">
        <v>16721</v>
      </c>
      <c r="E295" t="s">
        <v>3736</v>
      </c>
      <c r="F295" t="s">
        <v>18230</v>
      </c>
      <c r="G295" t="s">
        <v>18231</v>
      </c>
      <c r="H295" t="s">
        <v>18232</v>
      </c>
      <c r="I295" t="s">
        <v>1922</v>
      </c>
      <c r="J295" s="4">
        <v>8788.3800548467352</v>
      </c>
      <c r="Q295" t="s">
        <v>20286</v>
      </c>
    </row>
    <row r="296" spans="1:17">
      <c r="A296" t="s">
        <v>18229</v>
      </c>
      <c r="B296" t="s">
        <v>20252</v>
      </c>
      <c r="C296" t="s">
        <v>13311</v>
      </c>
      <c r="D296" t="s">
        <v>16721</v>
      </c>
      <c r="E296" t="s">
        <v>3739</v>
      </c>
      <c r="F296" t="s">
        <v>18230</v>
      </c>
      <c r="G296" t="s">
        <v>18231</v>
      </c>
      <c r="H296" t="s">
        <v>18232</v>
      </c>
      <c r="I296" t="s">
        <v>1922</v>
      </c>
      <c r="J296" s="4">
        <v>10138.970853619174</v>
      </c>
      <c r="Q296" t="s">
        <v>20286</v>
      </c>
    </row>
    <row r="297" spans="1:17">
      <c r="A297" t="s">
        <v>18229</v>
      </c>
      <c r="B297" t="s">
        <v>20252</v>
      </c>
      <c r="C297" t="s">
        <v>13311</v>
      </c>
      <c r="D297" t="s">
        <v>16721</v>
      </c>
      <c r="E297" t="s">
        <v>3742</v>
      </c>
      <c r="F297" t="s">
        <v>18230</v>
      </c>
      <c r="G297" t="s">
        <v>18231</v>
      </c>
      <c r="H297" t="s">
        <v>18232</v>
      </c>
      <c r="I297" t="s">
        <v>1922</v>
      </c>
      <c r="J297" s="4">
        <v>5017.8750010350022</v>
      </c>
      <c r="Q297" t="s">
        <v>20286</v>
      </c>
    </row>
    <row r="298" spans="1:17">
      <c r="A298" t="s">
        <v>18229</v>
      </c>
      <c r="B298" t="s">
        <v>20252</v>
      </c>
      <c r="C298" t="s">
        <v>13311</v>
      </c>
      <c r="D298" t="s">
        <v>16721</v>
      </c>
      <c r="E298" t="s">
        <v>6523</v>
      </c>
      <c r="F298" t="s">
        <v>18230</v>
      </c>
      <c r="G298" t="s">
        <v>18231</v>
      </c>
      <c r="H298" t="s">
        <v>18232</v>
      </c>
      <c r="I298" t="s">
        <v>1922</v>
      </c>
      <c r="J298" s="4">
        <v>12204.420789458416</v>
      </c>
      <c r="Q298" t="s">
        <v>20286</v>
      </c>
    </row>
    <row r="299" spans="1:17">
      <c r="A299" t="s">
        <v>18229</v>
      </c>
      <c r="B299" t="s">
        <v>20252</v>
      </c>
      <c r="C299" t="s">
        <v>13311</v>
      </c>
      <c r="D299" t="s">
        <v>16721</v>
      </c>
      <c r="E299" t="s">
        <v>6595</v>
      </c>
      <c r="F299" t="s">
        <v>18230</v>
      </c>
      <c r="G299" t="s">
        <v>18231</v>
      </c>
      <c r="H299" t="s">
        <v>18232</v>
      </c>
      <c r="I299" t="s">
        <v>1922</v>
      </c>
      <c r="J299" s="4">
        <v>10300.080799785756</v>
      </c>
      <c r="Q299" t="s">
        <v>20286</v>
      </c>
    </row>
    <row r="300" spans="1:17">
      <c r="A300" t="s">
        <v>18229</v>
      </c>
      <c r="B300" t="s">
        <v>20252</v>
      </c>
      <c r="C300" t="s">
        <v>13311</v>
      </c>
      <c r="D300" t="s">
        <v>16721</v>
      </c>
      <c r="E300" t="s">
        <v>6598</v>
      </c>
      <c r="F300" t="s">
        <v>18230</v>
      </c>
      <c r="G300" t="s">
        <v>18231</v>
      </c>
      <c r="H300" t="s">
        <v>18232</v>
      </c>
      <c r="I300" t="s">
        <v>1922</v>
      </c>
      <c r="J300" s="4">
        <v>5363.9019963002393</v>
      </c>
      <c r="Q300" t="s">
        <v>20286</v>
      </c>
    </row>
    <row r="301" spans="1:17">
      <c r="A301" t="s">
        <v>18229</v>
      </c>
      <c r="B301" t="s">
        <v>20252</v>
      </c>
      <c r="C301" t="s">
        <v>13311</v>
      </c>
      <c r="D301" t="s">
        <v>16721</v>
      </c>
      <c r="E301" t="s">
        <v>6604</v>
      </c>
      <c r="F301" t="s">
        <v>18230</v>
      </c>
      <c r="G301" t="s">
        <v>18231</v>
      </c>
      <c r="H301" t="s">
        <v>18232</v>
      </c>
      <c r="I301" t="s">
        <v>1922</v>
      </c>
      <c r="J301" s="4">
        <v>19355.747230287812</v>
      </c>
      <c r="Q301" t="s">
        <v>20286</v>
      </c>
    </row>
    <row r="302" spans="1:17">
      <c r="A302" t="s">
        <v>18229</v>
      </c>
      <c r="B302" t="s">
        <v>20252</v>
      </c>
      <c r="C302" t="s">
        <v>13311</v>
      </c>
      <c r="D302" t="s">
        <v>16721</v>
      </c>
      <c r="E302" t="s">
        <v>6613</v>
      </c>
      <c r="F302" t="s">
        <v>18230</v>
      </c>
      <c r="G302" t="s">
        <v>18231</v>
      </c>
      <c r="H302" t="s">
        <v>18232</v>
      </c>
      <c r="I302" t="s">
        <v>1922</v>
      </c>
      <c r="J302" s="4">
        <v>6285.0519627223948</v>
      </c>
      <c r="Q302" t="s">
        <v>20286</v>
      </c>
    </row>
    <row r="303" spans="1:17">
      <c r="A303" t="s">
        <v>18229</v>
      </c>
      <c r="B303" t="s">
        <v>20252</v>
      </c>
      <c r="C303" t="s">
        <v>13311</v>
      </c>
      <c r="D303" t="s">
        <v>16721</v>
      </c>
      <c r="E303" t="s">
        <v>6823</v>
      </c>
      <c r="F303" t="s">
        <v>18230</v>
      </c>
      <c r="G303" t="s">
        <v>18231</v>
      </c>
      <c r="H303" t="s">
        <v>18232</v>
      </c>
      <c r="I303" t="s">
        <v>1922</v>
      </c>
      <c r="J303" s="4">
        <v>21234.833276518719</v>
      </c>
      <c r="Q303" t="s">
        <v>20286</v>
      </c>
    </row>
    <row r="304" spans="1:17">
      <c r="A304" t="s">
        <v>18229</v>
      </c>
      <c r="B304" t="s">
        <v>20252</v>
      </c>
      <c r="C304" t="s">
        <v>13311</v>
      </c>
      <c r="D304" t="s">
        <v>16721</v>
      </c>
      <c r="E304" t="s">
        <v>6622</v>
      </c>
      <c r="F304" t="s">
        <v>18230</v>
      </c>
      <c r="G304" t="s">
        <v>18231</v>
      </c>
      <c r="H304" t="s">
        <v>18232</v>
      </c>
      <c r="I304" t="s">
        <v>1922</v>
      </c>
      <c r="J304" s="4">
        <v>4307.2209859843124</v>
      </c>
      <c r="Q304" t="s">
        <v>20286</v>
      </c>
    </row>
    <row r="305" spans="1:17">
      <c r="A305" t="s">
        <v>18229</v>
      </c>
      <c r="B305" t="s">
        <v>20252</v>
      </c>
      <c r="C305" t="s">
        <v>13311</v>
      </c>
      <c r="D305" t="s">
        <v>16721</v>
      </c>
      <c r="E305" t="s">
        <v>6625</v>
      </c>
      <c r="F305" t="s">
        <v>18230</v>
      </c>
      <c r="G305" t="s">
        <v>18231</v>
      </c>
      <c r="H305" t="s">
        <v>18232</v>
      </c>
      <c r="I305" t="s">
        <v>1922</v>
      </c>
      <c r="J305" s="4">
        <v>29496.327403832194</v>
      </c>
      <c r="Q305" t="s">
        <v>20286</v>
      </c>
    </row>
    <row r="306" spans="1:17">
      <c r="A306" t="s">
        <v>18229</v>
      </c>
      <c r="B306" t="s">
        <v>20252</v>
      </c>
      <c r="C306" t="s">
        <v>13311</v>
      </c>
      <c r="D306" t="s">
        <v>16721</v>
      </c>
      <c r="E306" t="s">
        <v>6628</v>
      </c>
      <c r="F306" t="s">
        <v>18230</v>
      </c>
      <c r="G306" t="s">
        <v>18231</v>
      </c>
      <c r="H306" t="s">
        <v>18232</v>
      </c>
      <c r="I306" t="s">
        <v>1922</v>
      </c>
      <c r="J306" s="4">
        <v>13197.730959161685</v>
      </c>
      <c r="Q306" t="s">
        <v>20286</v>
      </c>
    </row>
    <row r="307" spans="1:17">
      <c r="A307" t="s">
        <v>18229</v>
      </c>
      <c r="B307" t="s">
        <v>20252</v>
      </c>
      <c r="C307" t="s">
        <v>13311</v>
      </c>
      <c r="D307" t="s">
        <v>16721</v>
      </c>
      <c r="E307" t="s">
        <v>6634</v>
      </c>
      <c r="F307" t="s">
        <v>18230</v>
      </c>
      <c r="G307" t="s">
        <v>18231</v>
      </c>
      <c r="H307" t="s">
        <v>18232</v>
      </c>
      <c r="I307" t="s">
        <v>1922</v>
      </c>
      <c r="J307" s="4">
        <v>7780.2649155430381</v>
      </c>
      <c r="Q307" t="s">
        <v>20286</v>
      </c>
    </row>
    <row r="308" spans="1:17">
      <c r="A308" t="s">
        <v>18229</v>
      </c>
      <c r="B308" t="s">
        <v>20252</v>
      </c>
      <c r="C308" t="s">
        <v>13311</v>
      </c>
      <c r="D308" t="s">
        <v>16721</v>
      </c>
      <c r="E308" t="s">
        <v>6637</v>
      </c>
      <c r="F308" t="s">
        <v>18230</v>
      </c>
      <c r="G308" t="s">
        <v>18231</v>
      </c>
      <c r="H308" t="s">
        <v>18232</v>
      </c>
      <c r="I308" t="s">
        <v>1922</v>
      </c>
      <c r="J308" s="4">
        <v>71475.05853430026</v>
      </c>
      <c r="Q308" t="s">
        <v>20286</v>
      </c>
    </row>
    <row r="309" spans="1:17">
      <c r="A309" t="s">
        <v>18229</v>
      </c>
      <c r="B309" t="s">
        <v>20252</v>
      </c>
      <c r="C309" t="s">
        <v>13311</v>
      </c>
      <c r="D309" t="s">
        <v>16721</v>
      </c>
      <c r="E309" t="s">
        <v>6640</v>
      </c>
      <c r="F309" t="s">
        <v>18230</v>
      </c>
      <c r="G309" t="s">
        <v>18231</v>
      </c>
      <c r="H309" t="s">
        <v>18232</v>
      </c>
      <c r="I309" t="s">
        <v>1922</v>
      </c>
      <c r="J309" s="4">
        <v>2931.3685066550906</v>
      </c>
      <c r="Q309" t="s">
        <v>20286</v>
      </c>
    </row>
    <row r="310" spans="1:17">
      <c r="A310" t="s">
        <v>18229</v>
      </c>
      <c r="B310" t="s">
        <v>20252</v>
      </c>
      <c r="C310" t="s">
        <v>13311</v>
      </c>
      <c r="D310" t="s">
        <v>16721</v>
      </c>
      <c r="E310" t="s">
        <v>6652</v>
      </c>
      <c r="F310" t="s">
        <v>18230</v>
      </c>
      <c r="G310" t="s">
        <v>18231</v>
      </c>
      <c r="H310" t="s">
        <v>18232</v>
      </c>
      <c r="I310" t="s">
        <v>1922</v>
      </c>
      <c r="J310" s="4">
        <v>12099.033545702234</v>
      </c>
      <c r="Q310" t="s">
        <v>20286</v>
      </c>
    </row>
    <row r="311" spans="1:17">
      <c r="A311" t="s">
        <v>18229</v>
      </c>
      <c r="B311" t="s">
        <v>20252</v>
      </c>
      <c r="C311" t="s">
        <v>13311</v>
      </c>
      <c r="D311" t="s">
        <v>16721</v>
      </c>
      <c r="E311" t="s">
        <v>6679</v>
      </c>
      <c r="F311" t="s">
        <v>18230</v>
      </c>
      <c r="G311" t="s">
        <v>18231</v>
      </c>
      <c r="H311" t="s">
        <v>18232</v>
      </c>
      <c r="I311" t="s">
        <v>1922</v>
      </c>
      <c r="J311" s="4">
        <v>8913.4273078815677</v>
      </c>
      <c r="Q311" t="s">
        <v>20286</v>
      </c>
    </row>
    <row r="312" spans="1:17">
      <c r="A312" t="s">
        <v>18229</v>
      </c>
      <c r="B312" t="s">
        <v>20252</v>
      </c>
      <c r="C312" t="s">
        <v>13311</v>
      </c>
      <c r="D312" t="s">
        <v>16721</v>
      </c>
      <c r="E312" t="s">
        <v>6682</v>
      </c>
      <c r="F312" t="s">
        <v>18230</v>
      </c>
      <c r="G312" t="s">
        <v>18231</v>
      </c>
      <c r="H312" t="s">
        <v>18232</v>
      </c>
      <c r="I312" t="s">
        <v>1922</v>
      </c>
      <c r="J312" s="4">
        <v>42265.487956083918</v>
      </c>
      <c r="Q312" t="s">
        <v>20286</v>
      </c>
    </row>
    <row r="313" spans="1:17">
      <c r="A313" t="s">
        <v>18229</v>
      </c>
      <c r="B313" t="s">
        <v>20252</v>
      </c>
      <c r="C313" t="s">
        <v>13311</v>
      </c>
      <c r="D313" t="s">
        <v>16721</v>
      </c>
      <c r="E313" t="s">
        <v>6021</v>
      </c>
      <c r="F313" t="s">
        <v>18230</v>
      </c>
      <c r="G313" t="s">
        <v>18231</v>
      </c>
      <c r="H313" t="s">
        <v>18232</v>
      </c>
      <c r="I313" t="s">
        <v>1922</v>
      </c>
      <c r="J313" s="4">
        <v>57921.164959190522</v>
      </c>
      <c r="Q313" t="s">
        <v>20286</v>
      </c>
    </row>
    <row r="314" spans="1:17">
      <c r="A314" t="s">
        <v>18229</v>
      </c>
      <c r="B314" t="s">
        <v>20252</v>
      </c>
      <c r="C314" t="s">
        <v>13311</v>
      </c>
      <c r="D314" t="s">
        <v>16721</v>
      </c>
      <c r="E314" t="s">
        <v>6688</v>
      </c>
      <c r="F314" t="s">
        <v>18230</v>
      </c>
      <c r="G314" t="s">
        <v>18231</v>
      </c>
      <c r="H314" t="s">
        <v>18232</v>
      </c>
      <c r="I314" t="s">
        <v>1922</v>
      </c>
      <c r="J314" s="4">
        <v>8778.8556662509018</v>
      </c>
      <c r="Q314" t="s">
        <v>20286</v>
      </c>
    </row>
    <row r="315" spans="1:17">
      <c r="A315" t="s">
        <v>18229</v>
      </c>
      <c r="B315" t="s">
        <v>20252</v>
      </c>
      <c r="C315" t="s">
        <v>13311</v>
      </c>
      <c r="D315" t="s">
        <v>16721</v>
      </c>
      <c r="E315" t="s">
        <v>6691</v>
      </c>
      <c r="F315" t="s">
        <v>18230</v>
      </c>
      <c r="G315" t="s">
        <v>18231</v>
      </c>
      <c r="H315" t="s">
        <v>18232</v>
      </c>
      <c r="I315" t="s">
        <v>1922</v>
      </c>
      <c r="J315" s="4">
        <v>58147.630315973685</v>
      </c>
      <c r="Q315" t="s">
        <v>20286</v>
      </c>
    </row>
    <row r="316" spans="1:17">
      <c r="A316" t="s">
        <v>18229</v>
      </c>
      <c r="B316" t="s">
        <v>20252</v>
      </c>
      <c r="C316" t="s">
        <v>13311</v>
      </c>
      <c r="D316" t="s">
        <v>16721</v>
      </c>
      <c r="E316" t="s">
        <v>6697</v>
      </c>
      <c r="F316" t="s">
        <v>18230</v>
      </c>
      <c r="G316" t="s">
        <v>18231</v>
      </c>
      <c r="H316" t="s">
        <v>18232</v>
      </c>
      <c r="I316" t="s">
        <v>1922</v>
      </c>
      <c r="J316" s="4">
        <v>9045.5230727042162</v>
      </c>
      <c r="Q316" t="s">
        <v>20286</v>
      </c>
    </row>
    <row r="317" spans="1:17">
      <c r="A317" t="s">
        <v>18229</v>
      </c>
      <c r="B317" t="s">
        <v>20252</v>
      </c>
      <c r="C317" t="s">
        <v>13311</v>
      </c>
      <c r="D317" t="s">
        <v>16721</v>
      </c>
      <c r="E317" t="s">
        <v>6700</v>
      </c>
      <c r="F317" t="s">
        <v>18230</v>
      </c>
      <c r="G317" t="s">
        <v>18231</v>
      </c>
      <c r="H317" t="s">
        <v>18232</v>
      </c>
      <c r="I317" t="s">
        <v>1922</v>
      </c>
      <c r="J317" s="4">
        <v>6253.616064375623</v>
      </c>
      <c r="Q317" t="s">
        <v>20286</v>
      </c>
    </row>
    <row r="318" spans="1:17">
      <c r="A318" t="s">
        <v>18229</v>
      </c>
      <c r="B318" t="s">
        <v>20252</v>
      </c>
      <c r="C318" t="s">
        <v>13311</v>
      </c>
      <c r="D318" t="s">
        <v>16721</v>
      </c>
      <c r="E318" t="s">
        <v>6703</v>
      </c>
      <c r="F318" t="s">
        <v>18230</v>
      </c>
      <c r="G318" t="s">
        <v>18231</v>
      </c>
      <c r="H318" t="s">
        <v>18232</v>
      </c>
      <c r="I318" t="s">
        <v>1922</v>
      </c>
      <c r="J318" s="4">
        <v>6464.9669669573559</v>
      </c>
      <c r="Q318" t="s">
        <v>20286</v>
      </c>
    </row>
    <row r="319" spans="1:17">
      <c r="A319" t="s">
        <v>18229</v>
      </c>
      <c r="B319" t="s">
        <v>20252</v>
      </c>
      <c r="C319" t="s">
        <v>13311</v>
      </c>
      <c r="D319" t="s">
        <v>16721</v>
      </c>
      <c r="E319" t="s">
        <v>18183</v>
      </c>
      <c r="F319" t="s">
        <v>18230</v>
      </c>
      <c r="G319" t="s">
        <v>18231</v>
      </c>
      <c r="H319" t="s">
        <v>18232</v>
      </c>
      <c r="I319" t="s">
        <v>1922</v>
      </c>
      <c r="J319" s="4">
        <v>16691.108027006238</v>
      </c>
      <c r="Q319" t="s">
        <v>20286</v>
      </c>
    </row>
    <row r="320" spans="1:17">
      <c r="A320" t="s">
        <v>18229</v>
      </c>
      <c r="B320" t="s">
        <v>20252</v>
      </c>
      <c r="C320" t="s">
        <v>13311</v>
      </c>
      <c r="D320" t="s">
        <v>16721</v>
      </c>
      <c r="E320" t="s">
        <v>6721</v>
      </c>
      <c r="F320" t="s">
        <v>18230</v>
      </c>
      <c r="G320" t="s">
        <v>18231</v>
      </c>
      <c r="H320" t="s">
        <v>18232</v>
      </c>
      <c r="I320" t="s">
        <v>1922</v>
      </c>
      <c r="J320" s="4">
        <v>36305.503144023904</v>
      </c>
      <c r="Q320" t="s">
        <v>20286</v>
      </c>
    </row>
    <row r="321" spans="1:17">
      <c r="A321" t="s">
        <v>18229</v>
      </c>
      <c r="B321" t="s">
        <v>20252</v>
      </c>
      <c r="C321" t="s">
        <v>13311</v>
      </c>
      <c r="D321" t="s">
        <v>16721</v>
      </c>
      <c r="E321" t="s">
        <v>6724</v>
      </c>
      <c r="F321" t="s">
        <v>18230</v>
      </c>
      <c r="G321" t="s">
        <v>18231</v>
      </c>
      <c r="H321" t="s">
        <v>18232</v>
      </c>
      <c r="I321" t="s">
        <v>1922</v>
      </c>
      <c r="J321" s="4">
        <v>15096.202347087847</v>
      </c>
      <c r="Q321" t="s">
        <v>20286</v>
      </c>
    </row>
    <row r="322" spans="1:17">
      <c r="A322" t="s">
        <v>18229</v>
      </c>
      <c r="B322" t="s">
        <v>20252</v>
      </c>
      <c r="C322" t="s">
        <v>13311</v>
      </c>
      <c r="D322" t="s">
        <v>16721</v>
      </c>
      <c r="E322" t="s">
        <v>6094</v>
      </c>
      <c r="F322" t="s">
        <v>18230</v>
      </c>
      <c r="G322" t="s">
        <v>18231</v>
      </c>
      <c r="H322" t="s">
        <v>18232</v>
      </c>
      <c r="I322" t="s">
        <v>1922</v>
      </c>
      <c r="J322" s="4">
        <v>3370.7167147949481</v>
      </c>
      <c r="Q322" t="s">
        <v>20286</v>
      </c>
    </row>
    <row r="323" spans="1:17">
      <c r="A323" t="s">
        <v>18229</v>
      </c>
      <c r="B323" t="s">
        <v>20252</v>
      </c>
      <c r="C323" t="s">
        <v>13311</v>
      </c>
      <c r="D323" t="s">
        <v>16721</v>
      </c>
      <c r="E323" t="s">
        <v>6736</v>
      </c>
      <c r="F323" t="s">
        <v>18230</v>
      </c>
      <c r="G323" t="s">
        <v>18231</v>
      </c>
      <c r="H323" t="s">
        <v>18232</v>
      </c>
      <c r="I323" t="s">
        <v>1922</v>
      </c>
      <c r="J323" s="4">
        <v>24047.054080345573</v>
      </c>
      <c r="Q323" t="s">
        <v>20286</v>
      </c>
    </row>
    <row r="324" spans="1:17">
      <c r="A324" t="s">
        <v>18229</v>
      </c>
      <c r="B324" t="s">
        <v>20252</v>
      </c>
      <c r="C324" t="s">
        <v>13311</v>
      </c>
      <c r="D324" t="s">
        <v>16721</v>
      </c>
      <c r="E324" t="s">
        <v>6358</v>
      </c>
      <c r="F324" t="s">
        <v>18230</v>
      </c>
      <c r="G324" t="s">
        <v>18231</v>
      </c>
      <c r="H324" t="s">
        <v>18232</v>
      </c>
      <c r="I324" t="s">
        <v>1922</v>
      </c>
      <c r="J324" s="4">
        <v>7968.8300143760034</v>
      </c>
      <c r="Q324" t="s">
        <v>20286</v>
      </c>
    </row>
    <row r="325" spans="1:17">
      <c r="A325" t="s">
        <v>18229</v>
      </c>
      <c r="B325" t="s">
        <v>20252</v>
      </c>
      <c r="C325" t="s">
        <v>13311</v>
      </c>
      <c r="D325" t="s">
        <v>16721</v>
      </c>
      <c r="E325" t="s">
        <v>6631</v>
      </c>
      <c r="F325" t="s">
        <v>18230</v>
      </c>
      <c r="G325" t="s">
        <v>18231</v>
      </c>
      <c r="H325" t="s">
        <v>18232</v>
      </c>
      <c r="I325" t="s">
        <v>1922</v>
      </c>
      <c r="J325" s="4">
        <v>5171.1743295837978</v>
      </c>
      <c r="Q325" t="s">
        <v>20286</v>
      </c>
    </row>
    <row r="326" spans="1:17">
      <c r="A326" t="s">
        <v>18229</v>
      </c>
      <c r="B326" t="s">
        <v>20252</v>
      </c>
      <c r="C326" t="s">
        <v>13311</v>
      </c>
      <c r="D326" t="s">
        <v>16721</v>
      </c>
      <c r="E326" t="s">
        <v>6709</v>
      </c>
      <c r="F326" t="s">
        <v>18230</v>
      </c>
      <c r="G326" t="s">
        <v>18231</v>
      </c>
      <c r="H326" t="s">
        <v>18232</v>
      </c>
      <c r="I326" t="s">
        <v>1922</v>
      </c>
      <c r="J326" s="4">
        <v>7373.1301858099669</v>
      </c>
      <c r="Q326" t="s">
        <v>20286</v>
      </c>
    </row>
    <row r="327" spans="1:17">
      <c r="A327" t="s">
        <v>18229</v>
      </c>
      <c r="B327" t="s">
        <v>20252</v>
      </c>
      <c r="C327" t="s">
        <v>13311</v>
      </c>
      <c r="D327" t="s">
        <v>16721</v>
      </c>
      <c r="E327" t="s">
        <v>6727</v>
      </c>
      <c r="F327" t="s">
        <v>18230</v>
      </c>
      <c r="G327" t="s">
        <v>18231</v>
      </c>
      <c r="H327" t="s">
        <v>18232</v>
      </c>
      <c r="I327" t="s">
        <v>1922</v>
      </c>
      <c r="J327" s="4">
        <v>6535.4211363754457</v>
      </c>
      <c r="Q327" t="s">
        <v>20286</v>
      </c>
    </row>
    <row r="328" spans="1:17">
      <c r="A328" t="s">
        <v>18229</v>
      </c>
      <c r="B328" t="s">
        <v>20252</v>
      </c>
      <c r="C328" t="s">
        <v>13311</v>
      </c>
      <c r="D328" t="s">
        <v>16721</v>
      </c>
      <c r="E328" t="s">
        <v>6739</v>
      </c>
      <c r="F328" t="s">
        <v>18230</v>
      </c>
      <c r="G328" t="s">
        <v>18231</v>
      </c>
      <c r="H328" t="s">
        <v>18232</v>
      </c>
      <c r="I328" t="s">
        <v>1922</v>
      </c>
      <c r="J328" s="4">
        <v>9941.0477141634146</v>
      </c>
      <c r="Q328" t="s">
        <v>20286</v>
      </c>
    </row>
    <row r="329" spans="1:17">
      <c r="A329" t="s">
        <v>18229</v>
      </c>
      <c r="B329" t="s">
        <v>20252</v>
      </c>
      <c r="C329" t="s">
        <v>13311</v>
      </c>
      <c r="D329" t="s">
        <v>16721</v>
      </c>
      <c r="E329" t="s">
        <v>6118</v>
      </c>
      <c r="F329" t="s">
        <v>18230</v>
      </c>
      <c r="G329" t="s">
        <v>18231</v>
      </c>
      <c r="H329" t="s">
        <v>18232</v>
      </c>
      <c r="I329" t="s">
        <v>1922</v>
      </c>
      <c r="J329" s="4">
        <v>5272.05470383789</v>
      </c>
      <c r="Q329" t="s">
        <v>20286</v>
      </c>
    </row>
    <row r="330" spans="1:17">
      <c r="A330" t="s">
        <v>18229</v>
      </c>
      <c r="B330" t="s">
        <v>20252</v>
      </c>
      <c r="C330" t="s">
        <v>13311</v>
      </c>
      <c r="D330" t="s">
        <v>16721</v>
      </c>
      <c r="E330" t="s">
        <v>6754</v>
      </c>
      <c r="F330" t="s">
        <v>18230</v>
      </c>
      <c r="G330" t="s">
        <v>18231</v>
      </c>
      <c r="H330" t="s">
        <v>18232</v>
      </c>
      <c r="I330" t="s">
        <v>1922</v>
      </c>
      <c r="J330" s="4">
        <v>9871.7695862291293</v>
      </c>
      <c r="Q330" t="s">
        <v>20286</v>
      </c>
    </row>
    <row r="331" spans="1:17">
      <c r="A331" t="s">
        <v>18229</v>
      </c>
      <c r="B331" t="s">
        <v>20252</v>
      </c>
      <c r="C331" t="s">
        <v>13311</v>
      </c>
      <c r="D331" t="s">
        <v>16721</v>
      </c>
      <c r="E331" t="s">
        <v>6775</v>
      </c>
      <c r="F331" t="s">
        <v>18230</v>
      </c>
      <c r="G331" t="s">
        <v>18231</v>
      </c>
      <c r="H331" t="s">
        <v>18232</v>
      </c>
      <c r="I331" t="s">
        <v>1922</v>
      </c>
      <c r="J331" s="4">
        <v>27044.934696313492</v>
      </c>
      <c r="Q331" t="s">
        <v>20286</v>
      </c>
    </row>
    <row r="332" spans="1:17">
      <c r="A332" t="s">
        <v>18229</v>
      </c>
      <c r="B332" t="s">
        <v>20252</v>
      </c>
      <c r="C332" t="s">
        <v>13311</v>
      </c>
      <c r="D332" t="s">
        <v>16721</v>
      </c>
      <c r="E332" t="s">
        <v>5374</v>
      </c>
      <c r="F332" t="s">
        <v>18230</v>
      </c>
      <c r="G332" t="s">
        <v>18231</v>
      </c>
      <c r="H332" t="s">
        <v>18232</v>
      </c>
      <c r="I332" t="s">
        <v>1922</v>
      </c>
      <c r="J332" s="4">
        <v>4915.0448737945972</v>
      </c>
      <c r="Q332" t="s">
        <v>20286</v>
      </c>
    </row>
    <row r="333" spans="1:17">
      <c r="A333" t="s">
        <v>18229</v>
      </c>
      <c r="B333" t="s">
        <v>20252</v>
      </c>
      <c r="C333" t="s">
        <v>13311</v>
      </c>
      <c r="D333" t="s">
        <v>16721</v>
      </c>
      <c r="E333" t="s">
        <v>5389</v>
      </c>
      <c r="F333" t="s">
        <v>18230</v>
      </c>
      <c r="G333" t="s">
        <v>18231</v>
      </c>
      <c r="H333" t="s">
        <v>18232</v>
      </c>
      <c r="I333" t="s">
        <v>1922</v>
      </c>
      <c r="J333" s="4">
        <v>4609.01876320886</v>
      </c>
      <c r="Q333" t="s">
        <v>20286</v>
      </c>
    </row>
    <row r="334" spans="1:17">
      <c r="A334" t="s">
        <v>18229</v>
      </c>
      <c r="B334" t="s">
        <v>20252</v>
      </c>
      <c r="C334" t="s">
        <v>13311</v>
      </c>
      <c r="D334" t="s">
        <v>16721</v>
      </c>
      <c r="E334" t="s">
        <v>5398</v>
      </c>
      <c r="F334" t="s">
        <v>18230</v>
      </c>
      <c r="G334" t="s">
        <v>18231</v>
      </c>
      <c r="H334" t="s">
        <v>18232</v>
      </c>
      <c r="I334" t="s">
        <v>1922</v>
      </c>
      <c r="J334" s="4">
        <v>95147.578219070798</v>
      </c>
      <c r="Q334" t="s">
        <v>20286</v>
      </c>
    </row>
    <row r="335" spans="1:17">
      <c r="A335" t="s">
        <v>18229</v>
      </c>
      <c r="B335" t="s">
        <v>20252</v>
      </c>
      <c r="C335" t="s">
        <v>13311</v>
      </c>
      <c r="D335" t="s">
        <v>16721</v>
      </c>
      <c r="E335" t="s">
        <v>5407</v>
      </c>
      <c r="F335" t="s">
        <v>18230</v>
      </c>
      <c r="G335" t="s">
        <v>18231</v>
      </c>
      <c r="H335" t="s">
        <v>18232</v>
      </c>
      <c r="I335" t="s">
        <v>1922</v>
      </c>
      <c r="J335" s="4">
        <v>5431.7178094947876</v>
      </c>
      <c r="Q335" t="s">
        <v>20286</v>
      </c>
    </row>
    <row r="336" spans="1:17">
      <c r="A336" t="s">
        <v>18229</v>
      </c>
      <c r="B336" t="s">
        <v>20252</v>
      </c>
      <c r="C336" t="s">
        <v>13311</v>
      </c>
      <c r="D336" t="s">
        <v>16721</v>
      </c>
      <c r="E336" t="s">
        <v>6844</v>
      </c>
      <c r="F336" t="s">
        <v>18230</v>
      </c>
      <c r="G336" t="s">
        <v>18231</v>
      </c>
      <c r="H336" t="s">
        <v>18232</v>
      </c>
      <c r="I336" t="s">
        <v>1922</v>
      </c>
      <c r="J336" s="4">
        <v>19740.100024829622</v>
      </c>
      <c r="Q336" t="s">
        <v>20286</v>
      </c>
    </row>
    <row r="337" spans="1:17">
      <c r="A337" t="s">
        <v>18229</v>
      </c>
      <c r="B337" t="s">
        <v>20252</v>
      </c>
      <c r="C337" t="s">
        <v>13311</v>
      </c>
      <c r="D337" t="s">
        <v>16721</v>
      </c>
      <c r="E337" t="s">
        <v>5971</v>
      </c>
      <c r="F337" t="s">
        <v>18230</v>
      </c>
      <c r="G337" t="s">
        <v>18231</v>
      </c>
      <c r="H337" t="s">
        <v>18232</v>
      </c>
      <c r="I337" t="s">
        <v>1922</v>
      </c>
      <c r="J337" s="4">
        <v>31143.988602548878</v>
      </c>
      <c r="Q337" t="s">
        <v>20286</v>
      </c>
    </row>
    <row r="338" spans="1:17">
      <c r="A338" t="s">
        <v>18229</v>
      </c>
      <c r="B338" t="s">
        <v>20252</v>
      </c>
      <c r="C338" t="s">
        <v>13311</v>
      </c>
      <c r="D338" t="s">
        <v>16721</v>
      </c>
      <c r="E338" t="s">
        <v>5977</v>
      </c>
      <c r="F338" t="s">
        <v>18230</v>
      </c>
      <c r="G338" t="s">
        <v>18231</v>
      </c>
      <c r="H338" t="s">
        <v>18232</v>
      </c>
      <c r="I338" t="s">
        <v>1922</v>
      </c>
      <c r="J338" s="4">
        <v>12204.281521387966</v>
      </c>
      <c r="Q338" t="s">
        <v>20286</v>
      </c>
    </row>
    <row r="339" spans="1:17">
      <c r="A339" t="s">
        <v>18229</v>
      </c>
      <c r="B339" t="s">
        <v>20252</v>
      </c>
      <c r="C339" t="s">
        <v>13311</v>
      </c>
      <c r="D339" t="s">
        <v>16721</v>
      </c>
      <c r="E339" t="s">
        <v>5980</v>
      </c>
      <c r="F339" t="s">
        <v>18230</v>
      </c>
      <c r="G339" t="s">
        <v>18231</v>
      </c>
      <c r="H339" t="s">
        <v>18232</v>
      </c>
      <c r="I339" t="s">
        <v>1922</v>
      </c>
      <c r="J339" s="4">
        <v>8558.4794189924505</v>
      </c>
      <c r="Q339" t="s">
        <v>20286</v>
      </c>
    </row>
    <row r="340" spans="1:17">
      <c r="A340" t="s">
        <v>18229</v>
      </c>
      <c r="B340" t="s">
        <v>20252</v>
      </c>
      <c r="C340" t="s">
        <v>13311</v>
      </c>
      <c r="D340" t="s">
        <v>16721</v>
      </c>
      <c r="E340" t="s">
        <v>5983</v>
      </c>
      <c r="F340" t="s">
        <v>18230</v>
      </c>
      <c r="G340" t="s">
        <v>18231</v>
      </c>
      <c r="H340" t="s">
        <v>18232</v>
      </c>
      <c r="I340" t="s">
        <v>1922</v>
      </c>
      <c r="J340" s="4">
        <v>11336.045684622115</v>
      </c>
      <c r="Q340" t="s">
        <v>20286</v>
      </c>
    </row>
    <row r="341" spans="1:17">
      <c r="A341" t="s">
        <v>18229</v>
      </c>
      <c r="B341" t="s">
        <v>20252</v>
      </c>
      <c r="C341" t="s">
        <v>13311</v>
      </c>
      <c r="D341" t="s">
        <v>16721</v>
      </c>
      <c r="E341" t="s">
        <v>5989</v>
      </c>
      <c r="F341" t="s">
        <v>18230</v>
      </c>
      <c r="G341" t="s">
        <v>18231</v>
      </c>
      <c r="H341" t="s">
        <v>18232</v>
      </c>
      <c r="I341" t="s">
        <v>1922</v>
      </c>
      <c r="J341" s="4">
        <v>15901.492884567415</v>
      </c>
      <c r="Q341" t="s">
        <v>20286</v>
      </c>
    </row>
    <row r="342" spans="1:17">
      <c r="A342" t="s">
        <v>18229</v>
      </c>
      <c r="B342" t="s">
        <v>20252</v>
      </c>
      <c r="C342" t="s">
        <v>13311</v>
      </c>
      <c r="D342" t="s">
        <v>16721</v>
      </c>
      <c r="E342" t="s">
        <v>5992</v>
      </c>
      <c r="F342" t="s">
        <v>18230</v>
      </c>
      <c r="G342" t="s">
        <v>18231</v>
      </c>
      <c r="H342" t="s">
        <v>18232</v>
      </c>
      <c r="I342" t="s">
        <v>1922</v>
      </c>
      <c r="J342" s="4">
        <v>16015.479931673941</v>
      </c>
      <c r="Q342" t="s">
        <v>20286</v>
      </c>
    </row>
    <row r="343" spans="1:17">
      <c r="A343" t="s">
        <v>18229</v>
      </c>
      <c r="B343" t="s">
        <v>20252</v>
      </c>
      <c r="C343" t="s">
        <v>13311</v>
      </c>
      <c r="D343" t="s">
        <v>16721</v>
      </c>
      <c r="E343" t="s">
        <v>5995</v>
      </c>
      <c r="F343" t="s">
        <v>18230</v>
      </c>
      <c r="G343" t="s">
        <v>18231</v>
      </c>
      <c r="H343" t="s">
        <v>18232</v>
      </c>
      <c r="I343" t="s">
        <v>1922</v>
      </c>
      <c r="J343" s="4">
        <v>87075.349399500046</v>
      </c>
      <c r="Q343" t="s">
        <v>20286</v>
      </c>
    </row>
    <row r="344" spans="1:17">
      <c r="A344" t="s">
        <v>18229</v>
      </c>
      <c r="B344" t="s">
        <v>20252</v>
      </c>
      <c r="C344" t="s">
        <v>13311</v>
      </c>
      <c r="D344" t="s">
        <v>16721</v>
      </c>
      <c r="E344" t="s">
        <v>6004</v>
      </c>
      <c r="F344" t="s">
        <v>18230</v>
      </c>
      <c r="G344" t="s">
        <v>18231</v>
      </c>
      <c r="H344" t="s">
        <v>18232</v>
      </c>
      <c r="I344" t="s">
        <v>1922</v>
      </c>
      <c r="J344" s="4">
        <v>17471.365128822265</v>
      </c>
      <c r="Q344" t="s">
        <v>20286</v>
      </c>
    </row>
    <row r="345" spans="1:17">
      <c r="A345" t="s">
        <v>18229</v>
      </c>
      <c r="B345" t="s">
        <v>20252</v>
      </c>
      <c r="C345" t="s">
        <v>13311</v>
      </c>
      <c r="D345" t="s">
        <v>16721</v>
      </c>
      <c r="E345" t="s">
        <v>6001</v>
      </c>
      <c r="F345" t="s">
        <v>18230</v>
      </c>
      <c r="G345" t="s">
        <v>18231</v>
      </c>
      <c r="H345" t="s">
        <v>18232</v>
      </c>
      <c r="I345" t="s">
        <v>1922</v>
      </c>
      <c r="J345" s="4">
        <v>15937.772216919868</v>
      </c>
      <c r="Q345" t="s">
        <v>20286</v>
      </c>
    </row>
    <row r="346" spans="1:17">
      <c r="A346" t="s">
        <v>18229</v>
      </c>
      <c r="B346" t="s">
        <v>20252</v>
      </c>
      <c r="C346" t="s">
        <v>13311</v>
      </c>
      <c r="D346" t="s">
        <v>16721</v>
      </c>
      <c r="E346" t="s">
        <v>6877</v>
      </c>
      <c r="F346" t="s">
        <v>18230</v>
      </c>
      <c r="G346" t="s">
        <v>18231</v>
      </c>
      <c r="H346" t="s">
        <v>18232</v>
      </c>
      <c r="I346" t="s">
        <v>1922</v>
      </c>
      <c r="J346" s="4">
        <v>2233.9333526246955</v>
      </c>
      <c r="Q346" t="s">
        <v>20286</v>
      </c>
    </row>
    <row r="347" spans="1:17">
      <c r="A347" t="s">
        <v>18229</v>
      </c>
      <c r="B347" t="s">
        <v>20252</v>
      </c>
      <c r="C347" t="s">
        <v>13311</v>
      </c>
      <c r="D347" t="s">
        <v>16721</v>
      </c>
      <c r="E347" t="s">
        <v>5186</v>
      </c>
      <c r="F347" t="s">
        <v>18230</v>
      </c>
      <c r="G347" t="s">
        <v>18231</v>
      </c>
      <c r="H347" t="s">
        <v>18232</v>
      </c>
      <c r="I347" t="s">
        <v>1922</v>
      </c>
      <c r="J347" s="4">
        <v>8323.3833103988436</v>
      </c>
      <c r="Q347" t="s">
        <v>20286</v>
      </c>
    </row>
    <row r="348" spans="1:17">
      <c r="A348" t="s">
        <v>18229</v>
      </c>
      <c r="B348" t="s">
        <v>20252</v>
      </c>
      <c r="C348" t="s">
        <v>13311</v>
      </c>
      <c r="D348" t="s">
        <v>16721</v>
      </c>
      <c r="E348" t="s">
        <v>6895</v>
      </c>
      <c r="F348" t="s">
        <v>18230</v>
      </c>
      <c r="G348" t="s">
        <v>18231</v>
      </c>
      <c r="H348" t="s">
        <v>18232</v>
      </c>
      <c r="I348" t="s">
        <v>1922</v>
      </c>
      <c r="J348" s="4">
        <v>24324.758481382119</v>
      </c>
      <c r="Q348" t="s">
        <v>20286</v>
      </c>
    </row>
    <row r="349" spans="1:17">
      <c r="A349" t="s">
        <v>18229</v>
      </c>
      <c r="B349" t="s">
        <v>20252</v>
      </c>
      <c r="C349" t="s">
        <v>13311</v>
      </c>
      <c r="D349" t="s">
        <v>16721</v>
      </c>
      <c r="E349" t="s">
        <v>5558</v>
      </c>
      <c r="F349" t="s">
        <v>18230</v>
      </c>
      <c r="G349" t="s">
        <v>18231</v>
      </c>
      <c r="H349" t="s">
        <v>18232</v>
      </c>
      <c r="I349" t="s">
        <v>1922</v>
      </c>
      <c r="J349" s="4">
        <v>21485.345586799729</v>
      </c>
      <c r="Q349" t="s">
        <v>20286</v>
      </c>
    </row>
    <row r="350" spans="1:17">
      <c r="A350" t="s">
        <v>18229</v>
      </c>
      <c r="B350" t="s">
        <v>20252</v>
      </c>
      <c r="C350" t="s">
        <v>13311</v>
      </c>
      <c r="D350" t="s">
        <v>16721</v>
      </c>
      <c r="E350" t="s">
        <v>5642</v>
      </c>
      <c r="F350" t="s">
        <v>18230</v>
      </c>
      <c r="G350" t="s">
        <v>18231</v>
      </c>
      <c r="H350" t="s">
        <v>18232</v>
      </c>
      <c r="I350" t="s">
        <v>1922</v>
      </c>
      <c r="J350" s="4">
        <v>19513.147229799881</v>
      </c>
      <c r="Q350" t="s">
        <v>20286</v>
      </c>
    </row>
    <row r="351" spans="1:17">
      <c r="A351" t="s">
        <v>18229</v>
      </c>
      <c r="B351" t="s">
        <v>20252</v>
      </c>
      <c r="C351" t="s">
        <v>13311</v>
      </c>
      <c r="D351" t="s">
        <v>16721</v>
      </c>
      <c r="E351" t="s">
        <v>6910</v>
      </c>
      <c r="F351" t="s">
        <v>18230</v>
      </c>
      <c r="G351" t="s">
        <v>18231</v>
      </c>
      <c r="H351" t="s">
        <v>18232</v>
      </c>
      <c r="I351" t="s">
        <v>1922</v>
      </c>
      <c r="J351" s="4">
        <v>5192.3856304249675</v>
      </c>
      <c r="Q351" t="s">
        <v>20286</v>
      </c>
    </row>
    <row r="352" spans="1:17">
      <c r="A352" t="s">
        <v>18229</v>
      </c>
      <c r="B352" t="s">
        <v>20252</v>
      </c>
      <c r="C352" t="s">
        <v>13311</v>
      </c>
      <c r="D352" t="s">
        <v>16721</v>
      </c>
      <c r="E352" t="s">
        <v>6913</v>
      </c>
      <c r="F352" t="s">
        <v>18230</v>
      </c>
      <c r="G352" t="s">
        <v>18231</v>
      </c>
      <c r="H352" t="s">
        <v>18232</v>
      </c>
      <c r="I352" t="s">
        <v>1922</v>
      </c>
      <c r="J352" s="4">
        <v>16208.729853654573</v>
      </c>
      <c r="Q352" t="s">
        <v>20286</v>
      </c>
    </row>
    <row r="353" spans="1:17">
      <c r="A353" t="s">
        <v>18229</v>
      </c>
      <c r="B353" t="s">
        <v>20252</v>
      </c>
      <c r="C353" t="s">
        <v>13311</v>
      </c>
      <c r="D353" t="s">
        <v>16721</v>
      </c>
      <c r="E353" t="s">
        <v>6916</v>
      </c>
      <c r="F353" t="s">
        <v>18230</v>
      </c>
      <c r="G353" t="s">
        <v>18231</v>
      </c>
      <c r="H353" t="s">
        <v>18232</v>
      </c>
      <c r="I353" t="s">
        <v>1922</v>
      </c>
      <c r="J353" s="4">
        <v>13328.704842305704</v>
      </c>
      <c r="Q353" t="s">
        <v>20286</v>
      </c>
    </row>
    <row r="354" spans="1:17">
      <c r="A354" t="s">
        <v>18229</v>
      </c>
      <c r="B354" t="s">
        <v>20252</v>
      </c>
      <c r="C354" t="s">
        <v>13311</v>
      </c>
      <c r="D354" t="s">
        <v>16721</v>
      </c>
      <c r="E354" t="s">
        <v>6919</v>
      </c>
      <c r="F354" t="s">
        <v>18230</v>
      </c>
      <c r="G354" t="s">
        <v>18231</v>
      </c>
      <c r="H354" t="s">
        <v>18232</v>
      </c>
      <c r="I354" t="s">
        <v>1922</v>
      </c>
      <c r="J354" s="4">
        <v>23386.211611826144</v>
      </c>
      <c r="Q354" t="s">
        <v>20286</v>
      </c>
    </row>
    <row r="355" spans="1:17">
      <c r="A355" t="s">
        <v>18229</v>
      </c>
      <c r="B355" t="s">
        <v>20252</v>
      </c>
      <c r="C355" t="s">
        <v>13311</v>
      </c>
      <c r="D355" t="s">
        <v>16721</v>
      </c>
      <c r="E355" t="s">
        <v>5647</v>
      </c>
      <c r="F355" t="s">
        <v>18230</v>
      </c>
      <c r="G355" t="s">
        <v>18231</v>
      </c>
      <c r="H355" t="s">
        <v>18232</v>
      </c>
      <c r="I355" t="s">
        <v>1922</v>
      </c>
      <c r="J355" s="4">
        <v>23822.387602805731</v>
      </c>
      <c r="Q355" t="s">
        <v>20286</v>
      </c>
    </row>
    <row r="356" spans="1:17">
      <c r="A356" t="s">
        <v>18229</v>
      </c>
      <c r="B356" t="s">
        <v>20252</v>
      </c>
      <c r="C356" t="s">
        <v>13311</v>
      </c>
      <c r="D356" t="s">
        <v>16721</v>
      </c>
      <c r="E356" t="s">
        <v>6928</v>
      </c>
      <c r="F356" t="s">
        <v>18230</v>
      </c>
      <c r="G356" t="s">
        <v>18231</v>
      </c>
      <c r="H356" t="s">
        <v>18232</v>
      </c>
      <c r="I356" t="s">
        <v>1922</v>
      </c>
      <c r="J356" s="4">
        <v>2616.8779922319504</v>
      </c>
      <c r="Q356" t="s">
        <v>20286</v>
      </c>
    </row>
    <row r="357" spans="1:17">
      <c r="A357" t="s">
        <v>18229</v>
      </c>
      <c r="B357" t="s">
        <v>20252</v>
      </c>
      <c r="C357" t="s">
        <v>13311</v>
      </c>
      <c r="D357" t="s">
        <v>16721</v>
      </c>
      <c r="E357" t="s">
        <v>6931</v>
      </c>
      <c r="F357" t="s">
        <v>18230</v>
      </c>
      <c r="G357" t="s">
        <v>18231</v>
      </c>
      <c r="H357" t="s">
        <v>18232</v>
      </c>
      <c r="I357" t="s">
        <v>1922</v>
      </c>
      <c r="J357" s="4">
        <v>7776.7832137817659</v>
      </c>
      <c r="Q357" t="s">
        <v>20286</v>
      </c>
    </row>
    <row r="358" spans="1:17">
      <c r="A358" t="s">
        <v>18229</v>
      </c>
      <c r="B358" t="s">
        <v>20252</v>
      </c>
      <c r="C358" t="s">
        <v>13311</v>
      </c>
      <c r="D358" t="s">
        <v>16721</v>
      </c>
      <c r="E358" t="s">
        <v>5672</v>
      </c>
      <c r="F358" t="s">
        <v>18230</v>
      </c>
      <c r="G358" t="s">
        <v>18231</v>
      </c>
      <c r="H358" t="s">
        <v>18232</v>
      </c>
      <c r="I358" t="s">
        <v>1922</v>
      </c>
      <c r="J358" s="4">
        <v>15316.590200018836</v>
      </c>
      <c r="Q358" t="s">
        <v>20286</v>
      </c>
    </row>
    <row r="359" spans="1:17">
      <c r="A359" t="s">
        <v>18229</v>
      </c>
      <c r="B359" t="s">
        <v>20252</v>
      </c>
      <c r="C359" t="s">
        <v>13311</v>
      </c>
      <c r="D359" t="s">
        <v>16721</v>
      </c>
      <c r="E359" t="s">
        <v>5715</v>
      </c>
      <c r="F359" t="s">
        <v>18230</v>
      </c>
      <c r="G359" t="s">
        <v>18231</v>
      </c>
      <c r="H359" t="s">
        <v>18232</v>
      </c>
      <c r="I359" t="s">
        <v>1922</v>
      </c>
      <c r="J359" s="4">
        <v>10265.147725447663</v>
      </c>
      <c r="Q359" t="s">
        <v>20286</v>
      </c>
    </row>
    <row r="360" spans="1:17">
      <c r="A360" t="s">
        <v>18229</v>
      </c>
      <c r="B360" t="s">
        <v>20252</v>
      </c>
      <c r="C360" t="s">
        <v>13311</v>
      </c>
      <c r="D360" t="s">
        <v>16721</v>
      </c>
      <c r="E360" t="s">
        <v>5723</v>
      </c>
      <c r="F360" t="s">
        <v>18230</v>
      </c>
      <c r="G360" t="s">
        <v>18231</v>
      </c>
      <c r="H360" t="s">
        <v>18232</v>
      </c>
      <c r="I360" t="s">
        <v>1922</v>
      </c>
      <c r="J360" s="4">
        <v>5144.0363986334405</v>
      </c>
      <c r="Q360" t="s">
        <v>20286</v>
      </c>
    </row>
    <row r="361" spans="1:17">
      <c r="A361" t="s">
        <v>18229</v>
      </c>
      <c r="B361" t="s">
        <v>20252</v>
      </c>
      <c r="C361" t="s">
        <v>13311</v>
      </c>
      <c r="D361" t="s">
        <v>16721</v>
      </c>
      <c r="E361" t="s">
        <v>5729</v>
      </c>
      <c r="F361" t="s">
        <v>18230</v>
      </c>
      <c r="G361" t="s">
        <v>18231</v>
      </c>
      <c r="H361" t="s">
        <v>18232</v>
      </c>
      <c r="I361" t="s">
        <v>1922</v>
      </c>
      <c r="J361" s="4">
        <v>10568.10993848348</v>
      </c>
      <c r="Q361" t="s">
        <v>20286</v>
      </c>
    </row>
    <row r="362" spans="1:17">
      <c r="A362" t="s">
        <v>18229</v>
      </c>
      <c r="B362" t="s">
        <v>20252</v>
      </c>
      <c r="C362" t="s">
        <v>13311</v>
      </c>
      <c r="D362" t="s">
        <v>16721</v>
      </c>
      <c r="E362" t="s">
        <v>5732</v>
      </c>
      <c r="F362" t="s">
        <v>18230</v>
      </c>
      <c r="G362" t="s">
        <v>18231</v>
      </c>
      <c r="H362" t="s">
        <v>18232</v>
      </c>
      <c r="I362" t="s">
        <v>1922</v>
      </c>
      <c r="J362" s="4">
        <v>9050.8655506290143</v>
      </c>
      <c r="Q362" t="s">
        <v>20286</v>
      </c>
    </row>
    <row r="363" spans="1:17">
      <c r="A363" t="s">
        <v>18229</v>
      </c>
      <c r="B363" t="s">
        <v>20252</v>
      </c>
      <c r="C363" t="s">
        <v>13311</v>
      </c>
      <c r="D363" t="s">
        <v>16721</v>
      </c>
      <c r="E363" t="s">
        <v>5735</v>
      </c>
      <c r="F363" t="s">
        <v>18230</v>
      </c>
      <c r="G363" t="s">
        <v>18231</v>
      </c>
      <c r="H363" t="s">
        <v>18232</v>
      </c>
      <c r="I363" t="s">
        <v>1922</v>
      </c>
      <c r="J363" s="4">
        <v>35216.682157893927</v>
      </c>
      <c r="Q363" t="s">
        <v>20286</v>
      </c>
    </row>
    <row r="364" spans="1:17">
      <c r="A364" t="s">
        <v>18229</v>
      </c>
      <c r="B364" t="s">
        <v>20252</v>
      </c>
      <c r="C364" t="s">
        <v>13311</v>
      </c>
      <c r="D364" t="s">
        <v>16721</v>
      </c>
      <c r="E364" t="s">
        <v>5748</v>
      </c>
      <c r="F364" t="s">
        <v>18230</v>
      </c>
      <c r="G364" t="s">
        <v>18231</v>
      </c>
      <c r="H364" t="s">
        <v>18232</v>
      </c>
      <c r="I364" t="s">
        <v>1922</v>
      </c>
      <c r="J364" s="4">
        <v>13789.662812710521</v>
      </c>
      <c r="Q364" t="s">
        <v>20286</v>
      </c>
    </row>
    <row r="365" spans="1:17">
      <c r="A365" t="s">
        <v>18229</v>
      </c>
      <c r="B365" t="s">
        <v>20252</v>
      </c>
      <c r="C365" t="s">
        <v>13311</v>
      </c>
      <c r="D365" t="s">
        <v>16721</v>
      </c>
      <c r="E365" t="s">
        <v>5778</v>
      </c>
      <c r="F365" t="s">
        <v>18230</v>
      </c>
      <c r="G365" t="s">
        <v>18231</v>
      </c>
      <c r="H365" t="s">
        <v>18232</v>
      </c>
      <c r="I365" t="s">
        <v>1922</v>
      </c>
      <c r="J365" s="4">
        <v>6968.3436704870019</v>
      </c>
      <c r="Q365" t="s">
        <v>20286</v>
      </c>
    </row>
    <row r="366" spans="1:17">
      <c r="A366" t="s">
        <v>18229</v>
      </c>
      <c r="B366" t="s">
        <v>20252</v>
      </c>
      <c r="C366" t="s">
        <v>13311</v>
      </c>
      <c r="D366" t="s">
        <v>16721</v>
      </c>
      <c r="E366" t="s">
        <v>6967</v>
      </c>
      <c r="F366" t="s">
        <v>18230</v>
      </c>
      <c r="G366" t="s">
        <v>18231</v>
      </c>
      <c r="H366" t="s">
        <v>18232</v>
      </c>
      <c r="I366" t="s">
        <v>1922</v>
      </c>
      <c r="J366" s="4">
        <v>6613.3532274652462</v>
      </c>
      <c r="Q366" t="s">
        <v>20286</v>
      </c>
    </row>
    <row r="367" spans="1:17">
      <c r="A367" t="s">
        <v>18229</v>
      </c>
      <c r="B367" t="s">
        <v>20252</v>
      </c>
      <c r="C367" t="s">
        <v>13311</v>
      </c>
      <c r="D367" t="s">
        <v>16721</v>
      </c>
      <c r="E367" t="s">
        <v>6970</v>
      </c>
      <c r="F367" t="s">
        <v>18230</v>
      </c>
      <c r="G367" t="s">
        <v>18231</v>
      </c>
      <c r="H367" t="s">
        <v>18232</v>
      </c>
      <c r="I367" t="s">
        <v>1922</v>
      </c>
      <c r="J367" s="4">
        <v>20192.732859467491</v>
      </c>
      <c r="Q367" t="s">
        <v>20286</v>
      </c>
    </row>
    <row r="368" spans="1:17">
      <c r="A368" t="s">
        <v>18229</v>
      </c>
      <c r="B368" t="s">
        <v>20252</v>
      </c>
      <c r="C368" t="s">
        <v>13311</v>
      </c>
      <c r="D368" t="s">
        <v>16721</v>
      </c>
      <c r="E368" t="s">
        <v>6973</v>
      </c>
      <c r="F368" t="s">
        <v>18230</v>
      </c>
      <c r="G368" t="s">
        <v>18231</v>
      </c>
      <c r="H368" t="s">
        <v>18232</v>
      </c>
      <c r="I368" t="s">
        <v>1922</v>
      </c>
      <c r="J368" s="4">
        <v>5229.5624681203253</v>
      </c>
      <c r="Q368" t="s">
        <v>20286</v>
      </c>
    </row>
    <row r="369" spans="1:17">
      <c r="A369" t="s">
        <v>18229</v>
      </c>
      <c r="B369" t="s">
        <v>20252</v>
      </c>
      <c r="C369" t="s">
        <v>13311</v>
      </c>
      <c r="D369" t="s">
        <v>16721</v>
      </c>
      <c r="E369" t="s">
        <v>6976</v>
      </c>
      <c r="F369" t="s">
        <v>18230</v>
      </c>
      <c r="G369" t="s">
        <v>18231</v>
      </c>
      <c r="H369" t="s">
        <v>18232</v>
      </c>
      <c r="I369" t="s">
        <v>1922</v>
      </c>
      <c r="J369" s="4">
        <v>60746.252585304035</v>
      </c>
      <c r="Q369" t="s">
        <v>20286</v>
      </c>
    </row>
    <row r="370" spans="1:17">
      <c r="A370" t="s">
        <v>18229</v>
      </c>
      <c r="B370" t="s">
        <v>20252</v>
      </c>
      <c r="C370" t="s">
        <v>13311</v>
      </c>
      <c r="D370" t="s">
        <v>16721</v>
      </c>
      <c r="E370" t="s">
        <v>6982</v>
      </c>
      <c r="F370" t="s">
        <v>18230</v>
      </c>
      <c r="G370" t="s">
        <v>18231</v>
      </c>
      <c r="H370" t="s">
        <v>18232</v>
      </c>
      <c r="I370" t="s">
        <v>1922</v>
      </c>
      <c r="J370" s="4">
        <v>19356.242405649413</v>
      </c>
      <c r="Q370" t="s">
        <v>20286</v>
      </c>
    </row>
    <row r="371" spans="1:17">
      <c r="A371" t="s">
        <v>18229</v>
      </c>
      <c r="B371" t="s">
        <v>20252</v>
      </c>
      <c r="C371" t="s">
        <v>13311</v>
      </c>
      <c r="D371" t="s">
        <v>16721</v>
      </c>
      <c r="E371" t="s">
        <v>6985</v>
      </c>
      <c r="F371" t="s">
        <v>18230</v>
      </c>
      <c r="G371" t="s">
        <v>18231</v>
      </c>
      <c r="H371" t="s">
        <v>18232</v>
      </c>
      <c r="I371" t="s">
        <v>1922</v>
      </c>
      <c r="J371" s="4">
        <v>86586.847299606059</v>
      </c>
      <c r="Q371" t="s">
        <v>20286</v>
      </c>
    </row>
    <row r="372" spans="1:17">
      <c r="A372" t="s">
        <v>18229</v>
      </c>
      <c r="B372" t="s">
        <v>20252</v>
      </c>
      <c r="C372" t="s">
        <v>13311</v>
      </c>
      <c r="D372" t="s">
        <v>16721</v>
      </c>
      <c r="E372" t="s">
        <v>6988</v>
      </c>
      <c r="F372" t="s">
        <v>18230</v>
      </c>
      <c r="G372" t="s">
        <v>18231</v>
      </c>
      <c r="H372" t="s">
        <v>18232</v>
      </c>
      <c r="I372" t="s">
        <v>1922</v>
      </c>
      <c r="J372" s="4">
        <v>35343.462524694369</v>
      </c>
      <c r="Q372" t="s">
        <v>20286</v>
      </c>
    </row>
    <row r="373" spans="1:17">
      <c r="A373" t="s">
        <v>18229</v>
      </c>
      <c r="B373" t="s">
        <v>20252</v>
      </c>
      <c r="C373" t="s">
        <v>13311</v>
      </c>
      <c r="D373" t="s">
        <v>16721</v>
      </c>
      <c r="E373" t="s">
        <v>6991</v>
      </c>
      <c r="F373" t="s">
        <v>18230</v>
      </c>
      <c r="G373" t="s">
        <v>18231</v>
      </c>
      <c r="H373" t="s">
        <v>18232</v>
      </c>
      <c r="I373" t="s">
        <v>1922</v>
      </c>
      <c r="J373" s="4">
        <v>7998.6411185675133</v>
      </c>
      <c r="Q373" t="s">
        <v>20286</v>
      </c>
    </row>
    <row r="374" spans="1:17">
      <c r="A374" t="s">
        <v>18229</v>
      </c>
      <c r="B374" t="s">
        <v>20252</v>
      </c>
      <c r="C374" t="s">
        <v>13311</v>
      </c>
      <c r="D374" t="s">
        <v>16721</v>
      </c>
      <c r="E374" t="s">
        <v>6999</v>
      </c>
      <c r="F374" t="s">
        <v>18230</v>
      </c>
      <c r="G374" t="s">
        <v>18231</v>
      </c>
      <c r="H374" t="s">
        <v>18232</v>
      </c>
      <c r="I374" t="s">
        <v>1922</v>
      </c>
      <c r="J374" s="4">
        <v>20048.899891151843</v>
      </c>
      <c r="Q374" t="s">
        <v>20286</v>
      </c>
    </row>
    <row r="375" spans="1:17">
      <c r="A375" t="s">
        <v>18229</v>
      </c>
      <c r="B375" t="s">
        <v>20252</v>
      </c>
      <c r="C375" t="s">
        <v>13311</v>
      </c>
      <c r="D375" t="s">
        <v>16721</v>
      </c>
      <c r="E375" t="s">
        <v>7002</v>
      </c>
      <c r="F375" t="s">
        <v>18230</v>
      </c>
      <c r="G375" t="s">
        <v>18231</v>
      </c>
      <c r="H375" t="s">
        <v>18232</v>
      </c>
      <c r="I375" t="s">
        <v>1922</v>
      </c>
      <c r="J375" s="4">
        <v>19091.397089784496</v>
      </c>
      <c r="Q375" t="s">
        <v>20286</v>
      </c>
    </row>
    <row r="376" spans="1:17">
      <c r="A376" t="s">
        <v>18229</v>
      </c>
      <c r="B376" t="s">
        <v>20252</v>
      </c>
      <c r="C376" t="s">
        <v>13311</v>
      </c>
      <c r="D376" t="s">
        <v>16721</v>
      </c>
      <c r="E376" t="s">
        <v>7005</v>
      </c>
      <c r="F376" t="s">
        <v>18230</v>
      </c>
      <c r="G376" t="s">
        <v>18231</v>
      </c>
      <c r="H376" t="s">
        <v>18232</v>
      </c>
      <c r="I376" t="s">
        <v>1922</v>
      </c>
      <c r="J376" s="4">
        <v>12869.673413542125</v>
      </c>
      <c r="Q376" t="s">
        <v>20286</v>
      </c>
    </row>
    <row r="377" spans="1:17">
      <c r="A377" t="s">
        <v>18229</v>
      </c>
      <c r="B377" t="s">
        <v>20252</v>
      </c>
      <c r="C377" t="s">
        <v>13311</v>
      </c>
      <c r="D377" t="s">
        <v>16721</v>
      </c>
      <c r="E377" t="s">
        <v>5827</v>
      </c>
      <c r="F377" t="s">
        <v>18230</v>
      </c>
      <c r="G377" t="s">
        <v>18231</v>
      </c>
      <c r="H377" t="s">
        <v>18232</v>
      </c>
      <c r="I377" t="s">
        <v>1922</v>
      </c>
      <c r="J377" s="4">
        <v>12991.045536940057</v>
      </c>
      <c r="Q377" t="s">
        <v>20286</v>
      </c>
    </row>
    <row r="378" spans="1:17">
      <c r="A378" t="s">
        <v>18229</v>
      </c>
      <c r="B378" t="s">
        <v>20252</v>
      </c>
      <c r="C378" t="s">
        <v>13311</v>
      </c>
      <c r="D378" t="s">
        <v>16721</v>
      </c>
      <c r="E378" t="s">
        <v>7021</v>
      </c>
      <c r="F378" t="s">
        <v>18230</v>
      </c>
      <c r="G378" t="s">
        <v>18231</v>
      </c>
      <c r="H378" t="s">
        <v>18232</v>
      </c>
      <c r="I378" t="s">
        <v>1922</v>
      </c>
      <c r="J378" s="4">
        <v>7816.9349722042543</v>
      </c>
      <c r="Q378" t="s">
        <v>20286</v>
      </c>
    </row>
    <row r="379" spans="1:17">
      <c r="A379" t="s">
        <v>18229</v>
      </c>
      <c r="B379" t="s">
        <v>20252</v>
      </c>
      <c r="C379" t="s">
        <v>13311</v>
      </c>
      <c r="D379" t="s">
        <v>16721</v>
      </c>
      <c r="E379" t="s">
        <v>7024</v>
      </c>
      <c r="F379" t="s">
        <v>18230</v>
      </c>
      <c r="G379" t="s">
        <v>18231</v>
      </c>
      <c r="H379" t="s">
        <v>18232</v>
      </c>
      <c r="I379" t="s">
        <v>1922</v>
      </c>
      <c r="J379" s="4">
        <v>5393.0631828296464</v>
      </c>
      <c r="Q379" t="s">
        <v>20286</v>
      </c>
    </row>
    <row r="380" spans="1:17">
      <c r="A380" t="s">
        <v>18229</v>
      </c>
      <c r="B380" t="s">
        <v>20252</v>
      </c>
      <c r="C380" t="s">
        <v>13311</v>
      </c>
      <c r="D380" t="s">
        <v>16721</v>
      </c>
      <c r="E380" t="s">
        <v>7027</v>
      </c>
      <c r="F380" t="s">
        <v>18230</v>
      </c>
      <c r="G380" t="s">
        <v>18231</v>
      </c>
      <c r="H380" t="s">
        <v>18232</v>
      </c>
      <c r="I380" t="s">
        <v>1922</v>
      </c>
      <c r="J380" s="4">
        <v>7278.8534392297543</v>
      </c>
      <c r="Q380" t="s">
        <v>20286</v>
      </c>
    </row>
    <row r="381" spans="1:17">
      <c r="A381" t="s">
        <v>18229</v>
      </c>
      <c r="B381" t="s">
        <v>20252</v>
      </c>
      <c r="C381" t="s">
        <v>13311</v>
      </c>
      <c r="D381" t="s">
        <v>16721</v>
      </c>
      <c r="E381" t="s">
        <v>7033</v>
      </c>
      <c r="F381" t="s">
        <v>18230</v>
      </c>
      <c r="G381" t="s">
        <v>18231</v>
      </c>
      <c r="H381" t="s">
        <v>18232</v>
      </c>
      <c r="I381" t="s">
        <v>1922</v>
      </c>
      <c r="J381" s="4">
        <v>16465.439593070652</v>
      </c>
      <c r="Q381" t="s">
        <v>20286</v>
      </c>
    </row>
    <row r="382" spans="1:17">
      <c r="A382" t="s">
        <v>18229</v>
      </c>
      <c r="B382" t="s">
        <v>20252</v>
      </c>
      <c r="C382" t="s">
        <v>13311</v>
      </c>
      <c r="D382" t="s">
        <v>16721</v>
      </c>
      <c r="E382" t="s">
        <v>5851</v>
      </c>
      <c r="F382" t="s">
        <v>18230</v>
      </c>
      <c r="G382" t="s">
        <v>18231</v>
      </c>
      <c r="H382" t="s">
        <v>18232</v>
      </c>
      <c r="I382" t="s">
        <v>1922</v>
      </c>
      <c r="J382" s="4">
        <v>16778.436844293959</v>
      </c>
      <c r="Q382" t="s">
        <v>20286</v>
      </c>
    </row>
    <row r="383" spans="1:17">
      <c r="A383" t="s">
        <v>18229</v>
      </c>
      <c r="B383" t="s">
        <v>20252</v>
      </c>
      <c r="C383" t="s">
        <v>13311</v>
      </c>
      <c r="D383" t="s">
        <v>16721</v>
      </c>
      <c r="E383" t="s">
        <v>5859</v>
      </c>
      <c r="F383" t="s">
        <v>18230</v>
      </c>
      <c r="G383" t="s">
        <v>18231</v>
      </c>
      <c r="H383" t="s">
        <v>18232</v>
      </c>
      <c r="I383" t="s">
        <v>1922</v>
      </c>
      <c r="J383" s="4">
        <v>22204.467874245336</v>
      </c>
      <c r="Q383" t="s">
        <v>20286</v>
      </c>
    </row>
    <row r="384" spans="1:17">
      <c r="A384" t="s">
        <v>18229</v>
      </c>
      <c r="B384" t="s">
        <v>20252</v>
      </c>
      <c r="C384" t="s">
        <v>13311</v>
      </c>
      <c r="D384" t="s">
        <v>16721</v>
      </c>
      <c r="E384" t="s">
        <v>7044</v>
      </c>
      <c r="F384" t="s">
        <v>18230</v>
      </c>
      <c r="G384" t="s">
        <v>18231</v>
      </c>
      <c r="H384" t="s">
        <v>18232</v>
      </c>
      <c r="I384" t="s">
        <v>1922</v>
      </c>
      <c r="J384" s="4">
        <v>10057.069622521525</v>
      </c>
      <c r="Q384" t="s">
        <v>20286</v>
      </c>
    </row>
    <row r="385" spans="1:17">
      <c r="A385" t="s">
        <v>18229</v>
      </c>
      <c r="B385" t="s">
        <v>20252</v>
      </c>
      <c r="C385" t="s">
        <v>13311</v>
      </c>
      <c r="D385" t="s">
        <v>16721</v>
      </c>
      <c r="E385" t="s">
        <v>7047</v>
      </c>
      <c r="F385" t="s">
        <v>18230</v>
      </c>
      <c r="G385" t="s">
        <v>18231</v>
      </c>
      <c r="H385" t="s">
        <v>18232</v>
      </c>
      <c r="I385" t="s">
        <v>1922</v>
      </c>
      <c r="J385" s="4">
        <v>10058.183767085133</v>
      </c>
      <c r="Q385" t="s">
        <v>20286</v>
      </c>
    </row>
    <row r="386" spans="1:17">
      <c r="A386" t="s">
        <v>18229</v>
      </c>
      <c r="B386" t="s">
        <v>20252</v>
      </c>
      <c r="C386" t="s">
        <v>13311</v>
      </c>
      <c r="D386" t="s">
        <v>16721</v>
      </c>
      <c r="E386" t="s">
        <v>5919</v>
      </c>
      <c r="F386" t="s">
        <v>18230</v>
      </c>
      <c r="G386" t="s">
        <v>18231</v>
      </c>
      <c r="H386" t="s">
        <v>18232</v>
      </c>
      <c r="I386" t="s">
        <v>1922</v>
      </c>
      <c r="J386" s="4">
        <v>1772.6040006986755</v>
      </c>
      <c r="Q386" t="s">
        <v>20286</v>
      </c>
    </row>
    <row r="387" spans="1:17">
      <c r="A387" t="s">
        <v>18229</v>
      </c>
      <c r="B387" t="s">
        <v>20252</v>
      </c>
      <c r="C387" t="s">
        <v>13311</v>
      </c>
      <c r="D387" t="s">
        <v>16721</v>
      </c>
      <c r="E387" t="s">
        <v>5933</v>
      </c>
      <c r="F387" t="s">
        <v>18230</v>
      </c>
      <c r="G387" t="s">
        <v>18231</v>
      </c>
      <c r="H387" t="s">
        <v>18232</v>
      </c>
      <c r="I387" t="s">
        <v>1922</v>
      </c>
      <c r="J387" s="4">
        <v>6791.3300843864326</v>
      </c>
      <c r="Q387" t="s">
        <v>20286</v>
      </c>
    </row>
    <row r="388" spans="1:17">
      <c r="A388" t="s">
        <v>18229</v>
      </c>
      <c r="B388" t="s">
        <v>20252</v>
      </c>
      <c r="C388" t="s">
        <v>13311</v>
      </c>
      <c r="D388" t="s">
        <v>16721</v>
      </c>
      <c r="E388" t="s">
        <v>6148</v>
      </c>
      <c r="F388" t="s">
        <v>18230</v>
      </c>
      <c r="G388" t="s">
        <v>18231</v>
      </c>
      <c r="H388" t="s">
        <v>18232</v>
      </c>
      <c r="I388" t="s">
        <v>1922</v>
      </c>
      <c r="J388" s="4">
        <v>11481.310019217399</v>
      </c>
      <c r="Q388" t="s">
        <v>20286</v>
      </c>
    </row>
    <row r="389" spans="1:17">
      <c r="A389" t="s">
        <v>18229</v>
      </c>
      <c r="B389" t="s">
        <v>20252</v>
      </c>
      <c r="C389" t="s">
        <v>13311</v>
      </c>
      <c r="D389" t="s">
        <v>16721</v>
      </c>
      <c r="E389" t="s">
        <v>6164</v>
      </c>
      <c r="F389" t="s">
        <v>18230</v>
      </c>
      <c r="G389" t="s">
        <v>18231</v>
      </c>
      <c r="H389" t="s">
        <v>18232</v>
      </c>
      <c r="I389" t="s">
        <v>1922</v>
      </c>
      <c r="J389" s="4">
        <v>3548.5117495130467</v>
      </c>
      <c r="Q389" t="s">
        <v>20286</v>
      </c>
    </row>
    <row r="390" spans="1:17">
      <c r="A390" t="s">
        <v>18229</v>
      </c>
      <c r="B390" t="s">
        <v>20252</v>
      </c>
      <c r="C390" t="s">
        <v>13311</v>
      </c>
      <c r="D390" t="s">
        <v>16721</v>
      </c>
      <c r="E390" t="s">
        <v>6184</v>
      </c>
      <c r="F390" t="s">
        <v>18230</v>
      </c>
      <c r="G390" t="s">
        <v>18231</v>
      </c>
      <c r="H390" t="s">
        <v>18232</v>
      </c>
      <c r="I390" t="s">
        <v>1922</v>
      </c>
      <c r="J390" s="4">
        <v>5814.8868254377694</v>
      </c>
      <c r="Q390" t="s">
        <v>20286</v>
      </c>
    </row>
    <row r="391" spans="1:17">
      <c r="A391" t="s">
        <v>18229</v>
      </c>
      <c r="B391" t="s">
        <v>20252</v>
      </c>
      <c r="C391" t="s">
        <v>13311</v>
      </c>
      <c r="D391" t="s">
        <v>16721</v>
      </c>
      <c r="E391" t="s">
        <v>6189</v>
      </c>
      <c r="F391" t="s">
        <v>18230</v>
      </c>
      <c r="G391" t="s">
        <v>18231</v>
      </c>
      <c r="H391" t="s">
        <v>18232</v>
      </c>
      <c r="I391" t="s">
        <v>1922</v>
      </c>
      <c r="J391" s="4">
        <v>7956.4738416809996</v>
      </c>
      <c r="Q391" t="s">
        <v>20286</v>
      </c>
    </row>
    <row r="392" spans="1:17">
      <c r="A392" t="s">
        <v>18229</v>
      </c>
      <c r="B392" t="s">
        <v>20252</v>
      </c>
      <c r="C392" t="s">
        <v>13311</v>
      </c>
      <c r="D392" t="s">
        <v>16721</v>
      </c>
      <c r="E392" t="s">
        <v>6273</v>
      </c>
      <c r="F392" t="s">
        <v>18230</v>
      </c>
      <c r="G392" t="s">
        <v>18231</v>
      </c>
      <c r="H392" t="s">
        <v>18232</v>
      </c>
      <c r="I392" t="s">
        <v>1922</v>
      </c>
      <c r="J392" s="4">
        <v>2559.9134828600318</v>
      </c>
      <c r="Q392" t="s">
        <v>20286</v>
      </c>
    </row>
    <row r="393" spans="1:17">
      <c r="A393" t="s">
        <v>18229</v>
      </c>
      <c r="B393" t="s">
        <v>20252</v>
      </c>
      <c r="C393" t="s">
        <v>13311</v>
      </c>
      <c r="D393" t="s">
        <v>16721</v>
      </c>
      <c r="E393" t="s">
        <v>6276</v>
      </c>
      <c r="F393" t="s">
        <v>18230</v>
      </c>
      <c r="G393" t="s">
        <v>18231</v>
      </c>
      <c r="H393" t="s">
        <v>18232</v>
      </c>
      <c r="I393" t="s">
        <v>1922</v>
      </c>
      <c r="J393" s="4">
        <v>5154.6594575628314</v>
      </c>
      <c r="Q393" t="s">
        <v>20286</v>
      </c>
    </row>
    <row r="394" spans="1:17">
      <c r="A394" t="s">
        <v>18229</v>
      </c>
      <c r="B394" t="s">
        <v>20252</v>
      </c>
      <c r="C394" t="s">
        <v>13311</v>
      </c>
      <c r="D394" t="s">
        <v>16721</v>
      </c>
      <c r="E394" t="s">
        <v>6279</v>
      </c>
      <c r="F394" t="s">
        <v>18230</v>
      </c>
      <c r="G394" t="s">
        <v>18231</v>
      </c>
      <c r="H394" t="s">
        <v>18232</v>
      </c>
      <c r="I394" t="s">
        <v>1922</v>
      </c>
      <c r="J394" s="4">
        <v>26169.56523949455</v>
      </c>
      <c r="Q394" t="s">
        <v>20286</v>
      </c>
    </row>
    <row r="395" spans="1:17">
      <c r="A395" t="s">
        <v>18229</v>
      </c>
      <c r="B395" t="s">
        <v>20252</v>
      </c>
      <c r="C395" t="s">
        <v>13311</v>
      </c>
      <c r="D395" t="s">
        <v>16721</v>
      </c>
      <c r="E395" t="s">
        <v>6282</v>
      </c>
      <c r="F395" t="s">
        <v>18230</v>
      </c>
      <c r="G395" t="s">
        <v>18231</v>
      </c>
      <c r="H395" t="s">
        <v>18232</v>
      </c>
      <c r="I395" t="s">
        <v>1922</v>
      </c>
      <c r="J395" s="4">
        <v>7536.7198773420787</v>
      </c>
      <c r="Q395" t="s">
        <v>20286</v>
      </c>
    </row>
    <row r="396" spans="1:17">
      <c r="A396" t="s">
        <v>18229</v>
      </c>
      <c r="B396" t="s">
        <v>20252</v>
      </c>
      <c r="C396" t="s">
        <v>13311</v>
      </c>
      <c r="D396" t="s">
        <v>16721</v>
      </c>
      <c r="E396" t="s">
        <v>6343</v>
      </c>
      <c r="F396" t="s">
        <v>18230</v>
      </c>
      <c r="G396" t="s">
        <v>18231</v>
      </c>
      <c r="H396" t="s">
        <v>18232</v>
      </c>
      <c r="I396" t="s">
        <v>1922</v>
      </c>
      <c r="J396" s="4">
        <v>6217.1587783775958</v>
      </c>
      <c r="Q396" t="s">
        <v>20286</v>
      </c>
    </row>
    <row r="397" spans="1:17">
      <c r="A397" t="s">
        <v>18229</v>
      </c>
      <c r="B397" t="s">
        <v>20252</v>
      </c>
      <c r="C397" t="s">
        <v>13311</v>
      </c>
      <c r="D397" t="s">
        <v>16721</v>
      </c>
      <c r="E397" t="s">
        <v>6346</v>
      </c>
      <c r="F397" t="s">
        <v>18230</v>
      </c>
      <c r="G397" t="s">
        <v>18231</v>
      </c>
      <c r="H397" t="s">
        <v>18232</v>
      </c>
      <c r="I397" t="s">
        <v>1922</v>
      </c>
      <c r="J397" s="4">
        <v>5552.2852729301167</v>
      </c>
      <c r="Q397" t="s">
        <v>20286</v>
      </c>
    </row>
    <row r="398" spans="1:17">
      <c r="A398" t="s">
        <v>18229</v>
      </c>
      <c r="B398" t="s">
        <v>20252</v>
      </c>
      <c r="C398" t="s">
        <v>13311</v>
      </c>
      <c r="D398" t="s">
        <v>16721</v>
      </c>
      <c r="E398" t="s">
        <v>6352</v>
      </c>
      <c r="F398" t="s">
        <v>18230</v>
      </c>
      <c r="G398" t="s">
        <v>18231</v>
      </c>
      <c r="H398" t="s">
        <v>18232</v>
      </c>
      <c r="I398" t="s">
        <v>1922</v>
      </c>
      <c r="J398" s="4">
        <v>9588.1772406585205</v>
      </c>
      <c r="Q398" t="s">
        <v>20286</v>
      </c>
    </row>
    <row r="399" spans="1:17">
      <c r="A399" t="s">
        <v>18229</v>
      </c>
      <c r="B399" t="s">
        <v>20252</v>
      </c>
      <c r="C399" t="s">
        <v>13311</v>
      </c>
      <c r="D399" t="s">
        <v>16721</v>
      </c>
      <c r="E399" t="s">
        <v>6355</v>
      </c>
      <c r="F399" t="s">
        <v>18230</v>
      </c>
      <c r="G399" t="s">
        <v>18231</v>
      </c>
      <c r="H399" t="s">
        <v>18232</v>
      </c>
      <c r="I399" t="s">
        <v>1922</v>
      </c>
      <c r="J399" s="4">
        <v>17234.713860108623</v>
      </c>
      <c r="Q399" t="s">
        <v>20286</v>
      </c>
    </row>
    <row r="400" spans="1:17">
      <c r="A400" t="s">
        <v>18229</v>
      </c>
      <c r="B400" t="s">
        <v>20252</v>
      </c>
      <c r="C400" t="s">
        <v>13311</v>
      </c>
      <c r="D400" t="s">
        <v>16721</v>
      </c>
      <c r="E400" t="s">
        <v>6364</v>
      </c>
      <c r="F400" t="s">
        <v>18230</v>
      </c>
      <c r="G400" t="s">
        <v>18231</v>
      </c>
      <c r="H400" t="s">
        <v>18232</v>
      </c>
      <c r="I400" t="s">
        <v>1922</v>
      </c>
      <c r="J400" s="4">
        <v>13527.711177864972</v>
      </c>
      <c r="Q400" t="s">
        <v>20286</v>
      </c>
    </row>
    <row r="401" spans="1:17">
      <c r="A401" t="s">
        <v>18229</v>
      </c>
      <c r="B401" t="s">
        <v>20252</v>
      </c>
      <c r="C401" t="s">
        <v>13311</v>
      </c>
      <c r="D401" t="s">
        <v>16721</v>
      </c>
      <c r="E401" t="s">
        <v>6382</v>
      </c>
      <c r="F401" t="s">
        <v>18230</v>
      </c>
      <c r="G401" t="s">
        <v>18231</v>
      </c>
      <c r="H401" t="s">
        <v>18232</v>
      </c>
      <c r="I401" t="s">
        <v>1922</v>
      </c>
      <c r="J401" s="4">
        <v>14341.791078012997</v>
      </c>
      <c r="Q401" t="s">
        <v>20286</v>
      </c>
    </row>
    <row r="402" spans="1:17">
      <c r="A402" t="s">
        <v>18229</v>
      </c>
      <c r="B402" t="s">
        <v>20252</v>
      </c>
      <c r="C402" t="s">
        <v>13311</v>
      </c>
      <c r="D402" t="s">
        <v>16721</v>
      </c>
      <c r="E402" t="s">
        <v>6552</v>
      </c>
      <c r="F402" t="s">
        <v>18230</v>
      </c>
      <c r="G402" t="s">
        <v>18231</v>
      </c>
      <c r="H402" t="s">
        <v>18232</v>
      </c>
      <c r="I402" t="s">
        <v>1922</v>
      </c>
      <c r="J402" s="4">
        <v>60487.086311867504</v>
      </c>
      <c r="Q402" t="s">
        <v>20286</v>
      </c>
    </row>
    <row r="403" spans="1:17">
      <c r="A403" t="s">
        <v>18229</v>
      </c>
      <c r="B403" t="s">
        <v>20252</v>
      </c>
      <c r="C403" t="s">
        <v>13311</v>
      </c>
      <c r="D403" t="s">
        <v>16721</v>
      </c>
      <c r="E403" t="s">
        <v>6742</v>
      </c>
      <c r="F403" t="s">
        <v>18230</v>
      </c>
      <c r="G403" t="s">
        <v>18231</v>
      </c>
      <c r="H403" t="s">
        <v>18232</v>
      </c>
      <c r="I403" t="s">
        <v>1922</v>
      </c>
      <c r="J403" s="4">
        <v>34754.041364971163</v>
      </c>
      <c r="Q403" t="s">
        <v>20286</v>
      </c>
    </row>
    <row r="404" spans="1:17">
      <c r="A404" t="s">
        <v>18229</v>
      </c>
      <c r="B404" t="s">
        <v>20252</v>
      </c>
      <c r="C404" t="s">
        <v>13311</v>
      </c>
      <c r="D404" t="s">
        <v>16721</v>
      </c>
      <c r="E404" t="s">
        <v>6781</v>
      </c>
      <c r="F404" t="s">
        <v>18230</v>
      </c>
      <c r="G404" t="s">
        <v>18231</v>
      </c>
      <c r="H404" t="s">
        <v>18232</v>
      </c>
      <c r="I404" t="s">
        <v>1922</v>
      </c>
      <c r="J404" s="4">
        <v>27711.429127358722</v>
      </c>
      <c r="Q404" t="s">
        <v>20286</v>
      </c>
    </row>
    <row r="405" spans="1:17">
      <c r="A405" t="s">
        <v>18229</v>
      </c>
      <c r="B405" t="s">
        <v>20252</v>
      </c>
      <c r="C405" t="s">
        <v>13311</v>
      </c>
      <c r="D405" t="s">
        <v>16721</v>
      </c>
      <c r="E405" t="s">
        <v>7118</v>
      </c>
      <c r="F405" t="s">
        <v>18230</v>
      </c>
      <c r="G405" t="s">
        <v>18231</v>
      </c>
      <c r="H405" t="s">
        <v>18232</v>
      </c>
      <c r="I405" t="s">
        <v>1922</v>
      </c>
      <c r="J405" s="4">
        <v>31091.31819201586</v>
      </c>
      <c r="Q405" t="s">
        <v>20286</v>
      </c>
    </row>
    <row r="406" spans="1:17">
      <c r="A406" t="s">
        <v>18229</v>
      </c>
      <c r="B406" t="s">
        <v>20252</v>
      </c>
      <c r="C406" t="s">
        <v>13311</v>
      </c>
      <c r="D406" t="s">
        <v>16721</v>
      </c>
      <c r="E406" t="s">
        <v>7121</v>
      </c>
      <c r="F406" t="s">
        <v>18230</v>
      </c>
      <c r="G406" t="s">
        <v>18231</v>
      </c>
      <c r="H406" t="s">
        <v>18232</v>
      </c>
      <c r="I406" t="s">
        <v>1922</v>
      </c>
      <c r="J406" s="4">
        <v>1649.0577479787034</v>
      </c>
      <c r="Q406" t="s">
        <v>20286</v>
      </c>
    </row>
    <row r="407" spans="1:17">
      <c r="A407" t="s">
        <v>18229</v>
      </c>
      <c r="B407" t="s">
        <v>20252</v>
      </c>
      <c r="C407" t="s">
        <v>13311</v>
      </c>
      <c r="D407" t="s">
        <v>16721</v>
      </c>
      <c r="E407" t="s">
        <v>7124</v>
      </c>
      <c r="F407" t="s">
        <v>18230</v>
      </c>
      <c r="G407" t="s">
        <v>18231</v>
      </c>
      <c r="H407" t="s">
        <v>18232</v>
      </c>
      <c r="I407" t="s">
        <v>1922</v>
      </c>
      <c r="J407" s="4">
        <v>11894.758234810906</v>
      </c>
      <c r="Q407" t="s">
        <v>20286</v>
      </c>
    </row>
    <row r="408" spans="1:17">
      <c r="A408" t="s">
        <v>18229</v>
      </c>
      <c r="B408" t="s">
        <v>20252</v>
      </c>
      <c r="C408" t="s">
        <v>13311</v>
      </c>
      <c r="D408" t="s">
        <v>16721</v>
      </c>
      <c r="E408" t="s">
        <v>7127</v>
      </c>
      <c r="F408" t="s">
        <v>18230</v>
      </c>
      <c r="G408" t="s">
        <v>18231</v>
      </c>
      <c r="H408" t="s">
        <v>18232</v>
      </c>
      <c r="I408" t="s">
        <v>1922</v>
      </c>
      <c r="J408" s="4">
        <v>11643.154991311359</v>
      </c>
      <c r="Q408" t="s">
        <v>20286</v>
      </c>
    </row>
    <row r="409" spans="1:17">
      <c r="A409" t="s">
        <v>18229</v>
      </c>
      <c r="B409" t="s">
        <v>20252</v>
      </c>
      <c r="C409" t="s">
        <v>13311</v>
      </c>
      <c r="D409" t="s">
        <v>16721</v>
      </c>
      <c r="E409" t="s">
        <v>7130</v>
      </c>
      <c r="F409" t="s">
        <v>18230</v>
      </c>
      <c r="G409" t="s">
        <v>18231</v>
      </c>
      <c r="H409" t="s">
        <v>18232</v>
      </c>
      <c r="I409" t="s">
        <v>1922</v>
      </c>
      <c r="J409" s="4">
        <v>1734.0228766262719</v>
      </c>
      <c r="Q409" t="s">
        <v>20286</v>
      </c>
    </row>
    <row r="410" spans="1:17">
      <c r="A410" t="s">
        <v>18229</v>
      </c>
      <c r="B410" t="s">
        <v>20252</v>
      </c>
      <c r="C410" t="s">
        <v>13311</v>
      </c>
      <c r="D410" t="s">
        <v>16721</v>
      </c>
      <c r="E410" t="s">
        <v>6799</v>
      </c>
      <c r="F410" t="s">
        <v>18230</v>
      </c>
      <c r="G410" t="s">
        <v>18231</v>
      </c>
      <c r="H410" t="s">
        <v>18232</v>
      </c>
      <c r="I410" t="s">
        <v>1922</v>
      </c>
      <c r="J410" s="4">
        <v>42156.274708947851</v>
      </c>
      <c r="Q410" t="s">
        <v>20286</v>
      </c>
    </row>
    <row r="411" spans="1:17">
      <c r="A411" t="s">
        <v>18229</v>
      </c>
      <c r="B411" t="s">
        <v>20252</v>
      </c>
      <c r="C411" t="s">
        <v>13311</v>
      </c>
      <c r="D411" t="s">
        <v>16721</v>
      </c>
      <c r="E411" t="s">
        <v>6802</v>
      </c>
      <c r="F411" t="s">
        <v>18230</v>
      </c>
      <c r="G411" t="s">
        <v>18231</v>
      </c>
      <c r="H411" t="s">
        <v>18232</v>
      </c>
      <c r="I411" t="s">
        <v>1922</v>
      </c>
      <c r="J411" s="4">
        <v>35057.835317872166</v>
      </c>
      <c r="Q411" t="s">
        <v>20286</v>
      </c>
    </row>
    <row r="412" spans="1:17">
      <c r="A412" t="s">
        <v>18229</v>
      </c>
      <c r="B412" t="s">
        <v>20252</v>
      </c>
      <c r="C412" t="s">
        <v>13311</v>
      </c>
      <c r="D412" t="s">
        <v>16721</v>
      </c>
      <c r="E412" t="s">
        <v>7133</v>
      </c>
      <c r="F412" t="s">
        <v>18230</v>
      </c>
      <c r="G412" t="s">
        <v>18231</v>
      </c>
      <c r="H412" t="s">
        <v>18232</v>
      </c>
      <c r="I412" t="s">
        <v>1922</v>
      </c>
      <c r="J412" s="4">
        <v>96180.680371347902</v>
      </c>
      <c r="Q412" t="s">
        <v>20286</v>
      </c>
    </row>
    <row r="413" spans="1:17">
      <c r="A413" t="s">
        <v>18229</v>
      </c>
      <c r="B413" t="s">
        <v>20252</v>
      </c>
      <c r="C413" t="s">
        <v>13311</v>
      </c>
      <c r="D413" t="s">
        <v>16721</v>
      </c>
      <c r="E413" t="s">
        <v>7139</v>
      </c>
      <c r="F413" t="s">
        <v>18230</v>
      </c>
      <c r="G413" t="s">
        <v>18231</v>
      </c>
      <c r="H413" t="s">
        <v>18232</v>
      </c>
      <c r="I413" t="s">
        <v>1922</v>
      </c>
      <c r="J413" s="4">
        <v>35147.953365126421</v>
      </c>
      <c r="Q413" t="s">
        <v>20286</v>
      </c>
    </row>
    <row r="414" spans="1:17">
      <c r="A414" t="s">
        <v>18229</v>
      </c>
      <c r="B414" t="s">
        <v>20252</v>
      </c>
      <c r="C414" t="s">
        <v>13311</v>
      </c>
      <c r="D414" t="s">
        <v>16721</v>
      </c>
      <c r="E414" t="s">
        <v>7142</v>
      </c>
      <c r="F414" t="s">
        <v>18230</v>
      </c>
      <c r="G414" t="s">
        <v>18231</v>
      </c>
      <c r="H414" t="s">
        <v>18232</v>
      </c>
      <c r="I414" t="s">
        <v>1922</v>
      </c>
      <c r="J414" s="4">
        <v>7159.6593137113723</v>
      </c>
      <c r="Q414" t="s">
        <v>20286</v>
      </c>
    </row>
    <row r="415" spans="1:17">
      <c r="A415" t="s">
        <v>18229</v>
      </c>
      <c r="B415" t="s">
        <v>20252</v>
      </c>
      <c r="C415" t="s">
        <v>13311</v>
      </c>
      <c r="D415" t="s">
        <v>16721</v>
      </c>
      <c r="E415" t="s">
        <v>7145</v>
      </c>
      <c r="F415" t="s">
        <v>18230</v>
      </c>
      <c r="G415" t="s">
        <v>18231</v>
      </c>
      <c r="H415" t="s">
        <v>18232</v>
      </c>
      <c r="I415" t="s">
        <v>1922</v>
      </c>
      <c r="J415" s="4">
        <v>13861.486451488046</v>
      </c>
      <c r="Q415" t="s">
        <v>20286</v>
      </c>
    </row>
    <row r="416" spans="1:17">
      <c r="A416" t="s">
        <v>18229</v>
      </c>
      <c r="B416" t="s">
        <v>20252</v>
      </c>
      <c r="C416" t="s">
        <v>13311</v>
      </c>
      <c r="D416" t="s">
        <v>16721</v>
      </c>
      <c r="E416" t="s">
        <v>7148</v>
      </c>
      <c r="F416" t="s">
        <v>18230</v>
      </c>
      <c r="G416" t="s">
        <v>18231</v>
      </c>
      <c r="H416" t="s">
        <v>18232</v>
      </c>
      <c r="I416" t="s">
        <v>1922</v>
      </c>
      <c r="J416" s="4">
        <v>10017.208005912476</v>
      </c>
      <c r="Q416" t="s">
        <v>20286</v>
      </c>
    </row>
    <row r="417" spans="1:17">
      <c r="A417" t="s">
        <v>18229</v>
      </c>
      <c r="B417" t="s">
        <v>20252</v>
      </c>
      <c r="C417" t="s">
        <v>13311</v>
      </c>
      <c r="D417" t="s">
        <v>16721</v>
      </c>
      <c r="E417" t="s">
        <v>7151</v>
      </c>
      <c r="F417" t="s">
        <v>18230</v>
      </c>
      <c r="G417" t="s">
        <v>18231</v>
      </c>
      <c r="H417" t="s">
        <v>18232</v>
      </c>
      <c r="I417" t="s">
        <v>1922</v>
      </c>
      <c r="J417" s="4">
        <v>94267.272482865883</v>
      </c>
      <c r="Q417" t="s">
        <v>20286</v>
      </c>
    </row>
    <row r="418" spans="1:17">
      <c r="A418" t="s">
        <v>18229</v>
      </c>
      <c r="B418" t="s">
        <v>20252</v>
      </c>
      <c r="C418" t="s">
        <v>13311</v>
      </c>
      <c r="D418" t="s">
        <v>16721</v>
      </c>
      <c r="E418" t="s">
        <v>7157</v>
      </c>
      <c r="F418" t="s">
        <v>18230</v>
      </c>
      <c r="G418" t="s">
        <v>18231</v>
      </c>
      <c r="H418" t="s">
        <v>18232</v>
      </c>
      <c r="I418" t="s">
        <v>1922</v>
      </c>
      <c r="J418" s="4">
        <v>19489.011299479243</v>
      </c>
      <c r="Q418" t="s">
        <v>20286</v>
      </c>
    </row>
    <row r="419" spans="1:17">
      <c r="A419" t="s">
        <v>18229</v>
      </c>
      <c r="B419" t="s">
        <v>20252</v>
      </c>
      <c r="C419" t="s">
        <v>13311</v>
      </c>
      <c r="D419" t="s">
        <v>16721</v>
      </c>
      <c r="E419" t="s">
        <v>7160</v>
      </c>
      <c r="F419" t="s">
        <v>18230</v>
      </c>
      <c r="G419" t="s">
        <v>18231</v>
      </c>
      <c r="H419" t="s">
        <v>18232</v>
      </c>
      <c r="I419" t="s">
        <v>1922</v>
      </c>
      <c r="J419" s="4">
        <v>109026.44609946261</v>
      </c>
      <c r="Q419" t="s">
        <v>20286</v>
      </c>
    </row>
    <row r="420" spans="1:17">
      <c r="A420" t="s">
        <v>18229</v>
      </c>
      <c r="B420" t="s">
        <v>20252</v>
      </c>
      <c r="C420" t="s">
        <v>13311</v>
      </c>
      <c r="D420" t="s">
        <v>16721</v>
      </c>
      <c r="E420" t="s">
        <v>7163</v>
      </c>
      <c r="F420" t="s">
        <v>18230</v>
      </c>
      <c r="G420" t="s">
        <v>18231</v>
      </c>
      <c r="H420" t="s">
        <v>18232</v>
      </c>
      <c r="I420" t="s">
        <v>1922</v>
      </c>
      <c r="J420" s="4">
        <v>55011.808544781692</v>
      </c>
      <c r="Q420" t="s">
        <v>20286</v>
      </c>
    </row>
    <row r="421" spans="1:17">
      <c r="A421" t="s">
        <v>18229</v>
      </c>
      <c r="B421" t="s">
        <v>20252</v>
      </c>
      <c r="C421" t="s">
        <v>13311</v>
      </c>
      <c r="D421" t="s">
        <v>16721</v>
      </c>
      <c r="E421" t="s">
        <v>6814</v>
      </c>
      <c r="F421" t="s">
        <v>18230</v>
      </c>
      <c r="G421" t="s">
        <v>18231</v>
      </c>
      <c r="H421" t="s">
        <v>18232</v>
      </c>
      <c r="I421" t="s">
        <v>1922</v>
      </c>
      <c r="J421" s="4">
        <v>13209.831807060862</v>
      </c>
      <c r="Q421" t="s">
        <v>20286</v>
      </c>
    </row>
    <row r="422" spans="1:17">
      <c r="A422" t="s">
        <v>18229</v>
      </c>
      <c r="B422" t="s">
        <v>20252</v>
      </c>
      <c r="C422" t="s">
        <v>13311</v>
      </c>
      <c r="D422" t="s">
        <v>16721</v>
      </c>
      <c r="E422" t="s">
        <v>6820</v>
      </c>
      <c r="F422" t="s">
        <v>18230</v>
      </c>
      <c r="G422" t="s">
        <v>18231</v>
      </c>
      <c r="H422" t="s">
        <v>18232</v>
      </c>
      <c r="I422" t="s">
        <v>1922</v>
      </c>
      <c r="J422" s="4">
        <v>9204.1184564876585</v>
      </c>
      <c r="Q422" t="s">
        <v>20286</v>
      </c>
    </row>
    <row r="423" spans="1:17">
      <c r="A423" t="s">
        <v>18229</v>
      </c>
      <c r="B423" t="s">
        <v>20252</v>
      </c>
      <c r="C423" t="s">
        <v>13311</v>
      </c>
      <c r="D423" t="s">
        <v>16721</v>
      </c>
      <c r="E423" t="s">
        <v>7169</v>
      </c>
      <c r="F423" t="s">
        <v>18230</v>
      </c>
      <c r="G423" t="s">
        <v>18231</v>
      </c>
      <c r="H423" t="s">
        <v>18232</v>
      </c>
      <c r="I423" t="s">
        <v>1922</v>
      </c>
      <c r="J423" s="4">
        <v>3779.2402566750134</v>
      </c>
      <c r="Q423" t="s">
        <v>20286</v>
      </c>
    </row>
    <row r="424" spans="1:17">
      <c r="A424" t="s">
        <v>18229</v>
      </c>
      <c r="B424" t="s">
        <v>20252</v>
      </c>
      <c r="C424" t="s">
        <v>13311</v>
      </c>
      <c r="D424" t="s">
        <v>16721</v>
      </c>
      <c r="E424" t="s">
        <v>7172</v>
      </c>
      <c r="F424" t="s">
        <v>18230</v>
      </c>
      <c r="G424" t="s">
        <v>18231</v>
      </c>
      <c r="H424" t="s">
        <v>18232</v>
      </c>
      <c r="I424" t="s">
        <v>1922</v>
      </c>
      <c r="J424" s="4">
        <v>45446.486741907174</v>
      </c>
      <c r="Q424" t="s">
        <v>20286</v>
      </c>
    </row>
    <row r="425" spans="1:17">
      <c r="A425" t="s">
        <v>18229</v>
      </c>
      <c r="B425" t="s">
        <v>20252</v>
      </c>
      <c r="C425" t="s">
        <v>13311</v>
      </c>
      <c r="D425" t="s">
        <v>16721</v>
      </c>
      <c r="E425" t="s">
        <v>7175</v>
      </c>
      <c r="F425" t="s">
        <v>18230</v>
      </c>
      <c r="G425" t="s">
        <v>18231</v>
      </c>
      <c r="H425" t="s">
        <v>18232</v>
      </c>
      <c r="I425" t="s">
        <v>1922</v>
      </c>
      <c r="J425" s="4">
        <v>5018.7995862804955</v>
      </c>
      <c r="Q425" t="s">
        <v>20286</v>
      </c>
    </row>
    <row r="426" spans="1:17">
      <c r="A426" t="s">
        <v>18229</v>
      </c>
      <c r="B426" t="s">
        <v>20252</v>
      </c>
      <c r="C426" t="s">
        <v>13311</v>
      </c>
      <c r="D426" t="s">
        <v>16721</v>
      </c>
      <c r="E426" t="s">
        <v>7178</v>
      </c>
      <c r="F426" t="s">
        <v>18230</v>
      </c>
      <c r="G426" t="s">
        <v>18231</v>
      </c>
      <c r="H426" t="s">
        <v>18232</v>
      </c>
      <c r="I426" t="s">
        <v>1922</v>
      </c>
      <c r="J426" s="4">
        <v>8138.4353128400862</v>
      </c>
      <c r="Q426" t="s">
        <v>20286</v>
      </c>
    </row>
    <row r="427" spans="1:17">
      <c r="A427" t="s">
        <v>18229</v>
      </c>
      <c r="B427" t="s">
        <v>20252</v>
      </c>
      <c r="C427" t="s">
        <v>13311</v>
      </c>
      <c r="D427" t="s">
        <v>16721</v>
      </c>
      <c r="E427" t="s">
        <v>7181</v>
      </c>
      <c r="F427" t="s">
        <v>18230</v>
      </c>
      <c r="G427" t="s">
        <v>18231</v>
      </c>
      <c r="H427" t="s">
        <v>18232</v>
      </c>
      <c r="I427" t="s">
        <v>1922</v>
      </c>
      <c r="J427" s="4">
        <v>11892.750453461907</v>
      </c>
      <c r="Q427" t="s">
        <v>20286</v>
      </c>
    </row>
    <row r="428" spans="1:17">
      <c r="A428" t="s">
        <v>18229</v>
      </c>
      <c r="B428" t="s">
        <v>20252</v>
      </c>
      <c r="C428" t="s">
        <v>13311</v>
      </c>
      <c r="D428" t="s">
        <v>16721</v>
      </c>
      <c r="E428" t="s">
        <v>6838</v>
      </c>
      <c r="F428" t="s">
        <v>18230</v>
      </c>
      <c r="G428" t="s">
        <v>18231</v>
      </c>
      <c r="H428" t="s">
        <v>18232</v>
      </c>
      <c r="I428" t="s">
        <v>1922</v>
      </c>
      <c r="J428" s="4">
        <v>23723.085600016748</v>
      </c>
      <c r="Q428" t="s">
        <v>20286</v>
      </c>
    </row>
    <row r="429" spans="1:17">
      <c r="A429" t="s">
        <v>18229</v>
      </c>
      <c r="B429" t="s">
        <v>20252</v>
      </c>
      <c r="C429" t="s">
        <v>13311</v>
      </c>
      <c r="D429" t="s">
        <v>16721</v>
      </c>
      <c r="E429" t="s">
        <v>7187</v>
      </c>
      <c r="F429" t="s">
        <v>18230</v>
      </c>
      <c r="G429" t="s">
        <v>18231</v>
      </c>
      <c r="H429" t="s">
        <v>18232</v>
      </c>
      <c r="I429" t="s">
        <v>1922</v>
      </c>
      <c r="J429" s="4">
        <v>12470.767105638193</v>
      </c>
      <c r="Q429" t="s">
        <v>20286</v>
      </c>
    </row>
    <row r="430" spans="1:17">
      <c r="A430" t="s">
        <v>18229</v>
      </c>
      <c r="B430" t="s">
        <v>20252</v>
      </c>
      <c r="C430" t="s">
        <v>13311</v>
      </c>
      <c r="D430" t="s">
        <v>16721</v>
      </c>
      <c r="E430" t="s">
        <v>7190</v>
      </c>
      <c r="F430" t="s">
        <v>18230</v>
      </c>
      <c r="G430" t="s">
        <v>18231</v>
      </c>
      <c r="H430" t="s">
        <v>18232</v>
      </c>
      <c r="I430" t="s">
        <v>1922</v>
      </c>
      <c r="J430" s="4">
        <v>8592.5072508726116</v>
      </c>
      <c r="Q430" t="s">
        <v>20286</v>
      </c>
    </row>
    <row r="431" spans="1:17">
      <c r="A431" t="s">
        <v>18229</v>
      </c>
      <c r="B431" t="s">
        <v>20252</v>
      </c>
      <c r="C431" t="s">
        <v>13311</v>
      </c>
      <c r="D431" t="s">
        <v>16721</v>
      </c>
      <c r="E431" t="s">
        <v>7193</v>
      </c>
      <c r="F431" t="s">
        <v>18230</v>
      </c>
      <c r="G431" t="s">
        <v>18231</v>
      </c>
      <c r="H431" t="s">
        <v>18232</v>
      </c>
      <c r="I431" t="s">
        <v>1922</v>
      </c>
      <c r="J431" s="4">
        <v>101529.88571765806</v>
      </c>
      <c r="Q431" t="s">
        <v>20286</v>
      </c>
    </row>
    <row r="432" spans="1:17">
      <c r="A432" t="s">
        <v>18229</v>
      </c>
      <c r="B432" t="s">
        <v>20252</v>
      </c>
      <c r="C432" t="s">
        <v>13311</v>
      </c>
      <c r="D432" t="s">
        <v>16721</v>
      </c>
      <c r="E432" t="s">
        <v>7196</v>
      </c>
      <c r="F432" t="s">
        <v>18230</v>
      </c>
      <c r="G432" t="s">
        <v>18231</v>
      </c>
      <c r="H432" t="s">
        <v>18232</v>
      </c>
      <c r="I432" t="s">
        <v>1922</v>
      </c>
      <c r="J432" s="4">
        <v>117584.00093320957</v>
      </c>
      <c r="Q432" t="s">
        <v>20286</v>
      </c>
    </row>
    <row r="433" spans="1:17">
      <c r="A433" t="s">
        <v>18229</v>
      </c>
      <c r="B433" t="s">
        <v>20252</v>
      </c>
      <c r="C433" t="s">
        <v>13311</v>
      </c>
      <c r="D433" t="s">
        <v>16721</v>
      </c>
      <c r="E433" t="s">
        <v>7199</v>
      </c>
      <c r="F433" t="s">
        <v>18230</v>
      </c>
      <c r="G433" t="s">
        <v>18231</v>
      </c>
      <c r="H433" t="s">
        <v>18232</v>
      </c>
      <c r="I433" t="s">
        <v>1922</v>
      </c>
      <c r="J433" s="4">
        <v>27150.933172156656</v>
      </c>
      <c r="Q433" t="s">
        <v>20286</v>
      </c>
    </row>
    <row r="434" spans="1:17">
      <c r="A434" t="s">
        <v>18229</v>
      </c>
      <c r="B434" t="s">
        <v>20252</v>
      </c>
      <c r="C434" t="s">
        <v>13311</v>
      </c>
      <c r="D434" t="s">
        <v>16721</v>
      </c>
      <c r="E434" t="s">
        <v>7202</v>
      </c>
      <c r="F434" t="s">
        <v>18230</v>
      </c>
      <c r="G434" t="s">
        <v>18231</v>
      </c>
      <c r="H434" t="s">
        <v>18232</v>
      </c>
      <c r="I434" t="s">
        <v>1922</v>
      </c>
      <c r="J434" s="4">
        <v>35930.694080865484</v>
      </c>
      <c r="Q434" t="s">
        <v>20286</v>
      </c>
    </row>
    <row r="435" spans="1:17">
      <c r="A435" t="s">
        <v>18229</v>
      </c>
      <c r="B435" t="s">
        <v>20252</v>
      </c>
      <c r="C435" t="s">
        <v>13311</v>
      </c>
      <c r="D435" t="s">
        <v>16721</v>
      </c>
      <c r="E435" t="s">
        <v>7205</v>
      </c>
      <c r="F435" t="s">
        <v>18230</v>
      </c>
      <c r="G435" t="s">
        <v>18231</v>
      </c>
      <c r="H435" t="s">
        <v>18232</v>
      </c>
      <c r="I435" t="s">
        <v>1922</v>
      </c>
      <c r="J435" s="4">
        <v>5947.6827991701866</v>
      </c>
      <c r="Q435" t="s">
        <v>20286</v>
      </c>
    </row>
    <row r="436" spans="1:17">
      <c r="A436" t="s">
        <v>18229</v>
      </c>
      <c r="B436" t="s">
        <v>20252</v>
      </c>
      <c r="C436" t="s">
        <v>13311</v>
      </c>
      <c r="D436" t="s">
        <v>16721</v>
      </c>
      <c r="E436" t="s">
        <v>7211</v>
      </c>
      <c r="F436" t="s">
        <v>18230</v>
      </c>
      <c r="G436" t="s">
        <v>18231</v>
      </c>
      <c r="H436" t="s">
        <v>18232</v>
      </c>
      <c r="I436" t="s">
        <v>1922</v>
      </c>
      <c r="J436" s="4">
        <v>75704.010864691183</v>
      </c>
      <c r="Q436" t="s">
        <v>20286</v>
      </c>
    </row>
    <row r="437" spans="1:17">
      <c r="A437" t="s">
        <v>18229</v>
      </c>
      <c r="B437" t="s">
        <v>20252</v>
      </c>
      <c r="C437" t="s">
        <v>13311</v>
      </c>
      <c r="D437" t="s">
        <v>16721</v>
      </c>
      <c r="E437" t="s">
        <v>7217</v>
      </c>
      <c r="F437" t="s">
        <v>18230</v>
      </c>
      <c r="G437" t="s">
        <v>18231</v>
      </c>
      <c r="H437" t="s">
        <v>18232</v>
      </c>
      <c r="I437" t="s">
        <v>1922</v>
      </c>
      <c r="J437" s="4">
        <v>1004.5289864895889</v>
      </c>
      <c r="Q437" t="s">
        <v>20286</v>
      </c>
    </row>
    <row r="438" spans="1:17">
      <c r="A438" t="s">
        <v>18229</v>
      </c>
      <c r="B438" t="s">
        <v>20252</v>
      </c>
      <c r="C438" t="s">
        <v>13311</v>
      </c>
      <c r="D438" t="s">
        <v>16721</v>
      </c>
      <c r="E438" t="s">
        <v>7220</v>
      </c>
      <c r="F438" t="s">
        <v>18230</v>
      </c>
      <c r="G438" t="s">
        <v>18231</v>
      </c>
      <c r="H438" t="s">
        <v>18232</v>
      </c>
      <c r="I438" t="s">
        <v>1922</v>
      </c>
      <c r="J438" s="4">
        <v>30419.133112869709</v>
      </c>
      <c r="Q438" t="s">
        <v>20286</v>
      </c>
    </row>
    <row r="439" spans="1:17">
      <c r="A439" t="s">
        <v>18229</v>
      </c>
      <c r="B439" t="s">
        <v>20252</v>
      </c>
      <c r="C439" t="s">
        <v>13311</v>
      </c>
      <c r="D439" t="s">
        <v>16721</v>
      </c>
      <c r="E439" t="s">
        <v>7223</v>
      </c>
      <c r="F439" t="s">
        <v>18230</v>
      </c>
      <c r="G439" t="s">
        <v>18231</v>
      </c>
      <c r="H439" t="s">
        <v>18232</v>
      </c>
      <c r="I439" t="s">
        <v>1922</v>
      </c>
      <c r="J439" s="4">
        <v>1737.9185140413836</v>
      </c>
      <c r="Q439" t="s">
        <v>20286</v>
      </c>
    </row>
    <row r="440" spans="1:17">
      <c r="A440" t="s">
        <v>18229</v>
      </c>
      <c r="B440" t="s">
        <v>20252</v>
      </c>
      <c r="C440" t="s">
        <v>13311</v>
      </c>
      <c r="D440" t="s">
        <v>16721</v>
      </c>
      <c r="E440" t="s">
        <v>7226</v>
      </c>
      <c r="F440" t="s">
        <v>18230</v>
      </c>
      <c r="G440" t="s">
        <v>18231</v>
      </c>
      <c r="H440" t="s">
        <v>18232</v>
      </c>
      <c r="I440" t="s">
        <v>1922</v>
      </c>
      <c r="J440" s="4">
        <v>10964.695111879897</v>
      </c>
      <c r="Q440" t="s">
        <v>20286</v>
      </c>
    </row>
    <row r="441" spans="1:17">
      <c r="A441" t="s">
        <v>18229</v>
      </c>
      <c r="B441" t="s">
        <v>20252</v>
      </c>
      <c r="C441" t="s">
        <v>13311</v>
      </c>
      <c r="D441" t="s">
        <v>16721</v>
      </c>
      <c r="E441" t="s">
        <v>7232</v>
      </c>
      <c r="F441" t="s">
        <v>18230</v>
      </c>
      <c r="G441" t="s">
        <v>18231</v>
      </c>
      <c r="H441" t="s">
        <v>18232</v>
      </c>
      <c r="I441" t="s">
        <v>1922</v>
      </c>
      <c r="J441" s="4">
        <v>1341.6466938034828</v>
      </c>
      <c r="Q441" t="s">
        <v>20286</v>
      </c>
    </row>
    <row r="442" spans="1:17">
      <c r="A442" t="s">
        <v>18229</v>
      </c>
      <c r="B442" t="s">
        <v>20252</v>
      </c>
      <c r="C442" t="s">
        <v>13311</v>
      </c>
      <c r="D442" t="s">
        <v>16721</v>
      </c>
      <c r="E442" t="s">
        <v>7235</v>
      </c>
      <c r="F442" t="s">
        <v>18230</v>
      </c>
      <c r="G442" t="s">
        <v>18231</v>
      </c>
      <c r="H442" t="s">
        <v>18232</v>
      </c>
      <c r="I442" t="s">
        <v>1922</v>
      </c>
      <c r="J442" s="4">
        <v>12208.037890732629</v>
      </c>
      <c r="Q442" t="s">
        <v>20286</v>
      </c>
    </row>
    <row r="443" spans="1:17">
      <c r="A443" t="s">
        <v>18229</v>
      </c>
      <c r="B443" t="s">
        <v>20252</v>
      </c>
      <c r="C443" t="s">
        <v>13311</v>
      </c>
      <c r="D443" t="s">
        <v>16721</v>
      </c>
      <c r="E443" t="s">
        <v>7241</v>
      </c>
      <c r="F443" t="s">
        <v>18230</v>
      </c>
      <c r="G443" t="s">
        <v>18231</v>
      </c>
      <c r="H443" t="s">
        <v>18232</v>
      </c>
      <c r="I443" t="s">
        <v>1922</v>
      </c>
      <c r="J443" s="4">
        <v>20237.573309595158</v>
      </c>
      <c r="Q443" t="s">
        <v>20286</v>
      </c>
    </row>
    <row r="444" spans="1:17">
      <c r="A444" t="s">
        <v>18229</v>
      </c>
      <c r="B444" t="s">
        <v>20252</v>
      </c>
      <c r="C444" t="s">
        <v>13311</v>
      </c>
      <c r="D444" t="s">
        <v>16721</v>
      </c>
      <c r="E444" t="s">
        <v>7244</v>
      </c>
      <c r="F444" t="s">
        <v>18230</v>
      </c>
      <c r="G444" t="s">
        <v>18231</v>
      </c>
      <c r="H444" t="s">
        <v>18232</v>
      </c>
      <c r="I444" t="s">
        <v>1922</v>
      </c>
      <c r="J444" s="4">
        <v>5890.0142123309888</v>
      </c>
      <c r="Q444" t="s">
        <v>20286</v>
      </c>
    </row>
    <row r="445" spans="1:17">
      <c r="A445" t="s">
        <v>18229</v>
      </c>
      <c r="B445" t="s">
        <v>20252</v>
      </c>
      <c r="C445" t="s">
        <v>13311</v>
      </c>
      <c r="D445" t="s">
        <v>16721</v>
      </c>
      <c r="E445" t="s">
        <v>7247</v>
      </c>
      <c r="F445" t="s">
        <v>18230</v>
      </c>
      <c r="G445" t="s">
        <v>18231</v>
      </c>
      <c r="H445" t="s">
        <v>18232</v>
      </c>
      <c r="I445" t="s">
        <v>1922</v>
      </c>
      <c r="J445" s="4">
        <v>7904.414663234963</v>
      </c>
      <c r="Q445" t="s">
        <v>20286</v>
      </c>
    </row>
    <row r="446" spans="1:17">
      <c r="A446" t="s">
        <v>18229</v>
      </c>
      <c r="B446" t="s">
        <v>20252</v>
      </c>
      <c r="C446" t="s">
        <v>13311</v>
      </c>
      <c r="D446" t="s">
        <v>16721</v>
      </c>
      <c r="E446" t="s">
        <v>7250</v>
      </c>
      <c r="F446" t="s">
        <v>18230</v>
      </c>
      <c r="G446" t="s">
        <v>18231</v>
      </c>
      <c r="H446" t="s">
        <v>18232</v>
      </c>
      <c r="I446" t="s">
        <v>1922</v>
      </c>
      <c r="J446" s="4">
        <v>8611.7339817098564</v>
      </c>
      <c r="Q446" t="s">
        <v>20286</v>
      </c>
    </row>
    <row r="447" spans="1:17">
      <c r="A447" t="s">
        <v>18229</v>
      </c>
      <c r="B447" t="s">
        <v>20252</v>
      </c>
      <c r="C447" t="s">
        <v>13311</v>
      </c>
      <c r="D447" t="s">
        <v>16721</v>
      </c>
      <c r="E447" t="s">
        <v>7253</v>
      </c>
      <c r="F447" t="s">
        <v>18230</v>
      </c>
      <c r="G447" t="s">
        <v>18231</v>
      </c>
      <c r="H447" t="s">
        <v>18232</v>
      </c>
      <c r="I447" t="s">
        <v>1922</v>
      </c>
      <c r="J447" s="4">
        <v>13072.989322170344</v>
      </c>
      <c r="Q447" t="s">
        <v>20286</v>
      </c>
    </row>
    <row r="448" spans="1:17">
      <c r="A448" t="s">
        <v>18229</v>
      </c>
      <c r="B448" t="s">
        <v>20252</v>
      </c>
      <c r="C448" t="s">
        <v>13311</v>
      </c>
      <c r="D448" t="s">
        <v>16721</v>
      </c>
      <c r="E448" t="s">
        <v>7262</v>
      </c>
      <c r="F448" t="s">
        <v>18230</v>
      </c>
      <c r="G448" t="s">
        <v>18231</v>
      </c>
      <c r="H448" t="s">
        <v>18232</v>
      </c>
      <c r="I448" t="s">
        <v>1922</v>
      </c>
      <c r="J448" s="4">
        <v>6702.2913646781772</v>
      </c>
      <c r="Q448" t="s">
        <v>20286</v>
      </c>
    </row>
    <row r="449" spans="1:17">
      <c r="A449" t="s">
        <v>18229</v>
      </c>
      <c r="B449" t="s">
        <v>20252</v>
      </c>
      <c r="C449" t="s">
        <v>13311</v>
      </c>
      <c r="D449" t="s">
        <v>16721</v>
      </c>
      <c r="E449" t="s">
        <v>7265</v>
      </c>
      <c r="F449" t="s">
        <v>18230</v>
      </c>
      <c r="G449" t="s">
        <v>18231</v>
      </c>
      <c r="H449" t="s">
        <v>18232</v>
      </c>
      <c r="I449" t="s">
        <v>1922</v>
      </c>
      <c r="J449" s="4">
        <v>17541.672293054879</v>
      </c>
      <c r="Q449" t="s">
        <v>20286</v>
      </c>
    </row>
    <row r="450" spans="1:17">
      <c r="A450" t="s">
        <v>18229</v>
      </c>
      <c r="B450" t="s">
        <v>20252</v>
      </c>
      <c r="C450" t="s">
        <v>13311</v>
      </c>
      <c r="D450" t="s">
        <v>16721</v>
      </c>
      <c r="E450" t="s">
        <v>6847</v>
      </c>
      <c r="F450" t="s">
        <v>18230</v>
      </c>
      <c r="G450" t="s">
        <v>18231</v>
      </c>
      <c r="H450" t="s">
        <v>18232</v>
      </c>
      <c r="I450" t="s">
        <v>1922</v>
      </c>
      <c r="J450" s="4">
        <v>6181.3475414841587</v>
      </c>
      <c r="Q450" t="s">
        <v>20286</v>
      </c>
    </row>
    <row r="451" spans="1:17">
      <c r="A451" t="s">
        <v>18229</v>
      </c>
      <c r="B451" t="s">
        <v>20252</v>
      </c>
      <c r="C451" t="s">
        <v>13311</v>
      </c>
      <c r="D451" t="s">
        <v>16721</v>
      </c>
      <c r="E451" t="s">
        <v>7274</v>
      </c>
      <c r="F451" t="s">
        <v>18230</v>
      </c>
      <c r="G451" t="s">
        <v>18231</v>
      </c>
      <c r="H451" t="s">
        <v>18232</v>
      </c>
      <c r="I451" t="s">
        <v>1922</v>
      </c>
      <c r="J451" s="4">
        <v>4271.2047155427117</v>
      </c>
      <c r="Q451" t="s">
        <v>20286</v>
      </c>
    </row>
    <row r="452" spans="1:17">
      <c r="A452" t="s">
        <v>18229</v>
      </c>
      <c r="B452" t="s">
        <v>20252</v>
      </c>
      <c r="C452" t="s">
        <v>13311</v>
      </c>
      <c r="D452" t="s">
        <v>16721</v>
      </c>
      <c r="E452" t="s">
        <v>5561</v>
      </c>
      <c r="F452" t="s">
        <v>18230</v>
      </c>
      <c r="G452" t="s">
        <v>18231</v>
      </c>
      <c r="H452" t="s">
        <v>18232</v>
      </c>
      <c r="I452" t="s">
        <v>1922</v>
      </c>
      <c r="J452" s="4">
        <v>12485.517915433447</v>
      </c>
      <c r="Q452" t="s">
        <v>20286</v>
      </c>
    </row>
    <row r="453" spans="1:17">
      <c r="A453" t="s">
        <v>18229</v>
      </c>
      <c r="B453" t="s">
        <v>20252</v>
      </c>
      <c r="C453" t="s">
        <v>13311</v>
      </c>
      <c r="D453" t="s">
        <v>16721</v>
      </c>
      <c r="E453" t="s">
        <v>6388</v>
      </c>
      <c r="F453" t="s">
        <v>18230</v>
      </c>
      <c r="G453" t="s">
        <v>18231</v>
      </c>
      <c r="H453" t="s">
        <v>18232</v>
      </c>
      <c r="I453" t="s">
        <v>1922</v>
      </c>
      <c r="J453" s="4">
        <v>8801.7420524949939</v>
      </c>
      <c r="Q453" t="s">
        <v>20286</v>
      </c>
    </row>
    <row r="454" spans="1:17">
      <c r="A454" t="s">
        <v>18229</v>
      </c>
      <c r="B454" t="s">
        <v>20252</v>
      </c>
      <c r="C454" t="s">
        <v>13311</v>
      </c>
      <c r="D454" t="s">
        <v>16721</v>
      </c>
      <c r="E454" t="s">
        <v>6796</v>
      </c>
      <c r="F454" t="s">
        <v>18230</v>
      </c>
      <c r="G454" t="s">
        <v>18231</v>
      </c>
      <c r="H454" t="s">
        <v>18232</v>
      </c>
      <c r="I454" t="s">
        <v>1922</v>
      </c>
      <c r="J454" s="4">
        <v>2039.3139612846294</v>
      </c>
      <c r="Q454" t="s">
        <v>20286</v>
      </c>
    </row>
    <row r="455" spans="1:17">
      <c r="A455" t="s">
        <v>18229</v>
      </c>
      <c r="B455" t="s">
        <v>20252</v>
      </c>
      <c r="C455" t="s">
        <v>13311</v>
      </c>
      <c r="D455" t="s">
        <v>16721</v>
      </c>
      <c r="E455" t="s">
        <v>18185</v>
      </c>
      <c r="F455" t="s">
        <v>18230</v>
      </c>
      <c r="G455" t="s">
        <v>18231</v>
      </c>
      <c r="H455" t="s">
        <v>18232</v>
      </c>
      <c r="I455" t="s">
        <v>1922</v>
      </c>
      <c r="J455" s="4">
        <v>4954.581531572594</v>
      </c>
      <c r="Q455" t="s">
        <v>20286</v>
      </c>
    </row>
    <row r="456" spans="1:17">
      <c r="A456" t="s">
        <v>18229</v>
      </c>
      <c r="B456" t="s">
        <v>20252</v>
      </c>
      <c r="C456" t="s">
        <v>13311</v>
      </c>
      <c r="D456" t="s">
        <v>16721</v>
      </c>
      <c r="E456" t="s">
        <v>6018</v>
      </c>
      <c r="F456" t="s">
        <v>18230</v>
      </c>
      <c r="G456" t="s">
        <v>18231</v>
      </c>
      <c r="H456" t="s">
        <v>18232</v>
      </c>
      <c r="I456" t="s">
        <v>1922</v>
      </c>
      <c r="J456" s="4">
        <v>33815.79624290116</v>
      </c>
      <c r="Q456" t="s">
        <v>20286</v>
      </c>
    </row>
    <row r="457" spans="1:17">
      <c r="A457" t="s">
        <v>18229</v>
      </c>
      <c r="B457" t="s">
        <v>20252</v>
      </c>
      <c r="C457" t="s">
        <v>13311</v>
      </c>
      <c r="D457" t="s">
        <v>16721</v>
      </c>
      <c r="E457" t="s">
        <v>5282</v>
      </c>
      <c r="F457" t="s">
        <v>18230</v>
      </c>
      <c r="G457" t="s">
        <v>18231</v>
      </c>
      <c r="H457" t="s">
        <v>18232</v>
      </c>
      <c r="I457" t="s">
        <v>1922</v>
      </c>
      <c r="J457" s="4">
        <v>3088.5286556013848</v>
      </c>
      <c r="Q457" t="s">
        <v>20286</v>
      </c>
    </row>
    <row r="458" spans="1:17">
      <c r="A458" t="s">
        <v>18229</v>
      </c>
      <c r="B458" t="s">
        <v>20252</v>
      </c>
      <c r="C458" t="s">
        <v>13311</v>
      </c>
      <c r="D458" t="s">
        <v>16721</v>
      </c>
      <c r="E458" t="s">
        <v>5192</v>
      </c>
      <c r="F458" t="s">
        <v>18230</v>
      </c>
      <c r="G458" t="s">
        <v>18231</v>
      </c>
      <c r="H458" t="s">
        <v>18232</v>
      </c>
      <c r="I458" t="s">
        <v>1922</v>
      </c>
      <c r="J458" s="4">
        <v>10725.397749827689</v>
      </c>
      <c r="Q458" t="s">
        <v>20286</v>
      </c>
    </row>
    <row r="459" spans="1:17">
      <c r="A459" t="s">
        <v>18229</v>
      </c>
      <c r="B459" t="s">
        <v>20252</v>
      </c>
      <c r="C459" t="s">
        <v>13311</v>
      </c>
      <c r="D459" t="s">
        <v>16721</v>
      </c>
      <c r="E459" t="s">
        <v>19775</v>
      </c>
      <c r="F459" t="s">
        <v>18230</v>
      </c>
      <c r="G459" t="s">
        <v>18231</v>
      </c>
      <c r="H459" t="s">
        <v>18232</v>
      </c>
      <c r="I459" t="s">
        <v>1922</v>
      </c>
      <c r="J459" s="4">
        <v>6847.7181786889851</v>
      </c>
      <c r="Q459" t="s">
        <v>20286</v>
      </c>
    </row>
    <row r="460" spans="1:17">
      <c r="A460" t="s">
        <v>18229</v>
      </c>
      <c r="B460" t="s">
        <v>20252</v>
      </c>
      <c r="C460" t="s">
        <v>13311</v>
      </c>
      <c r="D460" t="s">
        <v>16721</v>
      </c>
      <c r="E460" t="s">
        <v>7367</v>
      </c>
      <c r="F460" t="s">
        <v>18230</v>
      </c>
      <c r="G460" t="s">
        <v>18231</v>
      </c>
      <c r="H460" t="s">
        <v>18232</v>
      </c>
      <c r="I460" t="s">
        <v>1922</v>
      </c>
      <c r="J460" s="4">
        <v>8515.0277810117768</v>
      </c>
      <c r="Q460" t="s">
        <v>20286</v>
      </c>
    </row>
    <row r="461" spans="1:17">
      <c r="A461" t="s">
        <v>18229</v>
      </c>
      <c r="B461" t="s">
        <v>20252</v>
      </c>
      <c r="C461" t="s">
        <v>13311</v>
      </c>
      <c r="D461" t="s">
        <v>16721</v>
      </c>
      <c r="E461" t="s">
        <v>6979</v>
      </c>
      <c r="F461" t="s">
        <v>18230</v>
      </c>
      <c r="G461" t="s">
        <v>18231</v>
      </c>
      <c r="H461" t="s">
        <v>18232</v>
      </c>
      <c r="I461" t="s">
        <v>1922</v>
      </c>
      <c r="J461" s="4">
        <v>27294.506947118967</v>
      </c>
      <c r="Q461" t="s">
        <v>20286</v>
      </c>
    </row>
    <row r="462" spans="1:17">
      <c r="A462" t="s">
        <v>18229</v>
      </c>
      <c r="B462" t="s">
        <v>20252</v>
      </c>
      <c r="C462" t="s">
        <v>13311</v>
      </c>
      <c r="D462" t="s">
        <v>16721</v>
      </c>
      <c r="E462" t="s">
        <v>20160</v>
      </c>
      <c r="F462" t="s">
        <v>18230</v>
      </c>
      <c r="G462" t="s">
        <v>18231</v>
      </c>
      <c r="H462" t="s">
        <v>18232</v>
      </c>
      <c r="I462" t="s">
        <v>1922</v>
      </c>
      <c r="J462" s="4">
        <v>16690.48132068921</v>
      </c>
      <c r="Q462" t="s">
        <v>20286</v>
      </c>
    </row>
    <row r="463" spans="1:17">
      <c r="A463" t="s">
        <v>18229</v>
      </c>
      <c r="B463" t="s">
        <v>20252</v>
      </c>
      <c r="C463" t="s">
        <v>13311</v>
      </c>
      <c r="D463" t="s">
        <v>16721</v>
      </c>
      <c r="E463" t="s">
        <v>7268</v>
      </c>
      <c r="F463" t="s">
        <v>18230</v>
      </c>
      <c r="G463" t="s">
        <v>18231</v>
      </c>
      <c r="H463" t="s">
        <v>18232</v>
      </c>
      <c r="I463" t="s">
        <v>1922</v>
      </c>
      <c r="J463" s="4">
        <v>34373.015529890115</v>
      </c>
      <c r="Q463" t="s">
        <v>20286</v>
      </c>
    </row>
    <row r="464" spans="1:17">
      <c r="A464" t="s">
        <v>18229</v>
      </c>
      <c r="B464" t="s">
        <v>20252</v>
      </c>
      <c r="C464" t="s">
        <v>13311</v>
      </c>
      <c r="D464" t="s">
        <v>16721</v>
      </c>
      <c r="E464" t="s">
        <v>20173</v>
      </c>
      <c r="F464" t="s">
        <v>18230</v>
      </c>
      <c r="G464" t="s">
        <v>18231</v>
      </c>
      <c r="H464" t="s">
        <v>18232</v>
      </c>
      <c r="I464" t="s">
        <v>1922</v>
      </c>
      <c r="J464" s="4">
        <v>31302.077205298177</v>
      </c>
      <c r="Q464" t="s">
        <v>20286</v>
      </c>
    </row>
    <row r="465" spans="1:17">
      <c r="A465" t="s">
        <v>18229</v>
      </c>
      <c r="B465" t="s">
        <v>20252</v>
      </c>
      <c r="C465" t="s">
        <v>13311</v>
      </c>
      <c r="D465" t="s">
        <v>16721</v>
      </c>
      <c r="E465" t="s">
        <v>20174</v>
      </c>
      <c r="F465" t="s">
        <v>18230</v>
      </c>
      <c r="G465" t="s">
        <v>18231</v>
      </c>
      <c r="H465" t="s">
        <v>18232</v>
      </c>
      <c r="I465" t="s">
        <v>1922</v>
      </c>
      <c r="J465" s="4">
        <v>41247.976090582299</v>
      </c>
      <c r="Q465" t="s">
        <v>20286</v>
      </c>
    </row>
    <row r="466" spans="1:17">
      <c r="A466" t="s">
        <v>18229</v>
      </c>
      <c r="B466" t="s">
        <v>20252</v>
      </c>
      <c r="C466" t="s">
        <v>13311</v>
      </c>
      <c r="D466" t="s">
        <v>16721</v>
      </c>
      <c r="E466" t="s">
        <v>20189</v>
      </c>
      <c r="F466" t="s">
        <v>18230</v>
      </c>
      <c r="G466" t="s">
        <v>18231</v>
      </c>
      <c r="H466" t="s">
        <v>18232</v>
      </c>
      <c r="I466" t="s">
        <v>1922</v>
      </c>
      <c r="J466" s="4">
        <v>4076.8677289010598</v>
      </c>
      <c r="Q466" t="s">
        <v>20286</v>
      </c>
    </row>
    <row r="467" spans="1:17">
      <c r="A467" t="s">
        <v>18229</v>
      </c>
      <c r="B467" t="s">
        <v>20252</v>
      </c>
      <c r="C467" t="s">
        <v>13311</v>
      </c>
      <c r="D467" t="s">
        <v>16721</v>
      </c>
      <c r="E467" t="s">
        <v>20190</v>
      </c>
      <c r="F467" t="s">
        <v>18230</v>
      </c>
      <c r="G467" t="s">
        <v>18231</v>
      </c>
      <c r="H467" t="s">
        <v>18232</v>
      </c>
      <c r="I467" t="s">
        <v>1922</v>
      </c>
      <c r="J467" s="4">
        <v>12433.126041041332</v>
      </c>
      <c r="Q467" t="s">
        <v>20286</v>
      </c>
    </row>
    <row r="468" spans="1:17">
      <c r="A468" t="s">
        <v>18229</v>
      </c>
      <c r="B468" t="s">
        <v>20252</v>
      </c>
      <c r="C468" t="s">
        <v>13311</v>
      </c>
      <c r="D468" t="s">
        <v>16721</v>
      </c>
      <c r="E468" t="s">
        <v>20191</v>
      </c>
      <c r="F468" t="s">
        <v>18230</v>
      </c>
      <c r="G468" t="s">
        <v>18231</v>
      </c>
      <c r="H468" t="s">
        <v>18232</v>
      </c>
      <c r="I468" t="s">
        <v>1922</v>
      </c>
      <c r="J468" s="4">
        <v>1878.4825512589493</v>
      </c>
      <c r="Q468" t="s">
        <v>20286</v>
      </c>
    </row>
    <row r="469" spans="1:17">
      <c r="A469" t="s">
        <v>18229</v>
      </c>
      <c r="B469" t="s">
        <v>20252</v>
      </c>
      <c r="C469" t="s">
        <v>13311</v>
      </c>
      <c r="D469" t="s">
        <v>16721</v>
      </c>
      <c r="E469" t="s">
        <v>20207</v>
      </c>
      <c r="F469" t="s">
        <v>18230</v>
      </c>
      <c r="G469" t="s">
        <v>18231</v>
      </c>
      <c r="H469" t="s">
        <v>18232</v>
      </c>
      <c r="I469" t="s">
        <v>1922</v>
      </c>
      <c r="J469" s="4">
        <v>9647.1533999369512</v>
      </c>
      <c r="Q469" t="s">
        <v>20286</v>
      </c>
    </row>
    <row r="470" spans="1:17">
      <c r="A470" t="s">
        <v>18229</v>
      </c>
      <c r="B470" t="s">
        <v>20252</v>
      </c>
      <c r="C470" t="s">
        <v>13311</v>
      </c>
      <c r="D470" t="s">
        <v>16721</v>
      </c>
      <c r="E470" t="s">
        <v>20208</v>
      </c>
      <c r="F470" t="s">
        <v>18230</v>
      </c>
      <c r="G470" t="s">
        <v>18231</v>
      </c>
      <c r="H470" t="s">
        <v>18232</v>
      </c>
      <c r="I470" t="s">
        <v>1922</v>
      </c>
      <c r="J470" s="4">
        <v>4483.3912265471499</v>
      </c>
      <c r="Q470" t="s">
        <v>20286</v>
      </c>
    </row>
    <row r="471" spans="1:17">
      <c r="A471" t="s">
        <v>18229</v>
      </c>
      <c r="B471" t="s">
        <v>20252</v>
      </c>
      <c r="C471" t="s">
        <v>13311</v>
      </c>
      <c r="D471" t="s">
        <v>16721</v>
      </c>
      <c r="E471" t="s">
        <v>20245</v>
      </c>
      <c r="F471" t="s">
        <v>18230</v>
      </c>
      <c r="G471" t="s">
        <v>18231</v>
      </c>
      <c r="H471" t="s">
        <v>18232</v>
      </c>
      <c r="I471" t="s">
        <v>1922</v>
      </c>
      <c r="J471" s="4">
        <v>27099.051947356194</v>
      </c>
      <c r="Q471" t="s">
        <v>20286</v>
      </c>
    </row>
    <row r="472" spans="1:17">
      <c r="A472" t="s">
        <v>18229</v>
      </c>
      <c r="B472" t="s">
        <v>20252</v>
      </c>
      <c r="C472" t="s">
        <v>13311</v>
      </c>
      <c r="D472" t="s">
        <v>16721</v>
      </c>
      <c r="E472" t="s">
        <v>20253</v>
      </c>
      <c r="F472" t="s">
        <v>18230</v>
      </c>
      <c r="G472" t="s">
        <v>18231</v>
      </c>
      <c r="H472" t="s">
        <v>18232</v>
      </c>
      <c r="I472" t="s">
        <v>1922</v>
      </c>
      <c r="J472" s="4">
        <v>8483.642173912669</v>
      </c>
      <c r="Q472" t="s">
        <v>20286</v>
      </c>
    </row>
    <row r="473" spans="1:17">
      <c r="A473" t="s">
        <v>18229</v>
      </c>
      <c r="B473" t="s">
        <v>20252</v>
      </c>
      <c r="C473" t="s">
        <v>13311</v>
      </c>
      <c r="D473" t="s">
        <v>16721</v>
      </c>
      <c r="E473" t="s">
        <v>7154</v>
      </c>
      <c r="F473" t="s">
        <v>18230</v>
      </c>
      <c r="G473" t="s">
        <v>18231</v>
      </c>
      <c r="H473" t="s">
        <v>18232</v>
      </c>
      <c r="I473" t="s">
        <v>1922</v>
      </c>
      <c r="J473" s="4">
        <v>97583.187211938406</v>
      </c>
      <c r="Q473" t="s">
        <v>20286</v>
      </c>
    </row>
    <row r="474" spans="1:17">
      <c r="A474" t="s">
        <v>18229</v>
      </c>
      <c r="B474" t="s">
        <v>20252</v>
      </c>
      <c r="C474" t="s">
        <v>13311</v>
      </c>
      <c r="D474" t="s">
        <v>16721</v>
      </c>
      <c r="E474" t="s">
        <v>7208</v>
      </c>
      <c r="F474" t="s">
        <v>18230</v>
      </c>
      <c r="G474" t="s">
        <v>18231</v>
      </c>
      <c r="H474" t="s">
        <v>18232</v>
      </c>
      <c r="I474" t="s">
        <v>1922</v>
      </c>
      <c r="J474" s="4">
        <v>65899.163454871217</v>
      </c>
      <c r="Q474" t="s">
        <v>20286</v>
      </c>
    </row>
    <row r="475" spans="1:17">
      <c r="A475" t="s">
        <v>18229</v>
      </c>
      <c r="B475" t="s">
        <v>20252</v>
      </c>
      <c r="C475" t="s">
        <v>13311</v>
      </c>
      <c r="D475" t="s">
        <v>16721</v>
      </c>
      <c r="E475" t="s">
        <v>20259</v>
      </c>
      <c r="F475" t="s">
        <v>18230</v>
      </c>
      <c r="G475" t="s">
        <v>18231</v>
      </c>
      <c r="H475" t="s">
        <v>18232</v>
      </c>
      <c r="I475" t="s">
        <v>1922</v>
      </c>
      <c r="J475" s="4">
        <v>8474.5665379882885</v>
      </c>
      <c r="Q475" t="s">
        <v>20286</v>
      </c>
    </row>
    <row r="476" spans="1:17">
      <c r="A476" t="s">
        <v>18229</v>
      </c>
      <c r="B476" t="s">
        <v>20252</v>
      </c>
      <c r="C476" t="s">
        <v>13311</v>
      </c>
      <c r="D476" t="s">
        <v>16721</v>
      </c>
      <c r="E476" t="s">
        <v>20261</v>
      </c>
      <c r="F476" t="s">
        <v>18230</v>
      </c>
      <c r="G476" t="s">
        <v>18231</v>
      </c>
      <c r="H476" t="s">
        <v>18232</v>
      </c>
      <c r="I476" t="s">
        <v>1922</v>
      </c>
      <c r="J476" s="4">
        <v>7184.0969915179867</v>
      </c>
      <c r="Q476" t="s">
        <v>20286</v>
      </c>
    </row>
    <row r="477" spans="1:17">
      <c r="A477" t="s">
        <v>18229</v>
      </c>
      <c r="B477" t="s">
        <v>20252</v>
      </c>
      <c r="C477" t="s">
        <v>13311</v>
      </c>
      <c r="D477" t="s">
        <v>16721</v>
      </c>
      <c r="E477" t="s">
        <v>20288</v>
      </c>
      <c r="F477" t="s">
        <v>18230</v>
      </c>
      <c r="G477" t="s">
        <v>18231</v>
      </c>
      <c r="H477" t="s">
        <v>18232</v>
      </c>
      <c r="I477" t="s">
        <v>1922</v>
      </c>
      <c r="J477" s="4">
        <v>1936.8397413353764</v>
      </c>
      <c r="Q477" t="s">
        <v>20286</v>
      </c>
    </row>
    <row r="478" spans="1:17">
      <c r="A478" t="s">
        <v>18229</v>
      </c>
      <c r="B478" t="s">
        <v>20252</v>
      </c>
      <c r="C478" t="s">
        <v>13311</v>
      </c>
      <c r="D478" t="s">
        <v>16721</v>
      </c>
      <c r="E478" t="s">
        <v>5076</v>
      </c>
      <c r="F478" t="s">
        <v>18230</v>
      </c>
      <c r="G478" t="s">
        <v>18231</v>
      </c>
      <c r="H478" t="s">
        <v>18232</v>
      </c>
      <c r="I478" t="s">
        <v>1922</v>
      </c>
      <c r="J478" s="4">
        <v>8236.1838213930732</v>
      </c>
      <c r="Q478" t="s">
        <v>20286</v>
      </c>
    </row>
    <row r="479" spans="1:17">
      <c r="A479" t="s">
        <v>18229</v>
      </c>
      <c r="B479" t="s">
        <v>20252</v>
      </c>
      <c r="C479" t="s">
        <v>13311</v>
      </c>
      <c r="D479" t="s">
        <v>16721</v>
      </c>
      <c r="E479" t="s">
        <v>3656</v>
      </c>
      <c r="F479" t="s">
        <v>18230</v>
      </c>
      <c r="G479" t="s">
        <v>18231</v>
      </c>
      <c r="H479" t="s">
        <v>18232</v>
      </c>
      <c r="I479" t="s">
        <v>1922</v>
      </c>
      <c r="J479" s="4">
        <v>15927.20872550624</v>
      </c>
      <c r="Q479" t="s">
        <v>20286</v>
      </c>
    </row>
    <row r="480" spans="1:17">
      <c r="A480" t="s">
        <v>18229</v>
      </c>
      <c r="B480" t="s">
        <v>20252</v>
      </c>
      <c r="C480" t="s">
        <v>13311</v>
      </c>
      <c r="D480" t="s">
        <v>16721</v>
      </c>
      <c r="E480" t="s">
        <v>3664</v>
      </c>
      <c r="F480" t="s">
        <v>18230</v>
      </c>
      <c r="G480" t="s">
        <v>18231</v>
      </c>
      <c r="H480" t="s">
        <v>18232</v>
      </c>
      <c r="I480" t="s">
        <v>1922</v>
      </c>
      <c r="J480" s="4">
        <v>29890.558613466637</v>
      </c>
      <c r="Q480" t="s">
        <v>20286</v>
      </c>
    </row>
    <row r="481" spans="1:17">
      <c r="A481" t="s">
        <v>18229</v>
      </c>
      <c r="B481" t="s">
        <v>20252</v>
      </c>
      <c r="C481" t="s">
        <v>13311</v>
      </c>
      <c r="D481" t="s">
        <v>16721</v>
      </c>
      <c r="E481" t="s">
        <v>3672</v>
      </c>
      <c r="F481" t="s">
        <v>18230</v>
      </c>
      <c r="G481" t="s">
        <v>18231</v>
      </c>
      <c r="H481" t="s">
        <v>18232</v>
      </c>
      <c r="I481" t="s">
        <v>1922</v>
      </c>
      <c r="J481" s="4">
        <v>15334.57159734002</v>
      </c>
      <c r="Q481" t="s">
        <v>20286</v>
      </c>
    </row>
    <row r="482" spans="1:17">
      <c r="A482" t="s">
        <v>18229</v>
      </c>
      <c r="B482" t="s">
        <v>20252</v>
      </c>
      <c r="C482" t="s">
        <v>13311</v>
      </c>
      <c r="D482" t="s">
        <v>16721</v>
      </c>
      <c r="E482" t="s">
        <v>3681</v>
      </c>
      <c r="F482" t="s">
        <v>18230</v>
      </c>
      <c r="G482" t="s">
        <v>18231</v>
      </c>
      <c r="H482" t="s">
        <v>18232</v>
      </c>
      <c r="I482" t="s">
        <v>1922</v>
      </c>
      <c r="J482" s="4">
        <v>57761.513839643434</v>
      </c>
      <c r="Q482" t="s">
        <v>20286</v>
      </c>
    </row>
    <row r="483" spans="1:17">
      <c r="A483" t="s">
        <v>18229</v>
      </c>
      <c r="B483" t="s">
        <v>20252</v>
      </c>
      <c r="C483" t="s">
        <v>13311</v>
      </c>
      <c r="D483" t="s">
        <v>16721</v>
      </c>
      <c r="E483" t="s">
        <v>5189</v>
      </c>
      <c r="F483" t="s">
        <v>18230</v>
      </c>
      <c r="G483" t="s">
        <v>18231</v>
      </c>
      <c r="H483" t="s">
        <v>18232</v>
      </c>
      <c r="I483" t="s">
        <v>1922</v>
      </c>
      <c r="J483" s="4">
        <v>11193.603674738351</v>
      </c>
      <c r="Q483" t="s">
        <v>20286</v>
      </c>
    </row>
    <row r="484" spans="1:17">
      <c r="A484" t="s">
        <v>18229</v>
      </c>
      <c r="B484" t="s">
        <v>20252</v>
      </c>
      <c r="C484" t="s">
        <v>13311</v>
      </c>
      <c r="D484" t="s">
        <v>16721</v>
      </c>
      <c r="E484" t="s">
        <v>5033</v>
      </c>
      <c r="F484" t="s">
        <v>18230</v>
      </c>
      <c r="G484" t="s">
        <v>18231</v>
      </c>
      <c r="H484" t="s">
        <v>18232</v>
      </c>
      <c r="I484" t="s">
        <v>1922</v>
      </c>
      <c r="J484" s="4">
        <v>18825.32840638264</v>
      </c>
      <c r="Q484" t="s">
        <v>20286</v>
      </c>
    </row>
    <row r="485" spans="1:17">
      <c r="A485" t="s">
        <v>18229</v>
      </c>
      <c r="B485" t="s">
        <v>20252</v>
      </c>
      <c r="C485" t="s">
        <v>13311</v>
      </c>
      <c r="D485" t="s">
        <v>16721</v>
      </c>
      <c r="E485" t="s">
        <v>3751</v>
      </c>
      <c r="F485" t="s">
        <v>18230</v>
      </c>
      <c r="G485" t="s">
        <v>18231</v>
      </c>
      <c r="H485" t="s">
        <v>18232</v>
      </c>
      <c r="I485" t="s">
        <v>1922</v>
      </c>
      <c r="J485" s="4">
        <v>16041.34356967155</v>
      </c>
      <c r="Q485" t="s">
        <v>20286</v>
      </c>
    </row>
    <row r="486" spans="1:17">
      <c r="A486" t="s">
        <v>18229</v>
      </c>
      <c r="B486" t="s">
        <v>20252</v>
      </c>
      <c r="C486" t="s">
        <v>13311</v>
      </c>
      <c r="D486" t="s">
        <v>16721</v>
      </c>
      <c r="E486" t="s">
        <v>12838</v>
      </c>
      <c r="F486" t="s">
        <v>18230</v>
      </c>
      <c r="G486" t="s">
        <v>18231</v>
      </c>
      <c r="H486" t="s">
        <v>18232</v>
      </c>
      <c r="I486" t="s">
        <v>1922</v>
      </c>
      <c r="J486" s="4">
        <v>28320.351092209276</v>
      </c>
      <c r="Q486" t="s">
        <v>20286</v>
      </c>
    </row>
    <row r="487" spans="1:17">
      <c r="A487" t="s">
        <v>18229</v>
      </c>
      <c r="B487" t="s">
        <v>20252</v>
      </c>
      <c r="C487" t="s">
        <v>13311</v>
      </c>
      <c r="D487" t="s">
        <v>16721</v>
      </c>
      <c r="E487" t="s">
        <v>3757</v>
      </c>
      <c r="F487" t="s">
        <v>18230</v>
      </c>
      <c r="G487" t="s">
        <v>18231</v>
      </c>
      <c r="H487" t="s">
        <v>18232</v>
      </c>
      <c r="I487" t="s">
        <v>1922</v>
      </c>
      <c r="J487" s="4">
        <v>3468.1711837484154</v>
      </c>
      <c r="Q487" t="s">
        <v>20286</v>
      </c>
    </row>
    <row r="488" spans="1:17">
      <c r="A488" t="s">
        <v>18229</v>
      </c>
      <c r="B488" t="s">
        <v>20252</v>
      </c>
      <c r="C488" t="s">
        <v>13311</v>
      </c>
      <c r="D488" t="s">
        <v>16721</v>
      </c>
      <c r="E488" t="s">
        <v>18184</v>
      </c>
      <c r="F488" t="s">
        <v>18230</v>
      </c>
      <c r="G488" t="s">
        <v>18231</v>
      </c>
      <c r="H488" t="s">
        <v>18232</v>
      </c>
      <c r="I488" t="s">
        <v>1922</v>
      </c>
      <c r="J488" s="4">
        <v>4411.6953599674935</v>
      </c>
      <c r="Q488" t="s">
        <v>20286</v>
      </c>
    </row>
    <row r="489" spans="1:17">
      <c r="A489" t="s">
        <v>18229</v>
      </c>
      <c r="B489" t="s">
        <v>20252</v>
      </c>
      <c r="C489" t="s">
        <v>13311</v>
      </c>
      <c r="D489" t="s">
        <v>16721</v>
      </c>
      <c r="E489" t="s">
        <v>7388</v>
      </c>
      <c r="F489" t="s">
        <v>18230</v>
      </c>
      <c r="G489" t="s">
        <v>18231</v>
      </c>
      <c r="H489" t="s">
        <v>18232</v>
      </c>
      <c r="I489" t="s">
        <v>1922</v>
      </c>
      <c r="J489" s="4">
        <v>35508.681281113539</v>
      </c>
      <c r="Q489" t="s">
        <v>20286</v>
      </c>
    </row>
    <row r="490" spans="1:17">
      <c r="A490" t="s">
        <v>18229</v>
      </c>
      <c r="B490" t="s">
        <v>20252</v>
      </c>
      <c r="C490" t="s">
        <v>13311</v>
      </c>
      <c r="D490" t="s">
        <v>16721</v>
      </c>
      <c r="E490" t="s">
        <v>7391</v>
      </c>
      <c r="F490" t="s">
        <v>18230</v>
      </c>
      <c r="G490" t="s">
        <v>18231</v>
      </c>
      <c r="H490" t="s">
        <v>18232</v>
      </c>
      <c r="I490" t="s">
        <v>1922</v>
      </c>
      <c r="J490" s="4">
        <v>7651.0031760918391</v>
      </c>
      <c r="Q490" t="s">
        <v>20286</v>
      </c>
    </row>
    <row r="491" spans="1:17">
      <c r="A491" t="s">
        <v>18229</v>
      </c>
      <c r="B491" t="s">
        <v>20252</v>
      </c>
      <c r="C491" t="s">
        <v>13311</v>
      </c>
      <c r="D491" t="s">
        <v>16721</v>
      </c>
      <c r="E491" t="s">
        <v>7394</v>
      </c>
      <c r="F491" t="s">
        <v>18230</v>
      </c>
      <c r="G491" t="s">
        <v>18231</v>
      </c>
      <c r="H491" t="s">
        <v>18232</v>
      </c>
      <c r="I491" t="s">
        <v>1922</v>
      </c>
      <c r="J491" s="4">
        <v>13333.63038957899</v>
      </c>
      <c r="Q491" t="s">
        <v>20286</v>
      </c>
    </row>
    <row r="492" spans="1:17">
      <c r="A492" t="s">
        <v>18229</v>
      </c>
      <c r="B492" t="s">
        <v>20252</v>
      </c>
      <c r="C492" t="s">
        <v>13311</v>
      </c>
      <c r="D492" t="s">
        <v>16721</v>
      </c>
      <c r="E492" t="s">
        <v>7397</v>
      </c>
      <c r="F492" t="s">
        <v>18230</v>
      </c>
      <c r="G492" t="s">
        <v>18231</v>
      </c>
      <c r="H492" t="s">
        <v>18232</v>
      </c>
      <c r="I492" t="s">
        <v>1922</v>
      </c>
      <c r="J492" s="4">
        <v>35489.880361315059</v>
      </c>
      <c r="Q492" t="s">
        <v>20286</v>
      </c>
    </row>
    <row r="493" spans="1:17">
      <c r="A493" t="s">
        <v>18229</v>
      </c>
      <c r="B493" t="s">
        <v>20252</v>
      </c>
      <c r="C493" t="s">
        <v>13311</v>
      </c>
      <c r="D493" t="s">
        <v>16721</v>
      </c>
      <c r="E493" t="s">
        <v>7400</v>
      </c>
      <c r="F493" t="s">
        <v>18230</v>
      </c>
      <c r="G493" t="s">
        <v>18231</v>
      </c>
      <c r="H493" t="s">
        <v>18232</v>
      </c>
      <c r="I493" t="s">
        <v>1922</v>
      </c>
      <c r="J493" s="4">
        <v>11835.919498998126</v>
      </c>
      <c r="Q493" t="s">
        <v>20286</v>
      </c>
    </row>
    <row r="494" spans="1:17">
      <c r="A494" t="s">
        <v>18229</v>
      </c>
      <c r="B494" t="s">
        <v>20252</v>
      </c>
      <c r="C494" t="s">
        <v>13311</v>
      </c>
      <c r="D494" t="s">
        <v>16721</v>
      </c>
      <c r="E494" t="s">
        <v>7403</v>
      </c>
      <c r="F494" t="s">
        <v>18230</v>
      </c>
      <c r="G494" t="s">
        <v>18231</v>
      </c>
      <c r="H494" t="s">
        <v>18232</v>
      </c>
      <c r="I494" t="s">
        <v>1922</v>
      </c>
      <c r="J494" s="4">
        <v>13992.585366644793</v>
      </c>
      <c r="Q494" t="s">
        <v>20286</v>
      </c>
    </row>
    <row r="495" spans="1:17">
      <c r="A495" t="s">
        <v>18229</v>
      </c>
      <c r="B495" t="s">
        <v>20252</v>
      </c>
      <c r="C495" t="s">
        <v>13311</v>
      </c>
      <c r="D495" t="s">
        <v>16721</v>
      </c>
      <c r="E495" t="s">
        <v>3768</v>
      </c>
      <c r="F495" t="s">
        <v>18230</v>
      </c>
      <c r="G495" t="s">
        <v>18231</v>
      </c>
      <c r="H495" t="s">
        <v>18232</v>
      </c>
      <c r="I495" t="s">
        <v>1922</v>
      </c>
      <c r="J495" s="4">
        <v>22537.543724470728</v>
      </c>
      <c r="Q495" t="s">
        <v>20286</v>
      </c>
    </row>
    <row r="496" spans="1:17">
      <c r="A496" t="s">
        <v>18229</v>
      </c>
      <c r="B496" t="s">
        <v>20252</v>
      </c>
      <c r="C496" t="s">
        <v>13311</v>
      </c>
      <c r="D496" t="s">
        <v>16721</v>
      </c>
      <c r="E496" t="s">
        <v>7432</v>
      </c>
      <c r="F496" t="s">
        <v>18230</v>
      </c>
      <c r="G496" t="s">
        <v>18231</v>
      </c>
      <c r="H496" t="s">
        <v>18232</v>
      </c>
      <c r="I496" t="s">
        <v>1922</v>
      </c>
      <c r="J496" s="4">
        <v>7028.795011379706</v>
      </c>
      <c r="Q496" t="s">
        <v>20286</v>
      </c>
    </row>
    <row r="497" spans="1:17">
      <c r="A497" t="s">
        <v>18229</v>
      </c>
      <c r="B497" t="s">
        <v>20252</v>
      </c>
      <c r="C497" t="s">
        <v>13311</v>
      </c>
      <c r="D497" t="s">
        <v>16721</v>
      </c>
      <c r="E497" t="s">
        <v>7435</v>
      </c>
      <c r="F497" t="s">
        <v>18230</v>
      </c>
      <c r="G497" t="s">
        <v>18231</v>
      </c>
      <c r="H497" t="s">
        <v>18232</v>
      </c>
      <c r="I497" t="s">
        <v>1922</v>
      </c>
      <c r="J497" s="4">
        <v>1154.2609662855994</v>
      </c>
      <c r="Q497" t="s">
        <v>20286</v>
      </c>
    </row>
    <row r="498" spans="1:17">
      <c r="A498" t="s">
        <v>18229</v>
      </c>
      <c r="B498" t="s">
        <v>20252</v>
      </c>
      <c r="C498" t="s">
        <v>13311</v>
      </c>
      <c r="D498" t="s">
        <v>16721</v>
      </c>
      <c r="E498" t="s">
        <v>7438</v>
      </c>
      <c r="F498" t="s">
        <v>18230</v>
      </c>
      <c r="G498" t="s">
        <v>18231</v>
      </c>
      <c r="H498" t="s">
        <v>18232</v>
      </c>
      <c r="I498" t="s">
        <v>1922</v>
      </c>
      <c r="J498" s="4">
        <v>1050.0379851065445</v>
      </c>
      <c r="Q498" t="s">
        <v>20286</v>
      </c>
    </row>
    <row r="499" spans="1:17">
      <c r="A499" t="s">
        <v>18229</v>
      </c>
      <c r="B499" t="s">
        <v>20252</v>
      </c>
      <c r="C499" t="s">
        <v>13311</v>
      </c>
      <c r="D499" t="s">
        <v>16721</v>
      </c>
      <c r="E499" t="s">
        <v>7441</v>
      </c>
      <c r="F499" t="s">
        <v>18230</v>
      </c>
      <c r="G499" t="s">
        <v>18231</v>
      </c>
      <c r="H499" t="s">
        <v>18232</v>
      </c>
      <c r="I499" t="s">
        <v>1922</v>
      </c>
      <c r="J499" s="4">
        <v>1240.9671817900492</v>
      </c>
      <c r="Q499" t="s">
        <v>20286</v>
      </c>
    </row>
    <row r="500" spans="1:17">
      <c r="A500" t="s">
        <v>18229</v>
      </c>
      <c r="B500" t="s">
        <v>20252</v>
      </c>
      <c r="C500" t="s">
        <v>13311</v>
      </c>
      <c r="D500" t="s">
        <v>16721</v>
      </c>
      <c r="E500" t="s">
        <v>7444</v>
      </c>
      <c r="F500" t="s">
        <v>18230</v>
      </c>
      <c r="G500" t="s">
        <v>18231</v>
      </c>
      <c r="H500" t="s">
        <v>18232</v>
      </c>
      <c r="I500" t="s">
        <v>1922</v>
      </c>
      <c r="J500" s="4">
        <v>15273.096751807097</v>
      </c>
      <c r="Q500" t="s">
        <v>20286</v>
      </c>
    </row>
    <row r="501" spans="1:17">
      <c r="A501" t="s">
        <v>18229</v>
      </c>
      <c r="B501" t="s">
        <v>20252</v>
      </c>
      <c r="C501" t="s">
        <v>13311</v>
      </c>
      <c r="D501" t="s">
        <v>16721</v>
      </c>
      <c r="E501" t="s">
        <v>7447</v>
      </c>
      <c r="F501" t="s">
        <v>18230</v>
      </c>
      <c r="G501" t="s">
        <v>18231</v>
      </c>
      <c r="H501" t="s">
        <v>18232</v>
      </c>
      <c r="I501" t="s">
        <v>1922</v>
      </c>
      <c r="J501" s="4">
        <v>3104.4329149031564</v>
      </c>
      <c r="Q501" t="s">
        <v>20286</v>
      </c>
    </row>
    <row r="502" spans="1:17">
      <c r="A502" t="s">
        <v>18229</v>
      </c>
      <c r="B502" t="s">
        <v>20252</v>
      </c>
      <c r="C502" t="s">
        <v>13311</v>
      </c>
      <c r="D502" t="s">
        <v>16721</v>
      </c>
      <c r="E502" t="s">
        <v>11966</v>
      </c>
      <c r="F502" t="s">
        <v>18230</v>
      </c>
      <c r="G502" t="s">
        <v>18231</v>
      </c>
      <c r="H502" t="s">
        <v>18232</v>
      </c>
      <c r="I502" t="s">
        <v>1922</v>
      </c>
      <c r="J502" s="4">
        <v>20472.017307921975</v>
      </c>
      <c r="Q502" t="s">
        <v>20286</v>
      </c>
    </row>
    <row r="503" spans="1:17">
      <c r="A503" t="s">
        <v>18229</v>
      </c>
      <c r="B503" t="s">
        <v>20252</v>
      </c>
      <c r="C503" t="s">
        <v>13311</v>
      </c>
      <c r="D503" t="s">
        <v>16721</v>
      </c>
      <c r="E503" t="s">
        <v>7456</v>
      </c>
      <c r="F503" t="s">
        <v>18230</v>
      </c>
      <c r="G503" t="s">
        <v>18231</v>
      </c>
      <c r="H503" t="s">
        <v>18232</v>
      </c>
      <c r="I503" t="s">
        <v>1922</v>
      </c>
      <c r="J503" s="4">
        <v>8159.1894247651308</v>
      </c>
      <c r="Q503" t="s">
        <v>20286</v>
      </c>
    </row>
    <row r="504" spans="1:17">
      <c r="A504" t="s">
        <v>18229</v>
      </c>
      <c r="B504" t="s">
        <v>20252</v>
      </c>
      <c r="C504" t="s">
        <v>13311</v>
      </c>
      <c r="D504" t="s">
        <v>16721</v>
      </c>
      <c r="E504" t="s">
        <v>7459</v>
      </c>
      <c r="F504" t="s">
        <v>18230</v>
      </c>
      <c r="G504" t="s">
        <v>18231</v>
      </c>
      <c r="H504" t="s">
        <v>18232</v>
      </c>
      <c r="I504" t="s">
        <v>1922</v>
      </c>
      <c r="J504" s="4">
        <v>28506.795429012931</v>
      </c>
      <c r="Q504" t="s">
        <v>20286</v>
      </c>
    </row>
    <row r="505" spans="1:17">
      <c r="A505" t="s">
        <v>18229</v>
      </c>
      <c r="B505" t="s">
        <v>20252</v>
      </c>
      <c r="C505" t="s">
        <v>13311</v>
      </c>
      <c r="D505" t="s">
        <v>16721</v>
      </c>
      <c r="E505" t="s">
        <v>3748</v>
      </c>
      <c r="F505" t="s">
        <v>18230</v>
      </c>
      <c r="G505" t="s">
        <v>18231</v>
      </c>
      <c r="H505" t="s">
        <v>18232</v>
      </c>
      <c r="I505" t="s">
        <v>1922</v>
      </c>
      <c r="J505" s="4">
        <v>40799.802812715163</v>
      </c>
      <c r="Q505" t="s">
        <v>20286</v>
      </c>
    </row>
    <row r="506" spans="1:17">
      <c r="A506" t="s">
        <v>18229</v>
      </c>
      <c r="B506" t="s">
        <v>20252</v>
      </c>
      <c r="C506" t="s">
        <v>13311</v>
      </c>
      <c r="D506" t="s">
        <v>16721</v>
      </c>
      <c r="E506" t="s">
        <v>7592</v>
      </c>
      <c r="F506" t="s">
        <v>18230</v>
      </c>
      <c r="G506" t="s">
        <v>18231</v>
      </c>
      <c r="H506" t="s">
        <v>18232</v>
      </c>
      <c r="I506" t="s">
        <v>1922</v>
      </c>
      <c r="J506" s="4">
        <v>2976.1885079647654</v>
      </c>
      <c r="Q506" t="s">
        <v>20286</v>
      </c>
    </row>
    <row r="507" spans="1:17">
      <c r="A507" t="s">
        <v>18229</v>
      </c>
      <c r="B507" t="s">
        <v>20252</v>
      </c>
      <c r="C507" t="s">
        <v>13311</v>
      </c>
      <c r="D507" t="s">
        <v>16721</v>
      </c>
      <c r="E507" t="s">
        <v>12050</v>
      </c>
      <c r="F507" t="s">
        <v>18230</v>
      </c>
      <c r="G507" t="s">
        <v>18231</v>
      </c>
      <c r="H507" t="s">
        <v>18232</v>
      </c>
      <c r="I507" t="s">
        <v>1922</v>
      </c>
      <c r="J507" s="4">
        <v>26342.321388050266</v>
      </c>
      <c r="Q507" t="s">
        <v>20286</v>
      </c>
    </row>
    <row r="508" spans="1:17">
      <c r="A508" t="s">
        <v>18229</v>
      </c>
      <c r="B508" t="s">
        <v>20252</v>
      </c>
      <c r="C508" t="s">
        <v>13311</v>
      </c>
      <c r="D508" t="s">
        <v>16721</v>
      </c>
      <c r="E508" t="s">
        <v>12014</v>
      </c>
      <c r="F508" t="s">
        <v>18230</v>
      </c>
      <c r="G508" t="s">
        <v>18231</v>
      </c>
      <c r="H508" t="s">
        <v>18232</v>
      </c>
      <c r="I508" t="s">
        <v>1922</v>
      </c>
      <c r="J508" s="4">
        <v>6095.2149633258769</v>
      </c>
      <c r="Q508" t="s">
        <v>20286</v>
      </c>
    </row>
    <row r="509" spans="1:17">
      <c r="A509" t="s">
        <v>18229</v>
      </c>
      <c r="B509" t="s">
        <v>20252</v>
      </c>
      <c r="C509" t="s">
        <v>13311</v>
      </c>
      <c r="D509" t="s">
        <v>16721</v>
      </c>
      <c r="E509" t="s">
        <v>7621</v>
      </c>
      <c r="F509" t="s">
        <v>18230</v>
      </c>
      <c r="G509" t="s">
        <v>18231</v>
      </c>
      <c r="H509" t="s">
        <v>18232</v>
      </c>
      <c r="I509" t="s">
        <v>1922</v>
      </c>
      <c r="J509" s="4">
        <v>17637.489068320356</v>
      </c>
      <c r="Q509" t="s">
        <v>20286</v>
      </c>
    </row>
    <row r="510" spans="1:17">
      <c r="A510" t="s">
        <v>18229</v>
      </c>
      <c r="B510" t="s">
        <v>20252</v>
      </c>
      <c r="C510" t="s">
        <v>13311</v>
      </c>
      <c r="D510" t="s">
        <v>16721</v>
      </c>
      <c r="E510" t="s">
        <v>7624</v>
      </c>
      <c r="F510" t="s">
        <v>18230</v>
      </c>
      <c r="G510" t="s">
        <v>18231</v>
      </c>
      <c r="H510" t="s">
        <v>18232</v>
      </c>
      <c r="I510" t="s">
        <v>1922</v>
      </c>
      <c r="J510" s="4">
        <v>13700.466115607454</v>
      </c>
      <c r="Q510" t="s">
        <v>20286</v>
      </c>
    </row>
    <row r="511" spans="1:17">
      <c r="A511" t="s">
        <v>18229</v>
      </c>
      <c r="B511" t="s">
        <v>20252</v>
      </c>
      <c r="C511" t="s">
        <v>13311</v>
      </c>
      <c r="D511" t="s">
        <v>16721</v>
      </c>
      <c r="E511" t="s">
        <v>7627</v>
      </c>
      <c r="F511" t="s">
        <v>18230</v>
      </c>
      <c r="G511" t="s">
        <v>18231</v>
      </c>
      <c r="H511" t="s">
        <v>18232</v>
      </c>
      <c r="I511" t="s">
        <v>1922</v>
      </c>
      <c r="J511" s="4">
        <v>10891.779057860307</v>
      </c>
      <c r="Q511" t="s">
        <v>20286</v>
      </c>
    </row>
    <row r="512" spans="1:17">
      <c r="A512" t="s">
        <v>18229</v>
      </c>
      <c r="B512" t="s">
        <v>20252</v>
      </c>
      <c r="C512" t="s">
        <v>13311</v>
      </c>
      <c r="D512" t="s">
        <v>16721</v>
      </c>
      <c r="E512" t="s">
        <v>3607</v>
      </c>
      <c r="F512" t="s">
        <v>18230</v>
      </c>
      <c r="G512" t="s">
        <v>18231</v>
      </c>
      <c r="H512" t="s">
        <v>18232</v>
      </c>
      <c r="I512" t="s">
        <v>1922</v>
      </c>
      <c r="J512" s="4">
        <v>22544.467831882353</v>
      </c>
      <c r="Q512" t="s">
        <v>20286</v>
      </c>
    </row>
    <row r="513" spans="1:17">
      <c r="A513" t="s">
        <v>18229</v>
      </c>
      <c r="B513" t="s">
        <v>20252</v>
      </c>
      <c r="C513" t="s">
        <v>13311</v>
      </c>
      <c r="D513" t="s">
        <v>16721</v>
      </c>
      <c r="E513" t="s">
        <v>7682</v>
      </c>
      <c r="F513" t="s">
        <v>18230</v>
      </c>
      <c r="G513" t="s">
        <v>18231</v>
      </c>
      <c r="H513" t="s">
        <v>18232</v>
      </c>
      <c r="I513" t="s">
        <v>1922</v>
      </c>
      <c r="J513" s="4">
        <v>15461.770612479077</v>
      </c>
      <c r="Q513" t="s">
        <v>20286</v>
      </c>
    </row>
    <row r="514" spans="1:17">
      <c r="A514" t="s">
        <v>18229</v>
      </c>
      <c r="B514" t="s">
        <v>20252</v>
      </c>
      <c r="C514" t="s">
        <v>13311</v>
      </c>
      <c r="D514" t="s">
        <v>16721</v>
      </c>
      <c r="E514" t="s">
        <v>7685</v>
      </c>
      <c r="F514" t="s">
        <v>18230</v>
      </c>
      <c r="G514" t="s">
        <v>18231</v>
      </c>
      <c r="H514" t="s">
        <v>18232</v>
      </c>
      <c r="I514" t="s">
        <v>1922</v>
      </c>
      <c r="J514" s="4">
        <v>5360.9885501902909</v>
      </c>
      <c r="Q514" t="s">
        <v>20286</v>
      </c>
    </row>
    <row r="515" spans="1:17">
      <c r="A515" t="s">
        <v>18229</v>
      </c>
      <c r="B515" t="s">
        <v>20252</v>
      </c>
      <c r="C515" t="s">
        <v>13311</v>
      </c>
      <c r="D515" t="s">
        <v>16721</v>
      </c>
      <c r="E515" t="s">
        <v>7691</v>
      </c>
      <c r="F515" t="s">
        <v>18230</v>
      </c>
      <c r="G515" t="s">
        <v>18231</v>
      </c>
      <c r="H515" t="s">
        <v>18232</v>
      </c>
      <c r="I515" t="s">
        <v>1922</v>
      </c>
      <c r="J515" s="4">
        <v>18305.520240236532</v>
      </c>
      <c r="Q515" t="s">
        <v>20286</v>
      </c>
    </row>
    <row r="516" spans="1:17">
      <c r="A516" t="s">
        <v>18229</v>
      </c>
      <c r="B516" t="s">
        <v>20252</v>
      </c>
      <c r="C516" t="s">
        <v>13311</v>
      </c>
      <c r="D516" t="s">
        <v>16721</v>
      </c>
      <c r="E516" t="s">
        <v>7694</v>
      </c>
      <c r="F516" t="s">
        <v>18230</v>
      </c>
      <c r="G516" t="s">
        <v>18231</v>
      </c>
      <c r="H516" t="s">
        <v>18232</v>
      </c>
      <c r="I516" t="s">
        <v>1922</v>
      </c>
      <c r="J516" s="4">
        <v>3826.5889245779399</v>
      </c>
      <c r="Q516" t="s">
        <v>20286</v>
      </c>
    </row>
    <row r="517" spans="1:17">
      <c r="A517" t="s">
        <v>18229</v>
      </c>
      <c r="B517" t="s">
        <v>20252</v>
      </c>
      <c r="C517" t="s">
        <v>13311</v>
      </c>
      <c r="D517" t="s">
        <v>16721</v>
      </c>
      <c r="E517" t="s">
        <v>7697</v>
      </c>
      <c r="F517" t="s">
        <v>18230</v>
      </c>
      <c r="G517" t="s">
        <v>18231</v>
      </c>
      <c r="H517" t="s">
        <v>18232</v>
      </c>
      <c r="I517" t="s">
        <v>1922</v>
      </c>
      <c r="J517" s="4">
        <v>13087.708421821997</v>
      </c>
      <c r="Q517" t="s">
        <v>20286</v>
      </c>
    </row>
    <row r="518" spans="1:17">
      <c r="A518" t="s">
        <v>18229</v>
      </c>
      <c r="B518" t="s">
        <v>20252</v>
      </c>
      <c r="C518" t="s">
        <v>13311</v>
      </c>
      <c r="D518" t="s">
        <v>16721</v>
      </c>
      <c r="E518" t="s">
        <v>7700</v>
      </c>
      <c r="F518" t="s">
        <v>18230</v>
      </c>
      <c r="G518" t="s">
        <v>18231</v>
      </c>
      <c r="H518" t="s">
        <v>18232</v>
      </c>
      <c r="I518" t="s">
        <v>1922</v>
      </c>
      <c r="J518" s="4">
        <v>14546.852743954059</v>
      </c>
      <c r="Q518" t="s">
        <v>20286</v>
      </c>
    </row>
    <row r="519" spans="1:17">
      <c r="A519" t="s">
        <v>18229</v>
      </c>
      <c r="B519" t="s">
        <v>20252</v>
      </c>
      <c r="C519" t="s">
        <v>13311</v>
      </c>
      <c r="D519" t="s">
        <v>16721</v>
      </c>
      <c r="E519" t="s">
        <v>7705</v>
      </c>
      <c r="F519" t="s">
        <v>18230</v>
      </c>
      <c r="G519" t="s">
        <v>18231</v>
      </c>
      <c r="H519" t="s">
        <v>18232</v>
      </c>
      <c r="I519" t="s">
        <v>1922</v>
      </c>
      <c r="J519" s="4">
        <v>17720.965539407734</v>
      </c>
      <c r="Q519" t="s">
        <v>20286</v>
      </c>
    </row>
    <row r="520" spans="1:17">
      <c r="A520" t="s">
        <v>18229</v>
      </c>
      <c r="B520" t="s">
        <v>20252</v>
      </c>
      <c r="C520" t="s">
        <v>13311</v>
      </c>
      <c r="D520" t="s">
        <v>16721</v>
      </c>
      <c r="E520" t="s">
        <v>7708</v>
      </c>
      <c r="F520" t="s">
        <v>18230</v>
      </c>
      <c r="G520" t="s">
        <v>18231</v>
      </c>
      <c r="H520" t="s">
        <v>18232</v>
      </c>
      <c r="I520" t="s">
        <v>1922</v>
      </c>
      <c r="J520" s="4">
        <v>14147.051684549757</v>
      </c>
      <c r="Q520" t="s">
        <v>20286</v>
      </c>
    </row>
    <row r="521" spans="1:17">
      <c r="A521" t="s">
        <v>18229</v>
      </c>
      <c r="B521" t="s">
        <v>20252</v>
      </c>
      <c r="C521" t="s">
        <v>13311</v>
      </c>
      <c r="D521" t="s">
        <v>16721</v>
      </c>
      <c r="E521" t="s">
        <v>7711</v>
      </c>
      <c r="F521" t="s">
        <v>18230</v>
      </c>
      <c r="G521" t="s">
        <v>18231</v>
      </c>
      <c r="H521" t="s">
        <v>18232</v>
      </c>
      <c r="I521" t="s">
        <v>1922</v>
      </c>
      <c r="J521" s="4">
        <v>11466.557409454608</v>
      </c>
      <c r="Q521" t="s">
        <v>20286</v>
      </c>
    </row>
    <row r="522" spans="1:17">
      <c r="A522" t="s">
        <v>18229</v>
      </c>
      <c r="B522" t="s">
        <v>20252</v>
      </c>
      <c r="C522" t="s">
        <v>13311</v>
      </c>
      <c r="D522" t="s">
        <v>16721</v>
      </c>
      <c r="E522" t="s">
        <v>7714</v>
      </c>
      <c r="F522" t="s">
        <v>18230</v>
      </c>
      <c r="G522" t="s">
        <v>18231</v>
      </c>
      <c r="H522" t="s">
        <v>18232</v>
      </c>
      <c r="I522" t="s">
        <v>1922</v>
      </c>
      <c r="J522" s="4">
        <v>12806.804547002183</v>
      </c>
      <c r="Q522" t="s">
        <v>20286</v>
      </c>
    </row>
    <row r="523" spans="1:17">
      <c r="A523" t="s">
        <v>18229</v>
      </c>
      <c r="B523" t="s">
        <v>20252</v>
      </c>
      <c r="C523" t="s">
        <v>13311</v>
      </c>
      <c r="D523" t="s">
        <v>16721</v>
      </c>
      <c r="E523" t="s">
        <v>7717</v>
      </c>
      <c r="F523" t="s">
        <v>18230</v>
      </c>
      <c r="G523" t="s">
        <v>18231</v>
      </c>
      <c r="H523" t="s">
        <v>18232</v>
      </c>
      <c r="I523" t="s">
        <v>1922</v>
      </c>
      <c r="J523" s="4">
        <v>15487.298822097329</v>
      </c>
      <c r="Q523" t="s">
        <v>20286</v>
      </c>
    </row>
    <row r="524" spans="1:17">
      <c r="A524" t="s">
        <v>18229</v>
      </c>
      <c r="B524" t="s">
        <v>20252</v>
      </c>
      <c r="C524" t="s">
        <v>13311</v>
      </c>
      <c r="D524" t="s">
        <v>16721</v>
      </c>
      <c r="E524" t="s">
        <v>11611</v>
      </c>
      <c r="F524" t="s">
        <v>18230</v>
      </c>
      <c r="G524" t="s">
        <v>18231</v>
      </c>
      <c r="H524" t="s">
        <v>18232</v>
      </c>
      <c r="I524" t="s">
        <v>1922</v>
      </c>
      <c r="J524" s="4">
        <v>12806.804547002183</v>
      </c>
      <c r="Q524" t="s">
        <v>20286</v>
      </c>
    </row>
    <row r="525" spans="1:17">
      <c r="A525" t="s">
        <v>18229</v>
      </c>
      <c r="B525" t="s">
        <v>20252</v>
      </c>
      <c r="C525" t="s">
        <v>13311</v>
      </c>
      <c r="D525" t="s">
        <v>16721</v>
      </c>
      <c r="E525" t="s">
        <v>7729</v>
      </c>
      <c r="F525" t="s">
        <v>18230</v>
      </c>
      <c r="G525" t="s">
        <v>18231</v>
      </c>
      <c r="H525" t="s">
        <v>18232</v>
      </c>
      <c r="I525" t="s">
        <v>1922</v>
      </c>
      <c r="J525" s="4">
        <v>14147.051684549757</v>
      </c>
      <c r="Q525" t="s">
        <v>20286</v>
      </c>
    </row>
    <row r="526" spans="1:17">
      <c r="A526" t="s">
        <v>18229</v>
      </c>
      <c r="B526" t="s">
        <v>20252</v>
      </c>
      <c r="C526" t="s">
        <v>13311</v>
      </c>
      <c r="D526" t="s">
        <v>16721</v>
      </c>
      <c r="E526" t="s">
        <v>7777</v>
      </c>
      <c r="F526" t="s">
        <v>18230</v>
      </c>
      <c r="G526" t="s">
        <v>18231</v>
      </c>
      <c r="H526" t="s">
        <v>18232</v>
      </c>
      <c r="I526" t="s">
        <v>1922</v>
      </c>
      <c r="J526" s="4">
        <v>17530.10409960011</v>
      </c>
      <c r="Q526" t="s">
        <v>20286</v>
      </c>
    </row>
    <row r="527" spans="1:17">
      <c r="A527" t="s">
        <v>18229</v>
      </c>
      <c r="B527" t="s">
        <v>20252</v>
      </c>
      <c r="C527" t="s">
        <v>13311</v>
      </c>
      <c r="D527" t="s">
        <v>16721</v>
      </c>
      <c r="E527" t="s">
        <v>5285</v>
      </c>
      <c r="F527" t="s">
        <v>18230</v>
      </c>
      <c r="G527" t="s">
        <v>18231</v>
      </c>
      <c r="H527" t="s">
        <v>18232</v>
      </c>
      <c r="I527" t="s">
        <v>1922</v>
      </c>
      <c r="J527" s="4">
        <v>2822.9289077540943</v>
      </c>
      <c r="Q527" t="s">
        <v>20286</v>
      </c>
    </row>
    <row r="528" spans="1:17">
      <c r="A528" t="s">
        <v>18229</v>
      </c>
      <c r="B528" t="s">
        <v>20252</v>
      </c>
      <c r="C528" t="s">
        <v>13311</v>
      </c>
      <c r="D528" t="s">
        <v>16721</v>
      </c>
      <c r="E528" t="s">
        <v>7883</v>
      </c>
      <c r="F528" t="s">
        <v>18230</v>
      </c>
      <c r="G528" t="s">
        <v>18231</v>
      </c>
      <c r="H528" t="s">
        <v>18232</v>
      </c>
      <c r="I528" t="s">
        <v>1922</v>
      </c>
      <c r="J528" s="4">
        <v>8898.5492278782986</v>
      </c>
      <c r="Q528" t="s">
        <v>20286</v>
      </c>
    </row>
    <row r="529" spans="1:17">
      <c r="A529" t="s">
        <v>18229</v>
      </c>
      <c r="B529" t="s">
        <v>20252</v>
      </c>
      <c r="C529" t="s">
        <v>13311</v>
      </c>
      <c r="D529" t="s">
        <v>16721</v>
      </c>
      <c r="E529" t="s">
        <v>7888</v>
      </c>
      <c r="F529" t="s">
        <v>18230</v>
      </c>
      <c r="G529" t="s">
        <v>18231</v>
      </c>
      <c r="H529" t="s">
        <v>18232</v>
      </c>
      <c r="I529" t="s">
        <v>1922</v>
      </c>
      <c r="J529" s="4">
        <v>8902.0370937273037</v>
      </c>
      <c r="Q529" t="s">
        <v>20286</v>
      </c>
    </row>
    <row r="530" spans="1:17">
      <c r="A530" t="s">
        <v>18229</v>
      </c>
      <c r="B530" t="s">
        <v>20252</v>
      </c>
      <c r="C530" t="s">
        <v>13311</v>
      </c>
      <c r="D530" t="s">
        <v>16721</v>
      </c>
      <c r="E530" t="s">
        <v>7891</v>
      </c>
      <c r="F530" t="s">
        <v>18230</v>
      </c>
      <c r="G530" t="s">
        <v>18231</v>
      </c>
      <c r="H530" t="s">
        <v>18232</v>
      </c>
      <c r="I530" t="s">
        <v>1922</v>
      </c>
      <c r="J530" s="4">
        <v>20817.090170720523</v>
      </c>
      <c r="Q530" t="s">
        <v>20286</v>
      </c>
    </row>
    <row r="531" spans="1:17">
      <c r="A531" t="s">
        <v>18229</v>
      </c>
      <c r="B531" t="s">
        <v>20252</v>
      </c>
      <c r="C531" t="s">
        <v>13311</v>
      </c>
      <c r="D531" t="s">
        <v>16721</v>
      </c>
      <c r="E531" t="s">
        <v>13098</v>
      </c>
      <c r="F531" t="s">
        <v>18230</v>
      </c>
      <c r="G531" t="s">
        <v>18231</v>
      </c>
      <c r="H531" t="s">
        <v>18232</v>
      </c>
      <c r="I531" t="s">
        <v>1922</v>
      </c>
      <c r="J531" s="4">
        <v>27483.443973450438</v>
      </c>
      <c r="Q531" t="s">
        <v>20286</v>
      </c>
    </row>
    <row r="532" spans="1:17">
      <c r="A532" t="s">
        <v>18229</v>
      </c>
      <c r="B532" t="s">
        <v>20252</v>
      </c>
      <c r="C532" t="s">
        <v>13311</v>
      </c>
      <c r="D532" t="s">
        <v>16721</v>
      </c>
      <c r="E532" t="s">
        <v>8033</v>
      </c>
      <c r="F532" t="s">
        <v>18230</v>
      </c>
      <c r="G532" t="s">
        <v>18231</v>
      </c>
      <c r="H532" t="s">
        <v>18232</v>
      </c>
      <c r="I532" t="s">
        <v>1922</v>
      </c>
      <c r="J532" s="4">
        <v>2169.6622817445323</v>
      </c>
      <c r="Q532" t="s">
        <v>20286</v>
      </c>
    </row>
    <row r="533" spans="1:17">
      <c r="A533" t="s">
        <v>18229</v>
      </c>
      <c r="B533" t="s">
        <v>20252</v>
      </c>
      <c r="C533" t="s">
        <v>13311</v>
      </c>
      <c r="D533" t="s">
        <v>16721</v>
      </c>
      <c r="E533" t="s">
        <v>18186</v>
      </c>
      <c r="F533" t="s">
        <v>18230</v>
      </c>
      <c r="G533" t="s">
        <v>18231</v>
      </c>
      <c r="H533" t="s">
        <v>18232</v>
      </c>
      <c r="I533" t="s">
        <v>1922</v>
      </c>
      <c r="J533" s="4">
        <v>2417.4072321145572</v>
      </c>
      <c r="Q533" t="s">
        <v>20286</v>
      </c>
    </row>
    <row r="534" spans="1:17">
      <c r="A534" t="s">
        <v>18229</v>
      </c>
      <c r="B534" t="s">
        <v>20252</v>
      </c>
      <c r="C534" t="s">
        <v>13311</v>
      </c>
      <c r="D534" t="s">
        <v>16721</v>
      </c>
      <c r="E534" t="s">
        <v>18187</v>
      </c>
      <c r="F534" t="s">
        <v>18230</v>
      </c>
      <c r="G534" t="s">
        <v>18231</v>
      </c>
      <c r="H534" t="s">
        <v>18232</v>
      </c>
      <c r="I534" t="s">
        <v>1922</v>
      </c>
      <c r="J534" s="4">
        <v>2622.5331075544186</v>
      </c>
      <c r="Q534" t="s">
        <v>20286</v>
      </c>
    </row>
    <row r="535" spans="1:17">
      <c r="A535" t="s">
        <v>18229</v>
      </c>
      <c r="B535" t="s">
        <v>20252</v>
      </c>
      <c r="C535" t="s">
        <v>13311</v>
      </c>
      <c r="D535" t="s">
        <v>16721</v>
      </c>
      <c r="E535" t="s">
        <v>18188</v>
      </c>
      <c r="F535" t="s">
        <v>18230</v>
      </c>
      <c r="G535" t="s">
        <v>18231</v>
      </c>
      <c r="H535" t="s">
        <v>18232</v>
      </c>
      <c r="I535" t="s">
        <v>1922</v>
      </c>
      <c r="J535" s="4">
        <v>746.8840428540384</v>
      </c>
      <c r="Q535" t="s">
        <v>20286</v>
      </c>
    </row>
    <row r="536" spans="1:17">
      <c r="A536" t="s">
        <v>18229</v>
      </c>
      <c r="B536" t="s">
        <v>20252</v>
      </c>
      <c r="C536" t="s">
        <v>13311</v>
      </c>
      <c r="D536" t="s">
        <v>16721</v>
      </c>
      <c r="E536" t="s">
        <v>8137</v>
      </c>
      <c r="F536" t="s">
        <v>18230</v>
      </c>
      <c r="G536" t="s">
        <v>18231</v>
      </c>
      <c r="H536" t="s">
        <v>18232</v>
      </c>
      <c r="I536" t="s">
        <v>1922</v>
      </c>
      <c r="J536" s="4">
        <v>1993.6299182015048</v>
      </c>
      <c r="Q536" t="s">
        <v>20286</v>
      </c>
    </row>
    <row r="537" spans="1:17">
      <c r="A537" t="s">
        <v>18229</v>
      </c>
      <c r="B537" t="s">
        <v>20252</v>
      </c>
      <c r="C537" t="s">
        <v>13311</v>
      </c>
      <c r="D537" t="s">
        <v>16721</v>
      </c>
      <c r="E537" t="s">
        <v>8143</v>
      </c>
      <c r="F537" t="s">
        <v>18230</v>
      </c>
      <c r="G537" t="s">
        <v>18231</v>
      </c>
      <c r="H537" t="s">
        <v>18232</v>
      </c>
      <c r="I537" t="s">
        <v>1922</v>
      </c>
      <c r="J537" s="4">
        <v>1891.568704014895</v>
      </c>
      <c r="Q537" t="s">
        <v>20286</v>
      </c>
    </row>
    <row r="538" spans="1:17">
      <c r="A538" t="s">
        <v>18229</v>
      </c>
      <c r="B538" t="s">
        <v>20252</v>
      </c>
      <c r="C538" t="s">
        <v>13311</v>
      </c>
      <c r="D538" t="s">
        <v>16721</v>
      </c>
      <c r="E538" t="s">
        <v>8149</v>
      </c>
      <c r="F538" t="s">
        <v>18230</v>
      </c>
      <c r="G538" t="s">
        <v>18231</v>
      </c>
      <c r="H538" t="s">
        <v>18232</v>
      </c>
      <c r="I538" t="s">
        <v>1922</v>
      </c>
      <c r="J538" s="4">
        <v>1427.9019493143792</v>
      </c>
      <c r="Q538" t="s">
        <v>20286</v>
      </c>
    </row>
    <row r="539" spans="1:17">
      <c r="A539" t="s">
        <v>18229</v>
      </c>
      <c r="B539" t="s">
        <v>20252</v>
      </c>
      <c r="C539" t="s">
        <v>13311</v>
      </c>
      <c r="D539" t="s">
        <v>16721</v>
      </c>
      <c r="E539" t="s">
        <v>12991</v>
      </c>
      <c r="F539" t="s">
        <v>18230</v>
      </c>
      <c r="G539" t="s">
        <v>18231</v>
      </c>
      <c r="H539" t="s">
        <v>18232</v>
      </c>
      <c r="I539" t="s">
        <v>1922</v>
      </c>
      <c r="J539" s="4">
        <v>15468.510808370449</v>
      </c>
      <c r="Q539" t="s">
        <v>20286</v>
      </c>
    </row>
    <row r="540" spans="1:17">
      <c r="A540" t="s">
        <v>18229</v>
      </c>
      <c r="B540" t="s">
        <v>20252</v>
      </c>
      <c r="C540" t="s">
        <v>13311</v>
      </c>
      <c r="D540" t="s">
        <v>16721</v>
      </c>
      <c r="E540" t="s">
        <v>8158</v>
      </c>
      <c r="F540" t="s">
        <v>18230</v>
      </c>
      <c r="G540" t="s">
        <v>18231</v>
      </c>
      <c r="H540" t="s">
        <v>18232</v>
      </c>
      <c r="I540" t="s">
        <v>1922</v>
      </c>
      <c r="J540" s="4">
        <v>4963.0104733990174</v>
      </c>
      <c r="Q540" t="s">
        <v>20286</v>
      </c>
    </row>
    <row r="541" spans="1:17">
      <c r="A541" t="s">
        <v>18229</v>
      </c>
      <c r="B541" t="s">
        <v>20252</v>
      </c>
      <c r="C541" t="s">
        <v>13311</v>
      </c>
      <c r="D541" t="s">
        <v>16721</v>
      </c>
      <c r="E541" t="s">
        <v>8161</v>
      </c>
      <c r="F541" t="s">
        <v>18230</v>
      </c>
      <c r="G541" t="s">
        <v>18231</v>
      </c>
      <c r="H541" t="s">
        <v>18232</v>
      </c>
      <c r="I541" t="s">
        <v>1922</v>
      </c>
      <c r="J541" s="4">
        <v>5512.1767259096932</v>
      </c>
      <c r="Q541" t="s">
        <v>20286</v>
      </c>
    </row>
    <row r="542" spans="1:17">
      <c r="A542" t="s">
        <v>18229</v>
      </c>
      <c r="B542" t="s">
        <v>20252</v>
      </c>
      <c r="C542" t="s">
        <v>13311</v>
      </c>
      <c r="D542" t="s">
        <v>16721</v>
      </c>
      <c r="E542" t="s">
        <v>8164</v>
      </c>
      <c r="F542" t="s">
        <v>18230</v>
      </c>
      <c r="G542" t="s">
        <v>18231</v>
      </c>
      <c r="H542" t="s">
        <v>18232</v>
      </c>
      <c r="I542" t="s">
        <v>1922</v>
      </c>
      <c r="J542" s="4">
        <v>926.15905688573378</v>
      </c>
      <c r="Q542" t="s">
        <v>20286</v>
      </c>
    </row>
    <row r="543" spans="1:17">
      <c r="A543" t="s">
        <v>18229</v>
      </c>
      <c r="B543" t="s">
        <v>20252</v>
      </c>
      <c r="C543" t="s">
        <v>13311</v>
      </c>
      <c r="D543" t="s">
        <v>16721</v>
      </c>
      <c r="E543" t="s">
        <v>8169</v>
      </c>
      <c r="F543" t="s">
        <v>18230</v>
      </c>
      <c r="G543" t="s">
        <v>18231</v>
      </c>
      <c r="H543" t="s">
        <v>18232</v>
      </c>
      <c r="I543" t="s">
        <v>1922</v>
      </c>
      <c r="J543" s="4">
        <v>55766.21581168806</v>
      </c>
      <c r="Q543" t="s">
        <v>20286</v>
      </c>
    </row>
    <row r="544" spans="1:17">
      <c r="A544" t="s">
        <v>18229</v>
      </c>
      <c r="B544" t="s">
        <v>20252</v>
      </c>
      <c r="C544" t="s">
        <v>13311</v>
      </c>
      <c r="D544" t="s">
        <v>16721</v>
      </c>
      <c r="E544" t="s">
        <v>8175</v>
      </c>
      <c r="F544" t="s">
        <v>18230</v>
      </c>
      <c r="G544" t="s">
        <v>18231</v>
      </c>
      <c r="H544" t="s">
        <v>18232</v>
      </c>
      <c r="I544" t="s">
        <v>1922</v>
      </c>
      <c r="J544" s="4">
        <v>1613.2589495860136</v>
      </c>
      <c r="Q544" t="s">
        <v>20286</v>
      </c>
    </row>
    <row r="545" spans="1:17">
      <c r="A545" t="s">
        <v>18229</v>
      </c>
      <c r="B545" t="s">
        <v>20252</v>
      </c>
      <c r="C545" t="s">
        <v>13311</v>
      </c>
      <c r="D545" t="s">
        <v>16721</v>
      </c>
      <c r="E545" t="s">
        <v>13137</v>
      </c>
      <c r="F545" t="s">
        <v>18230</v>
      </c>
      <c r="G545" t="s">
        <v>18231</v>
      </c>
      <c r="H545" t="s">
        <v>18232</v>
      </c>
      <c r="I545" t="s">
        <v>1922</v>
      </c>
      <c r="J545" s="4">
        <v>3433.0408568622302</v>
      </c>
      <c r="Q545" t="s">
        <v>20286</v>
      </c>
    </row>
    <row r="546" spans="1:17">
      <c r="A546" t="s">
        <v>18229</v>
      </c>
      <c r="B546" t="s">
        <v>20252</v>
      </c>
      <c r="C546" t="s">
        <v>13311</v>
      </c>
      <c r="D546" t="s">
        <v>16721</v>
      </c>
      <c r="E546" t="s">
        <v>13151</v>
      </c>
      <c r="F546" t="s">
        <v>18230</v>
      </c>
      <c r="G546" t="s">
        <v>18231</v>
      </c>
      <c r="H546" t="s">
        <v>18232</v>
      </c>
      <c r="I546" t="s">
        <v>1922</v>
      </c>
      <c r="J546" s="4">
        <v>21891.575481949094</v>
      </c>
      <c r="Q546" t="s">
        <v>20286</v>
      </c>
    </row>
    <row r="547" spans="1:17">
      <c r="A547" t="s">
        <v>18229</v>
      </c>
      <c r="B547" t="s">
        <v>20252</v>
      </c>
      <c r="C547" t="s">
        <v>13311</v>
      </c>
      <c r="D547" t="s">
        <v>16721</v>
      </c>
      <c r="E547" t="s">
        <v>8191</v>
      </c>
      <c r="F547" t="s">
        <v>18230</v>
      </c>
      <c r="G547" t="s">
        <v>18231</v>
      </c>
      <c r="H547" t="s">
        <v>18232</v>
      </c>
      <c r="I547" t="s">
        <v>1922</v>
      </c>
      <c r="J547" s="4">
        <v>2358.5587721515585</v>
      </c>
      <c r="Q547" t="s">
        <v>20286</v>
      </c>
    </row>
    <row r="548" spans="1:17">
      <c r="A548" t="s">
        <v>18229</v>
      </c>
      <c r="B548" t="s">
        <v>20252</v>
      </c>
      <c r="C548" t="s">
        <v>13311</v>
      </c>
      <c r="D548" t="s">
        <v>16721</v>
      </c>
      <c r="E548" t="s">
        <v>8194</v>
      </c>
      <c r="F548" t="s">
        <v>18230</v>
      </c>
      <c r="G548" t="s">
        <v>18231</v>
      </c>
      <c r="H548" t="s">
        <v>18232</v>
      </c>
      <c r="I548" t="s">
        <v>1922</v>
      </c>
      <c r="J548" s="4">
        <v>29229.561250570656</v>
      </c>
      <c r="Q548" t="s">
        <v>20286</v>
      </c>
    </row>
    <row r="549" spans="1:17">
      <c r="A549" t="s">
        <v>18229</v>
      </c>
      <c r="B549" t="s">
        <v>20252</v>
      </c>
      <c r="C549" t="s">
        <v>13311</v>
      </c>
      <c r="D549" t="s">
        <v>16721</v>
      </c>
      <c r="E549" t="s">
        <v>8200</v>
      </c>
      <c r="F549" t="s">
        <v>18230</v>
      </c>
      <c r="G549" t="s">
        <v>18231</v>
      </c>
      <c r="H549" t="s">
        <v>18232</v>
      </c>
      <c r="I549" t="s">
        <v>1922</v>
      </c>
      <c r="J549" s="4">
        <v>3603.6591233704467</v>
      </c>
      <c r="Q549" t="s">
        <v>20286</v>
      </c>
    </row>
    <row r="550" spans="1:17">
      <c r="A550" t="s">
        <v>18229</v>
      </c>
      <c r="B550" t="s">
        <v>20252</v>
      </c>
      <c r="C550" t="s">
        <v>13311</v>
      </c>
      <c r="D550" t="s">
        <v>16721</v>
      </c>
      <c r="E550" t="s">
        <v>13113</v>
      </c>
      <c r="F550" t="s">
        <v>18230</v>
      </c>
      <c r="G550" t="s">
        <v>18231</v>
      </c>
      <c r="H550" t="s">
        <v>18232</v>
      </c>
      <c r="I550" t="s">
        <v>1922</v>
      </c>
      <c r="J550" s="4">
        <v>416.22080899319155</v>
      </c>
      <c r="Q550" t="s">
        <v>20286</v>
      </c>
    </row>
    <row r="551" spans="1:17">
      <c r="A551" t="s">
        <v>18229</v>
      </c>
      <c r="B551" t="s">
        <v>20252</v>
      </c>
      <c r="C551" t="s">
        <v>13311</v>
      </c>
      <c r="D551" t="s">
        <v>16721</v>
      </c>
      <c r="E551" t="s">
        <v>8249</v>
      </c>
      <c r="F551" t="s">
        <v>18230</v>
      </c>
      <c r="G551" t="s">
        <v>18231</v>
      </c>
      <c r="H551" t="s">
        <v>18232</v>
      </c>
      <c r="I551" t="s">
        <v>1922</v>
      </c>
      <c r="J551" s="4">
        <v>2800.6433486245128</v>
      </c>
      <c r="Q551" t="s">
        <v>20286</v>
      </c>
    </row>
    <row r="552" spans="1:17">
      <c r="A552" t="s">
        <v>18229</v>
      </c>
      <c r="B552" t="s">
        <v>20252</v>
      </c>
      <c r="C552" t="s">
        <v>13311</v>
      </c>
      <c r="D552" t="s">
        <v>16721</v>
      </c>
      <c r="E552" t="s">
        <v>8255</v>
      </c>
      <c r="F552" t="s">
        <v>18230</v>
      </c>
      <c r="G552" t="s">
        <v>18231</v>
      </c>
      <c r="H552" t="s">
        <v>18232</v>
      </c>
      <c r="I552" t="s">
        <v>1922</v>
      </c>
      <c r="J552" s="4">
        <v>17392.654437095385</v>
      </c>
      <c r="Q552" t="s">
        <v>20286</v>
      </c>
    </row>
    <row r="553" spans="1:17">
      <c r="A553" t="s">
        <v>18229</v>
      </c>
      <c r="B553" t="s">
        <v>20252</v>
      </c>
      <c r="C553" t="s">
        <v>13311</v>
      </c>
      <c r="D553" t="s">
        <v>16721</v>
      </c>
      <c r="E553" t="s">
        <v>18189</v>
      </c>
      <c r="F553" t="s">
        <v>18230</v>
      </c>
      <c r="G553" t="s">
        <v>18231</v>
      </c>
      <c r="H553" t="s">
        <v>18232</v>
      </c>
      <c r="I553" t="s">
        <v>1922</v>
      </c>
      <c r="J553" s="4">
        <v>9444.7019126711475</v>
      </c>
      <c r="Q553" t="s">
        <v>20286</v>
      </c>
    </row>
    <row r="554" spans="1:17">
      <c r="A554" t="s">
        <v>18229</v>
      </c>
      <c r="B554" t="s">
        <v>20252</v>
      </c>
      <c r="C554" t="s">
        <v>13311</v>
      </c>
      <c r="D554" t="s">
        <v>16721</v>
      </c>
      <c r="E554" t="s">
        <v>8279</v>
      </c>
      <c r="F554" t="s">
        <v>18230</v>
      </c>
      <c r="G554" t="s">
        <v>18231</v>
      </c>
      <c r="H554" t="s">
        <v>18232</v>
      </c>
      <c r="I554" t="s">
        <v>1922</v>
      </c>
      <c r="J554" s="4">
        <v>3542.9941338302151</v>
      </c>
      <c r="Q554" t="s">
        <v>20286</v>
      </c>
    </row>
    <row r="555" spans="1:17">
      <c r="A555" t="s">
        <v>18229</v>
      </c>
      <c r="B555" t="s">
        <v>20252</v>
      </c>
      <c r="C555" t="s">
        <v>13311</v>
      </c>
      <c r="D555" t="s">
        <v>16721</v>
      </c>
      <c r="E555" t="s">
        <v>12646</v>
      </c>
      <c r="F555" t="s">
        <v>18230</v>
      </c>
      <c r="G555" t="s">
        <v>18231</v>
      </c>
      <c r="H555" t="s">
        <v>18232</v>
      </c>
      <c r="I555" t="s">
        <v>1922</v>
      </c>
      <c r="J555" s="4">
        <v>23403.957349417495</v>
      </c>
      <c r="Q555" t="s">
        <v>20286</v>
      </c>
    </row>
    <row r="556" spans="1:17">
      <c r="A556" t="s">
        <v>18229</v>
      </c>
      <c r="B556" t="s">
        <v>20252</v>
      </c>
      <c r="C556" t="s">
        <v>13311</v>
      </c>
      <c r="D556" t="s">
        <v>16721</v>
      </c>
      <c r="E556" t="s">
        <v>8295</v>
      </c>
      <c r="F556" t="s">
        <v>18230</v>
      </c>
      <c r="G556" t="s">
        <v>18231</v>
      </c>
      <c r="H556" t="s">
        <v>18232</v>
      </c>
      <c r="I556" t="s">
        <v>1922</v>
      </c>
      <c r="J556" s="4">
        <v>18002.269502447049</v>
      </c>
      <c r="Q556" t="s">
        <v>20286</v>
      </c>
    </row>
    <row r="557" spans="1:17">
      <c r="A557" t="s">
        <v>18229</v>
      </c>
      <c r="B557" t="s">
        <v>20252</v>
      </c>
      <c r="C557" t="s">
        <v>13311</v>
      </c>
      <c r="D557" t="s">
        <v>16721</v>
      </c>
      <c r="E557" t="s">
        <v>8304</v>
      </c>
      <c r="F557" t="s">
        <v>18230</v>
      </c>
      <c r="G557" t="s">
        <v>18231</v>
      </c>
      <c r="H557" t="s">
        <v>18232</v>
      </c>
      <c r="I557" t="s">
        <v>1922</v>
      </c>
      <c r="J557" s="4">
        <v>3564.1278260697918</v>
      </c>
      <c r="Q557" t="s">
        <v>20286</v>
      </c>
    </row>
    <row r="558" spans="1:17">
      <c r="A558" t="s">
        <v>18229</v>
      </c>
      <c r="B558" t="s">
        <v>20252</v>
      </c>
      <c r="C558" t="s">
        <v>13311</v>
      </c>
      <c r="D558" t="s">
        <v>16721</v>
      </c>
      <c r="E558" t="s">
        <v>8307</v>
      </c>
      <c r="F558" t="s">
        <v>18230</v>
      </c>
      <c r="G558" t="s">
        <v>18231</v>
      </c>
      <c r="H558" t="s">
        <v>18232</v>
      </c>
      <c r="I558" t="s">
        <v>1922</v>
      </c>
      <c r="J558" s="4">
        <v>688.451803700033</v>
      </c>
      <c r="Q558" t="s">
        <v>20286</v>
      </c>
    </row>
    <row r="559" spans="1:17">
      <c r="A559" t="s">
        <v>18229</v>
      </c>
      <c r="B559" t="s">
        <v>20252</v>
      </c>
      <c r="C559" t="s">
        <v>13311</v>
      </c>
      <c r="D559" t="s">
        <v>16721</v>
      </c>
      <c r="E559" t="s">
        <v>8313</v>
      </c>
      <c r="F559" t="s">
        <v>18230</v>
      </c>
      <c r="G559" t="s">
        <v>18231</v>
      </c>
      <c r="H559" t="s">
        <v>18232</v>
      </c>
      <c r="I559" t="s">
        <v>1922</v>
      </c>
      <c r="J559" s="4">
        <v>520.9955247330048</v>
      </c>
      <c r="Q559" t="s">
        <v>20286</v>
      </c>
    </row>
    <row r="560" spans="1:17">
      <c r="A560" t="s">
        <v>18229</v>
      </c>
      <c r="B560" t="s">
        <v>20252</v>
      </c>
      <c r="C560" t="s">
        <v>13311</v>
      </c>
      <c r="D560" t="s">
        <v>16721</v>
      </c>
      <c r="E560" t="s">
        <v>8316</v>
      </c>
      <c r="F560" t="s">
        <v>18230</v>
      </c>
      <c r="G560" t="s">
        <v>18231</v>
      </c>
      <c r="H560" t="s">
        <v>18232</v>
      </c>
      <c r="I560" t="s">
        <v>1922</v>
      </c>
      <c r="J560" s="4">
        <v>30137.461442664979</v>
      </c>
      <c r="Q560" t="s">
        <v>20286</v>
      </c>
    </row>
    <row r="561" spans="1:17">
      <c r="A561" t="s">
        <v>18229</v>
      </c>
      <c r="B561" t="s">
        <v>20252</v>
      </c>
      <c r="C561" t="s">
        <v>13311</v>
      </c>
      <c r="D561" t="s">
        <v>16721</v>
      </c>
      <c r="E561" t="s">
        <v>8319</v>
      </c>
      <c r="F561" t="s">
        <v>18230</v>
      </c>
      <c r="G561" t="s">
        <v>18231</v>
      </c>
      <c r="H561" t="s">
        <v>18232</v>
      </c>
      <c r="I561" t="s">
        <v>1922</v>
      </c>
      <c r="J561" s="4">
        <v>10382.424809707514</v>
      </c>
      <c r="Q561" t="s">
        <v>20286</v>
      </c>
    </row>
    <row r="562" spans="1:17">
      <c r="A562" t="s">
        <v>18229</v>
      </c>
      <c r="B562" t="s">
        <v>20252</v>
      </c>
      <c r="C562" t="s">
        <v>13311</v>
      </c>
      <c r="D562" t="s">
        <v>16721</v>
      </c>
      <c r="E562" t="s">
        <v>8322</v>
      </c>
      <c r="F562" t="s">
        <v>18230</v>
      </c>
      <c r="G562" t="s">
        <v>18231</v>
      </c>
      <c r="H562" t="s">
        <v>18232</v>
      </c>
      <c r="I562" t="s">
        <v>1922</v>
      </c>
      <c r="J562" s="4">
        <v>10486.967216158588</v>
      </c>
      <c r="Q562" t="s">
        <v>20286</v>
      </c>
    </row>
    <row r="563" spans="1:17">
      <c r="A563" t="s">
        <v>18229</v>
      </c>
      <c r="B563" t="s">
        <v>20252</v>
      </c>
      <c r="C563" t="s">
        <v>13311</v>
      </c>
      <c r="D563" t="s">
        <v>16721</v>
      </c>
      <c r="E563" t="s">
        <v>12691</v>
      </c>
      <c r="F563" t="s">
        <v>18230</v>
      </c>
      <c r="G563" t="s">
        <v>18231</v>
      </c>
      <c r="H563" t="s">
        <v>18232</v>
      </c>
      <c r="I563" t="s">
        <v>1922</v>
      </c>
      <c r="J563" s="4">
        <v>1466.7072800877208</v>
      </c>
      <c r="Q563" t="s">
        <v>20286</v>
      </c>
    </row>
    <row r="564" spans="1:17">
      <c r="A564" t="s">
        <v>18229</v>
      </c>
      <c r="B564" t="s">
        <v>20252</v>
      </c>
      <c r="C564" t="s">
        <v>13311</v>
      </c>
      <c r="D564" t="s">
        <v>16721</v>
      </c>
      <c r="E564" t="s">
        <v>8330</v>
      </c>
      <c r="F564" t="s">
        <v>18230</v>
      </c>
      <c r="G564" t="s">
        <v>18231</v>
      </c>
      <c r="H564" t="s">
        <v>18232</v>
      </c>
      <c r="I564" t="s">
        <v>1922</v>
      </c>
      <c r="J564" s="4">
        <v>9518.1761782710928</v>
      </c>
      <c r="Q564" t="s">
        <v>20286</v>
      </c>
    </row>
    <row r="565" spans="1:17">
      <c r="A565" t="s">
        <v>18229</v>
      </c>
      <c r="B565" t="s">
        <v>20252</v>
      </c>
      <c r="C565" t="s">
        <v>13311</v>
      </c>
      <c r="D565" t="s">
        <v>16721</v>
      </c>
      <c r="E565" t="s">
        <v>8333</v>
      </c>
      <c r="F565" t="s">
        <v>18230</v>
      </c>
      <c r="G565" t="s">
        <v>18231</v>
      </c>
      <c r="H565" t="s">
        <v>18232</v>
      </c>
      <c r="I565" t="s">
        <v>1922</v>
      </c>
      <c r="J565" s="4">
        <v>2277.6893275267107</v>
      </c>
      <c r="Q565" t="s">
        <v>20286</v>
      </c>
    </row>
    <row r="566" spans="1:17">
      <c r="A566" t="s">
        <v>18229</v>
      </c>
      <c r="B566" t="s">
        <v>20252</v>
      </c>
      <c r="C566" t="s">
        <v>13311</v>
      </c>
      <c r="D566" t="s">
        <v>16721</v>
      </c>
      <c r="E566" t="s">
        <v>8336</v>
      </c>
      <c r="F566" t="s">
        <v>18230</v>
      </c>
      <c r="G566" t="s">
        <v>18231</v>
      </c>
      <c r="H566" t="s">
        <v>18232</v>
      </c>
      <c r="I566" t="s">
        <v>1922</v>
      </c>
      <c r="J566" s="4">
        <v>2296.4063578598079</v>
      </c>
      <c r="Q566" t="s">
        <v>20286</v>
      </c>
    </row>
    <row r="567" spans="1:17">
      <c r="A567" t="s">
        <v>18229</v>
      </c>
      <c r="B567" t="s">
        <v>20252</v>
      </c>
      <c r="C567" t="s">
        <v>13311</v>
      </c>
      <c r="D567" t="s">
        <v>16721</v>
      </c>
      <c r="E567" t="s">
        <v>8339</v>
      </c>
      <c r="F567" t="s">
        <v>18230</v>
      </c>
      <c r="G567" t="s">
        <v>18231</v>
      </c>
      <c r="H567" t="s">
        <v>18232</v>
      </c>
      <c r="I567" t="s">
        <v>1922</v>
      </c>
      <c r="J567" s="4">
        <v>25385.149041117689</v>
      </c>
      <c r="Q567" t="s">
        <v>20286</v>
      </c>
    </row>
    <row r="568" spans="1:17">
      <c r="A568" t="s">
        <v>18229</v>
      </c>
      <c r="B568" t="s">
        <v>20252</v>
      </c>
      <c r="C568" t="s">
        <v>13311</v>
      </c>
      <c r="D568" t="s">
        <v>16721</v>
      </c>
      <c r="E568" t="s">
        <v>12697</v>
      </c>
      <c r="F568" t="s">
        <v>18230</v>
      </c>
      <c r="G568" t="s">
        <v>18231</v>
      </c>
      <c r="H568" t="s">
        <v>18232</v>
      </c>
      <c r="I568" t="s">
        <v>1922</v>
      </c>
      <c r="J568" s="4">
        <v>875.96734444621381</v>
      </c>
      <c r="Q568" t="s">
        <v>20286</v>
      </c>
    </row>
    <row r="569" spans="1:17">
      <c r="A569" t="s">
        <v>18229</v>
      </c>
      <c r="B569" t="s">
        <v>20252</v>
      </c>
      <c r="C569" t="s">
        <v>13311</v>
      </c>
      <c r="D569" t="s">
        <v>16721</v>
      </c>
      <c r="E569" t="s">
        <v>12704</v>
      </c>
      <c r="F569" t="s">
        <v>18230</v>
      </c>
      <c r="G569" t="s">
        <v>18231</v>
      </c>
      <c r="H569" t="s">
        <v>18232</v>
      </c>
      <c r="I569" t="s">
        <v>1922</v>
      </c>
      <c r="J569" s="4">
        <v>1002.5436416307323</v>
      </c>
      <c r="Q569" t="s">
        <v>20286</v>
      </c>
    </row>
    <row r="570" spans="1:17">
      <c r="A570" t="s">
        <v>18229</v>
      </c>
      <c r="B570" t="s">
        <v>20252</v>
      </c>
      <c r="C570" t="s">
        <v>13311</v>
      </c>
      <c r="D570" t="s">
        <v>16721</v>
      </c>
      <c r="E570" t="s">
        <v>12726</v>
      </c>
      <c r="F570" t="s">
        <v>18230</v>
      </c>
      <c r="G570" t="s">
        <v>18231</v>
      </c>
      <c r="H570" t="s">
        <v>18232</v>
      </c>
      <c r="I570" t="s">
        <v>1922</v>
      </c>
      <c r="J570" s="4">
        <v>1389.883888908435</v>
      </c>
      <c r="Q570" t="s">
        <v>20286</v>
      </c>
    </row>
    <row r="571" spans="1:17">
      <c r="A571" t="s">
        <v>18229</v>
      </c>
      <c r="B571" t="s">
        <v>20252</v>
      </c>
      <c r="C571" t="s">
        <v>13311</v>
      </c>
      <c r="D571" t="s">
        <v>16721</v>
      </c>
      <c r="E571" t="s">
        <v>8359</v>
      </c>
      <c r="F571" t="s">
        <v>18230</v>
      </c>
      <c r="G571" t="s">
        <v>18231</v>
      </c>
      <c r="H571" t="s">
        <v>18232</v>
      </c>
      <c r="I571" t="s">
        <v>1922</v>
      </c>
      <c r="J571" s="4">
        <v>7924.1021041135564</v>
      </c>
      <c r="Q571" t="s">
        <v>20286</v>
      </c>
    </row>
    <row r="572" spans="1:17">
      <c r="A572" t="s">
        <v>18229</v>
      </c>
      <c r="B572" t="s">
        <v>20252</v>
      </c>
      <c r="C572" t="s">
        <v>13311</v>
      </c>
      <c r="D572" t="s">
        <v>16721</v>
      </c>
      <c r="E572" t="s">
        <v>12729</v>
      </c>
      <c r="F572" t="s">
        <v>18230</v>
      </c>
      <c r="G572" t="s">
        <v>18231</v>
      </c>
      <c r="H572" t="s">
        <v>18232</v>
      </c>
      <c r="I572" t="s">
        <v>1922</v>
      </c>
      <c r="J572" s="4">
        <v>6132.3779964885398</v>
      </c>
      <c r="Q572" t="s">
        <v>20286</v>
      </c>
    </row>
    <row r="573" spans="1:17">
      <c r="A573" t="s">
        <v>18229</v>
      </c>
      <c r="B573" t="s">
        <v>20252</v>
      </c>
      <c r="C573" t="s">
        <v>13311</v>
      </c>
      <c r="D573" t="s">
        <v>16721</v>
      </c>
      <c r="E573" t="s">
        <v>8364</v>
      </c>
      <c r="F573" t="s">
        <v>18230</v>
      </c>
      <c r="G573" t="s">
        <v>18231</v>
      </c>
      <c r="H573" t="s">
        <v>18232</v>
      </c>
      <c r="I573" t="s">
        <v>1922</v>
      </c>
      <c r="J573" s="4">
        <v>1204.3849218492369</v>
      </c>
      <c r="Q573" t="s">
        <v>20286</v>
      </c>
    </row>
    <row r="574" spans="1:17">
      <c r="A574" t="s">
        <v>18229</v>
      </c>
      <c r="B574" t="s">
        <v>20252</v>
      </c>
      <c r="C574" t="s">
        <v>13311</v>
      </c>
      <c r="D574" t="s">
        <v>16721</v>
      </c>
      <c r="E574" t="s">
        <v>8370</v>
      </c>
      <c r="F574" t="s">
        <v>18230</v>
      </c>
      <c r="G574" t="s">
        <v>18231</v>
      </c>
      <c r="H574" t="s">
        <v>18232</v>
      </c>
      <c r="I574" t="s">
        <v>1922</v>
      </c>
      <c r="J574" s="4">
        <v>440.61328431093199</v>
      </c>
      <c r="Q574" t="s">
        <v>20286</v>
      </c>
    </row>
    <row r="575" spans="1:17">
      <c r="A575" t="s">
        <v>18229</v>
      </c>
      <c r="B575" t="s">
        <v>20252</v>
      </c>
      <c r="C575" t="s">
        <v>13311</v>
      </c>
      <c r="D575" t="s">
        <v>16721</v>
      </c>
      <c r="E575" t="s">
        <v>8373</v>
      </c>
      <c r="F575" t="s">
        <v>18230</v>
      </c>
      <c r="G575" t="s">
        <v>18231</v>
      </c>
      <c r="H575" t="s">
        <v>18232</v>
      </c>
      <c r="I575" t="s">
        <v>1922</v>
      </c>
      <c r="J575" s="4">
        <v>12951.139598703743</v>
      </c>
      <c r="Q575" t="s">
        <v>20286</v>
      </c>
    </row>
    <row r="576" spans="1:17">
      <c r="A576" t="s">
        <v>18229</v>
      </c>
      <c r="B576" t="s">
        <v>20252</v>
      </c>
      <c r="C576" t="s">
        <v>13311</v>
      </c>
      <c r="D576" t="s">
        <v>16721</v>
      </c>
      <c r="E576" t="s">
        <v>8376</v>
      </c>
      <c r="F576" t="s">
        <v>18230</v>
      </c>
      <c r="G576" t="s">
        <v>18231</v>
      </c>
      <c r="H576" t="s">
        <v>18232</v>
      </c>
      <c r="I576" t="s">
        <v>1922</v>
      </c>
      <c r="J576" s="4">
        <v>6503.5953338240797</v>
      </c>
      <c r="Q576" t="s">
        <v>20286</v>
      </c>
    </row>
    <row r="577" spans="1:17">
      <c r="A577" t="s">
        <v>18229</v>
      </c>
      <c r="B577" t="s">
        <v>20252</v>
      </c>
      <c r="C577" t="s">
        <v>13311</v>
      </c>
      <c r="D577" t="s">
        <v>16721</v>
      </c>
      <c r="E577" t="s">
        <v>8420</v>
      </c>
      <c r="F577" t="s">
        <v>18230</v>
      </c>
      <c r="G577" t="s">
        <v>18231</v>
      </c>
      <c r="H577" t="s">
        <v>18232</v>
      </c>
      <c r="I577" t="s">
        <v>1922</v>
      </c>
      <c r="J577" s="4">
        <v>3409.9648008473519</v>
      </c>
      <c r="Q577" t="s">
        <v>20286</v>
      </c>
    </row>
    <row r="578" spans="1:17">
      <c r="A578" t="s">
        <v>18229</v>
      </c>
      <c r="B578" t="s">
        <v>20252</v>
      </c>
      <c r="C578" t="s">
        <v>13311</v>
      </c>
      <c r="D578" t="s">
        <v>16721</v>
      </c>
      <c r="E578" t="s">
        <v>8431</v>
      </c>
      <c r="F578" t="s">
        <v>18230</v>
      </c>
      <c r="G578" t="s">
        <v>18231</v>
      </c>
      <c r="H578" t="s">
        <v>18232</v>
      </c>
      <c r="I578" t="s">
        <v>1922</v>
      </c>
      <c r="J578" s="4">
        <v>5729.5440102590128</v>
      </c>
      <c r="Q578" t="s">
        <v>20286</v>
      </c>
    </row>
    <row r="579" spans="1:17">
      <c r="A579" t="s">
        <v>18229</v>
      </c>
      <c r="B579" t="s">
        <v>20252</v>
      </c>
      <c r="C579" t="s">
        <v>13311</v>
      </c>
      <c r="D579" t="s">
        <v>16721</v>
      </c>
      <c r="E579" t="s">
        <v>8441</v>
      </c>
      <c r="F579" t="s">
        <v>18230</v>
      </c>
      <c r="G579" t="s">
        <v>18231</v>
      </c>
      <c r="H579" t="s">
        <v>18232</v>
      </c>
      <c r="I579" t="s">
        <v>1922</v>
      </c>
      <c r="J579" s="4">
        <v>2418.3396957874179</v>
      </c>
      <c r="Q579" t="s">
        <v>20286</v>
      </c>
    </row>
    <row r="580" spans="1:17">
      <c r="A580" t="s">
        <v>18229</v>
      </c>
      <c r="B580" t="s">
        <v>20252</v>
      </c>
      <c r="C580" t="s">
        <v>13311</v>
      </c>
      <c r="D580" t="s">
        <v>16721</v>
      </c>
      <c r="E580" t="s">
        <v>8448</v>
      </c>
      <c r="F580" t="s">
        <v>18230</v>
      </c>
      <c r="G580" t="s">
        <v>18231</v>
      </c>
      <c r="H580" t="s">
        <v>18232</v>
      </c>
      <c r="I580" t="s">
        <v>1922</v>
      </c>
      <c r="J580" s="4">
        <v>95112.933702885799</v>
      </c>
      <c r="Q580" t="s">
        <v>20286</v>
      </c>
    </row>
    <row r="581" spans="1:17">
      <c r="A581" t="s">
        <v>18229</v>
      </c>
      <c r="B581" t="s">
        <v>20252</v>
      </c>
      <c r="C581" t="s">
        <v>13311</v>
      </c>
      <c r="D581" t="s">
        <v>16721</v>
      </c>
      <c r="E581" t="s">
        <v>12736</v>
      </c>
      <c r="F581" t="s">
        <v>18230</v>
      </c>
      <c r="G581" t="s">
        <v>18231</v>
      </c>
      <c r="H581" t="s">
        <v>18232</v>
      </c>
      <c r="I581" t="s">
        <v>1922</v>
      </c>
      <c r="J581" s="4">
        <v>51714.770854716815</v>
      </c>
      <c r="Q581" t="s">
        <v>20286</v>
      </c>
    </row>
    <row r="582" spans="1:17">
      <c r="A582" t="s">
        <v>18229</v>
      </c>
      <c r="B582" t="s">
        <v>20252</v>
      </c>
      <c r="C582" t="s">
        <v>13311</v>
      </c>
      <c r="D582" t="s">
        <v>16721</v>
      </c>
      <c r="E582" t="s">
        <v>8455</v>
      </c>
      <c r="F582" t="s">
        <v>18230</v>
      </c>
      <c r="G582" t="s">
        <v>18231</v>
      </c>
      <c r="H582" t="s">
        <v>18232</v>
      </c>
      <c r="I582" t="s">
        <v>1922</v>
      </c>
      <c r="J582" s="4">
        <v>25729.660489801787</v>
      </c>
      <c r="Q582" t="s">
        <v>20286</v>
      </c>
    </row>
    <row r="583" spans="1:17">
      <c r="A583" t="s">
        <v>18229</v>
      </c>
      <c r="B583" t="s">
        <v>20252</v>
      </c>
      <c r="C583" t="s">
        <v>13311</v>
      </c>
      <c r="D583" t="s">
        <v>16721</v>
      </c>
      <c r="E583" t="s">
        <v>8458</v>
      </c>
      <c r="F583" t="s">
        <v>18230</v>
      </c>
      <c r="G583" t="s">
        <v>18231</v>
      </c>
      <c r="H583" t="s">
        <v>18232</v>
      </c>
      <c r="I583" t="s">
        <v>1922</v>
      </c>
      <c r="J583" s="4">
        <v>35248.630391476079</v>
      </c>
      <c r="Q583" t="s">
        <v>20286</v>
      </c>
    </row>
    <row r="584" spans="1:17">
      <c r="A584" t="s">
        <v>18229</v>
      </c>
      <c r="B584" t="s">
        <v>20252</v>
      </c>
      <c r="C584" t="s">
        <v>13311</v>
      </c>
      <c r="D584" t="s">
        <v>16721</v>
      </c>
      <c r="E584" t="s">
        <v>8461</v>
      </c>
      <c r="F584" t="s">
        <v>18230</v>
      </c>
      <c r="G584" t="s">
        <v>18231</v>
      </c>
      <c r="H584" t="s">
        <v>18232</v>
      </c>
      <c r="I584" t="s">
        <v>1922</v>
      </c>
      <c r="J584" s="4">
        <v>7417.4065067096826</v>
      </c>
      <c r="Q584" t="s">
        <v>20286</v>
      </c>
    </row>
    <row r="585" spans="1:17">
      <c r="A585" t="s">
        <v>18229</v>
      </c>
      <c r="B585" t="s">
        <v>20252</v>
      </c>
      <c r="C585" t="s">
        <v>13311</v>
      </c>
      <c r="D585" t="s">
        <v>16721</v>
      </c>
      <c r="E585" t="s">
        <v>8464</v>
      </c>
      <c r="F585" t="s">
        <v>18230</v>
      </c>
      <c r="G585" t="s">
        <v>18231</v>
      </c>
      <c r="H585" t="s">
        <v>18232</v>
      </c>
      <c r="I585" t="s">
        <v>1922</v>
      </c>
      <c r="J585" s="4">
        <v>8207.7420661118704</v>
      </c>
      <c r="Q585" t="s">
        <v>20286</v>
      </c>
    </row>
    <row r="586" spans="1:17">
      <c r="A586" t="s">
        <v>18229</v>
      </c>
      <c r="B586" t="s">
        <v>20252</v>
      </c>
      <c r="C586" t="s">
        <v>13311</v>
      </c>
      <c r="D586" t="s">
        <v>16721</v>
      </c>
      <c r="E586" t="s">
        <v>8470</v>
      </c>
      <c r="F586" t="s">
        <v>18230</v>
      </c>
      <c r="G586" t="s">
        <v>18231</v>
      </c>
      <c r="H586" t="s">
        <v>18232</v>
      </c>
      <c r="I586" t="s">
        <v>1922</v>
      </c>
      <c r="J586" s="4">
        <v>1636.0801106868571</v>
      </c>
      <c r="Q586" t="s">
        <v>20286</v>
      </c>
    </row>
    <row r="587" spans="1:17">
      <c r="A587" t="s">
        <v>18229</v>
      </c>
      <c r="B587" t="s">
        <v>20252</v>
      </c>
      <c r="C587" t="s">
        <v>13311</v>
      </c>
      <c r="D587" t="s">
        <v>16721</v>
      </c>
      <c r="E587" t="s">
        <v>12761</v>
      </c>
      <c r="F587" t="s">
        <v>18230</v>
      </c>
      <c r="G587" t="s">
        <v>18231</v>
      </c>
      <c r="H587" t="s">
        <v>18232</v>
      </c>
      <c r="I587" t="s">
        <v>1922</v>
      </c>
      <c r="J587" s="4">
        <v>22615.996507189098</v>
      </c>
      <c r="Q587" t="s">
        <v>20286</v>
      </c>
    </row>
    <row r="588" spans="1:17">
      <c r="A588" t="s">
        <v>18229</v>
      </c>
      <c r="B588" t="s">
        <v>20252</v>
      </c>
      <c r="C588" t="s">
        <v>13311</v>
      </c>
      <c r="D588" t="s">
        <v>16721</v>
      </c>
      <c r="E588" t="s">
        <v>8475</v>
      </c>
      <c r="F588" t="s">
        <v>18230</v>
      </c>
      <c r="G588" t="s">
        <v>18231</v>
      </c>
      <c r="H588" t="s">
        <v>18232</v>
      </c>
      <c r="I588" t="s">
        <v>1922</v>
      </c>
      <c r="J588" s="4">
        <v>21185.532702662775</v>
      </c>
      <c r="Q588" t="s">
        <v>20286</v>
      </c>
    </row>
    <row r="589" spans="1:17">
      <c r="A589" t="s">
        <v>18229</v>
      </c>
      <c r="B589" t="s">
        <v>20252</v>
      </c>
      <c r="C589" t="s">
        <v>13311</v>
      </c>
      <c r="D589" t="s">
        <v>16721</v>
      </c>
      <c r="E589" t="s">
        <v>8478</v>
      </c>
      <c r="F589" t="s">
        <v>18230</v>
      </c>
      <c r="G589" t="s">
        <v>18231</v>
      </c>
      <c r="H589" t="s">
        <v>18232</v>
      </c>
      <c r="I589" t="s">
        <v>1922</v>
      </c>
      <c r="J589" s="4">
        <v>24011.284813578644</v>
      </c>
      <c r="Q589" t="s">
        <v>20286</v>
      </c>
    </row>
    <row r="590" spans="1:17">
      <c r="A590" t="s">
        <v>18229</v>
      </c>
      <c r="B590" t="s">
        <v>20252</v>
      </c>
      <c r="C590" t="s">
        <v>13311</v>
      </c>
      <c r="D590" t="s">
        <v>16721</v>
      </c>
      <c r="E590" t="s">
        <v>8484</v>
      </c>
      <c r="F590" t="s">
        <v>18230</v>
      </c>
      <c r="G590" t="s">
        <v>18231</v>
      </c>
      <c r="H590" t="s">
        <v>18232</v>
      </c>
      <c r="I590" t="s">
        <v>1922</v>
      </c>
      <c r="J590" s="4">
        <v>8034.052154563642</v>
      </c>
      <c r="Q590" t="s">
        <v>20286</v>
      </c>
    </row>
    <row r="591" spans="1:17">
      <c r="A591" t="s">
        <v>18229</v>
      </c>
      <c r="B591" t="s">
        <v>20252</v>
      </c>
      <c r="C591" t="s">
        <v>13311</v>
      </c>
      <c r="D591" t="s">
        <v>16721</v>
      </c>
      <c r="E591" t="s">
        <v>8487</v>
      </c>
      <c r="F591" t="s">
        <v>18230</v>
      </c>
      <c r="G591" t="s">
        <v>18231</v>
      </c>
      <c r="H591" t="s">
        <v>18232</v>
      </c>
      <c r="I591" t="s">
        <v>1922</v>
      </c>
      <c r="J591" s="4">
        <v>15846.319921773997</v>
      </c>
      <c r="Q591" t="s">
        <v>20286</v>
      </c>
    </row>
    <row r="592" spans="1:17">
      <c r="A592" t="s">
        <v>18229</v>
      </c>
      <c r="B592" t="s">
        <v>20252</v>
      </c>
      <c r="C592" t="s">
        <v>13311</v>
      </c>
      <c r="D592" t="s">
        <v>16721</v>
      </c>
      <c r="E592" t="s">
        <v>8492</v>
      </c>
      <c r="F592" t="s">
        <v>18230</v>
      </c>
      <c r="G592" t="s">
        <v>18231</v>
      </c>
      <c r="H592" t="s">
        <v>18232</v>
      </c>
      <c r="I592" t="s">
        <v>1922</v>
      </c>
      <c r="J592" s="4">
        <v>11386.865643862959</v>
      </c>
      <c r="Q592" t="s">
        <v>20286</v>
      </c>
    </row>
    <row r="593" spans="1:17">
      <c r="A593" t="s">
        <v>18229</v>
      </c>
      <c r="B593" t="s">
        <v>20252</v>
      </c>
      <c r="C593" t="s">
        <v>13311</v>
      </c>
      <c r="D593" t="s">
        <v>16721</v>
      </c>
      <c r="E593" t="s">
        <v>12825</v>
      </c>
      <c r="F593" t="s">
        <v>18230</v>
      </c>
      <c r="G593" t="s">
        <v>18231</v>
      </c>
      <c r="H593" t="s">
        <v>18232</v>
      </c>
      <c r="I593" t="s">
        <v>1922</v>
      </c>
      <c r="J593" s="4">
        <v>1609.0031724770058</v>
      </c>
      <c r="Q593" t="s">
        <v>20286</v>
      </c>
    </row>
    <row r="594" spans="1:17">
      <c r="A594" t="s">
        <v>18229</v>
      </c>
      <c r="B594" t="s">
        <v>20252</v>
      </c>
      <c r="C594" t="s">
        <v>13311</v>
      </c>
      <c r="D594" t="s">
        <v>16721</v>
      </c>
      <c r="E594" t="s">
        <v>12828</v>
      </c>
      <c r="F594" t="s">
        <v>18230</v>
      </c>
      <c r="G594" t="s">
        <v>18231</v>
      </c>
      <c r="H594" t="s">
        <v>18232</v>
      </c>
      <c r="I594" t="s">
        <v>1922</v>
      </c>
      <c r="J594" s="4">
        <v>31071.602904833264</v>
      </c>
      <c r="Q594" t="s">
        <v>20286</v>
      </c>
    </row>
    <row r="595" spans="1:17">
      <c r="A595" t="s">
        <v>18229</v>
      </c>
      <c r="B595" t="s">
        <v>20252</v>
      </c>
      <c r="C595" t="s">
        <v>13311</v>
      </c>
      <c r="D595" t="s">
        <v>16721</v>
      </c>
      <c r="E595" t="s">
        <v>12831</v>
      </c>
      <c r="F595" t="s">
        <v>18230</v>
      </c>
      <c r="G595" t="s">
        <v>18231</v>
      </c>
      <c r="H595" t="s">
        <v>18232</v>
      </c>
      <c r="I595" t="s">
        <v>1922</v>
      </c>
      <c r="J595" s="4">
        <v>33567.246742966941</v>
      </c>
      <c r="Q595" t="s">
        <v>20286</v>
      </c>
    </row>
    <row r="596" spans="1:17">
      <c r="A596" t="s">
        <v>18229</v>
      </c>
      <c r="B596" t="s">
        <v>20252</v>
      </c>
      <c r="C596" t="s">
        <v>13311</v>
      </c>
      <c r="D596" t="s">
        <v>16721</v>
      </c>
      <c r="E596" t="s">
        <v>12857</v>
      </c>
      <c r="F596" t="s">
        <v>18230</v>
      </c>
      <c r="G596" t="s">
        <v>18231</v>
      </c>
      <c r="H596" t="s">
        <v>18232</v>
      </c>
      <c r="I596" t="s">
        <v>1922</v>
      </c>
      <c r="J596" s="4">
        <v>34006.037044664845</v>
      </c>
      <c r="Q596" t="s">
        <v>20286</v>
      </c>
    </row>
    <row r="597" spans="1:17">
      <c r="A597" t="s">
        <v>18229</v>
      </c>
      <c r="B597" t="s">
        <v>20252</v>
      </c>
      <c r="C597" t="s">
        <v>13311</v>
      </c>
      <c r="D597" t="s">
        <v>16721</v>
      </c>
      <c r="E597" t="s">
        <v>8515</v>
      </c>
      <c r="F597" t="s">
        <v>18230</v>
      </c>
      <c r="G597" t="s">
        <v>18231</v>
      </c>
      <c r="H597" t="s">
        <v>18232</v>
      </c>
      <c r="I597" t="s">
        <v>1922</v>
      </c>
      <c r="J597" s="4">
        <v>1843.161255973617</v>
      </c>
      <c r="Q597" t="s">
        <v>20286</v>
      </c>
    </row>
    <row r="598" spans="1:17">
      <c r="A598" t="s">
        <v>18229</v>
      </c>
      <c r="B598" t="s">
        <v>20252</v>
      </c>
      <c r="C598" t="s">
        <v>13311</v>
      </c>
      <c r="D598" t="s">
        <v>16721</v>
      </c>
      <c r="E598" t="s">
        <v>8518</v>
      </c>
      <c r="F598" t="s">
        <v>18230</v>
      </c>
      <c r="G598" t="s">
        <v>18231</v>
      </c>
      <c r="H598" t="s">
        <v>18232</v>
      </c>
      <c r="I598" t="s">
        <v>1922</v>
      </c>
      <c r="J598" s="4">
        <v>3414.5851744789661</v>
      </c>
      <c r="Q598" t="s">
        <v>20286</v>
      </c>
    </row>
    <row r="599" spans="1:17">
      <c r="A599" t="s">
        <v>18229</v>
      </c>
      <c r="B599" t="s">
        <v>20252</v>
      </c>
      <c r="C599" t="s">
        <v>13311</v>
      </c>
      <c r="D599" t="s">
        <v>16721</v>
      </c>
      <c r="E599" t="s">
        <v>12810</v>
      </c>
      <c r="F599" t="s">
        <v>18230</v>
      </c>
      <c r="G599" t="s">
        <v>18231</v>
      </c>
      <c r="H599" t="s">
        <v>18232</v>
      </c>
      <c r="I599" t="s">
        <v>1922</v>
      </c>
      <c r="J599" s="4">
        <v>1202.2005692314974</v>
      </c>
      <c r="Q599" t="s">
        <v>20286</v>
      </c>
    </row>
    <row r="600" spans="1:17">
      <c r="A600" t="s">
        <v>18229</v>
      </c>
      <c r="B600" t="s">
        <v>20252</v>
      </c>
      <c r="C600" t="s">
        <v>13311</v>
      </c>
      <c r="D600" t="s">
        <v>16721</v>
      </c>
      <c r="E600" t="s">
        <v>12863</v>
      </c>
      <c r="F600" t="s">
        <v>18230</v>
      </c>
      <c r="G600" t="s">
        <v>18231</v>
      </c>
      <c r="H600" t="s">
        <v>18232</v>
      </c>
      <c r="I600" t="s">
        <v>1922</v>
      </c>
      <c r="J600" s="4">
        <v>32413.9214668721</v>
      </c>
      <c r="Q600" t="s">
        <v>20286</v>
      </c>
    </row>
    <row r="601" spans="1:17">
      <c r="A601" t="s">
        <v>18229</v>
      </c>
      <c r="B601" t="s">
        <v>20252</v>
      </c>
      <c r="C601" t="s">
        <v>13311</v>
      </c>
      <c r="D601" t="s">
        <v>16721</v>
      </c>
      <c r="E601" t="s">
        <v>12952</v>
      </c>
      <c r="F601" t="s">
        <v>18230</v>
      </c>
      <c r="G601" t="s">
        <v>18231</v>
      </c>
      <c r="H601" t="s">
        <v>18232</v>
      </c>
      <c r="I601" t="s">
        <v>1922</v>
      </c>
      <c r="J601" s="4">
        <v>1797.1962819820124</v>
      </c>
      <c r="Q601" t="s">
        <v>20286</v>
      </c>
    </row>
    <row r="602" spans="1:17">
      <c r="A602" t="s">
        <v>18229</v>
      </c>
      <c r="B602" t="s">
        <v>20252</v>
      </c>
      <c r="C602" t="s">
        <v>13311</v>
      </c>
      <c r="D602" t="s">
        <v>16721</v>
      </c>
      <c r="E602" t="s">
        <v>5012</v>
      </c>
      <c r="F602" t="s">
        <v>18230</v>
      </c>
      <c r="G602" t="s">
        <v>18231</v>
      </c>
      <c r="H602" t="s">
        <v>18232</v>
      </c>
      <c r="I602" t="s">
        <v>1922</v>
      </c>
      <c r="J602" s="4">
        <v>10857.232730713871</v>
      </c>
      <c r="Q602" t="s">
        <v>20286</v>
      </c>
    </row>
    <row r="603" spans="1:17">
      <c r="A603" t="s">
        <v>18229</v>
      </c>
      <c r="B603" t="s">
        <v>20252</v>
      </c>
      <c r="C603" t="s">
        <v>13311</v>
      </c>
      <c r="D603" t="s">
        <v>16721</v>
      </c>
      <c r="E603" t="s">
        <v>3730</v>
      </c>
      <c r="F603" t="s">
        <v>18230</v>
      </c>
      <c r="G603" t="s">
        <v>18231</v>
      </c>
      <c r="H603" t="s">
        <v>18232</v>
      </c>
      <c r="I603" t="s">
        <v>1922</v>
      </c>
      <c r="J603" s="4">
        <v>6501.4722850464241</v>
      </c>
      <c r="Q603" t="s">
        <v>20286</v>
      </c>
    </row>
    <row r="604" spans="1:17">
      <c r="A604" t="s">
        <v>18229</v>
      </c>
      <c r="B604" t="s">
        <v>20252</v>
      </c>
      <c r="C604" t="s">
        <v>13311</v>
      </c>
      <c r="D604" t="s">
        <v>16721</v>
      </c>
      <c r="E604" t="s">
        <v>5218</v>
      </c>
      <c r="F604" t="s">
        <v>18230</v>
      </c>
      <c r="G604" t="s">
        <v>18231</v>
      </c>
      <c r="H604" t="s">
        <v>18232</v>
      </c>
      <c r="I604" t="s">
        <v>1922</v>
      </c>
      <c r="J604" s="4">
        <v>35656.258983303771</v>
      </c>
      <c r="Q604" t="s">
        <v>20286</v>
      </c>
    </row>
    <row r="605" spans="1:17">
      <c r="A605" t="s">
        <v>18229</v>
      </c>
      <c r="B605" t="s">
        <v>20252</v>
      </c>
      <c r="C605" t="s">
        <v>13311</v>
      </c>
      <c r="D605" t="s">
        <v>16721</v>
      </c>
      <c r="E605" t="s">
        <v>8616</v>
      </c>
      <c r="F605" t="s">
        <v>18230</v>
      </c>
      <c r="G605" t="s">
        <v>18231</v>
      </c>
      <c r="H605" t="s">
        <v>18232</v>
      </c>
      <c r="I605" t="s">
        <v>1922</v>
      </c>
      <c r="J605" s="4">
        <v>4571.7403273201235</v>
      </c>
      <c r="Q605" t="s">
        <v>20286</v>
      </c>
    </row>
    <row r="606" spans="1:17">
      <c r="A606" t="s">
        <v>18229</v>
      </c>
      <c r="B606" t="s">
        <v>20252</v>
      </c>
      <c r="C606" t="s">
        <v>13311</v>
      </c>
      <c r="D606" t="s">
        <v>16721</v>
      </c>
      <c r="E606" t="s">
        <v>3745</v>
      </c>
      <c r="F606" t="s">
        <v>18230</v>
      </c>
      <c r="G606" t="s">
        <v>18231</v>
      </c>
      <c r="H606" t="s">
        <v>18232</v>
      </c>
      <c r="I606" t="s">
        <v>1922</v>
      </c>
      <c r="J606" s="4">
        <v>3478.2863173623191</v>
      </c>
      <c r="Q606" t="s">
        <v>20286</v>
      </c>
    </row>
    <row r="607" spans="1:17">
      <c r="A607" t="s">
        <v>18229</v>
      </c>
      <c r="B607" t="s">
        <v>20252</v>
      </c>
      <c r="C607" t="s">
        <v>13311</v>
      </c>
      <c r="D607" t="s">
        <v>16721</v>
      </c>
      <c r="E607" t="s">
        <v>8631</v>
      </c>
      <c r="F607" t="s">
        <v>18230</v>
      </c>
      <c r="G607" t="s">
        <v>18231</v>
      </c>
      <c r="H607" t="s">
        <v>18232</v>
      </c>
      <c r="I607" t="s">
        <v>1922</v>
      </c>
      <c r="J607" s="4">
        <v>14088.525876376676</v>
      </c>
      <c r="Q607" t="s">
        <v>20286</v>
      </c>
    </row>
    <row r="608" spans="1:17">
      <c r="A608" t="s">
        <v>18229</v>
      </c>
      <c r="B608" t="s">
        <v>20252</v>
      </c>
      <c r="C608" t="s">
        <v>13311</v>
      </c>
      <c r="D608" t="s">
        <v>16721</v>
      </c>
      <c r="E608" t="s">
        <v>8634</v>
      </c>
      <c r="F608" t="s">
        <v>18230</v>
      </c>
      <c r="G608" t="s">
        <v>18231</v>
      </c>
      <c r="H608" t="s">
        <v>18232</v>
      </c>
      <c r="I608" t="s">
        <v>1922</v>
      </c>
      <c r="J608" s="4">
        <v>7910.1958119681249</v>
      </c>
      <c r="Q608" t="s">
        <v>20286</v>
      </c>
    </row>
    <row r="609" spans="1:17">
      <c r="A609" t="s">
        <v>18229</v>
      </c>
      <c r="B609" t="s">
        <v>20252</v>
      </c>
      <c r="C609" t="s">
        <v>13311</v>
      </c>
      <c r="D609" t="s">
        <v>16721</v>
      </c>
      <c r="E609" t="s">
        <v>12330</v>
      </c>
      <c r="F609" t="s">
        <v>18230</v>
      </c>
      <c r="G609" t="s">
        <v>18231</v>
      </c>
      <c r="H609" t="s">
        <v>18232</v>
      </c>
      <c r="I609" t="s">
        <v>1922</v>
      </c>
      <c r="J609" s="4">
        <v>19368.777269175982</v>
      </c>
      <c r="Q609" t="s">
        <v>20286</v>
      </c>
    </row>
    <row r="610" spans="1:17">
      <c r="A610" t="s">
        <v>18229</v>
      </c>
      <c r="B610" t="s">
        <v>20252</v>
      </c>
      <c r="C610" t="s">
        <v>13311</v>
      </c>
      <c r="D610" t="s">
        <v>16721</v>
      </c>
      <c r="E610" t="s">
        <v>12353</v>
      </c>
      <c r="F610" t="s">
        <v>18230</v>
      </c>
      <c r="G610" t="s">
        <v>18231</v>
      </c>
      <c r="H610" t="s">
        <v>18232</v>
      </c>
      <c r="I610" t="s">
        <v>1922</v>
      </c>
      <c r="J610" s="4">
        <v>9491.3767206005705</v>
      </c>
      <c r="Q610" t="s">
        <v>20286</v>
      </c>
    </row>
    <row r="611" spans="1:17">
      <c r="A611" t="s">
        <v>18229</v>
      </c>
      <c r="B611" t="s">
        <v>20252</v>
      </c>
      <c r="C611" t="s">
        <v>13311</v>
      </c>
      <c r="D611" t="s">
        <v>16721</v>
      </c>
      <c r="E611" t="s">
        <v>8657</v>
      </c>
      <c r="F611" t="s">
        <v>18230</v>
      </c>
      <c r="G611" t="s">
        <v>18231</v>
      </c>
      <c r="H611" t="s">
        <v>18232</v>
      </c>
      <c r="I611" t="s">
        <v>1922</v>
      </c>
      <c r="J611" s="4">
        <v>19009.607749675954</v>
      </c>
      <c r="Q611" t="s">
        <v>20286</v>
      </c>
    </row>
    <row r="612" spans="1:17">
      <c r="A612" t="s">
        <v>18229</v>
      </c>
      <c r="B612" t="s">
        <v>20252</v>
      </c>
      <c r="C612" t="s">
        <v>13311</v>
      </c>
      <c r="D612" t="s">
        <v>16721</v>
      </c>
      <c r="E612" t="s">
        <v>8660</v>
      </c>
      <c r="F612" t="s">
        <v>18230</v>
      </c>
      <c r="G612" t="s">
        <v>18231</v>
      </c>
      <c r="H612" t="s">
        <v>18232</v>
      </c>
      <c r="I612" t="s">
        <v>1922</v>
      </c>
      <c r="J612" s="4">
        <v>19180.500270205597</v>
      </c>
      <c r="Q612" t="s">
        <v>20286</v>
      </c>
    </row>
    <row r="613" spans="1:17">
      <c r="A613" t="s">
        <v>18229</v>
      </c>
      <c r="B613" t="s">
        <v>20252</v>
      </c>
      <c r="C613" t="s">
        <v>13311</v>
      </c>
      <c r="D613" t="s">
        <v>16721</v>
      </c>
      <c r="E613" t="s">
        <v>6865</v>
      </c>
      <c r="F613" t="s">
        <v>18230</v>
      </c>
      <c r="G613" t="s">
        <v>18231</v>
      </c>
      <c r="H613" t="s">
        <v>18232</v>
      </c>
      <c r="I613" t="s">
        <v>1922</v>
      </c>
      <c r="J613" s="4">
        <v>6637.0570202054323</v>
      </c>
      <c r="Q613" t="s">
        <v>20286</v>
      </c>
    </row>
    <row r="614" spans="1:17">
      <c r="A614" t="s">
        <v>18229</v>
      </c>
      <c r="B614" t="s">
        <v>20252</v>
      </c>
      <c r="C614" t="s">
        <v>13311</v>
      </c>
      <c r="D614" t="s">
        <v>16721</v>
      </c>
      <c r="E614" t="s">
        <v>6868</v>
      </c>
      <c r="F614" t="s">
        <v>18230</v>
      </c>
      <c r="G614" t="s">
        <v>18231</v>
      </c>
      <c r="H614" t="s">
        <v>18232</v>
      </c>
      <c r="I614" t="s">
        <v>1922</v>
      </c>
      <c r="J614" s="4">
        <v>5357.6587837183451</v>
      </c>
      <c r="Q614" t="s">
        <v>20286</v>
      </c>
    </row>
    <row r="615" spans="1:17">
      <c r="A615" t="s">
        <v>18229</v>
      </c>
      <c r="B615" t="s">
        <v>20252</v>
      </c>
      <c r="C615" t="s">
        <v>13311</v>
      </c>
      <c r="D615" t="s">
        <v>16721</v>
      </c>
      <c r="E615" t="s">
        <v>3629</v>
      </c>
      <c r="F615" t="s">
        <v>18230</v>
      </c>
      <c r="G615" t="s">
        <v>18231</v>
      </c>
      <c r="H615" t="s">
        <v>18232</v>
      </c>
      <c r="I615" t="s">
        <v>1922</v>
      </c>
      <c r="J615" s="4">
        <v>2194.4258066206776</v>
      </c>
      <c r="Q615" t="s">
        <v>20286</v>
      </c>
    </row>
    <row r="616" spans="1:17">
      <c r="A616" t="s">
        <v>18229</v>
      </c>
      <c r="B616" t="s">
        <v>20252</v>
      </c>
      <c r="C616" t="s">
        <v>13311</v>
      </c>
      <c r="D616" t="s">
        <v>16721</v>
      </c>
      <c r="E616" t="s">
        <v>5236</v>
      </c>
      <c r="F616" t="s">
        <v>18230</v>
      </c>
      <c r="G616" t="s">
        <v>18231</v>
      </c>
      <c r="H616" t="s">
        <v>18232</v>
      </c>
      <c r="I616" t="s">
        <v>1922</v>
      </c>
      <c r="J616" s="4">
        <v>7160.6079471145813</v>
      </c>
      <c r="Q616" t="s">
        <v>20286</v>
      </c>
    </row>
    <row r="617" spans="1:17">
      <c r="A617" t="s">
        <v>18229</v>
      </c>
      <c r="B617" t="s">
        <v>20252</v>
      </c>
      <c r="C617" t="s">
        <v>13311</v>
      </c>
      <c r="D617" t="s">
        <v>16721</v>
      </c>
      <c r="E617" t="s">
        <v>5243</v>
      </c>
      <c r="F617" t="s">
        <v>18230</v>
      </c>
      <c r="G617" t="s">
        <v>18231</v>
      </c>
      <c r="H617" t="s">
        <v>18232</v>
      </c>
      <c r="I617" t="s">
        <v>1922</v>
      </c>
      <c r="J617" s="4">
        <v>9497.4006295183244</v>
      </c>
      <c r="Q617" t="s">
        <v>20286</v>
      </c>
    </row>
    <row r="618" spans="1:17">
      <c r="A618" t="s">
        <v>18229</v>
      </c>
      <c r="B618" t="s">
        <v>20252</v>
      </c>
      <c r="C618" t="s">
        <v>13311</v>
      </c>
      <c r="D618" t="s">
        <v>16721</v>
      </c>
      <c r="E618" t="s">
        <v>8903</v>
      </c>
      <c r="F618" t="s">
        <v>18230</v>
      </c>
      <c r="G618" t="s">
        <v>18231</v>
      </c>
      <c r="H618" t="s">
        <v>18232</v>
      </c>
      <c r="I618" t="s">
        <v>1922</v>
      </c>
      <c r="J618" s="4">
        <v>2193.9450554537007</v>
      </c>
      <c r="Q618" t="s">
        <v>20286</v>
      </c>
    </row>
    <row r="619" spans="1:17">
      <c r="A619" t="s">
        <v>18229</v>
      </c>
      <c r="B619" t="s">
        <v>20252</v>
      </c>
      <c r="C619" t="s">
        <v>13311</v>
      </c>
      <c r="D619" t="s">
        <v>16721</v>
      </c>
      <c r="E619" t="s">
        <v>8906</v>
      </c>
      <c r="F619" t="s">
        <v>18230</v>
      </c>
      <c r="G619" t="s">
        <v>18231</v>
      </c>
      <c r="H619" t="s">
        <v>18232</v>
      </c>
      <c r="I619" t="s">
        <v>1922</v>
      </c>
      <c r="J619" s="4">
        <v>14140.992283935111</v>
      </c>
      <c r="Q619" t="s">
        <v>20286</v>
      </c>
    </row>
    <row r="620" spans="1:17">
      <c r="A620" t="s">
        <v>18229</v>
      </c>
      <c r="B620" t="s">
        <v>20252</v>
      </c>
      <c r="C620" t="s">
        <v>13311</v>
      </c>
      <c r="D620" t="s">
        <v>16721</v>
      </c>
      <c r="E620" t="s">
        <v>8909</v>
      </c>
      <c r="F620" t="s">
        <v>18230</v>
      </c>
      <c r="G620" t="s">
        <v>18231</v>
      </c>
      <c r="H620" t="s">
        <v>18232</v>
      </c>
      <c r="I620" t="s">
        <v>1922</v>
      </c>
      <c r="J620" s="4">
        <v>3873.0088375933278</v>
      </c>
      <c r="Q620" t="s">
        <v>20286</v>
      </c>
    </row>
    <row r="621" spans="1:17">
      <c r="A621" t="s">
        <v>18229</v>
      </c>
      <c r="B621" t="s">
        <v>20252</v>
      </c>
      <c r="C621" t="s">
        <v>13311</v>
      </c>
      <c r="D621" t="s">
        <v>16721</v>
      </c>
      <c r="E621" t="s">
        <v>12318</v>
      </c>
      <c r="F621" t="s">
        <v>18230</v>
      </c>
      <c r="G621" t="s">
        <v>18231</v>
      </c>
      <c r="H621" t="s">
        <v>18232</v>
      </c>
      <c r="I621" t="s">
        <v>1922</v>
      </c>
      <c r="J621" s="4">
        <v>6225.772783597974</v>
      </c>
      <c r="Q621" t="s">
        <v>20286</v>
      </c>
    </row>
    <row r="622" spans="1:17">
      <c r="A622" t="s">
        <v>18229</v>
      </c>
      <c r="B622" t="s">
        <v>20252</v>
      </c>
      <c r="C622" t="s">
        <v>13311</v>
      </c>
      <c r="D622" t="s">
        <v>16721</v>
      </c>
      <c r="E622" t="s">
        <v>8916</v>
      </c>
      <c r="F622" t="s">
        <v>18230</v>
      </c>
      <c r="G622" t="s">
        <v>18231</v>
      </c>
      <c r="H622" t="s">
        <v>18232</v>
      </c>
      <c r="I622" t="s">
        <v>1922</v>
      </c>
      <c r="J622" s="4">
        <v>4055.561993810582</v>
      </c>
      <c r="Q622" t="s">
        <v>20286</v>
      </c>
    </row>
    <row r="623" spans="1:17">
      <c r="A623" t="s">
        <v>18229</v>
      </c>
      <c r="B623" t="s">
        <v>20252</v>
      </c>
      <c r="C623" t="s">
        <v>13311</v>
      </c>
      <c r="D623" t="s">
        <v>16721</v>
      </c>
      <c r="E623" t="s">
        <v>8919</v>
      </c>
      <c r="F623" t="s">
        <v>18230</v>
      </c>
      <c r="G623" t="s">
        <v>18231</v>
      </c>
      <c r="H623" t="s">
        <v>18232</v>
      </c>
      <c r="I623" t="s">
        <v>1922</v>
      </c>
      <c r="J623" s="4">
        <v>2679.4521098137125</v>
      </c>
      <c r="Q623" t="s">
        <v>20286</v>
      </c>
    </row>
    <row r="624" spans="1:17">
      <c r="A624" t="s">
        <v>18229</v>
      </c>
      <c r="B624" t="s">
        <v>20252</v>
      </c>
      <c r="C624" t="s">
        <v>13311</v>
      </c>
      <c r="D624" t="s">
        <v>16721</v>
      </c>
      <c r="E624" t="s">
        <v>5252</v>
      </c>
      <c r="F624" t="s">
        <v>18230</v>
      </c>
      <c r="G624" t="s">
        <v>18231</v>
      </c>
      <c r="H624" t="s">
        <v>18232</v>
      </c>
      <c r="I624" t="s">
        <v>1922</v>
      </c>
      <c r="J624" s="4">
        <v>8333.8182530220183</v>
      </c>
      <c r="Q624" t="s">
        <v>20286</v>
      </c>
    </row>
    <row r="625" spans="1:17">
      <c r="A625" t="s">
        <v>18229</v>
      </c>
      <c r="B625" t="s">
        <v>20252</v>
      </c>
      <c r="C625" t="s">
        <v>13311</v>
      </c>
      <c r="D625" t="s">
        <v>16721</v>
      </c>
      <c r="E625" t="s">
        <v>5273</v>
      </c>
      <c r="F625" t="s">
        <v>18230</v>
      </c>
      <c r="G625" t="s">
        <v>18231</v>
      </c>
      <c r="H625" t="s">
        <v>18232</v>
      </c>
      <c r="I625" t="s">
        <v>1922</v>
      </c>
      <c r="J625" s="4">
        <v>15709.386502133137</v>
      </c>
      <c r="Q625" t="s">
        <v>20286</v>
      </c>
    </row>
    <row r="626" spans="1:17">
      <c r="A626" t="s">
        <v>18229</v>
      </c>
      <c r="B626" t="s">
        <v>20252</v>
      </c>
      <c r="C626" t="s">
        <v>13311</v>
      </c>
      <c r="D626" t="s">
        <v>16721</v>
      </c>
      <c r="E626" t="s">
        <v>9011</v>
      </c>
      <c r="F626" t="s">
        <v>18230</v>
      </c>
      <c r="G626" t="s">
        <v>18231</v>
      </c>
      <c r="H626" t="s">
        <v>18232</v>
      </c>
      <c r="I626" t="s">
        <v>1922</v>
      </c>
      <c r="J626" s="4">
        <v>9179.069147068114</v>
      </c>
      <c r="Q626" t="s">
        <v>20286</v>
      </c>
    </row>
    <row r="627" spans="1:17">
      <c r="A627" t="s">
        <v>18229</v>
      </c>
      <c r="B627" t="s">
        <v>20252</v>
      </c>
      <c r="C627" t="s">
        <v>13311</v>
      </c>
      <c r="D627" t="s">
        <v>16721</v>
      </c>
      <c r="E627" t="s">
        <v>9017</v>
      </c>
      <c r="F627" t="s">
        <v>18230</v>
      </c>
      <c r="G627" t="s">
        <v>18231</v>
      </c>
      <c r="H627" t="s">
        <v>18232</v>
      </c>
      <c r="I627" t="s">
        <v>1922</v>
      </c>
      <c r="J627" s="4">
        <v>11247.270346955282</v>
      </c>
      <c r="Q627" t="s">
        <v>20286</v>
      </c>
    </row>
    <row r="628" spans="1:17">
      <c r="A628" t="s">
        <v>18229</v>
      </c>
      <c r="B628" t="s">
        <v>20252</v>
      </c>
      <c r="C628" t="s">
        <v>13311</v>
      </c>
      <c r="D628" t="s">
        <v>16721</v>
      </c>
      <c r="E628" t="s">
        <v>9020</v>
      </c>
      <c r="F628" t="s">
        <v>18230</v>
      </c>
      <c r="G628" t="s">
        <v>18231</v>
      </c>
      <c r="H628" t="s">
        <v>18232</v>
      </c>
      <c r="I628" t="s">
        <v>1922</v>
      </c>
      <c r="J628" s="4">
        <v>7255.5708219230128</v>
      </c>
      <c r="Q628" t="s">
        <v>20286</v>
      </c>
    </row>
    <row r="629" spans="1:17">
      <c r="A629" t="s">
        <v>18229</v>
      </c>
      <c r="B629" t="s">
        <v>20252</v>
      </c>
      <c r="C629" t="s">
        <v>13311</v>
      </c>
      <c r="D629" t="s">
        <v>16721</v>
      </c>
      <c r="E629" t="s">
        <v>9023</v>
      </c>
      <c r="F629" t="s">
        <v>18230</v>
      </c>
      <c r="G629" t="s">
        <v>18231</v>
      </c>
      <c r="H629" t="s">
        <v>18232</v>
      </c>
      <c r="I629" t="s">
        <v>1922</v>
      </c>
      <c r="J629" s="4">
        <v>51594.560477347361</v>
      </c>
      <c r="Q629" t="s">
        <v>20286</v>
      </c>
    </row>
    <row r="630" spans="1:17">
      <c r="A630" t="s">
        <v>18229</v>
      </c>
      <c r="B630" t="s">
        <v>20252</v>
      </c>
      <c r="C630" t="s">
        <v>13311</v>
      </c>
      <c r="D630" t="s">
        <v>16721</v>
      </c>
      <c r="E630" t="s">
        <v>9026</v>
      </c>
      <c r="F630" t="s">
        <v>18230</v>
      </c>
      <c r="G630" t="s">
        <v>18231</v>
      </c>
      <c r="H630" t="s">
        <v>18232</v>
      </c>
      <c r="I630" t="s">
        <v>1922</v>
      </c>
      <c r="J630" s="4">
        <v>10740.297269012081</v>
      </c>
      <c r="Q630" t="s">
        <v>20286</v>
      </c>
    </row>
    <row r="631" spans="1:17">
      <c r="A631" t="s">
        <v>18229</v>
      </c>
      <c r="B631" t="s">
        <v>20252</v>
      </c>
      <c r="C631" t="s">
        <v>13311</v>
      </c>
      <c r="D631" t="s">
        <v>16721</v>
      </c>
      <c r="E631" t="s">
        <v>12739</v>
      </c>
      <c r="F631" t="s">
        <v>18230</v>
      </c>
      <c r="G631" t="s">
        <v>18231</v>
      </c>
      <c r="H631" t="s">
        <v>18232</v>
      </c>
      <c r="I631" t="s">
        <v>1922</v>
      </c>
      <c r="J631" s="4">
        <v>14067.256670385332</v>
      </c>
      <c r="Q631" t="s">
        <v>20286</v>
      </c>
    </row>
    <row r="632" spans="1:17">
      <c r="A632" t="s">
        <v>18229</v>
      </c>
      <c r="B632" t="s">
        <v>20252</v>
      </c>
      <c r="C632" t="s">
        <v>13311</v>
      </c>
      <c r="D632" t="s">
        <v>16721</v>
      </c>
      <c r="E632" t="s">
        <v>9032</v>
      </c>
      <c r="F632" t="s">
        <v>18230</v>
      </c>
      <c r="G632" t="s">
        <v>18231</v>
      </c>
      <c r="H632" t="s">
        <v>18232</v>
      </c>
      <c r="I632" t="s">
        <v>1922</v>
      </c>
      <c r="J632" s="4">
        <v>30247.17918382632</v>
      </c>
      <c r="Q632" t="s">
        <v>20286</v>
      </c>
    </row>
    <row r="633" spans="1:17">
      <c r="A633" t="s">
        <v>18229</v>
      </c>
      <c r="B633" t="s">
        <v>20252</v>
      </c>
      <c r="C633" t="s">
        <v>13311</v>
      </c>
      <c r="D633" t="s">
        <v>16721</v>
      </c>
      <c r="E633" t="s">
        <v>9039</v>
      </c>
      <c r="F633" t="s">
        <v>18230</v>
      </c>
      <c r="G633" t="s">
        <v>18231</v>
      </c>
      <c r="H633" t="s">
        <v>18232</v>
      </c>
      <c r="I633" t="s">
        <v>1922</v>
      </c>
      <c r="J633" s="4">
        <v>7995.7695196899658</v>
      </c>
      <c r="Q633" t="s">
        <v>20286</v>
      </c>
    </row>
    <row r="634" spans="1:17">
      <c r="A634" t="s">
        <v>18229</v>
      </c>
      <c r="B634" t="s">
        <v>20252</v>
      </c>
      <c r="C634" t="s">
        <v>13311</v>
      </c>
      <c r="D634" t="s">
        <v>16721</v>
      </c>
      <c r="E634" t="s">
        <v>9042</v>
      </c>
      <c r="F634" t="s">
        <v>18230</v>
      </c>
      <c r="G634" t="s">
        <v>18231</v>
      </c>
      <c r="H634" t="s">
        <v>18232</v>
      </c>
      <c r="I634" t="s">
        <v>1922</v>
      </c>
      <c r="J634" s="4">
        <v>14904.289623342238</v>
      </c>
      <c r="Q634" t="s">
        <v>20286</v>
      </c>
    </row>
    <row r="635" spans="1:17">
      <c r="A635" t="s">
        <v>18229</v>
      </c>
      <c r="B635" t="s">
        <v>20252</v>
      </c>
      <c r="C635" t="s">
        <v>13311</v>
      </c>
      <c r="D635" t="s">
        <v>16721</v>
      </c>
      <c r="E635" t="s">
        <v>9045</v>
      </c>
      <c r="F635" t="s">
        <v>18230</v>
      </c>
      <c r="G635" t="s">
        <v>18231</v>
      </c>
      <c r="H635" t="s">
        <v>18232</v>
      </c>
      <c r="I635" t="s">
        <v>1922</v>
      </c>
      <c r="J635" s="4">
        <v>17582.312385726615</v>
      </c>
      <c r="Q635" t="s">
        <v>20286</v>
      </c>
    </row>
    <row r="636" spans="1:17">
      <c r="A636" t="s">
        <v>18229</v>
      </c>
      <c r="B636" t="s">
        <v>20252</v>
      </c>
      <c r="C636" t="s">
        <v>13311</v>
      </c>
      <c r="D636" t="s">
        <v>16721</v>
      </c>
      <c r="E636" t="s">
        <v>9055</v>
      </c>
      <c r="F636" t="s">
        <v>18230</v>
      </c>
      <c r="G636" t="s">
        <v>18231</v>
      </c>
      <c r="H636" t="s">
        <v>18232</v>
      </c>
      <c r="I636" t="s">
        <v>1922</v>
      </c>
      <c r="J636" s="4">
        <v>10063.796487610578</v>
      </c>
      <c r="Q636" t="s">
        <v>20286</v>
      </c>
    </row>
    <row r="637" spans="1:17">
      <c r="A637" t="s">
        <v>18229</v>
      </c>
      <c r="B637" t="s">
        <v>20252</v>
      </c>
      <c r="C637" t="s">
        <v>13311</v>
      </c>
      <c r="D637" t="s">
        <v>16721</v>
      </c>
      <c r="E637" t="s">
        <v>9105</v>
      </c>
      <c r="F637" t="s">
        <v>18230</v>
      </c>
      <c r="G637" t="s">
        <v>18231</v>
      </c>
      <c r="H637" t="s">
        <v>18232</v>
      </c>
      <c r="I637" t="s">
        <v>1922</v>
      </c>
      <c r="J637" s="4">
        <v>9093.2534505038348</v>
      </c>
      <c r="Q637" t="s">
        <v>20286</v>
      </c>
    </row>
    <row r="638" spans="1:17">
      <c r="A638" t="s">
        <v>18229</v>
      </c>
      <c r="B638" t="s">
        <v>20252</v>
      </c>
      <c r="C638" t="s">
        <v>13311</v>
      </c>
      <c r="D638" t="s">
        <v>16721</v>
      </c>
      <c r="E638" t="s">
        <v>9108</v>
      </c>
      <c r="F638" t="s">
        <v>18230</v>
      </c>
      <c r="G638" t="s">
        <v>18231</v>
      </c>
      <c r="H638" t="s">
        <v>18232</v>
      </c>
      <c r="I638" t="s">
        <v>1922</v>
      </c>
      <c r="J638" s="4">
        <v>4387.6319894754679</v>
      </c>
      <c r="Q638" t="s">
        <v>20286</v>
      </c>
    </row>
    <row r="639" spans="1:17">
      <c r="A639" t="s">
        <v>18229</v>
      </c>
      <c r="B639" t="s">
        <v>20252</v>
      </c>
      <c r="C639" t="s">
        <v>13311</v>
      </c>
      <c r="D639" t="s">
        <v>16721</v>
      </c>
      <c r="E639" t="s">
        <v>9114</v>
      </c>
      <c r="F639" t="s">
        <v>18230</v>
      </c>
      <c r="G639" t="s">
        <v>18231</v>
      </c>
      <c r="H639" t="s">
        <v>18232</v>
      </c>
      <c r="I639" t="s">
        <v>1922</v>
      </c>
      <c r="J639" s="4">
        <v>2981.5961519637776</v>
      </c>
      <c r="Q639" t="s">
        <v>20286</v>
      </c>
    </row>
    <row r="640" spans="1:17">
      <c r="A640" t="s">
        <v>18229</v>
      </c>
      <c r="B640" t="s">
        <v>20252</v>
      </c>
      <c r="C640" t="s">
        <v>13311</v>
      </c>
      <c r="D640" t="s">
        <v>16721</v>
      </c>
      <c r="E640" t="s">
        <v>9117</v>
      </c>
      <c r="F640" t="s">
        <v>18230</v>
      </c>
      <c r="G640" t="s">
        <v>18231</v>
      </c>
      <c r="H640" t="s">
        <v>18232</v>
      </c>
      <c r="I640" t="s">
        <v>1922</v>
      </c>
      <c r="J640" s="4">
        <v>38865.040713584051</v>
      </c>
      <c r="Q640" t="s">
        <v>20286</v>
      </c>
    </row>
    <row r="641" spans="1:17">
      <c r="A641" t="s">
        <v>18229</v>
      </c>
      <c r="B641" t="s">
        <v>20252</v>
      </c>
      <c r="C641" t="s">
        <v>13311</v>
      </c>
      <c r="D641" t="s">
        <v>16721</v>
      </c>
      <c r="E641" t="s">
        <v>9119</v>
      </c>
      <c r="F641" t="s">
        <v>18230</v>
      </c>
      <c r="G641" t="s">
        <v>18231</v>
      </c>
      <c r="H641" t="s">
        <v>18232</v>
      </c>
      <c r="I641" t="s">
        <v>1922</v>
      </c>
      <c r="J641" s="4">
        <v>1550.5064029650168</v>
      </c>
      <c r="Q641" t="s">
        <v>20286</v>
      </c>
    </row>
    <row r="642" spans="1:17">
      <c r="A642" t="s">
        <v>18229</v>
      </c>
      <c r="B642" t="s">
        <v>20252</v>
      </c>
      <c r="C642" t="s">
        <v>13311</v>
      </c>
      <c r="D642" t="s">
        <v>16721</v>
      </c>
      <c r="E642" t="s">
        <v>9122</v>
      </c>
      <c r="F642" t="s">
        <v>18230</v>
      </c>
      <c r="G642" t="s">
        <v>18231</v>
      </c>
      <c r="H642" t="s">
        <v>18232</v>
      </c>
      <c r="I642" t="s">
        <v>1922</v>
      </c>
      <c r="J642" s="4">
        <v>2415.8552770050555</v>
      </c>
      <c r="Q642" t="s">
        <v>20286</v>
      </c>
    </row>
    <row r="643" spans="1:17">
      <c r="A643" t="s">
        <v>18229</v>
      </c>
      <c r="B643" t="s">
        <v>20252</v>
      </c>
      <c r="C643" t="s">
        <v>13311</v>
      </c>
      <c r="D643" t="s">
        <v>16721</v>
      </c>
      <c r="E643" t="s">
        <v>9124</v>
      </c>
      <c r="F643" t="s">
        <v>18230</v>
      </c>
      <c r="G643" t="s">
        <v>18231</v>
      </c>
      <c r="H643" t="s">
        <v>18232</v>
      </c>
      <c r="I643" t="s">
        <v>1922</v>
      </c>
      <c r="J643" s="4">
        <v>7258.8328315190747</v>
      </c>
      <c r="Q643" t="s">
        <v>20286</v>
      </c>
    </row>
    <row r="644" spans="1:17">
      <c r="A644" t="s">
        <v>18229</v>
      </c>
      <c r="B644" t="s">
        <v>20252</v>
      </c>
      <c r="C644" t="s">
        <v>13311</v>
      </c>
      <c r="D644" t="s">
        <v>16721</v>
      </c>
      <c r="E644" t="s">
        <v>9126</v>
      </c>
      <c r="F644" t="s">
        <v>18230</v>
      </c>
      <c r="G644" t="s">
        <v>18231</v>
      </c>
      <c r="H644" t="s">
        <v>18232</v>
      </c>
      <c r="I644" t="s">
        <v>1922</v>
      </c>
      <c r="J644" s="4">
        <v>1822.5502596337062</v>
      </c>
      <c r="Q644" t="s">
        <v>20286</v>
      </c>
    </row>
    <row r="645" spans="1:17">
      <c r="A645" t="s">
        <v>18229</v>
      </c>
      <c r="B645" t="s">
        <v>20252</v>
      </c>
      <c r="C645" t="s">
        <v>13311</v>
      </c>
      <c r="D645" t="s">
        <v>16721</v>
      </c>
      <c r="E645" t="s">
        <v>11617</v>
      </c>
      <c r="F645" t="s">
        <v>18230</v>
      </c>
      <c r="G645" t="s">
        <v>18231</v>
      </c>
      <c r="H645" t="s">
        <v>18232</v>
      </c>
      <c r="I645" t="s">
        <v>1922</v>
      </c>
      <c r="J645" s="4">
        <v>22144.57965649477</v>
      </c>
      <c r="Q645" t="s">
        <v>20286</v>
      </c>
    </row>
    <row r="646" spans="1:17">
      <c r="A646" t="s">
        <v>18229</v>
      </c>
      <c r="B646" t="s">
        <v>20252</v>
      </c>
      <c r="C646" t="s">
        <v>13311</v>
      </c>
      <c r="D646" t="s">
        <v>16721</v>
      </c>
      <c r="E646" t="s">
        <v>9133</v>
      </c>
      <c r="F646" t="s">
        <v>18230</v>
      </c>
      <c r="G646" t="s">
        <v>18231</v>
      </c>
      <c r="H646" t="s">
        <v>18232</v>
      </c>
      <c r="I646" t="s">
        <v>1922</v>
      </c>
      <c r="J646" s="4">
        <v>18028.084872158324</v>
      </c>
      <c r="Q646" t="s">
        <v>20286</v>
      </c>
    </row>
    <row r="647" spans="1:17">
      <c r="A647" t="s">
        <v>18229</v>
      </c>
      <c r="B647" t="s">
        <v>20252</v>
      </c>
      <c r="C647" t="s">
        <v>13311</v>
      </c>
      <c r="D647" t="s">
        <v>16721</v>
      </c>
      <c r="E647" t="s">
        <v>9135</v>
      </c>
      <c r="F647" t="s">
        <v>18230</v>
      </c>
      <c r="G647" t="s">
        <v>18231</v>
      </c>
      <c r="H647" t="s">
        <v>18232</v>
      </c>
      <c r="I647" t="s">
        <v>1922</v>
      </c>
      <c r="J647" s="4">
        <v>19058.118446290002</v>
      </c>
      <c r="Q647" t="s">
        <v>20286</v>
      </c>
    </row>
    <row r="648" spans="1:17">
      <c r="A648" t="s">
        <v>18229</v>
      </c>
      <c r="B648" t="s">
        <v>20252</v>
      </c>
      <c r="C648" t="s">
        <v>13311</v>
      </c>
      <c r="D648" t="s">
        <v>16721</v>
      </c>
      <c r="E648" t="s">
        <v>9137</v>
      </c>
      <c r="F648" t="s">
        <v>18230</v>
      </c>
      <c r="G648" t="s">
        <v>18231</v>
      </c>
      <c r="H648" t="s">
        <v>18232</v>
      </c>
      <c r="I648" t="s">
        <v>1922</v>
      </c>
      <c r="J648" s="4">
        <v>1098.4422066299232</v>
      </c>
      <c r="Q648" t="s">
        <v>20286</v>
      </c>
    </row>
    <row r="649" spans="1:17">
      <c r="A649" t="s">
        <v>18229</v>
      </c>
      <c r="B649" t="s">
        <v>20252</v>
      </c>
      <c r="C649" t="s">
        <v>13311</v>
      </c>
      <c r="D649" t="s">
        <v>16721</v>
      </c>
      <c r="E649" t="s">
        <v>9139</v>
      </c>
      <c r="F649" t="s">
        <v>18230</v>
      </c>
      <c r="G649" t="s">
        <v>18231</v>
      </c>
      <c r="H649" t="s">
        <v>18232</v>
      </c>
      <c r="I649" t="s">
        <v>1922</v>
      </c>
      <c r="J649" s="4">
        <v>4712.0970824520055</v>
      </c>
      <c r="Q649" t="s">
        <v>20286</v>
      </c>
    </row>
    <row r="650" spans="1:17">
      <c r="A650" t="s">
        <v>18229</v>
      </c>
      <c r="B650" t="s">
        <v>20252</v>
      </c>
      <c r="C650" t="s">
        <v>13311</v>
      </c>
      <c r="D650" t="s">
        <v>16721</v>
      </c>
      <c r="E650" t="s">
        <v>9141</v>
      </c>
      <c r="F650" t="s">
        <v>18230</v>
      </c>
      <c r="G650" t="s">
        <v>18231</v>
      </c>
      <c r="H650" t="s">
        <v>18232</v>
      </c>
      <c r="I650" t="s">
        <v>1922</v>
      </c>
      <c r="J650" s="4">
        <v>4647.8183928647004</v>
      </c>
      <c r="Q650" t="s">
        <v>20286</v>
      </c>
    </row>
    <row r="651" spans="1:17">
      <c r="A651" t="s">
        <v>18229</v>
      </c>
      <c r="B651" t="s">
        <v>20252</v>
      </c>
      <c r="C651" t="s">
        <v>13311</v>
      </c>
      <c r="D651" t="s">
        <v>16721</v>
      </c>
      <c r="E651" t="s">
        <v>5174</v>
      </c>
      <c r="F651" t="s">
        <v>18230</v>
      </c>
      <c r="G651" t="s">
        <v>18231</v>
      </c>
      <c r="H651" t="s">
        <v>18232</v>
      </c>
      <c r="I651" t="s">
        <v>1922</v>
      </c>
      <c r="J651" s="4">
        <v>6207.5365044318532</v>
      </c>
      <c r="Q651" t="s">
        <v>20286</v>
      </c>
    </row>
    <row r="652" spans="1:17">
      <c r="A652" t="s">
        <v>18229</v>
      </c>
      <c r="B652" t="s">
        <v>20252</v>
      </c>
      <c r="C652" t="s">
        <v>13311</v>
      </c>
      <c r="D652" t="s">
        <v>16721</v>
      </c>
      <c r="E652" t="s">
        <v>12707</v>
      </c>
      <c r="F652" t="s">
        <v>18230</v>
      </c>
      <c r="G652" t="s">
        <v>18231</v>
      </c>
      <c r="H652" t="s">
        <v>18232</v>
      </c>
      <c r="I652" t="s">
        <v>1922</v>
      </c>
      <c r="J652" s="4">
        <v>20487.217433744976</v>
      </c>
      <c r="Q652" t="s">
        <v>20286</v>
      </c>
    </row>
    <row r="653" spans="1:17">
      <c r="A653" t="s">
        <v>18229</v>
      </c>
      <c r="B653" t="s">
        <v>20252</v>
      </c>
      <c r="C653" t="s">
        <v>13311</v>
      </c>
      <c r="D653" t="s">
        <v>16721</v>
      </c>
      <c r="E653" t="s">
        <v>12742</v>
      </c>
      <c r="F653" t="s">
        <v>18230</v>
      </c>
      <c r="G653" t="s">
        <v>18231</v>
      </c>
      <c r="H653" t="s">
        <v>18232</v>
      </c>
      <c r="I653" t="s">
        <v>1922</v>
      </c>
      <c r="J653" s="4">
        <v>15487.298822097329</v>
      </c>
      <c r="Q653" t="s">
        <v>20286</v>
      </c>
    </row>
    <row r="654" spans="1:17">
      <c r="A654" t="s">
        <v>18229</v>
      </c>
      <c r="B654" t="s">
        <v>20252</v>
      </c>
      <c r="C654" t="s">
        <v>13311</v>
      </c>
      <c r="D654" t="s">
        <v>16721</v>
      </c>
      <c r="E654" t="s">
        <v>13004</v>
      </c>
      <c r="F654" t="s">
        <v>18230</v>
      </c>
      <c r="G654" t="s">
        <v>18231</v>
      </c>
      <c r="H654" t="s">
        <v>18232</v>
      </c>
      <c r="I654" t="s">
        <v>1922</v>
      </c>
      <c r="J654" s="4">
        <v>25311.377935871024</v>
      </c>
      <c r="Q654" t="s">
        <v>20286</v>
      </c>
    </row>
    <row r="655" spans="1:17">
      <c r="A655" t="s">
        <v>18229</v>
      </c>
      <c r="B655" t="s">
        <v>20252</v>
      </c>
      <c r="C655" t="s">
        <v>13311</v>
      </c>
      <c r="D655" t="s">
        <v>16721</v>
      </c>
      <c r="E655" t="s">
        <v>13037</v>
      </c>
      <c r="F655" t="s">
        <v>18230</v>
      </c>
      <c r="G655" t="s">
        <v>18231</v>
      </c>
      <c r="H655" t="s">
        <v>18232</v>
      </c>
      <c r="I655" t="s">
        <v>1922</v>
      </c>
      <c r="J655" s="4">
        <v>6938.5880239546541</v>
      </c>
      <c r="Q655" t="s">
        <v>20286</v>
      </c>
    </row>
    <row r="656" spans="1:17">
      <c r="A656" t="s">
        <v>18229</v>
      </c>
      <c r="B656" t="s">
        <v>20252</v>
      </c>
      <c r="C656" t="s">
        <v>13311</v>
      </c>
      <c r="D656" t="s">
        <v>16721</v>
      </c>
      <c r="E656" t="s">
        <v>13168</v>
      </c>
      <c r="F656" t="s">
        <v>18230</v>
      </c>
      <c r="G656" t="s">
        <v>18231</v>
      </c>
      <c r="H656" t="s">
        <v>18232</v>
      </c>
      <c r="I656" t="s">
        <v>1922</v>
      </c>
      <c r="J656" s="4">
        <v>13704.260500656881</v>
      </c>
      <c r="Q656" t="s">
        <v>20286</v>
      </c>
    </row>
    <row r="657" spans="1:17">
      <c r="A657" t="s">
        <v>18229</v>
      </c>
      <c r="B657" t="s">
        <v>20252</v>
      </c>
      <c r="C657" t="s">
        <v>13311</v>
      </c>
      <c r="D657" t="s">
        <v>16721</v>
      </c>
      <c r="E657" t="s">
        <v>12748</v>
      </c>
      <c r="F657" t="s">
        <v>18230</v>
      </c>
      <c r="G657" t="s">
        <v>18231</v>
      </c>
      <c r="H657" t="s">
        <v>18232</v>
      </c>
      <c r="I657" t="s">
        <v>1922</v>
      </c>
      <c r="J657" s="4">
        <v>23824.730775166419</v>
      </c>
      <c r="Q657" t="s">
        <v>20286</v>
      </c>
    </row>
    <row r="658" spans="1:17">
      <c r="A658" t="s">
        <v>18229</v>
      </c>
      <c r="B658" t="s">
        <v>20252</v>
      </c>
      <c r="C658" t="s">
        <v>13311</v>
      </c>
      <c r="D658" t="s">
        <v>16721</v>
      </c>
      <c r="E658" t="s">
        <v>7703</v>
      </c>
      <c r="F658" t="s">
        <v>18230</v>
      </c>
      <c r="G658" t="s">
        <v>18231</v>
      </c>
      <c r="H658" t="s">
        <v>18232</v>
      </c>
      <c r="I658" t="s">
        <v>1922</v>
      </c>
      <c r="J658" s="4">
        <v>7314.2192377762622</v>
      </c>
      <c r="Q658" t="s">
        <v>20286</v>
      </c>
    </row>
    <row r="659" spans="1:17">
      <c r="A659" t="s">
        <v>18229</v>
      </c>
      <c r="B659" t="s">
        <v>20252</v>
      </c>
      <c r="C659" t="s">
        <v>13311</v>
      </c>
      <c r="D659" t="s">
        <v>16721</v>
      </c>
      <c r="E659" t="s">
        <v>19779</v>
      </c>
      <c r="F659" t="s">
        <v>18230</v>
      </c>
      <c r="G659" t="s">
        <v>18231</v>
      </c>
      <c r="H659" t="s">
        <v>18232</v>
      </c>
      <c r="I659" t="s">
        <v>1922</v>
      </c>
      <c r="J659" s="4">
        <v>3385.6336293696954</v>
      </c>
      <c r="Q659" t="s">
        <v>20286</v>
      </c>
    </row>
    <row r="660" spans="1:17">
      <c r="A660" t="s">
        <v>18229</v>
      </c>
      <c r="B660" t="s">
        <v>20252</v>
      </c>
      <c r="C660" t="s">
        <v>13311</v>
      </c>
      <c r="D660" t="s">
        <v>16721</v>
      </c>
      <c r="E660" t="s">
        <v>5966</v>
      </c>
      <c r="F660" t="s">
        <v>18230</v>
      </c>
      <c r="G660" t="s">
        <v>18231</v>
      </c>
      <c r="H660" t="s">
        <v>18232</v>
      </c>
      <c r="I660" t="s">
        <v>1922</v>
      </c>
      <c r="J660" s="4">
        <v>16379.895639795874</v>
      </c>
      <c r="Q660" t="s">
        <v>20286</v>
      </c>
    </row>
    <row r="661" spans="1:17">
      <c r="A661" t="s">
        <v>18229</v>
      </c>
      <c r="B661" t="s">
        <v>20252</v>
      </c>
      <c r="C661" t="s">
        <v>13311</v>
      </c>
      <c r="D661" t="s">
        <v>16721</v>
      </c>
      <c r="E661" t="s">
        <v>19772</v>
      </c>
      <c r="F661" t="s">
        <v>18230</v>
      </c>
      <c r="G661" t="s">
        <v>18231</v>
      </c>
      <c r="H661" t="s">
        <v>18232</v>
      </c>
      <c r="I661" t="s">
        <v>1922</v>
      </c>
      <c r="J661" s="4">
        <v>6168.3343119569126</v>
      </c>
      <c r="Q661" t="s">
        <v>20286</v>
      </c>
    </row>
    <row r="662" spans="1:17">
      <c r="A662" t="s">
        <v>18229</v>
      </c>
      <c r="B662" t="s">
        <v>20252</v>
      </c>
      <c r="C662" t="s">
        <v>13311</v>
      </c>
      <c r="D662" t="s">
        <v>16721</v>
      </c>
      <c r="E662" t="s">
        <v>19742</v>
      </c>
      <c r="F662" t="s">
        <v>18230</v>
      </c>
      <c r="G662" t="s">
        <v>18231</v>
      </c>
      <c r="H662" t="s">
        <v>18232</v>
      </c>
      <c r="I662" t="s">
        <v>1922</v>
      </c>
      <c r="J662" s="4">
        <v>52311.625041777254</v>
      </c>
      <c r="Q662" t="s">
        <v>20286</v>
      </c>
    </row>
    <row r="663" spans="1:17">
      <c r="A663" t="s">
        <v>18229</v>
      </c>
      <c r="B663" t="s">
        <v>20252</v>
      </c>
      <c r="C663" t="s">
        <v>13311</v>
      </c>
      <c r="D663" t="s">
        <v>16721</v>
      </c>
      <c r="E663" t="s">
        <v>19746</v>
      </c>
      <c r="F663" t="s">
        <v>18230</v>
      </c>
      <c r="G663" t="s">
        <v>18231</v>
      </c>
      <c r="H663" t="s">
        <v>18232</v>
      </c>
      <c r="I663" t="s">
        <v>1922</v>
      </c>
      <c r="J663" s="4">
        <v>42894.354984284866</v>
      </c>
      <c r="Q663" t="s">
        <v>20286</v>
      </c>
    </row>
    <row r="664" spans="1:17">
      <c r="A664" t="s">
        <v>18229</v>
      </c>
      <c r="B664" t="s">
        <v>20252</v>
      </c>
      <c r="C664" t="s">
        <v>13311</v>
      </c>
      <c r="D664" t="s">
        <v>16721</v>
      </c>
      <c r="E664" t="s">
        <v>19757</v>
      </c>
      <c r="F664" t="s">
        <v>18230</v>
      </c>
      <c r="G664" t="s">
        <v>18231</v>
      </c>
      <c r="H664" t="s">
        <v>18232</v>
      </c>
      <c r="I664" t="s">
        <v>1922</v>
      </c>
      <c r="J664" s="4">
        <v>3850.2941515831571</v>
      </c>
      <c r="Q664" t="s">
        <v>20286</v>
      </c>
    </row>
    <row r="665" spans="1:17">
      <c r="A665" t="s">
        <v>18229</v>
      </c>
      <c r="B665" t="s">
        <v>20252</v>
      </c>
      <c r="C665" t="s">
        <v>13311</v>
      </c>
      <c r="D665" t="s">
        <v>16721</v>
      </c>
      <c r="E665" t="s">
        <v>20143</v>
      </c>
      <c r="F665" t="s">
        <v>18230</v>
      </c>
      <c r="G665" t="s">
        <v>18231</v>
      </c>
      <c r="H665" t="s">
        <v>18232</v>
      </c>
      <c r="I665" t="s">
        <v>1922</v>
      </c>
      <c r="J665" s="4">
        <v>9174.3810165606155</v>
      </c>
      <c r="Q665" t="s">
        <v>20286</v>
      </c>
    </row>
    <row r="666" spans="1:17">
      <c r="A666" t="s">
        <v>18229</v>
      </c>
      <c r="B666" t="s">
        <v>20252</v>
      </c>
      <c r="C666" t="s">
        <v>13311</v>
      </c>
      <c r="D666" t="s">
        <v>16721</v>
      </c>
      <c r="E666" t="s">
        <v>20144</v>
      </c>
      <c r="F666" t="s">
        <v>18230</v>
      </c>
      <c r="G666" t="s">
        <v>18231</v>
      </c>
      <c r="H666" t="s">
        <v>18232</v>
      </c>
      <c r="I666" t="s">
        <v>1922</v>
      </c>
      <c r="J666" s="4">
        <v>7936.566142758059</v>
      </c>
      <c r="Q666" t="s">
        <v>20286</v>
      </c>
    </row>
    <row r="667" spans="1:17">
      <c r="A667" t="s">
        <v>18229</v>
      </c>
      <c r="B667" t="s">
        <v>20252</v>
      </c>
      <c r="C667" t="s">
        <v>13311</v>
      </c>
      <c r="D667" t="s">
        <v>16721</v>
      </c>
      <c r="E667" t="s">
        <v>19753</v>
      </c>
      <c r="F667" t="s">
        <v>18230</v>
      </c>
      <c r="G667" t="s">
        <v>18231</v>
      </c>
      <c r="H667" t="s">
        <v>18232</v>
      </c>
      <c r="I667" t="s">
        <v>1922</v>
      </c>
      <c r="J667" s="4">
        <v>9266.4497048134908</v>
      </c>
      <c r="Q667" t="s">
        <v>20286</v>
      </c>
    </row>
    <row r="668" spans="1:17">
      <c r="A668" t="s">
        <v>18229</v>
      </c>
      <c r="B668" t="s">
        <v>20252</v>
      </c>
      <c r="C668" t="s">
        <v>13311</v>
      </c>
      <c r="D668" t="s">
        <v>16721</v>
      </c>
      <c r="E668" t="s">
        <v>20146</v>
      </c>
      <c r="F668" t="s">
        <v>18230</v>
      </c>
      <c r="G668" t="s">
        <v>18231</v>
      </c>
      <c r="H668" t="s">
        <v>18232</v>
      </c>
      <c r="I668" t="s">
        <v>1922</v>
      </c>
      <c r="J668" s="4">
        <v>4769.0418968544927</v>
      </c>
      <c r="Q668" t="s">
        <v>20286</v>
      </c>
    </row>
    <row r="669" spans="1:17">
      <c r="A669" t="s">
        <v>18229</v>
      </c>
      <c r="B669" t="s">
        <v>20252</v>
      </c>
      <c r="C669" t="s">
        <v>13311</v>
      </c>
      <c r="D669" t="s">
        <v>16721</v>
      </c>
      <c r="E669" t="s">
        <v>20147</v>
      </c>
      <c r="F669" t="s">
        <v>18230</v>
      </c>
      <c r="G669" t="s">
        <v>18231</v>
      </c>
      <c r="H669" t="s">
        <v>18232</v>
      </c>
      <c r="I669" t="s">
        <v>1922</v>
      </c>
      <c r="J669" s="4">
        <v>1639.0710927793898</v>
      </c>
      <c r="Q669" t="s">
        <v>20286</v>
      </c>
    </row>
    <row r="670" spans="1:17">
      <c r="A670" t="s">
        <v>18229</v>
      </c>
      <c r="B670" t="s">
        <v>20252</v>
      </c>
      <c r="C670" t="s">
        <v>13311</v>
      </c>
      <c r="D670" t="s">
        <v>16721</v>
      </c>
      <c r="E670" t="s">
        <v>8356</v>
      </c>
      <c r="F670" t="s">
        <v>18230</v>
      </c>
      <c r="G670" t="s">
        <v>18231</v>
      </c>
      <c r="H670" t="s">
        <v>18232</v>
      </c>
      <c r="I670" t="s">
        <v>1922</v>
      </c>
      <c r="J670" s="4">
        <v>870.59841866199145</v>
      </c>
      <c r="Q670" t="s">
        <v>20286</v>
      </c>
    </row>
    <row r="671" spans="1:17">
      <c r="A671" t="s">
        <v>18229</v>
      </c>
      <c r="B671" t="s">
        <v>20252</v>
      </c>
      <c r="C671" t="s">
        <v>13311</v>
      </c>
      <c r="D671" t="s">
        <v>16721</v>
      </c>
      <c r="E671" t="s">
        <v>8403</v>
      </c>
      <c r="F671" t="s">
        <v>18230</v>
      </c>
      <c r="G671" t="s">
        <v>18231</v>
      </c>
      <c r="H671" t="s">
        <v>18232</v>
      </c>
      <c r="I671" t="s">
        <v>1922</v>
      </c>
      <c r="J671" s="4">
        <v>448.87317013281245</v>
      </c>
      <c r="Q671" t="s">
        <v>20286</v>
      </c>
    </row>
    <row r="672" spans="1:17">
      <c r="A672" t="s">
        <v>18229</v>
      </c>
      <c r="B672" t="s">
        <v>20252</v>
      </c>
      <c r="C672" t="s">
        <v>13311</v>
      </c>
      <c r="D672" t="s">
        <v>16721</v>
      </c>
      <c r="E672" t="s">
        <v>19761</v>
      </c>
      <c r="F672" t="s">
        <v>18230</v>
      </c>
      <c r="G672" t="s">
        <v>18231</v>
      </c>
      <c r="H672" t="s">
        <v>18232</v>
      </c>
      <c r="I672" t="s">
        <v>1922</v>
      </c>
      <c r="J672" s="4">
        <v>7594.5487924100262</v>
      </c>
      <c r="Q672" t="s">
        <v>20286</v>
      </c>
    </row>
    <row r="673" spans="1:17">
      <c r="A673" t="s">
        <v>18229</v>
      </c>
      <c r="B673" t="s">
        <v>20252</v>
      </c>
      <c r="C673" t="s">
        <v>13311</v>
      </c>
      <c r="D673" t="s">
        <v>16721</v>
      </c>
      <c r="E673" t="s">
        <v>20153</v>
      </c>
      <c r="F673" t="s">
        <v>18230</v>
      </c>
      <c r="G673" t="s">
        <v>18231</v>
      </c>
      <c r="H673" t="s">
        <v>18232</v>
      </c>
      <c r="I673" t="s">
        <v>1922</v>
      </c>
      <c r="J673" s="4">
        <v>24803.233631930423</v>
      </c>
      <c r="Q673" t="s">
        <v>20286</v>
      </c>
    </row>
    <row r="674" spans="1:17">
      <c r="A674" t="s">
        <v>18229</v>
      </c>
      <c r="B674" t="s">
        <v>20252</v>
      </c>
      <c r="C674" t="s">
        <v>13311</v>
      </c>
      <c r="D674" t="s">
        <v>16721</v>
      </c>
      <c r="E674" t="s">
        <v>20154</v>
      </c>
      <c r="F674" t="s">
        <v>18230</v>
      </c>
      <c r="G674" t="s">
        <v>18231</v>
      </c>
      <c r="H674" t="s">
        <v>18232</v>
      </c>
      <c r="I674" t="s">
        <v>1922</v>
      </c>
      <c r="J674" s="4">
        <v>2933.946935628805</v>
      </c>
      <c r="Q674" t="s">
        <v>20286</v>
      </c>
    </row>
    <row r="675" spans="1:17">
      <c r="A675" t="s">
        <v>18229</v>
      </c>
      <c r="B675" t="s">
        <v>20252</v>
      </c>
      <c r="C675" t="s">
        <v>13311</v>
      </c>
      <c r="D675" t="s">
        <v>16721</v>
      </c>
      <c r="E675" t="s">
        <v>20165</v>
      </c>
      <c r="F675" t="s">
        <v>18230</v>
      </c>
      <c r="G675" t="s">
        <v>18231</v>
      </c>
      <c r="H675" t="s">
        <v>18232</v>
      </c>
      <c r="I675" t="s">
        <v>1922</v>
      </c>
      <c r="J675" s="4">
        <v>5002.7160026662277</v>
      </c>
      <c r="Q675" t="s">
        <v>20286</v>
      </c>
    </row>
    <row r="676" spans="1:17">
      <c r="A676" t="s">
        <v>18229</v>
      </c>
      <c r="B676" t="s">
        <v>20252</v>
      </c>
      <c r="C676" t="s">
        <v>13311</v>
      </c>
      <c r="D676" t="s">
        <v>16721</v>
      </c>
      <c r="E676" t="s">
        <v>20166</v>
      </c>
      <c r="F676" t="s">
        <v>18230</v>
      </c>
      <c r="G676" t="s">
        <v>18231</v>
      </c>
      <c r="H676" t="s">
        <v>18232</v>
      </c>
      <c r="I676" t="s">
        <v>1922</v>
      </c>
      <c r="J676" s="4">
        <v>6862.5551296606673</v>
      </c>
      <c r="Q676" t="s">
        <v>20286</v>
      </c>
    </row>
    <row r="677" spans="1:17">
      <c r="A677" t="s">
        <v>18229</v>
      </c>
      <c r="B677" t="s">
        <v>20252</v>
      </c>
      <c r="C677" t="s">
        <v>13311</v>
      </c>
      <c r="D677" t="s">
        <v>16721</v>
      </c>
      <c r="E677" t="s">
        <v>3754</v>
      </c>
      <c r="F677" t="s">
        <v>18230</v>
      </c>
      <c r="G677" t="s">
        <v>18231</v>
      </c>
      <c r="H677" t="s">
        <v>18232</v>
      </c>
      <c r="I677" t="s">
        <v>1922</v>
      </c>
      <c r="J677" s="4">
        <v>8193.4711774438329</v>
      </c>
      <c r="Q677" t="s">
        <v>20286</v>
      </c>
    </row>
    <row r="678" spans="1:17">
      <c r="A678" t="s">
        <v>18229</v>
      </c>
      <c r="B678" t="s">
        <v>20252</v>
      </c>
      <c r="C678" t="s">
        <v>13311</v>
      </c>
      <c r="D678" t="s">
        <v>16721</v>
      </c>
      <c r="E678" t="s">
        <v>3814</v>
      </c>
      <c r="F678" t="s">
        <v>18230</v>
      </c>
      <c r="G678" t="s">
        <v>18231</v>
      </c>
      <c r="H678" t="s">
        <v>18232</v>
      </c>
      <c r="I678" t="s">
        <v>1922</v>
      </c>
      <c r="J678" s="4">
        <v>25813.340231516813</v>
      </c>
      <c r="Q678" t="s">
        <v>20286</v>
      </c>
    </row>
    <row r="679" spans="1:17">
      <c r="A679" t="s">
        <v>18229</v>
      </c>
      <c r="B679" t="s">
        <v>20252</v>
      </c>
      <c r="C679" t="s">
        <v>13311</v>
      </c>
      <c r="D679" t="s">
        <v>16721</v>
      </c>
      <c r="E679" t="s">
        <v>20192</v>
      </c>
      <c r="F679" t="s">
        <v>18230</v>
      </c>
      <c r="G679" t="s">
        <v>18231</v>
      </c>
      <c r="H679" t="s">
        <v>18232</v>
      </c>
      <c r="I679" t="s">
        <v>1922</v>
      </c>
      <c r="J679" s="4">
        <v>32675.130676435376</v>
      </c>
      <c r="Q679" t="s">
        <v>20286</v>
      </c>
    </row>
    <row r="680" spans="1:17">
      <c r="A680" t="s">
        <v>18229</v>
      </c>
      <c r="B680" t="s">
        <v>20252</v>
      </c>
      <c r="C680" t="s">
        <v>13311</v>
      </c>
      <c r="D680" t="s">
        <v>16721</v>
      </c>
      <c r="E680" t="s">
        <v>20193</v>
      </c>
      <c r="F680" t="s">
        <v>18230</v>
      </c>
      <c r="G680" t="s">
        <v>18231</v>
      </c>
      <c r="H680" t="s">
        <v>18232</v>
      </c>
      <c r="I680" t="s">
        <v>1922</v>
      </c>
      <c r="J680" s="4">
        <v>20394.022690745289</v>
      </c>
      <c r="Q680" t="s">
        <v>20286</v>
      </c>
    </row>
    <row r="681" spans="1:17">
      <c r="A681" t="s">
        <v>18229</v>
      </c>
      <c r="B681" t="s">
        <v>20252</v>
      </c>
      <c r="C681" t="s">
        <v>13311</v>
      </c>
      <c r="D681" t="s">
        <v>16721</v>
      </c>
      <c r="E681" t="s">
        <v>20194</v>
      </c>
      <c r="F681" t="s">
        <v>18230</v>
      </c>
      <c r="G681" t="s">
        <v>18231</v>
      </c>
      <c r="H681" t="s">
        <v>18232</v>
      </c>
      <c r="I681" t="s">
        <v>1922</v>
      </c>
      <c r="J681" s="4">
        <v>12144.316532836787</v>
      </c>
      <c r="Q681" t="s">
        <v>20286</v>
      </c>
    </row>
    <row r="682" spans="1:17">
      <c r="A682" t="s">
        <v>18229</v>
      </c>
      <c r="B682" t="s">
        <v>20252</v>
      </c>
      <c r="C682" t="s">
        <v>13311</v>
      </c>
      <c r="D682" t="s">
        <v>16721</v>
      </c>
      <c r="E682" t="s">
        <v>20195</v>
      </c>
      <c r="F682" t="s">
        <v>18230</v>
      </c>
      <c r="G682" t="s">
        <v>18231</v>
      </c>
      <c r="H682" t="s">
        <v>18232</v>
      </c>
      <c r="I682" t="s">
        <v>1922</v>
      </c>
      <c r="J682" s="4">
        <v>16102.899078151957</v>
      </c>
      <c r="Q682" t="s">
        <v>20286</v>
      </c>
    </row>
    <row r="683" spans="1:17">
      <c r="A683" t="s">
        <v>18229</v>
      </c>
      <c r="B683" t="s">
        <v>20252</v>
      </c>
      <c r="C683" t="s">
        <v>13311</v>
      </c>
      <c r="D683" t="s">
        <v>16721</v>
      </c>
      <c r="E683" t="s">
        <v>20196</v>
      </c>
      <c r="F683" t="s">
        <v>18230</v>
      </c>
      <c r="G683" t="s">
        <v>18231</v>
      </c>
      <c r="H683" t="s">
        <v>18232</v>
      </c>
      <c r="I683" t="s">
        <v>1922</v>
      </c>
      <c r="J683" s="4">
        <v>25806.341914193505</v>
      </c>
      <c r="Q683" t="s">
        <v>20286</v>
      </c>
    </row>
    <row r="684" spans="1:17">
      <c r="A684" t="s">
        <v>18229</v>
      </c>
      <c r="B684" t="s">
        <v>20252</v>
      </c>
      <c r="C684" t="s">
        <v>13311</v>
      </c>
      <c r="D684" t="s">
        <v>16721</v>
      </c>
      <c r="E684" t="s">
        <v>20197</v>
      </c>
      <c r="F684" t="s">
        <v>18230</v>
      </c>
      <c r="G684" t="s">
        <v>18231</v>
      </c>
      <c r="H684" t="s">
        <v>18232</v>
      </c>
      <c r="I684" t="s">
        <v>1922</v>
      </c>
      <c r="J684" s="4">
        <v>30716.918245213081</v>
      </c>
      <c r="Q684" t="s">
        <v>20286</v>
      </c>
    </row>
    <row r="685" spans="1:17">
      <c r="A685" t="s">
        <v>18229</v>
      </c>
      <c r="B685" t="s">
        <v>20252</v>
      </c>
      <c r="C685" t="s">
        <v>13311</v>
      </c>
      <c r="D685" t="s">
        <v>16721</v>
      </c>
      <c r="E685" t="s">
        <v>20199</v>
      </c>
      <c r="F685" t="s">
        <v>18230</v>
      </c>
      <c r="G685" t="s">
        <v>18231</v>
      </c>
      <c r="H685" t="s">
        <v>18232</v>
      </c>
      <c r="I685" t="s">
        <v>1922</v>
      </c>
      <c r="J685" s="4">
        <v>6038.1669003506158</v>
      </c>
      <c r="Q685" t="s">
        <v>20286</v>
      </c>
    </row>
    <row r="686" spans="1:17">
      <c r="A686" t="s">
        <v>18229</v>
      </c>
      <c r="B686" t="s">
        <v>20252</v>
      </c>
      <c r="C686" t="s">
        <v>13311</v>
      </c>
      <c r="D686" t="s">
        <v>16721</v>
      </c>
      <c r="E686" t="s">
        <v>7429</v>
      </c>
      <c r="F686" t="s">
        <v>18230</v>
      </c>
      <c r="G686" t="s">
        <v>18231</v>
      </c>
      <c r="H686" t="s">
        <v>18232</v>
      </c>
      <c r="I686" t="s">
        <v>1922</v>
      </c>
      <c r="J686" s="4">
        <v>3582.0188678207001</v>
      </c>
      <c r="Q686" t="s">
        <v>20286</v>
      </c>
    </row>
    <row r="687" spans="1:17">
      <c r="A687" t="s">
        <v>18229</v>
      </c>
      <c r="B687" t="s">
        <v>20252</v>
      </c>
      <c r="C687" t="s">
        <v>13311</v>
      </c>
      <c r="D687" t="s">
        <v>16721</v>
      </c>
      <c r="E687" t="s">
        <v>20209</v>
      </c>
      <c r="F687" t="s">
        <v>18230</v>
      </c>
      <c r="G687" t="s">
        <v>18231</v>
      </c>
      <c r="H687" t="s">
        <v>18232</v>
      </c>
      <c r="I687" t="s">
        <v>1922</v>
      </c>
      <c r="J687" s="4">
        <v>26858.564251917793</v>
      </c>
      <c r="Q687" t="s">
        <v>20286</v>
      </c>
    </row>
    <row r="688" spans="1:17">
      <c r="A688" t="s">
        <v>18229</v>
      </c>
      <c r="B688" t="s">
        <v>20252</v>
      </c>
      <c r="C688" t="s">
        <v>13311</v>
      </c>
      <c r="D688" t="s">
        <v>16721</v>
      </c>
      <c r="E688" t="s">
        <v>20210</v>
      </c>
      <c r="F688" t="s">
        <v>18230</v>
      </c>
      <c r="G688" t="s">
        <v>18231</v>
      </c>
      <c r="H688" t="s">
        <v>18232</v>
      </c>
      <c r="I688" t="s">
        <v>1922</v>
      </c>
      <c r="J688" s="4">
        <v>36223.403393548637</v>
      </c>
      <c r="Q688" t="s">
        <v>20286</v>
      </c>
    </row>
    <row r="689" spans="1:17">
      <c r="A689" t="s">
        <v>18229</v>
      </c>
      <c r="B689" t="s">
        <v>20252</v>
      </c>
      <c r="C689" t="s">
        <v>13311</v>
      </c>
      <c r="D689" t="s">
        <v>16721</v>
      </c>
      <c r="E689" t="s">
        <v>7774</v>
      </c>
      <c r="F689" t="s">
        <v>18230</v>
      </c>
      <c r="G689" t="s">
        <v>18231</v>
      </c>
      <c r="H689" t="s">
        <v>18232</v>
      </c>
      <c r="I689" t="s">
        <v>1922</v>
      </c>
      <c r="J689" s="4">
        <v>9083.8933220783365</v>
      </c>
      <c r="Q689" t="s">
        <v>20286</v>
      </c>
    </row>
    <row r="690" spans="1:17">
      <c r="A690" t="s">
        <v>18229</v>
      </c>
      <c r="B690" t="s">
        <v>20252</v>
      </c>
      <c r="C690" t="s">
        <v>13311</v>
      </c>
      <c r="D690" t="s">
        <v>16721</v>
      </c>
      <c r="E690" t="s">
        <v>20230</v>
      </c>
      <c r="F690" t="s">
        <v>18230</v>
      </c>
      <c r="G690" t="s">
        <v>18231</v>
      </c>
      <c r="H690" t="s">
        <v>18232</v>
      </c>
      <c r="I690" t="s">
        <v>1922</v>
      </c>
      <c r="J690" s="4">
        <v>14332.324795356013</v>
      </c>
      <c r="Q690" t="s">
        <v>20286</v>
      </c>
    </row>
    <row r="691" spans="1:17">
      <c r="A691" t="s">
        <v>18229</v>
      </c>
      <c r="B691" t="s">
        <v>20252</v>
      </c>
      <c r="C691" t="s">
        <v>13311</v>
      </c>
      <c r="D691" t="s">
        <v>16721</v>
      </c>
      <c r="E691" t="s">
        <v>20233</v>
      </c>
      <c r="F691" t="s">
        <v>18230</v>
      </c>
      <c r="G691" t="s">
        <v>18231</v>
      </c>
      <c r="H691" t="s">
        <v>18232</v>
      </c>
      <c r="I691" t="s">
        <v>1922</v>
      </c>
      <c r="J691" s="4">
        <v>15941.811945517893</v>
      </c>
      <c r="Q691" t="s">
        <v>20286</v>
      </c>
    </row>
    <row r="692" spans="1:17">
      <c r="A692" t="s">
        <v>18229</v>
      </c>
      <c r="B692" t="s">
        <v>20252</v>
      </c>
      <c r="C692" t="s">
        <v>13311</v>
      </c>
      <c r="D692" t="s">
        <v>16721</v>
      </c>
      <c r="E692" t="s">
        <v>20234</v>
      </c>
      <c r="F692" t="s">
        <v>18230</v>
      </c>
      <c r="G692" t="s">
        <v>18231</v>
      </c>
      <c r="H692" t="s">
        <v>18232</v>
      </c>
      <c r="I692" t="s">
        <v>1922</v>
      </c>
      <c r="J692" s="4">
        <v>9281.7627587629613</v>
      </c>
      <c r="Q692" t="s">
        <v>20286</v>
      </c>
    </row>
    <row r="693" spans="1:17">
      <c r="A693" t="s">
        <v>18229</v>
      </c>
      <c r="B693" t="s">
        <v>20252</v>
      </c>
      <c r="C693" t="s">
        <v>13311</v>
      </c>
      <c r="D693" t="s">
        <v>16721</v>
      </c>
      <c r="E693" t="s">
        <v>20235</v>
      </c>
      <c r="F693" t="s">
        <v>18230</v>
      </c>
      <c r="G693" t="s">
        <v>18231</v>
      </c>
      <c r="H693" t="s">
        <v>18232</v>
      </c>
      <c r="I693" t="s">
        <v>1922</v>
      </c>
      <c r="J693" s="4">
        <v>5667.75619248987</v>
      </c>
      <c r="Q693" t="s">
        <v>20286</v>
      </c>
    </row>
    <row r="694" spans="1:17">
      <c r="A694" t="s">
        <v>18229</v>
      </c>
      <c r="B694" t="s">
        <v>20252</v>
      </c>
      <c r="C694" t="s">
        <v>13311</v>
      </c>
      <c r="D694" t="s">
        <v>16721</v>
      </c>
      <c r="E694" t="s">
        <v>20246</v>
      </c>
      <c r="F694" t="s">
        <v>18230</v>
      </c>
      <c r="G694" t="s">
        <v>18231</v>
      </c>
      <c r="H694" t="s">
        <v>18232</v>
      </c>
      <c r="I694" t="s">
        <v>1922</v>
      </c>
      <c r="J694" s="4">
        <v>5826.9525856350174</v>
      </c>
      <c r="Q694" t="s">
        <v>20286</v>
      </c>
    </row>
    <row r="695" spans="1:17">
      <c r="A695" t="s">
        <v>18229</v>
      </c>
      <c r="B695" t="s">
        <v>20252</v>
      </c>
      <c r="C695" t="s">
        <v>13311</v>
      </c>
      <c r="D695" t="s">
        <v>16721</v>
      </c>
      <c r="E695" t="s">
        <v>20254</v>
      </c>
      <c r="F695" t="s">
        <v>18230</v>
      </c>
      <c r="G695" t="s">
        <v>18231</v>
      </c>
      <c r="H695" t="s">
        <v>18232</v>
      </c>
      <c r="I695" t="s">
        <v>1922</v>
      </c>
      <c r="J695" s="4">
        <v>3412.6653963289591</v>
      </c>
      <c r="Q695" t="s">
        <v>20286</v>
      </c>
    </row>
    <row r="696" spans="1:17">
      <c r="A696" t="s">
        <v>18229</v>
      </c>
      <c r="B696" t="s">
        <v>20252</v>
      </c>
      <c r="C696" t="s">
        <v>13311</v>
      </c>
      <c r="D696" t="s">
        <v>16721</v>
      </c>
      <c r="E696" t="s">
        <v>8172</v>
      </c>
      <c r="F696" t="s">
        <v>18230</v>
      </c>
      <c r="G696" t="s">
        <v>18231</v>
      </c>
      <c r="H696" t="s">
        <v>18232</v>
      </c>
      <c r="I696" t="s">
        <v>1922</v>
      </c>
      <c r="J696" s="4">
        <v>3481.1030674882973</v>
      </c>
      <c r="Q696" t="s">
        <v>20286</v>
      </c>
    </row>
    <row r="697" spans="1:17">
      <c r="A697" t="s">
        <v>18229</v>
      </c>
      <c r="B697" t="s">
        <v>20252</v>
      </c>
      <c r="C697" t="s">
        <v>13311</v>
      </c>
      <c r="D697" t="s">
        <v>16721</v>
      </c>
      <c r="E697" t="s">
        <v>9111</v>
      </c>
      <c r="F697" t="s">
        <v>18230</v>
      </c>
      <c r="G697" t="s">
        <v>18231</v>
      </c>
      <c r="H697" t="s">
        <v>18232</v>
      </c>
      <c r="I697" t="s">
        <v>1922</v>
      </c>
      <c r="J697" s="4">
        <v>2818.9118929696251</v>
      </c>
      <c r="Q697" t="s">
        <v>20286</v>
      </c>
    </row>
    <row r="698" spans="1:17">
      <c r="A698" t="s">
        <v>18229</v>
      </c>
      <c r="B698" t="s">
        <v>20252</v>
      </c>
      <c r="C698" t="s">
        <v>13311</v>
      </c>
      <c r="D698" t="s">
        <v>16721</v>
      </c>
      <c r="E698" t="s">
        <v>20260</v>
      </c>
      <c r="F698" t="s">
        <v>18230</v>
      </c>
      <c r="G698" t="s">
        <v>18231</v>
      </c>
      <c r="H698" t="s">
        <v>18232</v>
      </c>
      <c r="I698" t="s">
        <v>1922</v>
      </c>
      <c r="J698" s="4">
        <v>11459.471976148028</v>
      </c>
      <c r="Q698" t="s">
        <v>20286</v>
      </c>
    </row>
    <row r="699" spans="1:17">
      <c r="A699" t="s">
        <v>18229</v>
      </c>
      <c r="B699" t="s">
        <v>20252</v>
      </c>
      <c r="C699" t="s">
        <v>13311</v>
      </c>
      <c r="D699" t="s">
        <v>16721</v>
      </c>
      <c r="E699" t="s">
        <v>20262</v>
      </c>
      <c r="F699" t="s">
        <v>18230</v>
      </c>
      <c r="G699" t="s">
        <v>18231</v>
      </c>
      <c r="H699" t="s">
        <v>18232</v>
      </c>
      <c r="I699" t="s">
        <v>1922</v>
      </c>
      <c r="J699" s="4">
        <v>4106.0666784863215</v>
      </c>
      <c r="Q699" t="s">
        <v>20286</v>
      </c>
    </row>
    <row r="700" spans="1:17">
      <c r="A700" t="s">
        <v>18229</v>
      </c>
      <c r="B700" t="s">
        <v>20252</v>
      </c>
      <c r="C700" t="s">
        <v>13311</v>
      </c>
      <c r="D700" t="s">
        <v>16721</v>
      </c>
      <c r="E700" t="s">
        <v>20263</v>
      </c>
      <c r="F700" t="s">
        <v>18230</v>
      </c>
      <c r="G700" t="s">
        <v>18231</v>
      </c>
      <c r="H700" t="s">
        <v>18232</v>
      </c>
      <c r="I700" t="s">
        <v>1922</v>
      </c>
      <c r="J700" s="4">
        <v>5284.8685399130236</v>
      </c>
      <c r="Q700" t="s">
        <v>20286</v>
      </c>
    </row>
    <row r="701" spans="1:17">
      <c r="A701" t="s">
        <v>18229</v>
      </c>
      <c r="B701" t="s">
        <v>20252</v>
      </c>
      <c r="C701" t="s">
        <v>13311</v>
      </c>
      <c r="D701" t="s">
        <v>16721</v>
      </c>
      <c r="E701" t="s">
        <v>20264</v>
      </c>
      <c r="F701" t="s">
        <v>18230</v>
      </c>
      <c r="G701" t="s">
        <v>18231</v>
      </c>
      <c r="H701" t="s">
        <v>18232</v>
      </c>
      <c r="I701" t="s">
        <v>1922</v>
      </c>
      <c r="J701" s="4">
        <v>12543.498100804451</v>
      </c>
      <c r="Q701" t="s">
        <v>20286</v>
      </c>
    </row>
    <row r="702" spans="1:17">
      <c r="A702" t="s">
        <v>18229</v>
      </c>
      <c r="B702" t="s">
        <v>20252</v>
      </c>
      <c r="C702" t="s">
        <v>13311</v>
      </c>
      <c r="D702" t="s">
        <v>16721</v>
      </c>
      <c r="E702" t="s">
        <v>20265</v>
      </c>
      <c r="F702" t="s">
        <v>18230</v>
      </c>
      <c r="G702" t="s">
        <v>18231</v>
      </c>
      <c r="H702" t="s">
        <v>18232</v>
      </c>
      <c r="I702" t="s">
        <v>1922</v>
      </c>
      <c r="J702" s="4">
        <v>4380.5207440256927</v>
      </c>
      <c r="Q702" t="s">
        <v>20286</v>
      </c>
    </row>
    <row r="703" spans="1:17">
      <c r="A703" t="s">
        <v>18229</v>
      </c>
      <c r="B703" t="s">
        <v>20252</v>
      </c>
      <c r="C703" t="s">
        <v>13311</v>
      </c>
      <c r="D703" t="s">
        <v>16721</v>
      </c>
      <c r="E703" t="s">
        <v>20266</v>
      </c>
      <c r="F703" t="s">
        <v>18230</v>
      </c>
      <c r="G703" t="s">
        <v>18231</v>
      </c>
      <c r="H703" t="s">
        <v>18232</v>
      </c>
      <c r="I703" t="s">
        <v>1922</v>
      </c>
      <c r="J703" s="4">
        <v>8653.0499339660983</v>
      </c>
      <c r="Q703" t="s">
        <v>20286</v>
      </c>
    </row>
    <row r="704" spans="1:17">
      <c r="A704" t="s">
        <v>18229</v>
      </c>
      <c r="B704" t="s">
        <v>20252</v>
      </c>
      <c r="C704" t="s">
        <v>13311</v>
      </c>
      <c r="D704" t="s">
        <v>16721</v>
      </c>
      <c r="E704" t="s">
        <v>20267</v>
      </c>
      <c r="F704" t="s">
        <v>18230</v>
      </c>
      <c r="G704" t="s">
        <v>18231</v>
      </c>
      <c r="H704" t="s">
        <v>18232</v>
      </c>
      <c r="I704" t="s">
        <v>1922</v>
      </c>
      <c r="J704" s="4">
        <v>5995.8027203344873</v>
      </c>
      <c r="Q704" t="s">
        <v>20286</v>
      </c>
    </row>
    <row r="705" spans="1:17">
      <c r="A705" t="s">
        <v>18229</v>
      </c>
      <c r="B705" t="s">
        <v>20252</v>
      </c>
      <c r="C705" t="s">
        <v>13311</v>
      </c>
      <c r="D705" t="s">
        <v>16721</v>
      </c>
      <c r="E705" t="s">
        <v>20268</v>
      </c>
      <c r="F705" t="s">
        <v>18230</v>
      </c>
      <c r="G705" t="s">
        <v>18231</v>
      </c>
      <c r="H705" t="s">
        <v>18232</v>
      </c>
      <c r="I705" t="s">
        <v>1922</v>
      </c>
      <c r="J705" s="4">
        <v>1402.1156182641962</v>
      </c>
      <c r="Q705" t="s">
        <v>20286</v>
      </c>
    </row>
    <row r="706" spans="1:17">
      <c r="A706" t="s">
        <v>18229</v>
      </c>
      <c r="B706" t="s">
        <v>20252</v>
      </c>
      <c r="C706" t="s">
        <v>13311</v>
      </c>
      <c r="D706" t="s">
        <v>16721</v>
      </c>
      <c r="E706" t="s">
        <v>20269</v>
      </c>
      <c r="F706" t="s">
        <v>18230</v>
      </c>
      <c r="G706" t="s">
        <v>18231</v>
      </c>
      <c r="H706" t="s">
        <v>18232</v>
      </c>
      <c r="I706" t="s">
        <v>1922</v>
      </c>
      <c r="J706" s="4">
        <v>1939.3243954405405</v>
      </c>
      <c r="Q706" t="s">
        <v>20286</v>
      </c>
    </row>
    <row r="707" spans="1:17">
      <c r="A707" t="s">
        <v>18229</v>
      </c>
      <c r="B707" t="s">
        <v>20252</v>
      </c>
      <c r="C707" t="s">
        <v>13311</v>
      </c>
      <c r="D707" t="s">
        <v>16721</v>
      </c>
      <c r="E707" t="s">
        <v>20270</v>
      </c>
      <c r="F707" t="s">
        <v>18230</v>
      </c>
      <c r="G707" t="s">
        <v>18231</v>
      </c>
      <c r="H707" t="s">
        <v>18232</v>
      </c>
      <c r="I707" t="s">
        <v>1922</v>
      </c>
      <c r="J707" s="4">
        <v>1178.9212425889712</v>
      </c>
      <c r="Q707" t="s">
        <v>20286</v>
      </c>
    </row>
    <row r="708" spans="1:17">
      <c r="A708" t="s">
        <v>18229</v>
      </c>
      <c r="B708" t="s">
        <v>20252</v>
      </c>
      <c r="C708" t="s">
        <v>13311</v>
      </c>
      <c r="D708" t="s">
        <v>16721</v>
      </c>
      <c r="E708" t="s">
        <v>8495</v>
      </c>
      <c r="F708" t="s">
        <v>18230</v>
      </c>
      <c r="G708" t="s">
        <v>18231</v>
      </c>
      <c r="H708" t="s">
        <v>18232</v>
      </c>
      <c r="I708" t="s">
        <v>1922</v>
      </c>
      <c r="J708" s="4">
        <v>1762.0498225063316</v>
      </c>
      <c r="Q708" t="s">
        <v>20286</v>
      </c>
    </row>
    <row r="709" spans="1:17">
      <c r="A709" t="s">
        <v>18229</v>
      </c>
      <c r="B709" t="s">
        <v>20252</v>
      </c>
      <c r="C709" t="s">
        <v>13311</v>
      </c>
      <c r="D709" t="s">
        <v>16721</v>
      </c>
      <c r="E709" t="s">
        <v>6373</v>
      </c>
      <c r="F709" t="s">
        <v>18230</v>
      </c>
      <c r="G709" t="s">
        <v>18231</v>
      </c>
      <c r="H709" t="s">
        <v>18232</v>
      </c>
      <c r="I709" t="s">
        <v>1922</v>
      </c>
      <c r="J709" s="4">
        <v>1054.8229111510168</v>
      </c>
      <c r="Q709" t="s">
        <v>20286</v>
      </c>
    </row>
    <row r="710" spans="1:17">
      <c r="J710" s="4"/>
    </row>
    <row r="711" spans="1:17">
      <c r="J711" s="4"/>
    </row>
    <row r="712" spans="1:17">
      <c r="J712" s="4"/>
    </row>
    <row r="713" spans="1:17">
      <c r="J713" s="4"/>
    </row>
    <row r="714" spans="1:17">
      <c r="J714" s="4"/>
    </row>
    <row r="715" spans="1:17">
      <c r="J715" s="4"/>
    </row>
    <row r="716" spans="1:17">
      <c r="J716" s="4"/>
    </row>
    <row r="717" spans="1:17">
      <c r="J717" s="4"/>
    </row>
    <row r="718" spans="1:17">
      <c r="J718" s="4"/>
      <c r="L718" t="s">
        <v>14014</v>
      </c>
    </row>
    <row r="719" spans="1:17">
      <c r="J719" s="4"/>
    </row>
    <row r="720" spans="1:17">
      <c r="J720" s="4"/>
    </row>
    <row r="721" spans="10:10">
      <c r="J721" s="4"/>
    </row>
    <row r="722" spans="10:10">
      <c r="J722" s="4"/>
    </row>
    <row r="723" spans="10:10">
      <c r="J723" s="4"/>
    </row>
    <row r="724" spans="10:10">
      <c r="J724" s="4"/>
    </row>
    <row r="725" spans="10:10">
      <c r="J725" s="4"/>
    </row>
    <row r="726" spans="10:10">
      <c r="J726" s="4"/>
    </row>
    <row r="727" spans="10:10">
      <c r="J727" s="4"/>
    </row>
    <row r="728" spans="10:10">
      <c r="J728" s="4"/>
    </row>
    <row r="729" spans="10:10">
      <c r="J729" s="4"/>
    </row>
    <row r="730" spans="10:10">
      <c r="J730" s="4"/>
    </row>
    <row r="731" spans="10:10">
      <c r="J731" s="4"/>
    </row>
    <row r="732" spans="10:10">
      <c r="J732" s="4"/>
    </row>
    <row r="733" spans="10:10">
      <c r="J733" s="4"/>
    </row>
    <row r="734" spans="10:10">
      <c r="J734" s="4"/>
    </row>
    <row r="735" spans="10:10">
      <c r="J735" s="4"/>
    </row>
    <row r="736" spans="10:10">
      <c r="J736" s="4"/>
    </row>
    <row r="737" spans="10:10">
      <c r="J737" s="4"/>
    </row>
    <row r="738" spans="10:10">
      <c r="J738" s="4"/>
    </row>
    <row r="739" spans="10:10">
      <c r="J739" s="4"/>
    </row>
    <row r="740" spans="10:10">
      <c r="J740" s="4"/>
    </row>
    <row r="741" spans="10:10">
      <c r="J741" s="4"/>
    </row>
    <row r="742" spans="10:10">
      <c r="J742" s="4"/>
    </row>
    <row r="743" spans="10:10">
      <c r="J743" s="4"/>
    </row>
    <row r="744" spans="10:10">
      <c r="J744" s="4"/>
    </row>
    <row r="745" spans="10:10">
      <c r="J745" s="4"/>
    </row>
    <row r="746" spans="10:10">
      <c r="J746" s="4"/>
    </row>
    <row r="747" spans="10:10">
      <c r="J747" s="4"/>
    </row>
    <row r="748" spans="10:10">
      <c r="J748" s="4"/>
    </row>
    <row r="749" spans="10:10">
      <c r="J749" s="4"/>
    </row>
    <row r="750" spans="10:10">
      <c r="J750" s="4"/>
    </row>
    <row r="751" spans="10:10">
      <c r="J751" s="4"/>
    </row>
    <row r="752" spans="10:10">
      <c r="J752" s="4"/>
    </row>
    <row r="753" spans="10:10">
      <c r="J753" s="4"/>
    </row>
    <row r="754" spans="10:10">
      <c r="J754" s="4"/>
    </row>
    <row r="755" spans="10:10">
      <c r="J755" s="4"/>
    </row>
    <row r="756" spans="10:10">
      <c r="J756" s="4"/>
    </row>
    <row r="757" spans="10:10">
      <c r="J757" s="4"/>
    </row>
    <row r="758" spans="10:10">
      <c r="J758" s="4"/>
    </row>
    <row r="759" spans="10:10">
      <c r="J759" s="4"/>
    </row>
    <row r="760" spans="10:10">
      <c r="J760" s="4"/>
    </row>
    <row r="761" spans="10:10">
      <c r="J761" s="4"/>
    </row>
    <row r="762" spans="10:10">
      <c r="J762" s="4"/>
    </row>
    <row r="763" spans="10:10">
      <c r="J763" s="4"/>
    </row>
    <row r="764" spans="10:10">
      <c r="J764" s="4"/>
    </row>
    <row r="765" spans="10:10">
      <c r="J765" s="4"/>
    </row>
    <row r="766" spans="10:10">
      <c r="J766" s="4"/>
    </row>
    <row r="767" spans="10:10">
      <c r="J767" s="4"/>
    </row>
    <row r="768" spans="10:10">
      <c r="J768" s="4"/>
    </row>
    <row r="769" spans="10:10">
      <c r="J769" s="4"/>
    </row>
    <row r="770" spans="10:10">
      <c r="J770" s="4"/>
    </row>
    <row r="771" spans="10:10">
      <c r="J771" s="4"/>
    </row>
    <row r="772" spans="10:10">
      <c r="J772" s="4"/>
    </row>
    <row r="773" spans="10:10">
      <c r="J773" s="4"/>
    </row>
    <row r="774" spans="10:10">
      <c r="J774" s="4"/>
    </row>
    <row r="775" spans="10:10">
      <c r="J775" s="4"/>
    </row>
    <row r="776" spans="10:10">
      <c r="J776" s="4"/>
    </row>
    <row r="777" spans="10:10">
      <c r="J777" s="4"/>
    </row>
    <row r="778" spans="10:10">
      <c r="J778" s="4"/>
    </row>
    <row r="779" spans="10:10">
      <c r="J779" s="4"/>
    </row>
    <row r="780" spans="10:10">
      <c r="J780" s="4"/>
    </row>
    <row r="781" spans="10:10">
      <c r="J781" s="4"/>
    </row>
    <row r="782" spans="10:10">
      <c r="J782" s="4"/>
    </row>
    <row r="783" spans="10:10">
      <c r="J783" s="4"/>
    </row>
    <row r="784" spans="10:10">
      <c r="J784" s="4"/>
    </row>
    <row r="785" spans="10:10">
      <c r="J785" s="4"/>
    </row>
    <row r="786" spans="10:10">
      <c r="J786" s="4"/>
    </row>
    <row r="787" spans="10:10">
      <c r="J787" s="4"/>
    </row>
    <row r="788" spans="10:10">
      <c r="J788" s="4"/>
    </row>
    <row r="789" spans="10:10">
      <c r="J789" s="4"/>
    </row>
    <row r="790" spans="10:10">
      <c r="J790" s="4"/>
    </row>
    <row r="791" spans="10:10">
      <c r="J791" s="4"/>
    </row>
    <row r="792" spans="10:10">
      <c r="J792" s="4"/>
    </row>
    <row r="793" spans="10:10">
      <c r="J793" s="4"/>
    </row>
    <row r="794" spans="10:10">
      <c r="J794" s="4"/>
    </row>
    <row r="795" spans="10:10">
      <c r="J795" s="4"/>
    </row>
    <row r="796" spans="10:10">
      <c r="J796" s="4"/>
    </row>
    <row r="797" spans="10:10">
      <c r="J797" s="4"/>
    </row>
    <row r="798" spans="10:10">
      <c r="J798" s="4"/>
    </row>
    <row r="799" spans="10:10">
      <c r="J799" s="4"/>
    </row>
    <row r="800" spans="10:10">
      <c r="J800" s="4"/>
    </row>
    <row r="801" spans="10:10">
      <c r="J801" s="4"/>
    </row>
    <row r="802" spans="10:10">
      <c r="J802" s="4"/>
    </row>
    <row r="803" spans="10:10">
      <c r="J803" s="4"/>
    </row>
    <row r="804" spans="10:10">
      <c r="J804" s="4"/>
    </row>
    <row r="805" spans="10:10">
      <c r="J805" s="4"/>
    </row>
    <row r="806" spans="10:10">
      <c r="J806" s="4"/>
    </row>
    <row r="807" spans="10:10">
      <c r="J807" s="4"/>
    </row>
    <row r="808" spans="10:10">
      <c r="J808" s="4"/>
    </row>
    <row r="809" spans="10:10">
      <c r="J809" s="4"/>
    </row>
    <row r="810" spans="10:10">
      <c r="J810" s="4"/>
    </row>
    <row r="811" spans="10:10">
      <c r="J811" s="4"/>
    </row>
    <row r="812" spans="10:10">
      <c r="J812" s="4"/>
    </row>
    <row r="813" spans="10:10">
      <c r="J813" s="4"/>
    </row>
    <row r="814" spans="10:10">
      <c r="J814" s="4"/>
    </row>
    <row r="815" spans="10:10">
      <c r="J815" s="4"/>
    </row>
    <row r="816" spans="10:10">
      <c r="J816" s="4"/>
    </row>
    <row r="817" spans="10:10">
      <c r="J817" s="4"/>
    </row>
    <row r="818" spans="10:10">
      <c r="J818" s="4"/>
    </row>
    <row r="819" spans="10:10">
      <c r="J819" s="4"/>
    </row>
    <row r="820" spans="10:10">
      <c r="J820" s="4"/>
    </row>
    <row r="821" spans="10:10">
      <c r="J821" s="4"/>
    </row>
    <row r="822" spans="10:10">
      <c r="J822" s="4"/>
    </row>
    <row r="823" spans="10:10">
      <c r="J823" s="4"/>
    </row>
    <row r="824" spans="10:10">
      <c r="J824" s="4"/>
    </row>
    <row r="825" spans="10:10">
      <c r="J825" s="4"/>
    </row>
    <row r="826" spans="10:10">
      <c r="J826" s="4"/>
    </row>
    <row r="827" spans="10:10">
      <c r="J827" s="4"/>
    </row>
    <row r="828" spans="10:10">
      <c r="J828" s="4"/>
    </row>
    <row r="829" spans="10:10">
      <c r="J829" s="4"/>
    </row>
    <row r="830" spans="10:10">
      <c r="J830" s="4"/>
    </row>
    <row r="831" spans="10:10">
      <c r="J831" s="4"/>
    </row>
    <row r="832" spans="10:10">
      <c r="J832" s="4"/>
    </row>
    <row r="833" spans="10:10">
      <c r="J833" s="4"/>
    </row>
    <row r="834" spans="10:10">
      <c r="J834" s="4"/>
    </row>
    <row r="835" spans="10:10">
      <c r="J835" s="4"/>
    </row>
    <row r="836" spans="10:10">
      <c r="J836" s="4"/>
    </row>
    <row r="837" spans="10:10">
      <c r="J837" s="4"/>
    </row>
    <row r="838" spans="10:10">
      <c r="J838" s="4"/>
    </row>
    <row r="839" spans="10:10">
      <c r="J839" s="4"/>
    </row>
    <row r="840" spans="10:10">
      <c r="J840" s="4"/>
    </row>
    <row r="841" spans="10:10">
      <c r="J841" s="4"/>
    </row>
    <row r="842" spans="10:10">
      <c r="J842" s="4"/>
    </row>
    <row r="843" spans="10:10">
      <c r="J843" s="4"/>
    </row>
    <row r="844" spans="10:10">
      <c r="J844" s="4"/>
    </row>
    <row r="845" spans="10:10">
      <c r="J845" s="4"/>
    </row>
    <row r="846" spans="10:10">
      <c r="J846" s="4"/>
    </row>
    <row r="847" spans="10:10">
      <c r="J847" s="4"/>
    </row>
    <row r="848" spans="10:10">
      <c r="J848" s="4"/>
    </row>
    <row r="849" spans="10:10">
      <c r="J849" s="4"/>
    </row>
    <row r="850" spans="10:10">
      <c r="J850" s="4"/>
    </row>
    <row r="851" spans="10:10">
      <c r="J851" s="4"/>
    </row>
    <row r="852" spans="10:10">
      <c r="J852" s="4"/>
    </row>
    <row r="853" spans="10:10">
      <c r="J853" s="4"/>
    </row>
    <row r="854" spans="10:10">
      <c r="J854" s="4"/>
    </row>
    <row r="855" spans="10:10">
      <c r="J855" s="4"/>
    </row>
    <row r="856" spans="10:10">
      <c r="J856" s="4"/>
    </row>
    <row r="857" spans="10:10">
      <c r="J857" s="4"/>
    </row>
    <row r="858" spans="10:10">
      <c r="J858" s="4"/>
    </row>
    <row r="859" spans="10:10">
      <c r="J859" s="4"/>
    </row>
    <row r="860" spans="10:10">
      <c r="J860" s="4"/>
    </row>
    <row r="861" spans="10:10">
      <c r="J861" s="4"/>
    </row>
    <row r="862" spans="10:10">
      <c r="J862" s="4"/>
    </row>
    <row r="863" spans="10:10">
      <c r="J863" s="4"/>
    </row>
    <row r="864" spans="10:10">
      <c r="J864" s="4"/>
    </row>
    <row r="865" spans="10:10">
      <c r="J865" s="4"/>
    </row>
    <row r="866" spans="10:10">
      <c r="J866" s="4"/>
    </row>
    <row r="867" spans="10:10">
      <c r="J867" s="4"/>
    </row>
    <row r="868" spans="10:10">
      <c r="J868" s="4"/>
    </row>
    <row r="869" spans="10:10">
      <c r="J869" s="4"/>
    </row>
    <row r="870" spans="10:10">
      <c r="J870" s="4"/>
    </row>
    <row r="871" spans="10:10">
      <c r="J871" s="4"/>
    </row>
    <row r="872" spans="10:10">
      <c r="J872" s="4"/>
    </row>
    <row r="873" spans="10:10">
      <c r="J873" s="4"/>
    </row>
    <row r="874" spans="10:10">
      <c r="J874" s="4"/>
    </row>
    <row r="875" spans="10:10">
      <c r="J875" s="4"/>
    </row>
    <row r="876" spans="10:10">
      <c r="J876" s="4"/>
    </row>
    <row r="877" spans="10:10">
      <c r="J877" s="4"/>
    </row>
    <row r="878" spans="10:10">
      <c r="J878" s="4"/>
    </row>
    <row r="879" spans="10:10">
      <c r="J879" s="4"/>
    </row>
    <row r="880" spans="10:10">
      <c r="J880" s="4"/>
    </row>
    <row r="881" spans="10:10">
      <c r="J881" s="4"/>
    </row>
    <row r="882" spans="10:10">
      <c r="J882" s="4"/>
    </row>
    <row r="883" spans="10:10">
      <c r="J883" s="4"/>
    </row>
    <row r="884" spans="10:10">
      <c r="J884" s="4"/>
    </row>
    <row r="885" spans="10:10">
      <c r="J885" s="4"/>
    </row>
    <row r="886" spans="10:10">
      <c r="J886" s="4"/>
    </row>
    <row r="887" spans="10:10">
      <c r="J887" s="4"/>
    </row>
    <row r="888" spans="10:10">
      <c r="J888" s="4"/>
    </row>
    <row r="889" spans="10:10">
      <c r="J889" s="4"/>
    </row>
    <row r="890" spans="10:10">
      <c r="J890" s="4"/>
    </row>
    <row r="891" spans="10:10">
      <c r="J891" s="4"/>
    </row>
    <row r="892" spans="10:10">
      <c r="J892" s="4"/>
    </row>
    <row r="893" spans="10:10">
      <c r="J893" s="4"/>
    </row>
    <row r="894" spans="10:10">
      <c r="J894" s="4"/>
    </row>
    <row r="895" spans="10:10">
      <c r="J895" s="4"/>
    </row>
    <row r="896" spans="10:10">
      <c r="J896" s="4"/>
    </row>
    <row r="897" spans="10:10">
      <c r="J897" s="4"/>
    </row>
    <row r="898" spans="10:10">
      <c r="J898" s="4"/>
    </row>
    <row r="899" spans="10:10">
      <c r="J899" s="4"/>
    </row>
    <row r="900" spans="10:10">
      <c r="J900" s="4"/>
    </row>
    <row r="901" spans="10:10">
      <c r="J901" s="4"/>
    </row>
    <row r="902" spans="10:10">
      <c r="J902" s="4"/>
    </row>
    <row r="903" spans="10:10">
      <c r="J903" s="4"/>
    </row>
    <row r="904" spans="10:10">
      <c r="J904" s="4"/>
    </row>
    <row r="905" spans="10:10">
      <c r="J905" s="4"/>
    </row>
    <row r="906" spans="10:10">
      <c r="J906" s="4"/>
    </row>
    <row r="907" spans="10:10">
      <c r="J907" s="4"/>
    </row>
    <row r="908" spans="10:10">
      <c r="J908" s="4"/>
    </row>
    <row r="909" spans="10:10">
      <c r="J909" s="4"/>
    </row>
    <row r="910" spans="10:10">
      <c r="J910" s="4"/>
    </row>
    <row r="911" spans="10:10">
      <c r="J911" s="4"/>
    </row>
    <row r="912" spans="10:10">
      <c r="J912" s="4"/>
    </row>
    <row r="913" spans="10:10">
      <c r="J913" s="4"/>
    </row>
    <row r="914" spans="10:10">
      <c r="J914" s="4"/>
    </row>
    <row r="915" spans="10:10">
      <c r="J915" s="4"/>
    </row>
    <row r="916" spans="10:10">
      <c r="J916" s="4"/>
    </row>
    <row r="917" spans="10:10">
      <c r="J917" s="4"/>
    </row>
    <row r="918" spans="10:10">
      <c r="J918" s="4"/>
    </row>
    <row r="919" spans="10:10">
      <c r="J919" s="4"/>
    </row>
    <row r="920" spans="10:10">
      <c r="J920" s="4"/>
    </row>
    <row r="921" spans="10:10">
      <c r="J921" s="4"/>
    </row>
    <row r="922" spans="10:10">
      <c r="J922" s="4"/>
    </row>
    <row r="923" spans="10:10">
      <c r="J923" s="4"/>
    </row>
    <row r="924" spans="10:10">
      <c r="J924" s="4"/>
    </row>
    <row r="925" spans="10:10">
      <c r="J925" s="4"/>
    </row>
    <row r="926" spans="10:10">
      <c r="J926" s="4"/>
    </row>
    <row r="927" spans="10:10">
      <c r="J927" s="4"/>
    </row>
    <row r="928" spans="10:10">
      <c r="J928" s="4"/>
    </row>
    <row r="929" spans="10:10">
      <c r="J929" s="4"/>
    </row>
    <row r="930" spans="10:10">
      <c r="J930" s="4"/>
    </row>
    <row r="931" spans="10:10">
      <c r="J931" s="4"/>
    </row>
    <row r="932" spans="10:10">
      <c r="J932" s="4"/>
    </row>
    <row r="933" spans="10:10">
      <c r="J933" s="4"/>
    </row>
    <row r="934" spans="10:10">
      <c r="J934" s="4"/>
    </row>
    <row r="935" spans="10:10">
      <c r="J935" s="4"/>
    </row>
    <row r="936" spans="10:10">
      <c r="J936" s="4"/>
    </row>
    <row r="937" spans="10:10">
      <c r="J937" s="4"/>
    </row>
    <row r="938" spans="10:10">
      <c r="J938" s="4"/>
    </row>
    <row r="939" spans="10:10">
      <c r="J939" s="4"/>
    </row>
    <row r="940" spans="10:10">
      <c r="J940" s="4"/>
    </row>
    <row r="941" spans="10:10">
      <c r="J941" s="4"/>
    </row>
    <row r="942" spans="10:10">
      <c r="J942" s="4"/>
    </row>
    <row r="943" spans="10:10">
      <c r="J943" s="4"/>
    </row>
    <row r="944" spans="10:10">
      <c r="J944" s="4"/>
    </row>
    <row r="945" spans="10:10">
      <c r="J945" s="4"/>
    </row>
    <row r="946" spans="10:10">
      <c r="J946" s="4"/>
    </row>
    <row r="947" spans="10:10">
      <c r="J947" s="4"/>
    </row>
    <row r="948" spans="10:10">
      <c r="J948" s="4"/>
    </row>
    <row r="949" spans="10:10">
      <c r="J949" s="4"/>
    </row>
    <row r="950" spans="10:10">
      <c r="J950" s="4"/>
    </row>
    <row r="951" spans="10:10">
      <c r="J951" s="4"/>
    </row>
    <row r="952" spans="10:10">
      <c r="J952" s="4"/>
    </row>
    <row r="953" spans="10:10">
      <c r="J953" s="4"/>
    </row>
    <row r="954" spans="10:10">
      <c r="J954" s="4"/>
    </row>
    <row r="955" spans="10:10">
      <c r="J955" s="4"/>
    </row>
    <row r="956" spans="10:10">
      <c r="J956" s="4"/>
    </row>
    <row r="957" spans="10:10">
      <c r="J957" s="4"/>
    </row>
    <row r="958" spans="10:10">
      <c r="J958" s="4"/>
    </row>
    <row r="959" spans="10:10">
      <c r="J959" s="4"/>
    </row>
    <row r="960" spans="10:10">
      <c r="J960" s="4"/>
    </row>
    <row r="961" spans="10:10">
      <c r="J961" s="4"/>
    </row>
    <row r="962" spans="10:10">
      <c r="J962" s="4"/>
    </row>
    <row r="963" spans="10:10">
      <c r="J963" s="4"/>
    </row>
    <row r="964" spans="10:10">
      <c r="J964" s="4"/>
    </row>
    <row r="965" spans="10:10">
      <c r="J965" s="4"/>
    </row>
    <row r="966" spans="10:10">
      <c r="J966" s="4"/>
    </row>
    <row r="967" spans="10:10">
      <c r="J967" s="4"/>
    </row>
    <row r="968" spans="10:10">
      <c r="J968" s="4"/>
    </row>
    <row r="969" spans="10:10">
      <c r="J969" s="4"/>
    </row>
    <row r="970" spans="10:10">
      <c r="J970" s="4"/>
    </row>
    <row r="971" spans="10:10">
      <c r="J971" s="4"/>
    </row>
    <row r="972" spans="10:10">
      <c r="J972" s="4"/>
    </row>
    <row r="973" spans="10:10">
      <c r="J973" s="4"/>
    </row>
    <row r="974" spans="10:10">
      <c r="J974" s="4"/>
    </row>
    <row r="975" spans="10:10">
      <c r="J975" s="4"/>
    </row>
    <row r="976" spans="10:10">
      <c r="J976" s="4"/>
    </row>
    <row r="977" spans="10:10">
      <c r="J977" s="4"/>
    </row>
    <row r="978" spans="10:10">
      <c r="J978" s="4"/>
    </row>
    <row r="979" spans="10:10">
      <c r="J979" s="4"/>
    </row>
    <row r="980" spans="10:10">
      <c r="J980" s="4"/>
    </row>
    <row r="981" spans="10:10">
      <c r="J981" s="4"/>
    </row>
    <row r="982" spans="10:10">
      <c r="J982" s="4"/>
    </row>
    <row r="983" spans="10:10">
      <c r="J983" s="4"/>
    </row>
    <row r="984" spans="10:10">
      <c r="J984" s="4"/>
    </row>
    <row r="985" spans="10:10">
      <c r="J985" s="4"/>
    </row>
    <row r="986" spans="10:10">
      <c r="J986" s="4"/>
    </row>
    <row r="987" spans="10:10">
      <c r="J987" s="4"/>
    </row>
    <row r="988" spans="10:10">
      <c r="J988" s="4"/>
    </row>
    <row r="989" spans="10:10">
      <c r="J989" s="4"/>
    </row>
    <row r="990" spans="10:10">
      <c r="J990" s="4"/>
    </row>
    <row r="991" spans="10:10">
      <c r="J991" s="4"/>
    </row>
    <row r="992" spans="10:10">
      <c r="J992" s="4"/>
    </row>
    <row r="993" spans="10:10">
      <c r="J993" s="4"/>
    </row>
    <row r="994" spans="10:10">
      <c r="J994" s="4"/>
    </row>
    <row r="995" spans="10:10">
      <c r="J995" s="4"/>
    </row>
    <row r="996" spans="10:10">
      <c r="J996" s="4"/>
    </row>
    <row r="997" spans="10:10">
      <c r="J997" s="4"/>
    </row>
    <row r="998" spans="10:10">
      <c r="J998" s="4"/>
    </row>
    <row r="999" spans="10:10">
      <c r="J999" s="4"/>
    </row>
    <row r="1000" spans="10:10">
      <c r="J1000" s="4"/>
    </row>
    <row r="1001" spans="10:10">
      <c r="J1001" s="4"/>
    </row>
    <row r="1002" spans="10:10">
      <c r="J1002" s="4"/>
    </row>
    <row r="1003" spans="10:10">
      <c r="J1003" s="4"/>
    </row>
    <row r="1004" spans="10:10">
      <c r="J1004" s="4"/>
    </row>
    <row r="1005" spans="10:10">
      <c r="J1005" s="4"/>
    </row>
    <row r="1006" spans="10:10">
      <c r="J1006" s="4"/>
    </row>
    <row r="1007" spans="10:10">
      <c r="J1007" s="4"/>
    </row>
    <row r="1008" spans="10:10">
      <c r="J1008" s="4"/>
    </row>
    <row r="1009" spans="10:10">
      <c r="J1009" s="4"/>
    </row>
    <row r="1010" spans="10:10">
      <c r="J1010" s="4"/>
    </row>
    <row r="1011" spans="10:10">
      <c r="J1011" s="4"/>
    </row>
    <row r="1012" spans="10:10">
      <c r="J1012" s="4"/>
    </row>
    <row r="1013" spans="10:10">
      <c r="J1013" s="4"/>
    </row>
    <row r="1014" spans="10:10">
      <c r="J1014" s="4"/>
    </row>
    <row r="1015" spans="10:10">
      <c r="J1015" s="4"/>
    </row>
    <row r="1016" spans="10:10">
      <c r="J1016" s="4"/>
    </row>
    <row r="1017" spans="10:10">
      <c r="J1017" s="4"/>
    </row>
    <row r="1018" spans="10:10">
      <c r="J1018" s="4"/>
    </row>
    <row r="1019" spans="10:10">
      <c r="J1019" s="4"/>
    </row>
    <row r="1020" spans="10:10">
      <c r="J1020" s="4"/>
    </row>
    <row r="1021" spans="10:10">
      <c r="J1021" s="4"/>
    </row>
    <row r="1022" spans="10:10">
      <c r="J1022" s="4"/>
    </row>
    <row r="1023" spans="10:10">
      <c r="J1023" s="4"/>
    </row>
    <row r="1024" spans="10:10">
      <c r="J1024" s="4"/>
    </row>
    <row r="1025" spans="10:10">
      <c r="J1025" s="4"/>
    </row>
    <row r="1026" spans="10:10">
      <c r="J1026" s="4"/>
    </row>
    <row r="1027" spans="10:10">
      <c r="J1027" s="4"/>
    </row>
    <row r="1028" spans="10:10">
      <c r="J1028" s="4"/>
    </row>
    <row r="1029" spans="10:10">
      <c r="J1029" s="4"/>
    </row>
    <row r="1030" spans="10:10">
      <c r="J1030" s="4"/>
    </row>
    <row r="1031" spans="10:10">
      <c r="J1031" s="4"/>
    </row>
    <row r="1032" spans="10:10">
      <c r="J1032" s="4"/>
    </row>
    <row r="1033" spans="10:10">
      <c r="J1033" s="4"/>
    </row>
    <row r="1034" spans="10:10">
      <c r="J1034" s="4"/>
    </row>
    <row r="1035" spans="10:10">
      <c r="J1035" s="4"/>
    </row>
    <row r="1036" spans="10:10">
      <c r="J1036" s="4"/>
    </row>
    <row r="1037" spans="10:10">
      <c r="J1037" s="4"/>
    </row>
    <row r="1038" spans="10:10">
      <c r="J1038" s="4"/>
    </row>
    <row r="1039" spans="10:10">
      <c r="J1039" s="4"/>
    </row>
    <row r="1040" spans="10:10">
      <c r="J1040" s="4"/>
    </row>
    <row r="1041" spans="10:10">
      <c r="J1041" s="4"/>
    </row>
    <row r="1042" spans="10:10">
      <c r="J1042" s="4"/>
    </row>
    <row r="1043" spans="10:10">
      <c r="J1043" s="4"/>
    </row>
    <row r="1044" spans="10:10">
      <c r="J1044" s="4"/>
    </row>
    <row r="1045" spans="10:10">
      <c r="J1045" s="4"/>
    </row>
    <row r="1046" spans="10:10">
      <c r="J1046" s="4"/>
    </row>
    <row r="1047" spans="10:10">
      <c r="J1047" s="4"/>
    </row>
    <row r="1048" spans="10:10">
      <c r="J1048" s="4"/>
    </row>
    <row r="1049" spans="10:10">
      <c r="J1049" s="4"/>
    </row>
    <row r="1050" spans="10:10">
      <c r="J1050" s="4"/>
    </row>
    <row r="1051" spans="10:10">
      <c r="J1051" s="4"/>
    </row>
    <row r="1052" spans="10:10">
      <c r="J1052" s="4"/>
    </row>
    <row r="1053" spans="10:10">
      <c r="J1053" s="4"/>
    </row>
    <row r="1054" spans="10:10">
      <c r="J1054" s="4"/>
    </row>
    <row r="1055" spans="10:10">
      <c r="J1055" s="4"/>
    </row>
    <row r="1056" spans="10:10">
      <c r="J1056" s="4"/>
    </row>
    <row r="1057" spans="10:10">
      <c r="J1057" s="4"/>
    </row>
    <row r="1058" spans="10:10">
      <c r="J1058" s="4"/>
    </row>
    <row r="1059" spans="10:10">
      <c r="J1059" s="4"/>
    </row>
    <row r="1060" spans="10:10">
      <c r="J1060" s="4"/>
    </row>
    <row r="1061" spans="10:10">
      <c r="J1061" s="4"/>
    </row>
    <row r="1062" spans="10:10">
      <c r="J1062" s="4"/>
    </row>
    <row r="1063" spans="10:10">
      <c r="J1063" s="4"/>
    </row>
    <row r="1064" spans="10:10">
      <c r="J1064" s="4"/>
    </row>
    <row r="1065" spans="10:10">
      <c r="J1065" s="4"/>
    </row>
    <row r="1066" spans="10:10">
      <c r="J1066" s="4"/>
    </row>
    <row r="1067" spans="10:10">
      <c r="J1067" s="4"/>
    </row>
    <row r="1068" spans="10:10">
      <c r="J1068" s="4"/>
    </row>
    <row r="1069" spans="10:10">
      <c r="J1069" s="4"/>
    </row>
    <row r="1070" spans="10:10">
      <c r="J1070" s="4"/>
    </row>
    <row r="1071" spans="10:10">
      <c r="J1071" s="4"/>
    </row>
    <row r="1072" spans="10:10">
      <c r="J1072" s="4"/>
    </row>
    <row r="1073" spans="10:10">
      <c r="J1073" s="4"/>
    </row>
    <row r="1074" spans="10:10">
      <c r="J1074" s="4"/>
    </row>
    <row r="1075" spans="10:10">
      <c r="J1075" s="4"/>
    </row>
    <row r="1076" spans="10:10">
      <c r="J1076" s="4"/>
    </row>
    <row r="1077" spans="10:10">
      <c r="J1077" s="4"/>
    </row>
    <row r="1078" spans="10:10">
      <c r="J1078" s="4"/>
    </row>
    <row r="1079" spans="10:10">
      <c r="J1079" s="4"/>
    </row>
    <row r="1080" spans="10:10">
      <c r="J1080" s="4"/>
    </row>
    <row r="1081" spans="10:10">
      <c r="J1081" s="4"/>
    </row>
    <row r="1082" spans="10:10">
      <c r="J1082" s="4"/>
    </row>
    <row r="1083" spans="10:10">
      <c r="J1083" s="4"/>
    </row>
    <row r="1084" spans="10:10">
      <c r="J1084" s="4"/>
    </row>
    <row r="1085" spans="10:10">
      <c r="J1085" s="4"/>
    </row>
    <row r="1086" spans="10:10">
      <c r="J1086" s="4"/>
    </row>
    <row r="1087" spans="10:10">
      <c r="J1087" s="4"/>
    </row>
    <row r="1088" spans="10:10">
      <c r="J1088" s="4"/>
    </row>
    <row r="1089" spans="10:10">
      <c r="J1089" s="4"/>
    </row>
    <row r="1090" spans="10:10">
      <c r="J1090" s="4"/>
    </row>
    <row r="1091" spans="10:10">
      <c r="J1091" s="4"/>
    </row>
    <row r="1092" spans="10:10">
      <c r="J1092" s="4"/>
    </row>
    <row r="1093" spans="10:10">
      <c r="J1093" s="4"/>
    </row>
    <row r="1094" spans="10:10">
      <c r="J1094" s="4"/>
    </row>
    <row r="1095" spans="10:10">
      <c r="J1095" s="4"/>
    </row>
    <row r="1096" spans="10:10">
      <c r="J1096" s="4"/>
    </row>
    <row r="1097" spans="10:10">
      <c r="J1097" s="4"/>
    </row>
    <row r="1098" spans="10:10">
      <c r="J1098" s="4"/>
    </row>
    <row r="1099" spans="10:10">
      <c r="J1099" s="4"/>
    </row>
    <row r="1100" spans="10:10">
      <c r="J1100" s="4"/>
    </row>
    <row r="1101" spans="10:10">
      <c r="J1101" s="4"/>
    </row>
    <row r="1102" spans="10:10">
      <c r="J1102" s="4"/>
    </row>
    <row r="1103" spans="10:10">
      <c r="J1103" s="4"/>
    </row>
    <row r="1104" spans="10:10">
      <c r="J1104" s="4"/>
    </row>
    <row r="1105" spans="10:10">
      <c r="J1105" s="4"/>
    </row>
    <row r="1106" spans="10:10">
      <c r="J1106" s="4"/>
    </row>
    <row r="1107" spans="10:10">
      <c r="J1107" s="4"/>
    </row>
    <row r="1108" spans="10:10">
      <c r="J1108" s="4"/>
    </row>
    <row r="1109" spans="10:10">
      <c r="J1109" s="4"/>
    </row>
    <row r="1110" spans="10:10">
      <c r="J1110" s="4"/>
    </row>
    <row r="1111" spans="10:10">
      <c r="J1111" s="4"/>
    </row>
    <row r="1112" spans="10:10">
      <c r="J1112" s="4"/>
    </row>
    <row r="1113" spans="10:10">
      <c r="J1113" s="4"/>
    </row>
    <row r="1114" spans="10:10">
      <c r="J1114" s="4"/>
    </row>
    <row r="1115" spans="10:10">
      <c r="J1115" s="4"/>
    </row>
    <row r="1116" spans="10:10">
      <c r="J1116" s="4"/>
    </row>
    <row r="1117" spans="10:10">
      <c r="J1117" s="4"/>
    </row>
    <row r="1118" spans="10:10">
      <c r="J1118" s="4"/>
    </row>
    <row r="1119" spans="10:10">
      <c r="J1119" s="4"/>
    </row>
    <row r="1120" spans="10:10">
      <c r="J1120" s="4"/>
    </row>
    <row r="1121" spans="10:10">
      <c r="J1121" s="4"/>
    </row>
    <row r="1122" spans="10:10">
      <c r="J1122" s="4"/>
    </row>
    <row r="1123" spans="10:10">
      <c r="J1123" s="4"/>
    </row>
    <row r="1124" spans="10:10">
      <c r="J1124" s="4"/>
    </row>
    <row r="1125" spans="10:10">
      <c r="J1125" s="4"/>
    </row>
    <row r="1126" spans="10:10">
      <c r="J1126" s="4"/>
    </row>
    <row r="1127" spans="10:10">
      <c r="J1127" s="4"/>
    </row>
    <row r="1128" spans="10:10">
      <c r="J1128" s="4"/>
    </row>
    <row r="1129" spans="10:10">
      <c r="J1129" s="4"/>
    </row>
    <row r="1130" spans="10:10">
      <c r="J1130" s="4"/>
    </row>
    <row r="1131" spans="10:10">
      <c r="J1131" s="4"/>
    </row>
    <row r="1132" spans="10:10">
      <c r="J1132" s="4"/>
    </row>
    <row r="1133" spans="10:10">
      <c r="J1133" s="4"/>
    </row>
    <row r="1134" spans="10:10">
      <c r="J1134" s="4"/>
    </row>
    <row r="1135" spans="10:10">
      <c r="J1135" s="4"/>
    </row>
    <row r="1136" spans="10:10">
      <c r="J1136" s="4"/>
    </row>
    <row r="1137" spans="10:10">
      <c r="J1137" s="4"/>
    </row>
    <row r="1138" spans="10:10">
      <c r="J1138" s="4"/>
    </row>
    <row r="1139" spans="10:10">
      <c r="J1139" s="4"/>
    </row>
    <row r="1140" spans="10:10">
      <c r="J1140" s="4"/>
    </row>
    <row r="1141" spans="10:10">
      <c r="J1141" s="4"/>
    </row>
    <row r="1142" spans="10:10">
      <c r="J1142" s="4"/>
    </row>
    <row r="1143" spans="10:10">
      <c r="J1143" s="4"/>
    </row>
    <row r="1144" spans="10:10">
      <c r="J1144" s="4"/>
    </row>
    <row r="1145" spans="10:10">
      <c r="J1145" s="4"/>
    </row>
    <row r="1146" spans="10:10">
      <c r="J1146" s="4"/>
    </row>
    <row r="1147" spans="10:10">
      <c r="J1147" s="4"/>
    </row>
    <row r="1148" spans="10:10">
      <c r="J1148" s="4"/>
    </row>
    <row r="1149" spans="10:10">
      <c r="J1149" s="4"/>
    </row>
    <row r="1150" spans="10:10">
      <c r="J1150" s="4"/>
    </row>
    <row r="1151" spans="10:10">
      <c r="J1151" s="4"/>
    </row>
    <row r="1152" spans="10:10">
      <c r="J1152" s="4"/>
    </row>
    <row r="1153" spans="10:10">
      <c r="J1153" s="4"/>
    </row>
    <row r="1154" spans="10:10">
      <c r="J1154" s="4"/>
    </row>
    <row r="1155" spans="10:10">
      <c r="J1155" s="4"/>
    </row>
    <row r="1156" spans="10:10">
      <c r="J1156" s="4"/>
    </row>
    <row r="1157" spans="10:10">
      <c r="J1157" s="4"/>
    </row>
    <row r="1158" spans="10:10">
      <c r="J1158" s="4"/>
    </row>
    <row r="1159" spans="10:10">
      <c r="J1159" s="4"/>
    </row>
    <row r="1160" spans="10:10">
      <c r="J1160" s="4"/>
    </row>
    <row r="1161" spans="10:10">
      <c r="J1161" s="4"/>
    </row>
    <row r="1162" spans="10:10">
      <c r="J1162" s="4"/>
    </row>
    <row r="1163" spans="10:10">
      <c r="J1163" s="4"/>
    </row>
    <row r="1164" spans="10:10">
      <c r="J1164" s="4"/>
    </row>
    <row r="1165" spans="10:10">
      <c r="J1165" s="4"/>
    </row>
    <row r="1166" spans="10:10">
      <c r="J1166" s="4"/>
    </row>
    <row r="1167" spans="10:10">
      <c r="J1167" s="4"/>
    </row>
    <row r="1168" spans="10:10">
      <c r="J1168" s="4"/>
    </row>
    <row r="1169" spans="10:10">
      <c r="J1169" s="4"/>
    </row>
    <row r="1170" spans="10:10">
      <c r="J1170" s="4"/>
    </row>
    <row r="1171" spans="10:10">
      <c r="J1171" s="4"/>
    </row>
    <row r="1172" spans="10:10">
      <c r="J1172" s="4"/>
    </row>
    <row r="1173" spans="10:10">
      <c r="J1173" s="4"/>
    </row>
    <row r="1174" spans="10:10">
      <c r="J1174" s="4"/>
    </row>
    <row r="1175" spans="10:10">
      <c r="J1175" s="4"/>
    </row>
    <row r="1176" spans="10:10">
      <c r="J1176" s="4"/>
    </row>
    <row r="1177" spans="10:10">
      <c r="J1177" s="4"/>
    </row>
    <row r="1178" spans="10:10">
      <c r="J1178" s="4"/>
    </row>
    <row r="1179" spans="10:10">
      <c r="J1179" s="4"/>
    </row>
    <row r="1180" spans="10:10">
      <c r="J1180" s="4"/>
    </row>
    <row r="1181" spans="10:10">
      <c r="J1181" s="4"/>
    </row>
    <row r="1182" spans="10:10">
      <c r="J1182" s="4"/>
    </row>
    <row r="1183" spans="10:10">
      <c r="J1183" s="4"/>
    </row>
    <row r="1184" spans="10:10">
      <c r="J1184" s="4"/>
    </row>
    <row r="1185" spans="10:10">
      <c r="J1185" s="4"/>
    </row>
    <row r="1186" spans="10:10">
      <c r="J1186" s="4"/>
    </row>
    <row r="1187" spans="10:10">
      <c r="J1187" s="4"/>
    </row>
    <row r="1188" spans="10:10">
      <c r="J1188" s="4"/>
    </row>
    <row r="1189" spans="10:10">
      <c r="J1189" s="4"/>
    </row>
    <row r="1190" spans="10:10">
      <c r="J1190" s="4"/>
    </row>
    <row r="1191" spans="10:10">
      <c r="J1191" s="4"/>
    </row>
    <row r="1192" spans="10:10">
      <c r="J1192" s="4"/>
    </row>
    <row r="1193" spans="10:10">
      <c r="J1193" s="4"/>
    </row>
    <row r="1194" spans="10:10">
      <c r="J1194" s="4"/>
    </row>
    <row r="1195" spans="10:10">
      <c r="J1195" s="4"/>
    </row>
    <row r="1196" spans="10:10">
      <c r="J1196" s="4"/>
    </row>
    <row r="1197" spans="10:10">
      <c r="J1197" s="4"/>
    </row>
    <row r="1198" spans="10:10">
      <c r="J1198" s="4"/>
    </row>
    <row r="1199" spans="10:10">
      <c r="J1199" s="4"/>
    </row>
    <row r="1200" spans="10:10">
      <c r="J1200" s="4"/>
    </row>
    <row r="1201" spans="10:10">
      <c r="J1201" s="4"/>
    </row>
    <row r="1202" spans="10:10">
      <c r="J1202" s="4"/>
    </row>
    <row r="1203" spans="10:10">
      <c r="J1203" s="4"/>
    </row>
    <row r="1204" spans="10:10">
      <c r="J1204" s="4"/>
    </row>
    <row r="1205" spans="10:10">
      <c r="J1205" s="4"/>
    </row>
    <row r="1206" spans="10:10">
      <c r="J1206" s="4"/>
    </row>
    <row r="1207" spans="10:10">
      <c r="J1207" s="4"/>
    </row>
    <row r="1208" spans="10:10">
      <c r="J1208" s="4"/>
    </row>
    <row r="1209" spans="10:10">
      <c r="J1209" s="4"/>
    </row>
    <row r="1210" spans="10:10">
      <c r="J1210" s="4"/>
    </row>
    <row r="1211" spans="10:10">
      <c r="J1211" s="4"/>
    </row>
    <row r="1212" spans="10:10">
      <c r="J1212" s="4"/>
    </row>
    <row r="1213" spans="10:10">
      <c r="J1213" s="4"/>
    </row>
    <row r="1214" spans="10:10">
      <c r="J1214" s="4"/>
    </row>
    <row r="1215" spans="10:10">
      <c r="J1215" s="4"/>
    </row>
    <row r="1216" spans="10:10">
      <c r="J1216" s="4"/>
    </row>
    <row r="1217" spans="10:10">
      <c r="J1217" s="4"/>
    </row>
    <row r="1218" spans="10:10">
      <c r="J1218" s="4"/>
    </row>
    <row r="1219" spans="10:10">
      <c r="J1219" s="4"/>
    </row>
    <row r="1220" spans="10:10">
      <c r="J1220" s="4"/>
    </row>
    <row r="1221" spans="10:10">
      <c r="J1221" s="4"/>
    </row>
    <row r="1222" spans="10:10">
      <c r="J1222" s="4"/>
    </row>
    <row r="1223" spans="10:10">
      <c r="J1223" s="4"/>
    </row>
    <row r="1224" spans="10:10">
      <c r="J1224" s="4"/>
    </row>
    <row r="1225" spans="10:10">
      <c r="J1225" s="4"/>
    </row>
    <row r="1226" spans="10:10">
      <c r="J1226" s="4"/>
    </row>
    <row r="1227" spans="10:10">
      <c r="J1227" s="4"/>
    </row>
    <row r="1228" spans="10:10">
      <c r="J1228" s="4"/>
    </row>
    <row r="1229" spans="10:10">
      <c r="J1229" s="4"/>
    </row>
    <row r="1230" spans="10:10">
      <c r="J1230" s="4"/>
    </row>
    <row r="1231" spans="10:10">
      <c r="J1231" s="4"/>
    </row>
    <row r="1232" spans="10:10">
      <c r="J1232" s="4"/>
    </row>
    <row r="1233" spans="10:10">
      <c r="J1233" s="4"/>
    </row>
    <row r="1234" spans="10:10">
      <c r="J1234" s="4"/>
    </row>
    <row r="1235" spans="10:10">
      <c r="J1235" s="4"/>
    </row>
    <row r="1236" spans="10:10">
      <c r="J1236" s="4"/>
    </row>
    <row r="1237" spans="10:10">
      <c r="J1237" s="4"/>
    </row>
    <row r="1238" spans="10:10">
      <c r="J1238" s="4"/>
    </row>
    <row r="1239" spans="10:10">
      <c r="J1239" s="4"/>
    </row>
    <row r="1240" spans="10:10">
      <c r="J1240" s="4"/>
    </row>
    <row r="1241" spans="10:10">
      <c r="J1241" s="4"/>
    </row>
    <row r="1242" spans="10:10">
      <c r="J1242" s="4"/>
    </row>
    <row r="1243" spans="10:10">
      <c r="J1243" s="4"/>
    </row>
    <row r="1244" spans="10:10">
      <c r="J1244" s="4"/>
    </row>
    <row r="1245" spans="10:10">
      <c r="J1245" s="4"/>
    </row>
    <row r="1246" spans="10:10">
      <c r="J1246" s="4"/>
    </row>
    <row r="1247" spans="10:10">
      <c r="J1247" s="4"/>
    </row>
    <row r="1248" spans="10:10">
      <c r="J1248" s="4"/>
    </row>
    <row r="1249" spans="10:10">
      <c r="J1249" s="4"/>
    </row>
    <row r="1250" spans="10:10">
      <c r="J1250" s="4"/>
    </row>
    <row r="1251" spans="10:10">
      <c r="J1251" s="4"/>
    </row>
    <row r="1252" spans="10:10">
      <c r="J1252" s="4"/>
    </row>
    <row r="1253" spans="10:10">
      <c r="J1253" s="4"/>
    </row>
    <row r="1254" spans="10:10">
      <c r="J1254" s="4"/>
    </row>
    <row r="1255" spans="10:10">
      <c r="J1255" s="4"/>
    </row>
    <row r="1256" spans="10:10">
      <c r="J1256" s="4"/>
    </row>
    <row r="1257" spans="10:10">
      <c r="J1257" s="4"/>
    </row>
    <row r="1258" spans="10:10">
      <c r="J1258" s="4"/>
    </row>
    <row r="1259" spans="10:10">
      <c r="J1259" s="4"/>
    </row>
    <row r="1260" spans="10:10">
      <c r="J1260" s="4"/>
    </row>
    <row r="1261" spans="10:10">
      <c r="J1261" s="4"/>
    </row>
    <row r="1262" spans="10:10">
      <c r="J1262" s="4"/>
    </row>
    <row r="1263" spans="10:10">
      <c r="J1263" s="4"/>
    </row>
    <row r="1264" spans="10:10">
      <c r="J1264" s="4"/>
    </row>
    <row r="1265" spans="10:10">
      <c r="J1265" s="4"/>
    </row>
    <row r="1266" spans="10:10">
      <c r="J1266" s="4"/>
    </row>
    <row r="1267" spans="10:10">
      <c r="J1267" s="4"/>
    </row>
    <row r="1268" spans="10:10">
      <c r="J1268" s="4"/>
    </row>
    <row r="1269" spans="10:10">
      <c r="J1269" s="4"/>
    </row>
    <row r="1270" spans="10:10">
      <c r="J1270" s="4"/>
    </row>
    <row r="1271" spans="10:10">
      <c r="J1271" s="4"/>
    </row>
    <row r="1272" spans="10:10">
      <c r="J1272" s="4"/>
    </row>
    <row r="1273" spans="10:10">
      <c r="J1273" s="4"/>
    </row>
    <row r="1274" spans="10:10">
      <c r="J1274" s="4"/>
    </row>
    <row r="1275" spans="10:10">
      <c r="J1275" s="4"/>
    </row>
    <row r="1276" spans="10:10">
      <c r="J1276" s="4"/>
    </row>
    <row r="1277" spans="10:10">
      <c r="J1277" s="4"/>
    </row>
    <row r="1278" spans="10:10">
      <c r="J1278" s="4"/>
    </row>
    <row r="1279" spans="10:10">
      <c r="J1279" s="4"/>
    </row>
    <row r="1280" spans="10:10">
      <c r="J1280" s="4"/>
    </row>
    <row r="1281" spans="10:10">
      <c r="J1281" s="4"/>
    </row>
    <row r="1282" spans="10:10">
      <c r="J1282" s="4"/>
    </row>
    <row r="1283" spans="10:10">
      <c r="J1283" s="4"/>
    </row>
    <row r="1284" spans="10:10">
      <c r="J1284" s="4"/>
    </row>
    <row r="1285" spans="10:10">
      <c r="J1285" s="4"/>
    </row>
    <row r="1286" spans="10:10">
      <c r="J1286" s="4"/>
    </row>
    <row r="1287" spans="10:10">
      <c r="J1287" s="4"/>
    </row>
    <row r="1288" spans="10:10">
      <c r="J1288" s="4"/>
    </row>
    <row r="1289" spans="10:10">
      <c r="J1289" s="4"/>
    </row>
    <row r="1290" spans="10:10">
      <c r="J1290" s="4"/>
    </row>
    <row r="1291" spans="10:10">
      <c r="J1291" s="4"/>
    </row>
    <row r="1292" spans="10:10">
      <c r="J1292" s="4"/>
    </row>
    <row r="1293" spans="10:10">
      <c r="J1293" s="4"/>
    </row>
    <row r="1294" spans="10:10">
      <c r="J1294" s="4"/>
    </row>
    <row r="1295" spans="10:10">
      <c r="J1295" s="4"/>
    </row>
    <row r="1296" spans="10:10">
      <c r="J1296" s="4"/>
    </row>
    <row r="1297" spans="10:10">
      <c r="J1297" s="4"/>
    </row>
    <row r="1298" spans="10:10">
      <c r="J1298" s="4"/>
    </row>
    <row r="1299" spans="10:10">
      <c r="J1299" s="4"/>
    </row>
    <row r="1300" spans="10:10">
      <c r="J1300" s="4"/>
    </row>
    <row r="1301" spans="10:10">
      <c r="J1301" s="4"/>
    </row>
    <row r="1302" spans="10:10">
      <c r="J1302" s="4"/>
    </row>
    <row r="1303" spans="10:10">
      <c r="J1303" s="4"/>
    </row>
    <row r="1304" spans="10:10">
      <c r="J1304" s="4"/>
    </row>
    <row r="1305" spans="10:10">
      <c r="J1305" s="4"/>
    </row>
    <row r="1306" spans="10:10">
      <c r="J1306" s="4"/>
    </row>
    <row r="1307" spans="10:10">
      <c r="J1307" s="4"/>
    </row>
    <row r="1308" spans="10:10">
      <c r="J1308" s="4"/>
    </row>
    <row r="1309" spans="10:10">
      <c r="J1309" s="4"/>
    </row>
    <row r="1310" spans="10:10">
      <c r="J1310" s="4"/>
    </row>
    <row r="1311" spans="10:10">
      <c r="J1311" s="4"/>
    </row>
    <row r="1312" spans="10:10">
      <c r="J1312" s="4"/>
    </row>
    <row r="1313" spans="10:10">
      <c r="J1313" s="4"/>
    </row>
    <row r="1314" spans="10:10">
      <c r="J1314" s="4"/>
    </row>
    <row r="1315" spans="10:10">
      <c r="J1315" s="4"/>
    </row>
    <row r="1316" spans="10:10">
      <c r="J1316" s="4"/>
    </row>
    <row r="1317" spans="10:10">
      <c r="J1317" s="4"/>
    </row>
    <row r="1318" spans="10:10">
      <c r="J1318" s="4"/>
    </row>
    <row r="1319" spans="10:10">
      <c r="J1319" s="4"/>
    </row>
    <row r="1320" spans="10:10">
      <c r="J1320" s="4"/>
    </row>
    <row r="1321" spans="10:10">
      <c r="J1321" s="4"/>
    </row>
    <row r="1322" spans="10:10">
      <c r="J1322" s="4"/>
    </row>
    <row r="1323" spans="10:10">
      <c r="J1323" s="4"/>
    </row>
    <row r="1324" spans="10:10">
      <c r="J1324" s="4"/>
    </row>
    <row r="1325" spans="10:10">
      <c r="J1325" s="4"/>
    </row>
    <row r="1326" spans="10:10">
      <c r="J1326" s="4"/>
    </row>
    <row r="1327" spans="10:10">
      <c r="J1327" s="4"/>
    </row>
    <row r="1328" spans="10:10">
      <c r="J1328" s="4"/>
    </row>
    <row r="1329" spans="10:10">
      <c r="J1329" s="4"/>
    </row>
    <row r="1330" spans="10:10">
      <c r="J1330" s="4"/>
    </row>
    <row r="1331" spans="10:10">
      <c r="J1331" s="4"/>
    </row>
    <row r="1332" spans="10:10">
      <c r="J1332" s="4"/>
    </row>
    <row r="1333" spans="10:10">
      <c r="J1333" s="4"/>
    </row>
    <row r="1334" spans="10:10">
      <c r="J1334" s="4"/>
    </row>
    <row r="1335" spans="10:10">
      <c r="J1335" s="4"/>
    </row>
    <row r="1336" spans="10:10">
      <c r="J1336" s="4"/>
    </row>
    <row r="1337" spans="10:10">
      <c r="J1337" s="4"/>
    </row>
    <row r="1338" spans="10:10">
      <c r="J1338" s="4"/>
    </row>
    <row r="1339" spans="10:10">
      <c r="J1339" s="4"/>
    </row>
    <row r="1340" spans="10:10">
      <c r="J1340" s="4"/>
    </row>
    <row r="1341" spans="10:10">
      <c r="J1341" s="4"/>
    </row>
    <row r="1342" spans="10:10">
      <c r="J1342" s="4"/>
    </row>
    <row r="1343" spans="10:10">
      <c r="J1343" s="4"/>
    </row>
    <row r="1344" spans="10:10">
      <c r="J1344" s="4"/>
    </row>
    <row r="1345" spans="10:10">
      <c r="J1345" s="4"/>
    </row>
    <row r="1346" spans="10:10">
      <c r="J1346" s="4"/>
    </row>
    <row r="1347" spans="10:10">
      <c r="J1347" s="4"/>
    </row>
    <row r="1348" spans="10:10">
      <c r="J1348" s="4"/>
    </row>
    <row r="1349" spans="10:10">
      <c r="J1349" s="4"/>
    </row>
    <row r="1350" spans="10:10">
      <c r="J1350" s="4"/>
    </row>
    <row r="1351" spans="10:10">
      <c r="J1351" s="4"/>
    </row>
    <row r="1352" spans="10:10">
      <c r="J1352" s="4"/>
    </row>
    <row r="1353" spans="10:10">
      <c r="J1353" s="4"/>
    </row>
    <row r="1354" spans="10:10">
      <c r="J1354" s="4"/>
    </row>
    <row r="1355" spans="10:10">
      <c r="J1355" s="4"/>
    </row>
    <row r="1356" spans="10:10">
      <c r="J1356" s="4"/>
    </row>
    <row r="1357" spans="10:10">
      <c r="J1357" s="4"/>
    </row>
    <row r="1358" spans="10:10">
      <c r="J1358" s="4"/>
    </row>
    <row r="1359" spans="10:10">
      <c r="J1359" s="4"/>
    </row>
    <row r="1360" spans="10:10">
      <c r="J1360" s="4"/>
    </row>
    <row r="1361" spans="10:10">
      <c r="J1361" s="4"/>
    </row>
    <row r="1362" spans="10:10">
      <c r="J1362" s="4"/>
    </row>
    <row r="1363" spans="10:10">
      <c r="J1363" s="4"/>
    </row>
    <row r="1364" spans="10:10">
      <c r="J1364" s="4"/>
    </row>
    <row r="1365" spans="10:10">
      <c r="J1365" s="4"/>
    </row>
    <row r="1366" spans="10:10">
      <c r="J1366" s="4"/>
    </row>
    <row r="1367" spans="10:10">
      <c r="J1367" s="4"/>
    </row>
    <row r="1368" spans="10:10">
      <c r="J1368" s="4"/>
    </row>
    <row r="1369" spans="10:10">
      <c r="J1369" s="4"/>
    </row>
    <row r="1370" spans="10:10">
      <c r="J1370" s="4"/>
    </row>
    <row r="1371" spans="10:10">
      <c r="J1371" s="4"/>
    </row>
    <row r="1372" spans="10:10">
      <c r="J1372" s="4"/>
    </row>
    <row r="1373" spans="10:10">
      <c r="J1373" s="4"/>
    </row>
    <row r="1374" spans="10:10">
      <c r="J1374" s="4"/>
    </row>
    <row r="1375" spans="10:10">
      <c r="J1375" s="4"/>
    </row>
    <row r="1376" spans="10:10">
      <c r="J1376" s="4"/>
    </row>
    <row r="1377" spans="10:10">
      <c r="J1377" s="4"/>
    </row>
    <row r="1378" spans="10:10">
      <c r="J1378" s="4"/>
    </row>
    <row r="1379" spans="10:10">
      <c r="J1379" s="4"/>
    </row>
    <row r="1380" spans="10:10">
      <c r="J1380" s="4"/>
    </row>
    <row r="1381" spans="10:10">
      <c r="J1381" s="4"/>
    </row>
    <row r="1382" spans="10:10">
      <c r="J1382" s="4"/>
    </row>
    <row r="1383" spans="10:10">
      <c r="J1383" s="4"/>
    </row>
    <row r="1384" spans="10:10">
      <c r="J1384" s="4"/>
    </row>
    <row r="1385" spans="10:10">
      <c r="J1385" s="4"/>
    </row>
    <row r="1386" spans="10:10">
      <c r="J1386" s="4"/>
    </row>
    <row r="1387" spans="10:10">
      <c r="J1387" s="4"/>
    </row>
    <row r="1388" spans="10:10">
      <c r="J1388" s="4"/>
    </row>
    <row r="1389" spans="10:10">
      <c r="J1389" s="4"/>
    </row>
    <row r="1390" spans="10:10">
      <c r="J1390" s="4"/>
    </row>
    <row r="1391" spans="10:10">
      <c r="J1391" s="4"/>
    </row>
    <row r="1392" spans="10:10">
      <c r="J1392" s="4"/>
    </row>
    <row r="1393" spans="10:10">
      <c r="J1393" s="4"/>
    </row>
    <row r="1394" spans="10:10">
      <c r="J1394" s="4"/>
    </row>
    <row r="1395" spans="10:10">
      <c r="J1395" s="4"/>
    </row>
    <row r="1396" spans="10:10">
      <c r="J1396" s="4"/>
    </row>
    <row r="1397" spans="10:10">
      <c r="J1397" s="4"/>
    </row>
    <row r="1398" spans="10:10">
      <c r="J1398" s="4"/>
    </row>
    <row r="1399" spans="10:10">
      <c r="J1399" s="4"/>
    </row>
    <row r="1400" spans="10:10">
      <c r="J1400" s="4"/>
    </row>
    <row r="1401" spans="10:10">
      <c r="J1401" s="4"/>
    </row>
    <row r="1402" spans="10:10">
      <c r="J1402" s="4"/>
    </row>
    <row r="1403" spans="10:10">
      <c r="J1403" s="4"/>
    </row>
    <row r="1404" spans="10:10">
      <c r="J1404" s="4"/>
    </row>
    <row r="1405" spans="10:10">
      <c r="J1405" s="4"/>
    </row>
    <row r="1406" spans="10:10">
      <c r="J1406" s="4"/>
    </row>
    <row r="1407" spans="10:10">
      <c r="J1407" s="4"/>
    </row>
    <row r="1408" spans="10:10">
      <c r="J1408" s="4"/>
    </row>
    <row r="1409" spans="10:10">
      <c r="J1409" s="4"/>
    </row>
    <row r="1410" spans="10:10">
      <c r="J1410" s="4"/>
    </row>
    <row r="1411" spans="10:10">
      <c r="J1411" s="4"/>
    </row>
    <row r="1412" spans="10:10">
      <c r="J1412" s="4"/>
    </row>
    <row r="1413" spans="10:10">
      <c r="J1413" s="4"/>
    </row>
    <row r="1414" spans="10:10">
      <c r="J1414" s="4"/>
    </row>
    <row r="1415" spans="10:10">
      <c r="J1415" s="4"/>
    </row>
    <row r="1416" spans="10:10">
      <c r="J1416" s="4"/>
    </row>
    <row r="1417" spans="10:10">
      <c r="J1417" s="4"/>
    </row>
    <row r="1418" spans="10:10">
      <c r="J1418" s="4"/>
    </row>
    <row r="1419" spans="10:10">
      <c r="J1419" s="4"/>
    </row>
    <row r="1420" spans="10:10">
      <c r="J1420" s="4"/>
    </row>
    <row r="1421" spans="10:10">
      <c r="J1421" s="4"/>
    </row>
    <row r="1422" spans="10:10">
      <c r="J1422" s="4"/>
    </row>
    <row r="1423" spans="10:10">
      <c r="J1423" s="4"/>
    </row>
    <row r="1424" spans="10:10">
      <c r="J1424" s="4"/>
    </row>
    <row r="1425" spans="10:10">
      <c r="J1425" s="4"/>
    </row>
    <row r="1426" spans="10:10">
      <c r="J1426" s="4"/>
    </row>
    <row r="1427" spans="10:10">
      <c r="J1427" s="4"/>
    </row>
    <row r="1428" spans="10:10">
      <c r="J1428" s="4"/>
    </row>
    <row r="1429" spans="10:10">
      <c r="J1429" s="4"/>
    </row>
    <row r="1430" spans="10:10">
      <c r="J1430" s="4"/>
    </row>
    <row r="1431" spans="10:10">
      <c r="J1431" s="4"/>
    </row>
    <row r="1432" spans="10:10">
      <c r="J1432" s="4"/>
    </row>
    <row r="1433" spans="10:10">
      <c r="J1433" s="4"/>
    </row>
    <row r="1434" spans="10:10">
      <c r="J1434" s="4"/>
    </row>
    <row r="1435" spans="10:10">
      <c r="J1435" s="4"/>
    </row>
    <row r="1436" spans="10:10">
      <c r="J1436" s="4"/>
    </row>
    <row r="1437" spans="10:10">
      <c r="J1437" s="4"/>
    </row>
    <row r="1438" spans="10:10">
      <c r="J1438" s="4"/>
    </row>
    <row r="1439" spans="10:10">
      <c r="J1439" s="4"/>
    </row>
    <row r="1440" spans="10:10">
      <c r="J1440" s="4"/>
    </row>
    <row r="1441" spans="10:10">
      <c r="J1441" s="4"/>
    </row>
    <row r="1442" spans="10:10">
      <c r="J1442" s="4"/>
    </row>
    <row r="1443" spans="10:10">
      <c r="J1443" s="4"/>
    </row>
    <row r="1444" spans="10:10">
      <c r="J1444" s="4"/>
    </row>
    <row r="1445" spans="10:10">
      <c r="J1445" s="4"/>
    </row>
    <row r="1446" spans="10:10">
      <c r="J1446" s="4"/>
    </row>
    <row r="1447" spans="10:10">
      <c r="J1447" s="4"/>
    </row>
    <row r="1448" spans="10:10">
      <c r="J1448" s="4"/>
    </row>
    <row r="1449" spans="10:10">
      <c r="J1449" s="4"/>
    </row>
    <row r="1450" spans="10:10">
      <c r="J1450" s="4"/>
    </row>
    <row r="1451" spans="10:10">
      <c r="J1451" s="4"/>
    </row>
    <row r="1452" spans="10:10">
      <c r="J1452" s="4"/>
    </row>
    <row r="1453" spans="10:10">
      <c r="J1453" s="4"/>
    </row>
    <row r="1454" spans="10:10">
      <c r="J1454" s="4"/>
    </row>
    <row r="1455" spans="10:10">
      <c r="J1455" s="4"/>
    </row>
    <row r="1456" spans="10:10">
      <c r="J1456" s="4"/>
    </row>
    <row r="1457" spans="10:10">
      <c r="J1457" s="4"/>
    </row>
    <row r="1458" spans="10:10">
      <c r="J1458" s="4"/>
    </row>
    <row r="1459" spans="10:10">
      <c r="J1459" s="4"/>
    </row>
    <row r="1460" spans="10:10">
      <c r="J1460" s="4"/>
    </row>
    <row r="1461" spans="10:10">
      <c r="J1461" s="4"/>
    </row>
    <row r="1462" spans="10:10">
      <c r="J1462" s="4"/>
    </row>
    <row r="1463" spans="10:10">
      <c r="J1463" s="4"/>
    </row>
    <row r="1464" spans="10:10">
      <c r="J1464" s="4"/>
    </row>
    <row r="1465" spans="10:10">
      <c r="J1465" s="4"/>
    </row>
    <row r="1466" spans="10:10">
      <c r="J1466" s="4"/>
    </row>
    <row r="1467" spans="10:10">
      <c r="J1467" s="4"/>
    </row>
    <row r="1468" spans="10:10">
      <c r="J1468" s="4"/>
    </row>
    <row r="1469" spans="10:10">
      <c r="J1469" s="4"/>
    </row>
    <row r="1470" spans="10:10">
      <c r="J1470" s="4"/>
    </row>
    <row r="1471" spans="10:10">
      <c r="J1471" s="4"/>
    </row>
    <row r="1472" spans="10:10">
      <c r="J1472" s="4"/>
    </row>
    <row r="1473" spans="10:10">
      <c r="J1473" s="4"/>
    </row>
    <row r="1474" spans="10:10">
      <c r="J1474" s="4"/>
    </row>
    <row r="1475" spans="10:10">
      <c r="J1475" s="4"/>
    </row>
    <row r="1476" spans="10:10">
      <c r="J1476" s="4"/>
    </row>
    <row r="1477" spans="10:10">
      <c r="J1477" s="4"/>
    </row>
    <row r="1478" spans="10:10">
      <c r="J1478" s="4"/>
    </row>
    <row r="1479" spans="10:10">
      <c r="J1479" s="4"/>
    </row>
    <row r="1480" spans="10:10">
      <c r="J1480" s="4"/>
    </row>
    <row r="1481" spans="10:10">
      <c r="J1481" s="4"/>
    </row>
    <row r="1482" spans="10:10">
      <c r="J1482" s="4"/>
    </row>
    <row r="1483" spans="10:10">
      <c r="J1483" s="4"/>
    </row>
    <row r="1484" spans="10:10">
      <c r="J1484" s="4"/>
    </row>
    <row r="1485" spans="10:10">
      <c r="J1485" s="4"/>
    </row>
    <row r="1486" spans="10:10">
      <c r="J1486" s="4"/>
    </row>
    <row r="1487" spans="10:10">
      <c r="J1487" s="4"/>
    </row>
    <row r="1488" spans="10:10">
      <c r="J1488" s="4"/>
    </row>
    <row r="1489" spans="10:10">
      <c r="J1489" s="4"/>
    </row>
    <row r="1490" spans="10:10">
      <c r="J1490" s="4"/>
    </row>
    <row r="1491" spans="10:10">
      <c r="J1491" s="4"/>
    </row>
    <row r="1492" spans="10:10">
      <c r="J1492" s="4"/>
    </row>
    <row r="1493" spans="10:10">
      <c r="J1493" s="4"/>
    </row>
    <row r="1494" spans="10:10">
      <c r="J1494" s="4"/>
    </row>
    <row r="1495" spans="10:10">
      <c r="J1495" s="4"/>
    </row>
    <row r="1496" spans="10:10">
      <c r="J1496" s="4"/>
    </row>
    <row r="1497" spans="10:10">
      <c r="J1497" s="4"/>
    </row>
    <row r="1498" spans="10:10">
      <c r="J1498" s="4"/>
    </row>
    <row r="1499" spans="10:10">
      <c r="J1499" s="4"/>
    </row>
    <row r="1500" spans="10:10">
      <c r="J1500" s="4"/>
    </row>
    <row r="1501" spans="10:10">
      <c r="J1501" s="4"/>
    </row>
    <row r="1502" spans="10:10">
      <c r="J1502" s="4"/>
    </row>
    <row r="1503" spans="10:10">
      <c r="J1503" s="4"/>
    </row>
    <row r="1504" spans="10:10">
      <c r="J1504" s="4"/>
    </row>
    <row r="1505" spans="10:10">
      <c r="J1505" s="4"/>
    </row>
    <row r="1506" spans="10:10">
      <c r="J1506" s="4"/>
    </row>
    <row r="1507" spans="10:10">
      <c r="J1507" s="4"/>
    </row>
    <row r="1508" spans="10:10">
      <c r="J1508" s="4"/>
    </row>
    <row r="1509" spans="10:10">
      <c r="J1509" s="4"/>
    </row>
    <row r="1510" spans="10:10">
      <c r="J1510" s="4"/>
    </row>
    <row r="1511" spans="10:10">
      <c r="J1511" s="4"/>
    </row>
    <row r="1512" spans="10:10">
      <c r="J1512" s="4"/>
    </row>
    <row r="1513" spans="10:10">
      <c r="J1513" s="4"/>
    </row>
    <row r="1514" spans="10:10">
      <c r="J1514" s="4"/>
    </row>
    <row r="1515" spans="10:10">
      <c r="J1515" s="4"/>
    </row>
    <row r="1516" spans="10:10">
      <c r="J1516" s="4"/>
    </row>
    <row r="1517" spans="10:10">
      <c r="J1517" s="4"/>
    </row>
    <row r="1518" spans="10:10">
      <c r="J1518" s="4"/>
    </row>
    <row r="1519" spans="10:10">
      <c r="J1519" s="4"/>
    </row>
    <row r="1520" spans="10:10">
      <c r="J1520" s="4"/>
    </row>
    <row r="1521" spans="10:10">
      <c r="J1521" s="4"/>
    </row>
    <row r="1522" spans="10:10">
      <c r="J1522" s="4"/>
    </row>
    <row r="1523" spans="10:10">
      <c r="J1523" s="4"/>
    </row>
    <row r="1524" spans="10:10">
      <c r="J1524" s="4"/>
    </row>
    <row r="1525" spans="10:10">
      <c r="J1525" s="4"/>
    </row>
    <row r="1526" spans="10:10">
      <c r="J1526" s="4"/>
    </row>
    <row r="1527" spans="10:10">
      <c r="J1527" s="4"/>
    </row>
    <row r="1528" spans="10:10">
      <c r="J1528" s="4"/>
    </row>
    <row r="1529" spans="10:10">
      <c r="J1529" s="4"/>
    </row>
    <row r="1530" spans="10:10">
      <c r="J1530" s="4"/>
    </row>
    <row r="1531" spans="10:10">
      <c r="J1531" s="4"/>
    </row>
    <row r="1532" spans="10:10">
      <c r="J1532" s="4"/>
    </row>
    <row r="1533" spans="10:10">
      <c r="J1533" s="4"/>
    </row>
    <row r="1534" spans="10:10">
      <c r="J1534" s="4"/>
    </row>
    <row r="1535" spans="10:10">
      <c r="J1535" s="4"/>
    </row>
    <row r="1536" spans="10:10">
      <c r="J1536" s="4"/>
    </row>
    <row r="1537" spans="10:10">
      <c r="J1537" s="4"/>
    </row>
    <row r="1538" spans="10:10">
      <c r="J1538" s="4"/>
    </row>
    <row r="1539" spans="10:10">
      <c r="J1539" s="4"/>
    </row>
    <row r="1540" spans="10:10">
      <c r="J1540" s="4"/>
    </row>
    <row r="1541" spans="10:10">
      <c r="J1541" s="4"/>
    </row>
    <row r="1542" spans="10:10">
      <c r="J1542" s="4"/>
    </row>
    <row r="1543" spans="10:10">
      <c r="J1543" s="4"/>
    </row>
    <row r="1544" spans="10:10">
      <c r="J1544" s="4"/>
    </row>
    <row r="1545" spans="10:10">
      <c r="J1545" s="4"/>
    </row>
    <row r="1546" spans="10:10">
      <c r="J1546" s="4"/>
    </row>
    <row r="1547" spans="10:10">
      <c r="J1547" s="4"/>
    </row>
    <row r="1548" spans="10:10">
      <c r="J1548" s="4"/>
    </row>
    <row r="1549" spans="10:10">
      <c r="J1549" s="4"/>
    </row>
    <row r="1550" spans="10:10">
      <c r="J1550" s="4"/>
    </row>
    <row r="1551" spans="10:10">
      <c r="J1551" s="4"/>
    </row>
    <row r="1552" spans="10:10">
      <c r="J1552" s="4"/>
    </row>
    <row r="1553" spans="10:10">
      <c r="J1553" s="4"/>
    </row>
    <row r="1554" spans="10:10">
      <c r="J1554" s="4"/>
    </row>
    <row r="1555" spans="10:10">
      <c r="J1555" s="4"/>
    </row>
    <row r="1556" spans="10:10">
      <c r="J1556" s="4"/>
    </row>
    <row r="1557" spans="10:10">
      <c r="J1557" s="4"/>
    </row>
    <row r="1558" spans="10:10">
      <c r="J1558" s="4"/>
    </row>
    <row r="1559" spans="10:10">
      <c r="J1559" s="4"/>
    </row>
    <row r="1560" spans="10:10">
      <c r="J1560" s="4"/>
    </row>
    <row r="1561" spans="10:10">
      <c r="J1561" s="4"/>
    </row>
    <row r="1562" spans="10:10">
      <c r="J1562" s="4"/>
    </row>
    <row r="1563" spans="10:10">
      <c r="J1563" s="4"/>
    </row>
    <row r="1564" spans="10:10">
      <c r="J1564" s="4"/>
    </row>
    <row r="1565" spans="10:10">
      <c r="J1565" s="4"/>
    </row>
    <row r="1566" spans="10:10">
      <c r="J1566" s="4"/>
    </row>
    <row r="1567" spans="10:10">
      <c r="J1567" s="4"/>
    </row>
    <row r="1568" spans="10:10">
      <c r="J1568" s="4"/>
    </row>
    <row r="1569" spans="10:10">
      <c r="J1569" s="4"/>
    </row>
    <row r="1570" spans="10:10">
      <c r="J1570" s="4"/>
    </row>
    <row r="1571" spans="10:10">
      <c r="J1571" s="4"/>
    </row>
    <row r="1572" spans="10:10">
      <c r="J1572" s="4"/>
    </row>
    <row r="1573" spans="10:10">
      <c r="J1573" s="4"/>
    </row>
    <row r="1574" spans="10:10">
      <c r="J1574" s="4"/>
    </row>
    <row r="1575" spans="10:10">
      <c r="J1575" s="4"/>
    </row>
    <row r="1576" spans="10:10">
      <c r="J1576" s="4"/>
    </row>
    <row r="1577" spans="10:10">
      <c r="J1577" s="4"/>
    </row>
    <row r="1578" spans="10:10">
      <c r="J1578" s="4"/>
    </row>
    <row r="1579" spans="10:10">
      <c r="J1579" s="4"/>
    </row>
    <row r="1580" spans="10:10">
      <c r="J1580" s="4"/>
    </row>
    <row r="1581" spans="10:10">
      <c r="J1581" s="4"/>
    </row>
    <row r="1582" spans="10:10">
      <c r="J1582" s="4"/>
    </row>
    <row r="1583" spans="10:10">
      <c r="J1583" s="4"/>
    </row>
    <row r="1584" spans="10:10">
      <c r="J1584" s="4"/>
    </row>
    <row r="1585" spans="10:10">
      <c r="J1585" s="4"/>
    </row>
    <row r="1586" spans="10:10">
      <c r="J1586" s="4"/>
    </row>
    <row r="1587" spans="10:10">
      <c r="J1587" s="4"/>
    </row>
    <row r="1588" spans="10:10">
      <c r="J1588" s="4"/>
    </row>
    <row r="1589" spans="10:10">
      <c r="J1589" s="4"/>
    </row>
    <row r="1590" spans="10:10">
      <c r="J1590" s="4"/>
    </row>
    <row r="1591" spans="10:10">
      <c r="J1591" s="4"/>
    </row>
    <row r="1592" spans="10:10">
      <c r="J1592" s="4"/>
    </row>
    <row r="1593" spans="10:10">
      <c r="J1593" s="4"/>
    </row>
    <row r="1594" spans="10:10">
      <c r="J1594" s="4"/>
    </row>
    <row r="1595" spans="10:10">
      <c r="J1595" s="4"/>
    </row>
    <row r="1596" spans="10:10">
      <c r="J1596" s="4"/>
    </row>
    <row r="1597" spans="10:10">
      <c r="J1597" s="4"/>
    </row>
    <row r="1598" spans="10:10">
      <c r="J1598" s="4"/>
    </row>
    <row r="1599" spans="10:10">
      <c r="J1599" s="4"/>
    </row>
    <row r="1600" spans="10:10">
      <c r="J1600" s="4"/>
    </row>
    <row r="1601" spans="10:10">
      <c r="J1601" s="4"/>
    </row>
    <row r="1602" spans="10:10">
      <c r="J1602" s="4"/>
    </row>
    <row r="1603" spans="10:10">
      <c r="J1603" s="4"/>
    </row>
    <row r="1604" spans="10:10">
      <c r="J1604" s="4"/>
    </row>
    <row r="1605" spans="10:10">
      <c r="J1605" s="4"/>
    </row>
    <row r="1606" spans="10:10">
      <c r="J1606" s="4"/>
    </row>
    <row r="1607" spans="10:10">
      <c r="J1607" s="4"/>
    </row>
    <row r="1608" spans="10:10">
      <c r="J1608" s="4"/>
    </row>
    <row r="1609" spans="10:10">
      <c r="J1609" s="4"/>
    </row>
    <row r="1610" spans="10:10">
      <c r="J1610" s="4"/>
    </row>
    <row r="1611" spans="10:10">
      <c r="J1611" s="4"/>
    </row>
    <row r="1612" spans="10:10">
      <c r="J1612" s="4"/>
    </row>
    <row r="1613" spans="10:10">
      <c r="J1613" s="4"/>
    </row>
    <row r="1614" spans="10:10">
      <c r="J1614" s="4"/>
    </row>
    <row r="1615" spans="10:10">
      <c r="J1615" s="4"/>
    </row>
    <row r="1616" spans="10:10">
      <c r="J1616" s="4"/>
    </row>
    <row r="1617" spans="10:10">
      <c r="J1617" s="4"/>
    </row>
    <row r="1618" spans="10:10">
      <c r="J1618" s="4"/>
    </row>
    <row r="1619" spans="10:10">
      <c r="J1619" s="4"/>
    </row>
    <row r="1620" spans="10:10">
      <c r="J1620" s="4"/>
    </row>
    <row r="1621" spans="10:10">
      <c r="J1621" s="4"/>
    </row>
    <row r="1622" spans="10:10">
      <c r="J1622" s="4"/>
    </row>
    <row r="1623" spans="10:10">
      <c r="J1623" s="4"/>
    </row>
    <row r="1624" spans="10:10">
      <c r="J1624" s="4"/>
    </row>
    <row r="1625" spans="10:10">
      <c r="J1625" s="4"/>
    </row>
    <row r="1626" spans="10:10">
      <c r="J1626" s="4"/>
    </row>
    <row r="1627" spans="10:10">
      <c r="J1627" s="4"/>
    </row>
    <row r="1628" spans="10:10">
      <c r="J1628" s="4"/>
    </row>
    <row r="1629" spans="10:10">
      <c r="J1629" s="4"/>
    </row>
    <row r="1630" spans="10:10">
      <c r="J1630" s="4"/>
    </row>
    <row r="1631" spans="10:10">
      <c r="J1631" s="4"/>
    </row>
    <row r="1632" spans="10:10">
      <c r="J1632" s="4"/>
    </row>
    <row r="1633" spans="10:10">
      <c r="J1633" s="4"/>
    </row>
    <row r="1634" spans="10:10">
      <c r="J1634" s="4"/>
    </row>
    <row r="1635" spans="10:10">
      <c r="J1635" s="4"/>
    </row>
    <row r="1636" spans="10:10">
      <c r="J1636" s="4"/>
    </row>
    <row r="1637" spans="10:10">
      <c r="J1637" s="4"/>
    </row>
    <row r="1638" spans="10:10">
      <c r="J1638" s="4"/>
    </row>
    <row r="1639" spans="10:10">
      <c r="J1639" s="4"/>
    </row>
    <row r="1640" spans="10:10">
      <c r="J1640" s="4"/>
    </row>
    <row r="1641" spans="10:10">
      <c r="J1641" s="4"/>
    </row>
    <row r="1642" spans="10:10">
      <c r="J1642" s="4"/>
    </row>
    <row r="1643" spans="10:10">
      <c r="J1643" s="4"/>
    </row>
    <row r="1644" spans="10:10">
      <c r="J1644" s="4"/>
    </row>
    <row r="1645" spans="10:10">
      <c r="J1645" s="4"/>
    </row>
    <row r="1646" spans="10:10">
      <c r="J1646" s="4"/>
    </row>
    <row r="1647" spans="10:10">
      <c r="J1647" s="4"/>
    </row>
    <row r="1648" spans="10:10">
      <c r="J1648" s="4"/>
    </row>
    <row r="1649" spans="10:10">
      <c r="J1649" s="4"/>
    </row>
    <row r="1650" spans="10:10">
      <c r="J1650" s="4"/>
    </row>
    <row r="1651" spans="10:10">
      <c r="J1651" s="4"/>
    </row>
    <row r="1652" spans="10:10">
      <c r="J1652" s="4"/>
    </row>
    <row r="1653" spans="10:10">
      <c r="J1653" s="4"/>
    </row>
    <row r="1654" spans="10:10">
      <c r="J1654" s="4"/>
    </row>
    <row r="1655" spans="10:10">
      <c r="J1655" s="4"/>
    </row>
    <row r="1656" spans="10:10">
      <c r="J1656" s="4"/>
    </row>
    <row r="1657" spans="10:10">
      <c r="J1657" s="4"/>
    </row>
    <row r="1658" spans="10:10">
      <c r="J1658" s="4"/>
    </row>
    <row r="1659" spans="10:10">
      <c r="J1659" s="4"/>
    </row>
    <row r="1660" spans="10:10">
      <c r="J1660" s="4"/>
    </row>
    <row r="1661" spans="10:10">
      <c r="J1661" s="4"/>
    </row>
    <row r="1662" spans="10:10">
      <c r="J1662" s="4"/>
    </row>
    <row r="1663" spans="10:10">
      <c r="J1663" s="4"/>
    </row>
    <row r="1664" spans="10:10">
      <c r="J1664" s="4"/>
    </row>
    <row r="1665" spans="10:10">
      <c r="J1665" s="4"/>
    </row>
    <row r="1666" spans="10:10">
      <c r="J1666" s="4"/>
    </row>
    <row r="1667" spans="10:10">
      <c r="J1667" s="4"/>
    </row>
    <row r="1668" spans="10:10">
      <c r="J1668" s="4"/>
    </row>
    <row r="1669" spans="10:10">
      <c r="J1669" s="4"/>
    </row>
    <row r="1670" spans="10:10">
      <c r="J1670" s="4"/>
    </row>
    <row r="1671" spans="10:10">
      <c r="J1671" s="4"/>
    </row>
    <row r="1672" spans="10:10">
      <c r="J1672" s="4"/>
    </row>
    <row r="1673" spans="10:10">
      <c r="J1673" s="4"/>
    </row>
    <row r="1674" spans="10:10">
      <c r="J1674" s="4"/>
    </row>
    <row r="1675" spans="10:10">
      <c r="J1675" s="4"/>
    </row>
    <row r="1676" spans="10:10">
      <c r="J1676" s="4"/>
    </row>
    <row r="1677" spans="10:10">
      <c r="J1677" s="4"/>
    </row>
    <row r="1678" spans="10:10">
      <c r="J1678" s="4"/>
    </row>
    <row r="1679" spans="10:10">
      <c r="J1679" s="4"/>
    </row>
    <row r="1680" spans="10:10">
      <c r="J1680" s="4"/>
    </row>
    <row r="1681" spans="10:10">
      <c r="J1681" s="4"/>
    </row>
    <row r="1682" spans="10:10">
      <c r="J1682" s="4"/>
    </row>
    <row r="1683" spans="10:10">
      <c r="J1683" s="4"/>
    </row>
    <row r="1684" spans="10:10">
      <c r="J1684" s="4"/>
    </row>
    <row r="1685" spans="10:10">
      <c r="J1685" s="4"/>
    </row>
    <row r="1686" spans="10:10">
      <c r="J1686" s="4"/>
    </row>
    <row r="1687" spans="10:10">
      <c r="J1687" s="4"/>
    </row>
    <row r="1688" spans="10:10">
      <c r="J1688" s="4"/>
    </row>
    <row r="1689" spans="10:10">
      <c r="J1689" s="4"/>
    </row>
    <row r="1690" spans="10:10">
      <c r="J1690" s="4"/>
    </row>
    <row r="1691" spans="10:10">
      <c r="J1691" s="4"/>
    </row>
    <row r="1692" spans="10:10">
      <c r="J1692" s="4"/>
    </row>
    <row r="1693" spans="10:10">
      <c r="J1693" s="4"/>
    </row>
    <row r="1694" spans="10:10">
      <c r="J1694" s="4"/>
    </row>
    <row r="1695" spans="10:10">
      <c r="J1695" s="4"/>
    </row>
    <row r="1696" spans="10:10">
      <c r="J1696" s="4"/>
    </row>
    <row r="1697" spans="10:10">
      <c r="J1697" s="4"/>
    </row>
    <row r="1698" spans="10:10">
      <c r="J1698" s="4"/>
    </row>
    <row r="1699" spans="10:10">
      <c r="J1699" s="4"/>
    </row>
    <row r="1700" spans="10:10">
      <c r="J1700" s="4"/>
    </row>
    <row r="1701" spans="10:10">
      <c r="J1701" s="4"/>
    </row>
    <row r="1702" spans="10:10">
      <c r="J1702" s="4"/>
    </row>
    <row r="1703" spans="10:10">
      <c r="J1703" s="4"/>
    </row>
    <row r="1704" spans="10:10">
      <c r="J1704" s="4"/>
    </row>
    <row r="1705" spans="10:10">
      <c r="J1705" s="4"/>
    </row>
    <row r="1706" spans="10:10">
      <c r="J1706" s="4"/>
    </row>
    <row r="1707" spans="10:10">
      <c r="J1707" s="4"/>
    </row>
    <row r="1708" spans="10:10">
      <c r="J1708" s="4"/>
    </row>
    <row r="1709" spans="10:10">
      <c r="J1709" s="4"/>
    </row>
    <row r="1710" spans="10:10">
      <c r="J1710" s="4"/>
    </row>
    <row r="1711" spans="10:10">
      <c r="J1711" s="4"/>
    </row>
    <row r="1712" spans="10:10">
      <c r="J1712" s="4"/>
    </row>
    <row r="1713" spans="10:10">
      <c r="J1713" s="4"/>
    </row>
    <row r="1714" spans="10:10">
      <c r="J1714" s="4"/>
    </row>
    <row r="1715" spans="10:10">
      <c r="J1715" s="4"/>
    </row>
    <row r="1716" spans="10:10">
      <c r="J1716" s="4"/>
    </row>
    <row r="1717" spans="10:10">
      <c r="J1717" s="4"/>
    </row>
    <row r="1718" spans="10:10">
      <c r="J1718" s="4"/>
    </row>
    <row r="1719" spans="10:10">
      <c r="J1719" s="4"/>
    </row>
    <row r="1720" spans="10:10">
      <c r="J1720" s="4"/>
    </row>
    <row r="1721" spans="10:10">
      <c r="J1721" s="4"/>
    </row>
    <row r="1722" spans="10:10">
      <c r="J1722" s="4"/>
    </row>
    <row r="1723" spans="10:10">
      <c r="J1723" s="4"/>
    </row>
    <row r="1724" spans="10:10">
      <c r="J1724" s="4"/>
    </row>
    <row r="1725" spans="10:10">
      <c r="J1725" s="4"/>
    </row>
    <row r="1726" spans="10:10">
      <c r="J1726" s="4"/>
    </row>
    <row r="1727" spans="10:10">
      <c r="J1727" s="4"/>
    </row>
    <row r="1728" spans="10:10">
      <c r="J1728" s="4"/>
    </row>
    <row r="1729" spans="10:10">
      <c r="J1729" s="4"/>
    </row>
    <row r="1730" spans="10:10">
      <c r="J1730" s="4"/>
    </row>
    <row r="1731" spans="10:10">
      <c r="J1731" s="4"/>
    </row>
    <row r="1732" spans="10:10">
      <c r="J1732" s="4"/>
    </row>
    <row r="1733" spans="10:10">
      <c r="J1733" s="4"/>
    </row>
    <row r="1734" spans="10:10">
      <c r="J1734" s="4"/>
    </row>
    <row r="1735" spans="10:10">
      <c r="J1735" s="4"/>
    </row>
    <row r="1736" spans="10:10">
      <c r="J1736" s="4"/>
    </row>
    <row r="1737" spans="10:10">
      <c r="J1737" s="4"/>
    </row>
    <row r="1738" spans="10:10">
      <c r="J1738" s="4"/>
    </row>
    <row r="1739" spans="10:10">
      <c r="J1739" s="4"/>
    </row>
    <row r="1740" spans="10:10">
      <c r="J1740" s="4"/>
    </row>
    <row r="1741" spans="10:10">
      <c r="J1741" s="4"/>
    </row>
    <row r="1742" spans="10:10">
      <c r="J1742" s="4"/>
    </row>
    <row r="1743" spans="10:10">
      <c r="J1743" s="4"/>
    </row>
    <row r="1744" spans="10:10">
      <c r="J1744" s="4"/>
    </row>
    <row r="1745" spans="10:10">
      <c r="J1745" s="4"/>
    </row>
    <row r="1746" spans="10:10">
      <c r="J1746" s="4"/>
    </row>
    <row r="1747" spans="10:10">
      <c r="J1747" s="4"/>
    </row>
    <row r="1748" spans="10:10">
      <c r="J1748" s="4"/>
    </row>
    <row r="1749" spans="10:10">
      <c r="J1749" s="4"/>
    </row>
    <row r="1750" spans="10:10">
      <c r="J1750" s="4"/>
    </row>
    <row r="1751" spans="10:10">
      <c r="J1751" s="4"/>
    </row>
    <row r="1752" spans="10:10">
      <c r="J1752" s="4"/>
    </row>
    <row r="1753" spans="10:10">
      <c r="J1753" s="4"/>
    </row>
    <row r="1754" spans="10:10">
      <c r="J1754" s="4"/>
    </row>
    <row r="1755" spans="10:10">
      <c r="J1755" s="4"/>
    </row>
    <row r="1756" spans="10:10">
      <c r="J1756" s="4"/>
    </row>
    <row r="1757" spans="10:10">
      <c r="J1757" s="4"/>
    </row>
    <row r="1758" spans="10:10">
      <c r="J1758" s="4"/>
    </row>
    <row r="1759" spans="10:10">
      <c r="J1759" s="4"/>
    </row>
    <row r="1760" spans="10:10">
      <c r="J1760" s="4"/>
    </row>
    <row r="1761" spans="10:10">
      <c r="J1761" s="4"/>
    </row>
    <row r="1762" spans="10:10">
      <c r="J1762" s="4"/>
    </row>
    <row r="1763" spans="10:10">
      <c r="J1763" s="4"/>
    </row>
    <row r="1764" spans="10:10">
      <c r="J1764" s="4"/>
    </row>
    <row r="1765" spans="10:10">
      <c r="J1765" s="4"/>
    </row>
    <row r="1766" spans="10:10">
      <c r="J1766" s="4"/>
    </row>
    <row r="1767" spans="10:10">
      <c r="J1767" s="4"/>
    </row>
    <row r="1768" spans="10:10">
      <c r="J1768" s="4"/>
    </row>
    <row r="1769" spans="10:10">
      <c r="J1769" s="4"/>
    </row>
    <row r="1770" spans="10:10">
      <c r="J1770" s="4"/>
    </row>
    <row r="1771" spans="10:10">
      <c r="J1771" s="4"/>
    </row>
    <row r="1772" spans="10:10">
      <c r="J1772" s="4"/>
    </row>
    <row r="1773" spans="10:10">
      <c r="J1773" s="4"/>
    </row>
    <row r="1774" spans="10:10">
      <c r="J1774" s="4"/>
    </row>
    <row r="1775" spans="10:10">
      <c r="J1775" s="4"/>
    </row>
    <row r="1776" spans="10:10">
      <c r="J1776" s="4"/>
    </row>
    <row r="1777" spans="10:10">
      <c r="J1777" s="4"/>
    </row>
    <row r="1778" spans="10:10">
      <c r="J1778" s="4"/>
    </row>
    <row r="1779" spans="10:10">
      <c r="J1779" s="4"/>
    </row>
    <row r="1780" spans="10:10">
      <c r="J1780" s="4"/>
    </row>
    <row r="1781" spans="10:10">
      <c r="J1781" s="4"/>
    </row>
    <row r="1782" spans="10:10">
      <c r="J1782" s="4"/>
    </row>
    <row r="1783" spans="10:10">
      <c r="J1783" s="4"/>
    </row>
    <row r="1784" spans="10:10">
      <c r="J1784" s="4"/>
    </row>
    <row r="1785" spans="10:10">
      <c r="J1785" s="4"/>
    </row>
    <row r="1786" spans="10:10">
      <c r="J1786" s="4"/>
    </row>
    <row r="1787" spans="10:10">
      <c r="J1787" s="4"/>
    </row>
    <row r="1788" spans="10:10">
      <c r="J1788" s="4"/>
    </row>
    <row r="1789" spans="10:10">
      <c r="J1789" s="4"/>
    </row>
    <row r="1790" spans="10:10">
      <c r="J1790" s="4"/>
    </row>
    <row r="1791" spans="10:10">
      <c r="J1791" s="4"/>
    </row>
    <row r="1792" spans="10:10">
      <c r="J1792" s="4"/>
    </row>
    <row r="1793" spans="10:10">
      <c r="J1793" s="4"/>
    </row>
    <row r="1794" spans="10:10">
      <c r="J1794" s="4"/>
    </row>
    <row r="1795" spans="10:10">
      <c r="J1795" s="4"/>
    </row>
    <row r="1796" spans="10:10">
      <c r="J1796" s="4"/>
    </row>
    <row r="1797" spans="10:10">
      <c r="J1797" s="4"/>
    </row>
    <row r="1798" spans="10:10">
      <c r="J1798" s="4"/>
    </row>
    <row r="1799" spans="10:10">
      <c r="J1799" s="4"/>
    </row>
    <row r="1800" spans="10:10">
      <c r="J1800" s="4"/>
    </row>
    <row r="1801" spans="10:10">
      <c r="J1801" s="4"/>
    </row>
    <row r="1802" spans="10:10">
      <c r="J1802" s="4"/>
    </row>
    <row r="1803" spans="10:10">
      <c r="J1803" s="4"/>
    </row>
    <row r="1804" spans="10:10">
      <c r="J1804" s="4"/>
    </row>
    <row r="1805" spans="10:10">
      <c r="J1805" s="4"/>
    </row>
    <row r="1806" spans="10:10">
      <c r="J1806" s="4"/>
    </row>
    <row r="1807" spans="10:10">
      <c r="J1807" s="4"/>
    </row>
    <row r="1808" spans="10:10">
      <c r="J1808" s="4"/>
    </row>
    <row r="1809" spans="10:10">
      <c r="J1809" s="4"/>
    </row>
    <row r="1810" spans="10:10">
      <c r="J1810" s="4"/>
    </row>
    <row r="1811" spans="10:10">
      <c r="J1811" s="4"/>
    </row>
    <row r="1812" spans="10:10">
      <c r="J1812" s="4"/>
    </row>
    <row r="1813" spans="10:10">
      <c r="J1813" s="4"/>
    </row>
    <row r="1814" spans="10:10">
      <c r="J1814" s="4"/>
    </row>
    <row r="1815" spans="10:10">
      <c r="J1815" s="4"/>
    </row>
    <row r="1816" spans="10:10">
      <c r="J1816" s="4"/>
    </row>
    <row r="1817" spans="10:10">
      <c r="J1817" s="4"/>
    </row>
    <row r="1818" spans="10:10">
      <c r="J1818" s="4"/>
    </row>
    <row r="1819" spans="10:10">
      <c r="J1819" s="4"/>
    </row>
    <row r="1820" spans="10:10">
      <c r="J1820" s="4"/>
    </row>
    <row r="1821" spans="10:10">
      <c r="J1821" s="4"/>
    </row>
    <row r="1822" spans="10:10">
      <c r="J1822" s="4"/>
    </row>
    <row r="1823" spans="10:10">
      <c r="J1823" s="4"/>
    </row>
    <row r="1824" spans="10:10">
      <c r="J1824" s="4"/>
    </row>
    <row r="1825" spans="10:10">
      <c r="J1825" s="4"/>
    </row>
    <row r="1826" spans="10:10">
      <c r="J1826" s="4"/>
    </row>
    <row r="1827" spans="10:10">
      <c r="J1827" s="4"/>
    </row>
    <row r="1828" spans="10:10">
      <c r="J1828" s="4"/>
    </row>
    <row r="1829" spans="10:10">
      <c r="J1829" s="4"/>
    </row>
    <row r="1830" spans="10:10">
      <c r="J1830" s="4"/>
    </row>
    <row r="1831" spans="10:10">
      <c r="J1831" s="4"/>
    </row>
    <row r="1832" spans="10:10">
      <c r="J1832" s="4"/>
    </row>
    <row r="1833" spans="10:10">
      <c r="J1833" s="4"/>
    </row>
    <row r="1834" spans="10:10">
      <c r="J1834" s="4"/>
    </row>
    <row r="1835" spans="10:10">
      <c r="J1835" s="4"/>
    </row>
    <row r="1836" spans="10:10">
      <c r="J1836" s="4"/>
    </row>
    <row r="1837" spans="10:10">
      <c r="J1837" s="4"/>
    </row>
    <row r="1838" spans="10:10">
      <c r="J1838" s="4"/>
    </row>
    <row r="1839" spans="10:10">
      <c r="J1839" s="4"/>
    </row>
    <row r="1840" spans="10:10">
      <c r="J1840" s="4"/>
    </row>
    <row r="1841" spans="10:10">
      <c r="J1841" s="4"/>
    </row>
    <row r="1842" spans="10:10">
      <c r="J1842" s="4"/>
    </row>
    <row r="1843" spans="10:10">
      <c r="J1843" s="4"/>
    </row>
    <row r="1844" spans="10:10">
      <c r="J1844" s="4"/>
    </row>
    <row r="1845" spans="10:10">
      <c r="J1845" s="4"/>
    </row>
    <row r="1846" spans="10:10">
      <c r="J1846" s="4"/>
    </row>
    <row r="1847" spans="10:10">
      <c r="J1847" s="4"/>
    </row>
    <row r="1848" spans="10:10">
      <c r="J1848" s="4"/>
    </row>
    <row r="1849" spans="10:10">
      <c r="J1849" s="4"/>
    </row>
    <row r="1850" spans="10:10">
      <c r="J1850" s="4"/>
    </row>
    <row r="1851" spans="10:10">
      <c r="J1851" s="4"/>
    </row>
    <row r="1852" spans="10:10">
      <c r="J1852" s="4"/>
    </row>
    <row r="1853" spans="10:10">
      <c r="J1853" s="4"/>
    </row>
    <row r="1854" spans="10:10">
      <c r="J1854" s="4"/>
    </row>
    <row r="1855" spans="10:10">
      <c r="J1855" s="4"/>
    </row>
    <row r="1856" spans="10:10">
      <c r="J1856" s="4"/>
    </row>
    <row r="1857" spans="10:10">
      <c r="J1857" s="4"/>
    </row>
    <row r="1858" spans="10:10">
      <c r="J1858" s="4"/>
    </row>
    <row r="1859" spans="10:10">
      <c r="J1859" s="4"/>
    </row>
    <row r="1860" spans="10:10">
      <c r="J1860" s="4"/>
    </row>
    <row r="1861" spans="10:10">
      <c r="J1861" s="4"/>
    </row>
    <row r="1862" spans="10:10">
      <c r="J1862" s="4"/>
    </row>
    <row r="1863" spans="10:10">
      <c r="J1863" s="4"/>
    </row>
    <row r="1864" spans="10:10">
      <c r="J1864" s="4"/>
    </row>
    <row r="1865" spans="10:10">
      <c r="J1865" s="4"/>
    </row>
    <row r="1866" spans="10:10">
      <c r="J1866" s="4"/>
    </row>
    <row r="1867" spans="10:10">
      <c r="J1867" s="4"/>
    </row>
    <row r="1868" spans="10:10">
      <c r="J1868" s="4"/>
    </row>
    <row r="1869" spans="10:10">
      <c r="J1869" s="4"/>
    </row>
    <row r="1870" spans="10:10">
      <c r="J1870" s="4"/>
    </row>
    <row r="1871" spans="10:10">
      <c r="J1871" s="4"/>
    </row>
    <row r="1872" spans="10:10">
      <c r="J1872" s="4"/>
    </row>
    <row r="1873" spans="10:10">
      <c r="J1873" s="4"/>
    </row>
    <row r="1874" spans="10:10">
      <c r="J1874" s="4"/>
    </row>
    <row r="1875" spans="10:10">
      <c r="J1875" s="4"/>
    </row>
    <row r="1876" spans="10:10">
      <c r="J1876" s="4"/>
    </row>
    <row r="1877" spans="10:10">
      <c r="J1877" s="4"/>
    </row>
    <row r="1878" spans="10:10">
      <c r="J1878" s="4"/>
    </row>
    <row r="1879" spans="10:10">
      <c r="J1879" s="4"/>
    </row>
    <row r="1880" spans="10:10">
      <c r="J1880" s="4"/>
    </row>
    <row r="1881" spans="10:10">
      <c r="J1881" s="4"/>
    </row>
    <row r="1882" spans="10:10">
      <c r="J1882" s="4"/>
    </row>
    <row r="1883" spans="10:10">
      <c r="J1883" s="4"/>
    </row>
    <row r="1884" spans="10:10">
      <c r="J1884" s="4"/>
    </row>
    <row r="1885" spans="10:10">
      <c r="J1885" s="4"/>
    </row>
    <row r="1886" spans="10:10">
      <c r="J1886" s="4"/>
    </row>
    <row r="1887" spans="10:10">
      <c r="J1887" s="4"/>
    </row>
    <row r="1888" spans="10:10">
      <c r="J1888" s="4"/>
    </row>
    <row r="1889" spans="10:10">
      <c r="J1889" s="4"/>
    </row>
    <row r="1890" spans="10:10">
      <c r="J1890" s="4"/>
    </row>
    <row r="1891" spans="10:10">
      <c r="J1891" s="4"/>
    </row>
    <row r="1892" spans="10:10">
      <c r="J1892" s="4"/>
    </row>
    <row r="1893" spans="10:10">
      <c r="J1893" s="4"/>
    </row>
    <row r="1894" spans="10:10">
      <c r="J1894" s="4"/>
    </row>
    <row r="1895" spans="10:10">
      <c r="J1895" s="4"/>
    </row>
    <row r="1896" spans="10:10">
      <c r="J1896" s="4"/>
    </row>
    <row r="1897" spans="10:10">
      <c r="J1897" s="4"/>
    </row>
    <row r="1898" spans="10:10">
      <c r="J1898" s="4"/>
    </row>
    <row r="1899" spans="10:10">
      <c r="J1899" s="4"/>
    </row>
    <row r="1900" spans="10:10">
      <c r="J1900" s="4"/>
    </row>
    <row r="1901" spans="10:10">
      <c r="J1901" s="4"/>
    </row>
    <row r="1902" spans="10:10">
      <c r="J1902" s="4"/>
    </row>
    <row r="1903" spans="10:10">
      <c r="J1903" s="4"/>
    </row>
    <row r="1904" spans="10:10">
      <c r="J1904" s="4"/>
    </row>
    <row r="1905" spans="10:10">
      <c r="J1905" s="4"/>
    </row>
    <row r="1906" spans="10:10">
      <c r="J1906" s="4"/>
    </row>
    <row r="1907" spans="10:10">
      <c r="J1907" s="4"/>
    </row>
    <row r="1908" spans="10:10">
      <c r="J1908" s="4"/>
    </row>
    <row r="1909" spans="10:10">
      <c r="J1909" s="4"/>
    </row>
    <row r="1910" spans="10:10">
      <c r="J1910" s="4"/>
    </row>
    <row r="1911" spans="10:10">
      <c r="J1911" s="4"/>
    </row>
    <row r="1912" spans="10:10">
      <c r="J1912" s="4"/>
    </row>
    <row r="1913" spans="10:10">
      <c r="J1913" s="4"/>
    </row>
    <row r="1914" spans="10:10">
      <c r="J1914" s="4"/>
    </row>
    <row r="1915" spans="10:10">
      <c r="J1915" s="4"/>
    </row>
    <row r="1916" spans="10:10">
      <c r="J1916" s="4"/>
    </row>
    <row r="1917" spans="10:10">
      <c r="J1917" s="4"/>
    </row>
    <row r="1918" spans="10:10">
      <c r="J1918" s="4"/>
    </row>
    <row r="1919" spans="10:10">
      <c r="J1919" s="4"/>
    </row>
    <row r="1920" spans="10:10">
      <c r="J1920" s="4"/>
    </row>
    <row r="1921" spans="10:10">
      <c r="J1921" s="4"/>
    </row>
    <row r="1922" spans="10:10">
      <c r="J1922" s="4"/>
    </row>
    <row r="1923" spans="10:10">
      <c r="J1923" s="4"/>
    </row>
    <row r="1924" spans="10:10">
      <c r="J1924" s="4"/>
    </row>
    <row r="1925" spans="10:10">
      <c r="J1925" s="4"/>
    </row>
    <row r="1926" spans="10:10">
      <c r="J1926" s="4"/>
    </row>
    <row r="1927" spans="10:10">
      <c r="J1927" s="4"/>
    </row>
    <row r="1928" spans="10:10">
      <c r="J1928" s="4"/>
    </row>
    <row r="1929" spans="10:10">
      <c r="J1929" s="4"/>
    </row>
    <row r="1930" spans="10:10">
      <c r="J1930" s="4"/>
    </row>
    <row r="1931" spans="10:10">
      <c r="J1931" s="4"/>
    </row>
    <row r="1932" spans="10:10">
      <c r="J1932" s="4"/>
    </row>
    <row r="1933" spans="10:10">
      <c r="J1933" s="4"/>
    </row>
    <row r="1934" spans="10:10">
      <c r="J1934" s="4"/>
    </row>
    <row r="1935" spans="10:10">
      <c r="J1935" s="4"/>
    </row>
    <row r="1936" spans="10:10">
      <c r="J1936" s="4"/>
    </row>
    <row r="1937" spans="10:10">
      <c r="J1937" s="4"/>
    </row>
    <row r="1938" spans="10:10">
      <c r="J1938" s="4"/>
    </row>
    <row r="1939" spans="10:10">
      <c r="J1939" s="4"/>
    </row>
    <row r="1940" spans="10:10">
      <c r="J1940" s="4"/>
    </row>
    <row r="1941" spans="10:10">
      <c r="J1941" s="4"/>
    </row>
    <row r="1942" spans="10:10">
      <c r="J1942" s="4"/>
    </row>
    <row r="1943" spans="10:10">
      <c r="J1943" s="4"/>
    </row>
    <row r="1944" spans="10:10">
      <c r="J1944" s="4"/>
    </row>
    <row r="1945" spans="10:10">
      <c r="J1945" s="4"/>
    </row>
    <row r="1946" spans="10:10">
      <c r="J1946" s="4"/>
    </row>
    <row r="1947" spans="10:10">
      <c r="J1947" s="4"/>
    </row>
    <row r="1948" spans="10:10">
      <c r="J1948" s="4"/>
    </row>
    <row r="1949" spans="10:10">
      <c r="J1949" s="4"/>
    </row>
    <row r="1950" spans="10:10">
      <c r="J1950" s="4"/>
    </row>
    <row r="1951" spans="10:10">
      <c r="J1951" s="4"/>
    </row>
    <row r="1952" spans="10:10">
      <c r="J1952" s="4"/>
    </row>
    <row r="1953" spans="10:10">
      <c r="J1953" s="4"/>
    </row>
    <row r="1954" spans="10:10">
      <c r="J1954" s="4"/>
    </row>
    <row r="1955" spans="10:10">
      <c r="J1955" s="4"/>
    </row>
    <row r="1956" spans="10:10">
      <c r="J1956" s="4"/>
    </row>
    <row r="1957" spans="10:10">
      <c r="J1957" s="4"/>
    </row>
    <row r="1958" spans="10:10">
      <c r="J1958" s="4"/>
    </row>
    <row r="1959" spans="10:10">
      <c r="J1959" s="4"/>
    </row>
    <row r="1960" spans="10:10">
      <c r="J1960" s="4"/>
    </row>
    <row r="1961" spans="10:10">
      <c r="J1961" s="4"/>
    </row>
    <row r="1962" spans="10:10">
      <c r="J1962" s="4"/>
    </row>
    <row r="1963" spans="10:10">
      <c r="J1963" s="4"/>
    </row>
    <row r="1964" spans="10:10">
      <c r="J1964" s="4"/>
    </row>
    <row r="1965" spans="10:10">
      <c r="J1965" s="4"/>
    </row>
    <row r="1966" spans="10:10">
      <c r="J1966" s="4"/>
    </row>
    <row r="1967" spans="10:10">
      <c r="J1967" s="4"/>
    </row>
    <row r="1968" spans="10:10">
      <c r="J1968" s="4"/>
    </row>
    <row r="1969" spans="10:10">
      <c r="J1969" s="4"/>
    </row>
    <row r="1970" spans="10:10">
      <c r="J1970" s="4"/>
    </row>
    <row r="1971" spans="10:10">
      <c r="J1971" s="4"/>
    </row>
    <row r="1972" spans="10:10">
      <c r="J1972" s="4"/>
    </row>
    <row r="1973" spans="10:10">
      <c r="J1973" s="4"/>
    </row>
    <row r="1974" spans="10:10">
      <c r="J1974" s="4"/>
    </row>
    <row r="1975" spans="10:10">
      <c r="J1975" s="4"/>
    </row>
    <row r="1976" spans="10:10">
      <c r="J1976" s="4"/>
    </row>
    <row r="1977" spans="10:10">
      <c r="J1977" s="4"/>
    </row>
    <row r="1978" spans="10:10">
      <c r="J1978" s="4"/>
    </row>
    <row r="1979" spans="10:10">
      <c r="J1979" s="4"/>
    </row>
    <row r="1980" spans="10:10">
      <c r="J1980" s="4"/>
    </row>
    <row r="1981" spans="10:10">
      <c r="J1981" s="4"/>
    </row>
    <row r="1982" spans="10:10">
      <c r="J1982" s="4"/>
    </row>
    <row r="1983" spans="10:10">
      <c r="J1983" s="4"/>
    </row>
    <row r="1984" spans="10:10">
      <c r="J1984" s="4"/>
    </row>
    <row r="1985" spans="10:10">
      <c r="J1985" s="4"/>
    </row>
    <row r="1986" spans="10:10">
      <c r="J1986" s="4"/>
    </row>
    <row r="1987" spans="10:10">
      <c r="J1987" s="4"/>
    </row>
    <row r="1988" spans="10:10">
      <c r="J1988" s="4"/>
    </row>
    <row r="1989" spans="10:10">
      <c r="J1989" s="4"/>
    </row>
    <row r="1990" spans="10:10">
      <c r="J1990" s="4"/>
    </row>
    <row r="1991" spans="10:10">
      <c r="J1991" s="4"/>
    </row>
    <row r="1992" spans="10:10">
      <c r="J1992" s="4"/>
    </row>
    <row r="1993" spans="10:10">
      <c r="J1993" s="4"/>
    </row>
    <row r="1994" spans="10:10">
      <c r="J1994" s="4"/>
    </row>
    <row r="1995" spans="10:10">
      <c r="J1995" s="4"/>
    </row>
    <row r="1996" spans="10:10">
      <c r="J1996" s="4"/>
    </row>
    <row r="1997" spans="10:10">
      <c r="J1997" s="4"/>
    </row>
    <row r="1998" spans="10:10">
      <c r="J1998" s="4"/>
    </row>
    <row r="1999" spans="10:10">
      <c r="J1999" s="4"/>
    </row>
    <row r="2000" spans="10:10">
      <c r="J2000" s="4"/>
    </row>
    <row r="2001" spans="10:10">
      <c r="J2001" s="4"/>
    </row>
    <row r="2002" spans="10:10">
      <c r="J2002" s="4"/>
    </row>
    <row r="2003" spans="10:10">
      <c r="J2003" s="4"/>
    </row>
    <row r="2004" spans="10:10">
      <c r="J2004" s="4"/>
    </row>
    <row r="2005" spans="10:10">
      <c r="J2005" s="4"/>
    </row>
    <row r="2006" spans="10:10">
      <c r="J2006" s="4"/>
    </row>
    <row r="2007" spans="10:10">
      <c r="J2007" s="4"/>
    </row>
    <row r="2008" spans="10:10">
      <c r="J2008" s="4"/>
    </row>
    <row r="2009" spans="10:10">
      <c r="J2009" s="4"/>
    </row>
    <row r="2010" spans="10:10">
      <c r="J2010" s="4"/>
    </row>
    <row r="2011" spans="10:10">
      <c r="J2011" s="4"/>
    </row>
    <row r="2012" spans="10:10">
      <c r="J2012" s="4"/>
    </row>
    <row r="2013" spans="10:10">
      <c r="J2013" s="4"/>
    </row>
    <row r="2014" spans="10:10">
      <c r="J2014" s="4"/>
    </row>
    <row r="2015" spans="10:10">
      <c r="J2015" s="4"/>
    </row>
    <row r="2016" spans="10:10">
      <c r="J2016" s="4"/>
    </row>
    <row r="2017" spans="10:10">
      <c r="J2017" s="4"/>
    </row>
    <row r="2018" spans="10:10">
      <c r="J2018" s="4"/>
    </row>
    <row r="2019" spans="10:10">
      <c r="J2019" s="4"/>
    </row>
    <row r="2020" spans="10:10">
      <c r="J2020" s="4"/>
    </row>
    <row r="2021" spans="10:10">
      <c r="J2021" s="4"/>
    </row>
    <row r="2022" spans="10:10">
      <c r="J2022" s="4"/>
    </row>
    <row r="2023" spans="10:10">
      <c r="J2023" s="4"/>
    </row>
    <row r="2024" spans="10:10">
      <c r="J2024" s="4"/>
    </row>
    <row r="2025" spans="10:10">
      <c r="J2025" s="4"/>
    </row>
    <row r="2026" spans="10:10">
      <c r="J2026" s="4"/>
    </row>
    <row r="2027" spans="10:10">
      <c r="J2027" s="4"/>
    </row>
    <row r="2028" spans="10:10">
      <c r="J2028" s="4"/>
    </row>
    <row r="2029" spans="10:10">
      <c r="J2029" s="4"/>
    </row>
    <row r="2030" spans="10:10">
      <c r="J2030" s="4"/>
    </row>
    <row r="2031" spans="10:10">
      <c r="J2031" s="4"/>
    </row>
    <row r="2032" spans="10:10">
      <c r="J2032" s="4"/>
    </row>
    <row r="2033" spans="10:10">
      <c r="J2033" s="4"/>
    </row>
    <row r="2034" spans="10:10">
      <c r="J2034" s="4"/>
    </row>
    <row r="2035" spans="10:10">
      <c r="J2035" s="4"/>
    </row>
    <row r="2036" spans="10:10">
      <c r="J2036" s="4"/>
    </row>
    <row r="2037" spans="10:10">
      <c r="J2037" s="4"/>
    </row>
    <row r="2038" spans="10:10">
      <c r="J2038" s="4"/>
    </row>
    <row r="2039" spans="10:10">
      <c r="J2039" s="4"/>
    </row>
    <row r="2040" spans="10:10">
      <c r="J2040" s="4"/>
    </row>
    <row r="2041" spans="10:10">
      <c r="J2041" s="4"/>
    </row>
    <row r="2042" spans="10:10">
      <c r="J2042" s="4"/>
    </row>
    <row r="2043" spans="10:10">
      <c r="J2043" s="4"/>
    </row>
    <row r="2044" spans="10:10">
      <c r="J2044" s="4"/>
    </row>
    <row r="2045" spans="10:10">
      <c r="J2045" s="4"/>
    </row>
    <row r="2046" spans="10:10">
      <c r="J2046" s="4"/>
    </row>
    <row r="2047" spans="10:10">
      <c r="J2047" s="4"/>
    </row>
    <row r="2048" spans="10:10">
      <c r="J2048" s="4"/>
    </row>
    <row r="2049" spans="10:10">
      <c r="J2049" s="4"/>
    </row>
    <row r="2050" spans="10:10">
      <c r="J2050" s="4"/>
    </row>
    <row r="2051" spans="10:10">
      <c r="J2051" s="4"/>
    </row>
    <row r="2052" spans="10:10">
      <c r="J2052" s="4"/>
    </row>
    <row r="2053" spans="10:10">
      <c r="J2053" s="4"/>
    </row>
    <row r="2054" spans="10:10">
      <c r="J2054" s="4"/>
    </row>
    <row r="2055" spans="10:10">
      <c r="J2055" s="4"/>
    </row>
    <row r="2056" spans="10:10">
      <c r="J2056" s="4"/>
    </row>
    <row r="2057" spans="10:10">
      <c r="J2057" s="4"/>
    </row>
    <row r="2058" spans="10:10">
      <c r="J2058" s="4"/>
    </row>
    <row r="2059" spans="10:10">
      <c r="J2059" s="4"/>
    </row>
    <row r="2060" spans="10:10">
      <c r="J2060" s="4"/>
    </row>
    <row r="2061" spans="10:10">
      <c r="J2061" s="4"/>
    </row>
    <row r="2062" spans="10:10">
      <c r="J2062" s="4"/>
    </row>
    <row r="2063" spans="10:10">
      <c r="J2063" s="4"/>
    </row>
    <row r="2064" spans="10:10">
      <c r="J2064" s="4"/>
    </row>
    <row r="2065" spans="10:10">
      <c r="J2065" s="4"/>
    </row>
    <row r="2066" spans="10:10">
      <c r="J2066" s="4"/>
    </row>
    <row r="2067" spans="10:10">
      <c r="J2067" s="4"/>
    </row>
    <row r="2068" spans="10:10">
      <c r="J2068" s="4"/>
    </row>
    <row r="2069" spans="10:10">
      <c r="J2069" s="4"/>
    </row>
    <row r="2070" spans="10:10">
      <c r="J2070" s="4"/>
    </row>
    <row r="2071" spans="10:10">
      <c r="J2071" s="4"/>
    </row>
    <row r="2072" spans="10:10">
      <c r="J2072" s="4"/>
    </row>
    <row r="2073" spans="10:10">
      <c r="J2073" s="4"/>
    </row>
    <row r="2074" spans="10:10">
      <c r="J2074" s="4"/>
    </row>
    <row r="2075" spans="10:10">
      <c r="J2075" s="4"/>
    </row>
    <row r="2076" spans="10:10">
      <c r="J2076" s="4"/>
    </row>
    <row r="2077" spans="10:10">
      <c r="J2077" s="4"/>
    </row>
    <row r="2078" spans="10:10">
      <c r="J2078" s="4"/>
    </row>
    <row r="2079" spans="10:10">
      <c r="J2079" s="4"/>
    </row>
    <row r="2080" spans="10:10">
      <c r="J2080" s="4"/>
    </row>
    <row r="2081" spans="10:10">
      <c r="J2081" s="4"/>
    </row>
    <row r="2082" spans="10:10">
      <c r="J2082" s="4"/>
    </row>
    <row r="2083" spans="10:10">
      <c r="J2083" s="4"/>
    </row>
    <row r="2084" spans="10:10">
      <c r="J2084" s="4"/>
    </row>
    <row r="2085" spans="10:10">
      <c r="J2085" s="4"/>
    </row>
    <row r="2086" spans="10:10">
      <c r="J2086" s="4"/>
    </row>
    <row r="2087" spans="10:10">
      <c r="J2087" s="4"/>
    </row>
    <row r="2088" spans="10:10">
      <c r="J2088" s="4"/>
    </row>
    <row r="2089" spans="10:10">
      <c r="J2089" s="4"/>
    </row>
    <row r="2090" spans="10:10">
      <c r="J2090" s="4"/>
    </row>
    <row r="2091" spans="10:10">
      <c r="J2091" s="4"/>
    </row>
    <row r="2092" spans="10:10">
      <c r="J2092" s="4"/>
    </row>
    <row r="2093" spans="10:10">
      <c r="J2093" s="4"/>
    </row>
    <row r="2094" spans="10:10">
      <c r="J2094" s="4"/>
    </row>
    <row r="2095" spans="10:10">
      <c r="J2095" s="4"/>
    </row>
    <row r="2096" spans="10:10">
      <c r="J2096" s="4"/>
    </row>
    <row r="2097" spans="10:10">
      <c r="J2097" s="4"/>
    </row>
    <row r="2098" spans="10:10">
      <c r="J2098" s="4"/>
    </row>
    <row r="2099" spans="10:10">
      <c r="J2099" s="4"/>
    </row>
    <row r="2100" spans="10:10">
      <c r="J2100" s="4"/>
    </row>
    <row r="2101" spans="10:10">
      <c r="J2101" s="4"/>
    </row>
    <row r="2102" spans="10:10">
      <c r="J2102" s="4"/>
    </row>
    <row r="2103" spans="10:10">
      <c r="J2103" s="4"/>
    </row>
    <row r="2104" spans="10:10">
      <c r="J2104" s="4"/>
    </row>
    <row r="2105" spans="10:10">
      <c r="J2105" s="4"/>
    </row>
    <row r="2106" spans="10:10">
      <c r="J2106" s="4"/>
    </row>
    <row r="2107" spans="10:10">
      <c r="J2107" s="4"/>
    </row>
    <row r="2108" spans="10:10">
      <c r="J2108" s="4"/>
    </row>
    <row r="2109" spans="10:10">
      <c r="J2109" s="4"/>
    </row>
    <row r="2110" spans="10:10">
      <c r="J2110" s="4"/>
    </row>
    <row r="2111" spans="10:10">
      <c r="J2111" s="4"/>
    </row>
    <row r="2112" spans="10:10">
      <c r="J2112" s="4"/>
    </row>
    <row r="2113" spans="10:10">
      <c r="J2113" s="4"/>
    </row>
    <row r="2114" spans="10:10">
      <c r="J2114" s="4"/>
    </row>
    <row r="2115" spans="10:10">
      <c r="J2115" s="4"/>
    </row>
    <row r="2116" spans="10:10">
      <c r="J2116" s="4"/>
    </row>
    <row r="2117" spans="10:10">
      <c r="J2117" s="4"/>
    </row>
    <row r="2118" spans="10:10">
      <c r="J2118" s="4"/>
    </row>
    <row r="2119" spans="10:10">
      <c r="J2119" s="4"/>
    </row>
    <row r="2120" spans="10:10">
      <c r="J2120" s="4"/>
    </row>
    <row r="2121" spans="10:10">
      <c r="J2121" s="4"/>
    </row>
    <row r="2122" spans="10:10">
      <c r="J2122" s="4"/>
    </row>
    <row r="2123" spans="10:10">
      <c r="J2123" s="4"/>
    </row>
    <row r="2124" spans="10:10">
      <c r="J2124" s="4"/>
    </row>
    <row r="2125" spans="10:10">
      <c r="J2125" s="4"/>
    </row>
    <row r="2126" spans="10:10">
      <c r="J2126" s="4"/>
    </row>
    <row r="2127" spans="10:10">
      <c r="J2127" s="4"/>
    </row>
    <row r="2128" spans="10:10">
      <c r="J2128" s="4"/>
    </row>
    <row r="2129" spans="10:10">
      <c r="J2129" s="4"/>
    </row>
    <row r="2130" spans="10:10">
      <c r="J2130" s="4"/>
    </row>
    <row r="2131" spans="10:10">
      <c r="J2131" s="4"/>
    </row>
    <row r="2132" spans="10:10">
      <c r="J2132" s="4"/>
    </row>
    <row r="2133" spans="10:10">
      <c r="J2133" s="4"/>
    </row>
    <row r="2134" spans="10:10">
      <c r="J2134" s="4"/>
    </row>
    <row r="2135" spans="10:10">
      <c r="J2135" s="4"/>
    </row>
    <row r="2136" spans="10:10">
      <c r="J2136" s="4"/>
    </row>
    <row r="2137" spans="10:10">
      <c r="J2137" s="4"/>
    </row>
    <row r="2138" spans="10:10">
      <c r="J2138" s="4"/>
    </row>
    <row r="2139" spans="10:10">
      <c r="J2139" s="4"/>
    </row>
    <row r="2140" spans="10:10">
      <c r="J2140" s="4"/>
    </row>
    <row r="2141" spans="10:10">
      <c r="J2141" s="4"/>
    </row>
    <row r="2142" spans="10:10">
      <c r="J2142" s="4"/>
    </row>
    <row r="2143" spans="10:10">
      <c r="J2143" s="4"/>
    </row>
    <row r="2144" spans="10:10">
      <c r="J2144" s="4"/>
    </row>
    <row r="2145" spans="10:10">
      <c r="J2145" s="4"/>
    </row>
    <row r="2146" spans="10:10">
      <c r="J2146" s="4"/>
    </row>
    <row r="2147" spans="10:10">
      <c r="J2147" s="4"/>
    </row>
    <row r="2148" spans="10:10">
      <c r="J2148" s="4"/>
    </row>
    <row r="2149" spans="10:10">
      <c r="J2149" s="4"/>
    </row>
    <row r="2150" spans="10:10">
      <c r="J2150" s="4"/>
    </row>
    <row r="2151" spans="10:10">
      <c r="J2151" s="4"/>
    </row>
    <row r="2152" spans="10:10">
      <c r="J2152" s="4"/>
    </row>
    <row r="2153" spans="10:10">
      <c r="J2153" s="4"/>
    </row>
    <row r="2154" spans="10:10">
      <c r="J2154" s="4"/>
    </row>
    <row r="2155" spans="10:10">
      <c r="J2155" s="4"/>
    </row>
    <row r="2156" spans="10:10">
      <c r="J2156" s="4"/>
    </row>
    <row r="2157" spans="10:10">
      <c r="J2157" s="4"/>
    </row>
    <row r="2158" spans="10:10">
      <c r="J2158" s="4"/>
    </row>
    <row r="2159" spans="10:10">
      <c r="J2159" s="4"/>
    </row>
    <row r="2160" spans="10:10">
      <c r="J2160" s="4"/>
    </row>
    <row r="2161" spans="10:10">
      <c r="J2161" s="4"/>
    </row>
    <row r="2162" spans="10:10">
      <c r="J2162" s="4"/>
    </row>
    <row r="2163" spans="10:10">
      <c r="J2163" s="4"/>
    </row>
    <row r="2164" spans="10:10">
      <c r="J2164" s="4"/>
    </row>
    <row r="2165" spans="10:10">
      <c r="J2165" s="4"/>
    </row>
    <row r="2166" spans="10:10">
      <c r="J2166" s="4"/>
    </row>
    <row r="2167" spans="10:10">
      <c r="J2167" s="4"/>
    </row>
    <row r="2168" spans="10:10">
      <c r="J2168" s="4"/>
    </row>
    <row r="2169" spans="10:10">
      <c r="J2169" s="4"/>
    </row>
    <row r="2170" spans="10:10">
      <c r="J2170" s="4"/>
    </row>
    <row r="2171" spans="10:10">
      <c r="J2171" s="4"/>
    </row>
    <row r="2172" spans="10:10">
      <c r="J2172" s="4"/>
    </row>
    <row r="2173" spans="10:10">
      <c r="J2173" s="4"/>
    </row>
    <row r="2174" spans="10:10">
      <c r="J2174" s="4"/>
    </row>
    <row r="2175" spans="10:10">
      <c r="J2175" s="4"/>
    </row>
    <row r="2176" spans="10:10">
      <c r="J2176" s="4"/>
    </row>
    <row r="2177" spans="10:10">
      <c r="J2177" s="4"/>
    </row>
    <row r="2178" spans="10:10">
      <c r="J2178" s="4"/>
    </row>
    <row r="2179" spans="10:10">
      <c r="J2179" s="4"/>
    </row>
    <row r="2180" spans="10:10">
      <c r="J2180" s="4"/>
    </row>
    <row r="2181" spans="10:10">
      <c r="J2181" s="4"/>
    </row>
    <row r="2182" spans="10:10">
      <c r="J2182" s="4"/>
    </row>
    <row r="2183" spans="10:10">
      <c r="J2183" s="4"/>
    </row>
    <row r="2184" spans="10:10">
      <c r="J2184" s="4"/>
    </row>
    <row r="2185" spans="10:10">
      <c r="J2185" s="4"/>
    </row>
    <row r="2186" spans="10:10">
      <c r="J2186" s="4"/>
    </row>
    <row r="2187" spans="10:10">
      <c r="J2187" s="4"/>
    </row>
    <row r="2188" spans="10:10">
      <c r="J2188" s="4"/>
    </row>
    <row r="2189" spans="10:10">
      <c r="J2189" s="4"/>
    </row>
    <row r="2190" spans="10:10">
      <c r="J2190" s="4"/>
    </row>
    <row r="2191" spans="10:10">
      <c r="J2191" s="4"/>
    </row>
    <row r="2192" spans="10:10">
      <c r="J2192" s="4"/>
    </row>
    <row r="2193" spans="10:10">
      <c r="J2193" s="4"/>
    </row>
    <row r="2194" spans="10:10">
      <c r="J2194" s="4"/>
    </row>
    <row r="2195" spans="10:10">
      <c r="J2195" s="4"/>
    </row>
    <row r="2196" spans="10:10">
      <c r="J2196" s="4"/>
    </row>
    <row r="2197" spans="10:10">
      <c r="J2197" s="4"/>
    </row>
    <row r="2198" spans="10:10">
      <c r="J2198" s="4"/>
    </row>
    <row r="2199" spans="10:10">
      <c r="J2199" s="4"/>
    </row>
    <row r="2200" spans="10:10">
      <c r="J2200" s="4"/>
    </row>
    <row r="2201" spans="10:10">
      <c r="J2201" s="4"/>
    </row>
    <row r="2202" spans="10:10">
      <c r="J2202" s="4"/>
    </row>
    <row r="2203" spans="10:10">
      <c r="J2203" s="4"/>
    </row>
    <row r="2204" spans="10:10">
      <c r="J2204" s="4"/>
    </row>
    <row r="2205" spans="10:10">
      <c r="J2205" s="4"/>
    </row>
    <row r="2206" spans="10:10">
      <c r="J2206" s="4"/>
    </row>
    <row r="2207" spans="10:10">
      <c r="J2207" s="4"/>
    </row>
    <row r="2208" spans="10:10">
      <c r="J2208" s="4"/>
    </row>
    <row r="2209" spans="10:10">
      <c r="J2209" s="4"/>
    </row>
    <row r="2210" spans="10:10">
      <c r="J2210" s="4"/>
    </row>
    <row r="2211" spans="10:10">
      <c r="J2211" s="4"/>
    </row>
    <row r="2212" spans="10:10">
      <c r="J2212" s="4"/>
    </row>
    <row r="2213" spans="10:10">
      <c r="J2213" s="4"/>
    </row>
    <row r="2214" spans="10:10">
      <c r="J2214" s="4"/>
    </row>
    <row r="2215" spans="10:10">
      <c r="J2215" s="4"/>
    </row>
    <row r="2216" spans="10:10">
      <c r="J2216" s="4"/>
    </row>
    <row r="2217" spans="10:10">
      <c r="J2217" s="4"/>
    </row>
    <row r="2218" spans="10:10">
      <c r="J2218" s="4"/>
    </row>
    <row r="2219" spans="10:10">
      <c r="J2219" s="4"/>
    </row>
    <row r="2220" spans="10:10">
      <c r="J2220" s="4"/>
    </row>
    <row r="2221" spans="10:10">
      <c r="J2221" s="4"/>
    </row>
    <row r="2222" spans="10:10">
      <c r="J2222" s="4"/>
    </row>
    <row r="2223" spans="10:10">
      <c r="J2223" s="4"/>
    </row>
    <row r="2224" spans="10:10">
      <c r="J2224" s="4"/>
    </row>
    <row r="2225" spans="10:10">
      <c r="J2225" s="4"/>
    </row>
    <row r="2226" spans="10:10">
      <c r="J2226" s="4"/>
    </row>
    <row r="2227" spans="10:10">
      <c r="J2227" s="4"/>
    </row>
    <row r="2228" spans="10:10">
      <c r="J2228" s="4"/>
    </row>
    <row r="2229" spans="10:10">
      <c r="J2229" s="4"/>
    </row>
    <row r="2230" spans="10:10">
      <c r="J2230" s="4"/>
    </row>
    <row r="2231" spans="10:10">
      <c r="J2231" s="4"/>
    </row>
    <row r="2232" spans="10:10">
      <c r="J2232" s="4"/>
    </row>
    <row r="2233" spans="10:10">
      <c r="J2233" s="4"/>
    </row>
    <row r="2234" spans="10:10">
      <c r="J2234" s="4"/>
    </row>
    <row r="2235" spans="10:10">
      <c r="J2235" s="4"/>
    </row>
    <row r="2236" spans="10:10">
      <c r="J2236" s="4"/>
    </row>
    <row r="2237" spans="10:10">
      <c r="J2237" s="4"/>
    </row>
    <row r="2238" spans="10:10">
      <c r="J2238" s="4"/>
    </row>
    <row r="2239" spans="10:10">
      <c r="J2239" s="4"/>
    </row>
    <row r="2240" spans="10:10">
      <c r="J2240" s="4"/>
    </row>
    <row r="2241" spans="10:10">
      <c r="J2241" s="4"/>
    </row>
    <row r="2242" spans="10:10">
      <c r="J2242" s="4"/>
    </row>
    <row r="2243" spans="10:10">
      <c r="J2243" s="4"/>
    </row>
    <row r="2244" spans="10:10">
      <c r="J2244" s="4"/>
    </row>
    <row r="2245" spans="10:10">
      <c r="J2245" s="4"/>
    </row>
    <row r="2246" spans="10:10">
      <c r="J2246" s="4"/>
    </row>
    <row r="2247" spans="10:10">
      <c r="J2247" s="4"/>
    </row>
    <row r="2248" spans="10:10">
      <c r="J2248" s="4"/>
    </row>
    <row r="2249" spans="10:10">
      <c r="J2249" s="4"/>
    </row>
    <row r="2250" spans="10:10">
      <c r="J2250" s="4"/>
    </row>
    <row r="2251" spans="10:10">
      <c r="J2251" s="4"/>
    </row>
    <row r="2252" spans="10:10">
      <c r="J2252" s="4"/>
    </row>
    <row r="2253" spans="10:10">
      <c r="J2253" s="4"/>
    </row>
    <row r="2254" spans="10:10">
      <c r="J2254" s="4"/>
    </row>
    <row r="2255" spans="10:10">
      <c r="J2255" s="4"/>
    </row>
    <row r="2256" spans="10:10">
      <c r="J2256" s="4"/>
    </row>
    <row r="2257" spans="10:10">
      <c r="J2257" s="4"/>
    </row>
    <row r="2258" spans="10:10">
      <c r="J2258" s="4"/>
    </row>
    <row r="2259" spans="10:10">
      <c r="J2259" s="4"/>
    </row>
    <row r="2260" spans="10:10">
      <c r="J2260" s="4"/>
    </row>
    <row r="2261" spans="10:10">
      <c r="J2261" s="4"/>
    </row>
    <row r="2262" spans="10:10">
      <c r="J2262" s="4"/>
    </row>
    <row r="2263" spans="10:10">
      <c r="J2263" s="4"/>
    </row>
    <row r="2264" spans="10:10">
      <c r="J2264" s="4"/>
    </row>
    <row r="2265" spans="10:10">
      <c r="J2265" s="4"/>
    </row>
    <row r="2266" spans="10:10">
      <c r="J2266" s="4"/>
    </row>
    <row r="2267" spans="10:10">
      <c r="J2267" s="4"/>
    </row>
    <row r="2268" spans="10:10">
      <c r="J2268" s="4"/>
    </row>
    <row r="2269" spans="10:10">
      <c r="J2269" s="4"/>
    </row>
    <row r="2270" spans="10:10">
      <c r="J2270" s="4"/>
    </row>
    <row r="2271" spans="10:10">
      <c r="J2271" s="4"/>
    </row>
    <row r="2272" spans="10:10">
      <c r="J2272" s="4"/>
    </row>
    <row r="2273" spans="10:10">
      <c r="J2273" s="4"/>
    </row>
    <row r="2274" spans="10:10">
      <c r="J2274" s="4"/>
    </row>
    <row r="2275" spans="10:10">
      <c r="J2275" s="4"/>
    </row>
    <row r="2276" spans="10:10">
      <c r="J2276" s="4"/>
    </row>
    <row r="2277" spans="10:10">
      <c r="J2277" s="4"/>
    </row>
    <row r="2278" spans="10:10">
      <c r="J2278" s="4"/>
    </row>
    <row r="2279" spans="10:10">
      <c r="J2279" s="4"/>
    </row>
    <row r="2280" spans="10:10">
      <c r="J2280" s="4"/>
    </row>
    <row r="2281" spans="10:10">
      <c r="J2281" s="4"/>
    </row>
    <row r="2282" spans="10:10">
      <c r="J2282" s="4"/>
    </row>
    <row r="2283" spans="10:10">
      <c r="J2283" s="4"/>
    </row>
    <row r="2284" spans="10:10">
      <c r="J2284" s="4"/>
    </row>
    <row r="2285" spans="10:10">
      <c r="J2285" s="4"/>
    </row>
    <row r="2286" spans="10:10">
      <c r="J2286" s="4"/>
    </row>
    <row r="2287" spans="10:10">
      <c r="J2287" s="4"/>
    </row>
    <row r="2288" spans="10:10">
      <c r="J2288" s="4"/>
    </row>
    <row r="2289" spans="10:10">
      <c r="J2289" s="4"/>
    </row>
    <row r="2290" spans="10:10">
      <c r="J2290" s="4"/>
    </row>
    <row r="2291" spans="10:10">
      <c r="J2291" s="4"/>
    </row>
    <row r="2292" spans="10:10">
      <c r="J2292" s="4"/>
    </row>
    <row r="2293" spans="10:10">
      <c r="J2293" s="4"/>
    </row>
    <row r="2294" spans="10:10">
      <c r="J2294" s="4"/>
    </row>
    <row r="2295" spans="10:10">
      <c r="J2295" s="4"/>
    </row>
    <row r="2296" spans="10:10">
      <c r="J2296" s="4"/>
    </row>
    <row r="2297" spans="10:10">
      <c r="J2297" s="4"/>
    </row>
    <row r="2298" spans="10:10">
      <c r="J2298" s="4"/>
    </row>
    <row r="2299" spans="10:10">
      <c r="J2299" s="4"/>
    </row>
    <row r="2300" spans="10:10">
      <c r="J2300" s="4"/>
    </row>
    <row r="2301" spans="10:10">
      <c r="J2301" s="4"/>
    </row>
    <row r="2302" spans="10:10">
      <c r="J2302" s="4"/>
    </row>
    <row r="2303" spans="10:10">
      <c r="J2303" s="4"/>
    </row>
    <row r="2304" spans="10:10">
      <c r="J2304" s="4"/>
    </row>
    <row r="2305" spans="10:10">
      <c r="J2305" s="4"/>
    </row>
    <row r="2306" spans="10:10">
      <c r="J2306" s="4"/>
    </row>
    <row r="2307" spans="10:10">
      <c r="J2307" s="4"/>
    </row>
    <row r="2308" spans="10:10">
      <c r="J2308" s="4"/>
    </row>
    <row r="2309" spans="10:10">
      <c r="J2309" s="4"/>
    </row>
    <row r="2310" spans="10:10">
      <c r="J2310" s="4"/>
    </row>
    <row r="2311" spans="10:10">
      <c r="J2311" s="4"/>
    </row>
    <row r="2312" spans="10:10">
      <c r="J2312" s="4"/>
    </row>
    <row r="2313" spans="10:10">
      <c r="J2313" s="4"/>
    </row>
    <row r="2314" spans="10:10">
      <c r="J2314" s="4"/>
    </row>
    <row r="2315" spans="10:10">
      <c r="J2315" s="4"/>
    </row>
    <row r="2316" spans="10:10">
      <c r="J2316" s="4"/>
    </row>
    <row r="2317" spans="10:10">
      <c r="J2317" s="4"/>
    </row>
    <row r="2318" spans="10:10">
      <c r="J2318" s="4"/>
    </row>
    <row r="2319" spans="10:10">
      <c r="J2319" s="4"/>
    </row>
    <row r="2320" spans="10:10">
      <c r="J2320" s="4"/>
    </row>
    <row r="2321" spans="10:10">
      <c r="J2321" s="4"/>
    </row>
    <row r="2322" spans="10:10">
      <c r="J2322" s="4"/>
    </row>
    <row r="2323" spans="10:10">
      <c r="J2323" s="4"/>
    </row>
    <row r="2324" spans="10:10">
      <c r="J2324" s="4"/>
    </row>
    <row r="2325" spans="10:10">
      <c r="J2325" s="4"/>
    </row>
    <row r="2326" spans="10:10">
      <c r="J2326" s="4"/>
    </row>
    <row r="2327" spans="10:10">
      <c r="J2327" s="4"/>
    </row>
    <row r="2328" spans="10:10">
      <c r="J2328" s="4"/>
    </row>
    <row r="2329" spans="10:10">
      <c r="J2329" s="4"/>
    </row>
    <row r="2330" spans="10:10">
      <c r="J2330" s="4"/>
    </row>
    <row r="2331" spans="10:10">
      <c r="J2331" s="4"/>
    </row>
    <row r="2332" spans="10:10">
      <c r="J2332" s="4"/>
    </row>
    <row r="2333" spans="10:10">
      <c r="J2333" s="4"/>
    </row>
    <row r="2334" spans="10:10">
      <c r="J2334" s="4"/>
    </row>
    <row r="2335" spans="10:10">
      <c r="J2335" s="4"/>
    </row>
    <row r="2336" spans="10:10">
      <c r="J2336" s="4"/>
    </row>
    <row r="2337" spans="10:10">
      <c r="J2337" s="4"/>
    </row>
    <row r="2338" spans="10:10">
      <c r="J2338" s="4"/>
    </row>
    <row r="2339" spans="10:10">
      <c r="J2339" s="4"/>
    </row>
    <row r="2340" spans="10:10">
      <c r="J2340" s="4"/>
    </row>
    <row r="2341" spans="10:10">
      <c r="J2341" s="4"/>
    </row>
    <row r="2342" spans="10:10">
      <c r="J2342" s="4"/>
    </row>
    <row r="2343" spans="10:10">
      <c r="J2343" s="4"/>
    </row>
    <row r="2344" spans="10:10">
      <c r="J2344" s="4"/>
    </row>
    <row r="2345" spans="10:10">
      <c r="J2345" s="4"/>
    </row>
    <row r="2346" spans="10:10">
      <c r="J2346" s="4"/>
    </row>
    <row r="2347" spans="10:10">
      <c r="J2347" s="4"/>
    </row>
    <row r="2348" spans="10:10">
      <c r="J2348" s="4"/>
    </row>
    <row r="2349" spans="10:10">
      <c r="J2349" s="4"/>
    </row>
    <row r="2350" spans="10:10">
      <c r="J2350" s="4"/>
    </row>
    <row r="2351" spans="10:10">
      <c r="J2351" s="4"/>
    </row>
    <row r="2352" spans="10:10">
      <c r="J2352" s="4"/>
    </row>
    <row r="2353" spans="10:10">
      <c r="J2353" s="4"/>
    </row>
    <row r="2354" spans="10:10">
      <c r="J2354" s="4"/>
    </row>
    <row r="2355" spans="10:10">
      <c r="J2355" s="4"/>
    </row>
    <row r="2356" spans="10:10">
      <c r="J2356" s="4"/>
    </row>
    <row r="2357" spans="10:10">
      <c r="J2357" s="4"/>
    </row>
    <row r="2358" spans="10:10">
      <c r="J2358" s="4"/>
    </row>
  </sheetData>
  <autoFilter ref="A1:AL709" xr:uid="{08C714B4-CA10-4587-B8B9-0C15EE259159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9FFC-07BF-4A33-BF41-1152748653F2}">
  <sheetPr>
    <tabColor rgb="FFFFC000"/>
  </sheetPr>
  <dimension ref="C3:O712"/>
  <sheetViews>
    <sheetView workbookViewId="0">
      <selection activeCell="E292" sqref="E4:E292"/>
    </sheetView>
  </sheetViews>
  <sheetFormatPr defaultRowHeight="12.75"/>
  <cols>
    <col min="3" max="3" width="8.28515625" bestFit="1" customWidth="1"/>
    <col min="4" max="4" width="11.42578125" bestFit="1" customWidth="1"/>
    <col min="5" max="5" width="11.42578125" style="4" bestFit="1" customWidth="1"/>
    <col min="8" max="8" width="13.85546875" bestFit="1" customWidth="1"/>
    <col min="9" max="9" width="15.140625" bestFit="1" customWidth="1"/>
    <col min="10" max="10" width="15.140625" style="4" bestFit="1" customWidth="1"/>
    <col min="12" max="12" width="19.85546875" bestFit="1" customWidth="1"/>
    <col min="14" max="14" width="12.85546875" bestFit="1" customWidth="1"/>
    <col min="15" max="15" width="13.5703125" bestFit="1" customWidth="1"/>
  </cols>
  <sheetData>
    <row r="3" spans="3:15">
      <c r="C3" s="23" t="s">
        <v>678</v>
      </c>
      <c r="D3" s="23" t="s">
        <v>679</v>
      </c>
      <c r="E3" s="37" t="s">
        <v>3587</v>
      </c>
    </row>
    <row r="4" spans="3:15">
      <c r="C4" t="s">
        <v>13282</v>
      </c>
      <c r="D4" s="2" t="s">
        <v>18171</v>
      </c>
      <c r="E4" s="4">
        <v>285.14560129098021</v>
      </c>
    </row>
    <row r="5" spans="3:15">
      <c r="C5" t="s">
        <v>13311</v>
      </c>
      <c r="D5" s="2" t="s">
        <v>3601</v>
      </c>
      <c r="E5" s="4">
        <v>5520.6774455959803</v>
      </c>
    </row>
    <row r="6" spans="3:15">
      <c r="C6" t="s">
        <v>13311</v>
      </c>
      <c r="D6" s="2" t="s">
        <v>8609</v>
      </c>
      <c r="E6" s="4">
        <v>802.9638883895492</v>
      </c>
    </row>
    <row r="7" spans="3:15">
      <c r="C7" t="s">
        <v>13311</v>
      </c>
      <c r="D7" s="2" t="s">
        <v>3610</v>
      </c>
      <c r="E7" s="4">
        <v>10477.008191777722</v>
      </c>
      <c r="J7"/>
    </row>
    <row r="8" spans="3:15">
      <c r="C8" t="s">
        <v>13311</v>
      </c>
      <c r="D8" s="2" t="s">
        <v>3619</v>
      </c>
      <c r="E8" s="4">
        <v>8264.6339070882968</v>
      </c>
      <c r="H8" s="1" t="s">
        <v>1897</v>
      </c>
      <c r="I8" t="s">
        <v>3588</v>
      </c>
      <c r="J8"/>
    </row>
    <row r="9" spans="3:15">
      <c r="C9" t="s">
        <v>13311</v>
      </c>
      <c r="D9" s="2" t="s">
        <v>3622</v>
      </c>
      <c r="E9" s="4">
        <v>2712.9732482160039</v>
      </c>
      <c r="H9" s="2" t="s">
        <v>13282</v>
      </c>
      <c r="I9" s="9">
        <v>28628.793740133959</v>
      </c>
      <c r="J9"/>
      <c r="N9" s="4"/>
      <c r="O9" s="4"/>
    </row>
    <row r="10" spans="3:15">
      <c r="C10" t="s">
        <v>13311</v>
      </c>
      <c r="D10" s="2" t="s">
        <v>7845</v>
      </c>
      <c r="E10" s="4">
        <v>5686.7713556558365</v>
      </c>
      <c r="H10" s="2" t="s">
        <v>13311</v>
      </c>
      <c r="I10" s="9">
        <v>8646841.0762598608</v>
      </c>
      <c r="J10"/>
      <c r="N10" s="4"/>
      <c r="O10" s="4"/>
    </row>
    <row r="11" spans="3:15">
      <c r="C11" t="s">
        <v>13311</v>
      </c>
      <c r="D11" s="2" t="s">
        <v>7039</v>
      </c>
      <c r="E11" s="4">
        <v>5762.7926020907107</v>
      </c>
      <c r="H11" s="2" t="s">
        <v>3</v>
      </c>
      <c r="I11" s="9">
        <v>8675469.8699999955</v>
      </c>
      <c r="J11"/>
      <c r="N11" s="4"/>
      <c r="O11" s="4"/>
    </row>
    <row r="12" spans="3:15">
      <c r="C12" t="s">
        <v>13311</v>
      </c>
      <c r="D12" s="2" t="s">
        <v>3632</v>
      </c>
      <c r="E12" s="4">
        <v>4818.8517756691017</v>
      </c>
      <c r="J12"/>
      <c r="N12" s="4"/>
      <c r="O12" s="4"/>
    </row>
    <row r="13" spans="3:15">
      <c r="C13" t="s">
        <v>13311</v>
      </c>
      <c r="D13" s="2" t="s">
        <v>7015</v>
      </c>
      <c r="E13" s="4">
        <v>16824.505800353363</v>
      </c>
      <c r="J13"/>
      <c r="N13" s="4"/>
      <c r="O13" s="4"/>
    </row>
    <row r="14" spans="3:15">
      <c r="C14" t="s">
        <v>13311</v>
      </c>
      <c r="D14" s="2" t="s">
        <v>7012</v>
      </c>
      <c r="E14" s="4">
        <v>6416.180949411656</v>
      </c>
      <c r="J14"/>
      <c r="N14" s="4"/>
      <c r="O14" s="4"/>
    </row>
    <row r="15" spans="3:15">
      <c r="C15" t="s">
        <v>13311</v>
      </c>
      <c r="D15" s="2" t="s">
        <v>7018</v>
      </c>
      <c r="E15" s="4">
        <v>6279.5458465496122</v>
      </c>
      <c r="J15"/>
      <c r="N15" s="4"/>
      <c r="O15" s="4"/>
    </row>
    <row r="16" spans="3:15">
      <c r="C16" t="s">
        <v>13311</v>
      </c>
      <c r="D16" s="2" t="s">
        <v>7055</v>
      </c>
      <c r="E16" s="4">
        <v>4506.3536336146663</v>
      </c>
      <c r="J16"/>
      <c r="N16" s="4"/>
      <c r="O16" s="4"/>
    </row>
    <row r="17" spans="3:15">
      <c r="C17" t="s">
        <v>13311</v>
      </c>
      <c r="D17" s="2" t="s">
        <v>6397</v>
      </c>
      <c r="E17" s="4">
        <v>3027.9536541862126</v>
      </c>
      <c r="J17"/>
      <c r="N17" s="4"/>
      <c r="O17" s="4"/>
    </row>
    <row r="18" spans="3:15">
      <c r="C18" t="s">
        <v>13311</v>
      </c>
      <c r="D18" s="2" t="s">
        <v>3698</v>
      </c>
      <c r="E18" s="4">
        <v>12755.258596288077</v>
      </c>
      <c r="J18"/>
      <c r="N18" s="4"/>
      <c r="O18" s="4"/>
    </row>
    <row r="19" spans="3:15">
      <c r="C19" t="s">
        <v>13311</v>
      </c>
      <c r="D19" s="2" t="s">
        <v>3701</v>
      </c>
      <c r="E19" s="4">
        <v>13752.60637718537</v>
      </c>
      <c r="J19"/>
      <c r="N19" s="4"/>
      <c r="O19" s="4"/>
    </row>
    <row r="20" spans="3:15">
      <c r="C20" t="s">
        <v>13311</v>
      </c>
      <c r="D20" s="2" t="s">
        <v>3704</v>
      </c>
      <c r="E20" s="4">
        <v>14829.946346244351</v>
      </c>
      <c r="J20"/>
      <c r="N20" s="4"/>
      <c r="O20" s="4"/>
    </row>
    <row r="21" spans="3:15">
      <c r="C21" t="s">
        <v>13311</v>
      </c>
      <c r="D21" s="2" t="s">
        <v>5015</v>
      </c>
      <c r="E21" s="4">
        <v>14758.680362074441</v>
      </c>
      <c r="J21"/>
      <c r="N21" s="4"/>
      <c r="O21" s="4"/>
    </row>
    <row r="22" spans="3:15">
      <c r="C22" t="s">
        <v>13311</v>
      </c>
      <c r="D22" s="2" t="s">
        <v>7107</v>
      </c>
      <c r="E22" s="4">
        <v>9801.7422353457951</v>
      </c>
      <c r="J22"/>
      <c r="N22" s="4"/>
      <c r="O22" s="4"/>
    </row>
    <row r="23" spans="3:15">
      <c r="C23" t="s">
        <v>13311</v>
      </c>
      <c r="D23" s="2" t="s">
        <v>7113</v>
      </c>
      <c r="E23" s="4">
        <v>12111.828227513404</v>
      </c>
      <c r="J23"/>
      <c r="N23" s="4"/>
      <c r="O23" s="4"/>
    </row>
    <row r="24" spans="3:15">
      <c r="C24" t="s">
        <v>13311</v>
      </c>
      <c r="D24" s="2" t="s">
        <v>7110</v>
      </c>
      <c r="E24" s="4">
        <v>11009.93953601393</v>
      </c>
      <c r="J24"/>
      <c r="N24" s="4"/>
      <c r="O24" s="4"/>
    </row>
    <row r="25" spans="3:15">
      <c r="C25" t="s">
        <v>13311</v>
      </c>
      <c r="D25" s="2" t="s">
        <v>3721</v>
      </c>
      <c r="E25" s="4">
        <v>3669.7252105428697</v>
      </c>
      <c r="J25"/>
      <c r="N25" s="4"/>
      <c r="O25" s="4"/>
    </row>
    <row r="26" spans="3:15">
      <c r="C26" t="s">
        <v>13311</v>
      </c>
      <c r="D26" s="2" t="s">
        <v>3727</v>
      </c>
      <c r="E26" s="4">
        <v>6023.2771921005888</v>
      </c>
      <c r="J26"/>
      <c r="N26" s="4"/>
      <c r="O26" s="4"/>
    </row>
    <row r="27" spans="3:15">
      <c r="C27" t="s">
        <v>13311</v>
      </c>
      <c r="D27" s="2" t="s">
        <v>3762</v>
      </c>
      <c r="E27" s="4">
        <v>12567.948900738369</v>
      </c>
      <c r="J27"/>
      <c r="N27" s="4"/>
      <c r="O27" s="4"/>
    </row>
    <row r="28" spans="3:15">
      <c r="C28" t="s">
        <v>13311</v>
      </c>
      <c r="D28" s="2" t="s">
        <v>7419</v>
      </c>
      <c r="E28" s="4">
        <v>17661.687160897829</v>
      </c>
      <c r="J28"/>
      <c r="N28" s="4"/>
      <c r="O28" s="4"/>
    </row>
    <row r="29" spans="3:15">
      <c r="C29" t="s">
        <v>13311</v>
      </c>
      <c r="D29" s="2" t="s">
        <v>3797</v>
      </c>
      <c r="E29" s="4">
        <v>11383.000494113443</v>
      </c>
      <c r="J29"/>
      <c r="N29" s="4"/>
      <c r="O29" s="4"/>
    </row>
    <row r="30" spans="3:15">
      <c r="C30" t="s">
        <v>13311</v>
      </c>
      <c r="D30" s="2" t="s">
        <v>3811</v>
      </c>
      <c r="E30" s="4">
        <v>6903.4685812884682</v>
      </c>
      <c r="J30"/>
      <c r="N30" s="4"/>
      <c r="O30" s="4"/>
    </row>
    <row r="31" spans="3:15">
      <c r="C31" t="s">
        <v>13311</v>
      </c>
      <c r="D31" s="2" t="s">
        <v>7058</v>
      </c>
      <c r="E31" s="4">
        <v>18844.502079551283</v>
      </c>
      <c r="J31"/>
      <c r="N31" s="4"/>
      <c r="O31" s="4"/>
    </row>
    <row r="32" spans="3:15">
      <c r="C32" t="s">
        <v>13311</v>
      </c>
      <c r="D32" s="2" t="s">
        <v>7061</v>
      </c>
      <c r="E32" s="4">
        <v>11386.474642787884</v>
      </c>
      <c r="J32"/>
    </row>
    <row r="33" spans="3:5">
      <c r="C33" t="s">
        <v>13311</v>
      </c>
      <c r="D33" s="2" t="s">
        <v>7064</v>
      </c>
      <c r="E33" s="4">
        <v>21592.053485288994</v>
      </c>
    </row>
    <row r="34" spans="3:5">
      <c r="C34" t="s">
        <v>13311</v>
      </c>
      <c r="D34" s="2" t="s">
        <v>3832</v>
      </c>
      <c r="E34" s="4">
        <v>5957.3619413200604</v>
      </c>
    </row>
    <row r="35" spans="3:5">
      <c r="C35" t="s">
        <v>13311</v>
      </c>
      <c r="D35" s="2" t="s">
        <v>3835</v>
      </c>
      <c r="E35" s="4">
        <v>7231.8521915962083</v>
      </c>
    </row>
    <row r="36" spans="3:5">
      <c r="C36" t="s">
        <v>13311</v>
      </c>
      <c r="D36" s="2" t="s">
        <v>6071</v>
      </c>
      <c r="E36" s="4">
        <v>6623.9884624097722</v>
      </c>
    </row>
    <row r="37" spans="3:5">
      <c r="C37" t="s">
        <v>13311</v>
      </c>
      <c r="D37" s="2" t="s">
        <v>3841</v>
      </c>
      <c r="E37" s="4">
        <v>16615.05478705186</v>
      </c>
    </row>
    <row r="38" spans="3:5">
      <c r="C38" t="s">
        <v>13311</v>
      </c>
      <c r="D38" s="2" t="s">
        <v>3848</v>
      </c>
      <c r="E38" s="4">
        <v>10062.231929393882</v>
      </c>
    </row>
    <row r="39" spans="3:5">
      <c r="C39" t="s">
        <v>13311</v>
      </c>
      <c r="D39" s="2" t="s">
        <v>3851</v>
      </c>
      <c r="E39" s="4">
        <v>6525.5009411237806</v>
      </c>
    </row>
    <row r="40" spans="3:5">
      <c r="C40" t="s">
        <v>13311</v>
      </c>
      <c r="D40" s="2" t="s">
        <v>3854</v>
      </c>
      <c r="E40" s="4">
        <v>3127.8583967483105</v>
      </c>
    </row>
    <row r="41" spans="3:5">
      <c r="C41" t="s">
        <v>13311</v>
      </c>
      <c r="D41" s="2" t="s">
        <v>3860</v>
      </c>
      <c r="E41" s="4">
        <v>7546.4497947007212</v>
      </c>
    </row>
    <row r="42" spans="3:5">
      <c r="C42" t="s">
        <v>13311</v>
      </c>
      <c r="D42" s="2" t="s">
        <v>5333</v>
      </c>
      <c r="E42" s="4">
        <v>3267.4419323492402</v>
      </c>
    </row>
    <row r="43" spans="3:5">
      <c r="C43" t="s">
        <v>13311</v>
      </c>
      <c r="D43" s="2" t="s">
        <v>3888</v>
      </c>
      <c r="E43" s="4">
        <v>11713.116074720194</v>
      </c>
    </row>
    <row r="44" spans="3:5">
      <c r="C44" t="s">
        <v>13311</v>
      </c>
      <c r="D44" s="2" t="s">
        <v>3896</v>
      </c>
      <c r="E44" s="4">
        <v>17203.422791624973</v>
      </c>
    </row>
    <row r="45" spans="3:5">
      <c r="C45" t="s">
        <v>13311</v>
      </c>
      <c r="D45" s="2" t="s">
        <v>7073</v>
      </c>
      <c r="E45" s="4">
        <v>8310.4205325175517</v>
      </c>
    </row>
    <row r="46" spans="3:5">
      <c r="C46" t="s">
        <v>13311</v>
      </c>
      <c r="D46" s="2" t="s">
        <v>3905</v>
      </c>
      <c r="E46" s="4">
        <v>4493.3264267585491</v>
      </c>
    </row>
    <row r="47" spans="3:5">
      <c r="C47" t="s">
        <v>13311</v>
      </c>
      <c r="D47" s="2" t="s">
        <v>3910</v>
      </c>
      <c r="E47" s="4">
        <v>1948.6945667605494</v>
      </c>
    </row>
    <row r="48" spans="3:5">
      <c r="C48" t="s">
        <v>13311</v>
      </c>
      <c r="D48" s="2" t="s">
        <v>5018</v>
      </c>
      <c r="E48" s="4">
        <v>9160.9557583635251</v>
      </c>
    </row>
    <row r="49" spans="3:5">
      <c r="C49" t="s">
        <v>13311</v>
      </c>
      <c r="D49" s="2" t="s">
        <v>3967</v>
      </c>
      <c r="E49" s="4">
        <v>386.3756924414177</v>
      </c>
    </row>
    <row r="50" spans="3:5">
      <c r="C50" t="s">
        <v>13311</v>
      </c>
      <c r="D50" s="2" t="s">
        <v>5024</v>
      </c>
      <c r="E50" s="4">
        <v>8051.8975945260991</v>
      </c>
    </row>
    <row r="51" spans="3:5">
      <c r="C51" t="s">
        <v>13311</v>
      </c>
      <c r="D51" s="2" t="s">
        <v>3979</v>
      </c>
      <c r="E51" s="4">
        <v>4035.5146155402485</v>
      </c>
    </row>
    <row r="52" spans="3:5">
      <c r="C52" t="s">
        <v>13311</v>
      </c>
      <c r="D52" s="2" t="s">
        <v>3982</v>
      </c>
      <c r="E52" s="4">
        <v>7278.385707950084</v>
      </c>
    </row>
    <row r="53" spans="3:5">
      <c r="C53" t="s">
        <v>13311</v>
      </c>
      <c r="D53" s="2" t="s">
        <v>3985</v>
      </c>
      <c r="E53" s="4">
        <v>855.60013309563715</v>
      </c>
    </row>
    <row r="54" spans="3:5">
      <c r="C54" t="s">
        <v>13311</v>
      </c>
      <c r="D54" s="2" t="s">
        <v>3991</v>
      </c>
      <c r="E54" s="4">
        <v>2915.125486878253</v>
      </c>
    </row>
    <row r="55" spans="3:5">
      <c r="C55" t="s">
        <v>13311</v>
      </c>
      <c r="D55" s="2" t="s">
        <v>3997</v>
      </c>
      <c r="E55" s="4">
        <v>47518.000257139771</v>
      </c>
    </row>
    <row r="56" spans="3:5">
      <c r="C56" t="s">
        <v>13311</v>
      </c>
      <c r="D56" s="2" t="s">
        <v>5027</v>
      </c>
      <c r="E56" s="4">
        <v>11139.891751513975</v>
      </c>
    </row>
    <row r="57" spans="3:5">
      <c r="C57" t="s">
        <v>13311</v>
      </c>
      <c r="D57" s="2" t="s">
        <v>4012</v>
      </c>
      <c r="E57" s="4">
        <v>1713.6536072238614</v>
      </c>
    </row>
    <row r="58" spans="3:5">
      <c r="C58" t="s">
        <v>13311</v>
      </c>
      <c r="D58" s="2" t="s">
        <v>5021</v>
      </c>
      <c r="E58" s="4">
        <v>1449.500915087591</v>
      </c>
    </row>
    <row r="59" spans="3:5">
      <c r="C59" t="s">
        <v>13311</v>
      </c>
      <c r="D59" s="2" t="s">
        <v>4021</v>
      </c>
      <c r="E59" s="4">
        <v>25925.669452441405</v>
      </c>
    </row>
    <row r="60" spans="3:5">
      <c r="C60" t="s">
        <v>13311</v>
      </c>
      <c r="D60" s="2" t="s">
        <v>6012</v>
      </c>
      <c r="E60" s="4">
        <v>7747.4042857298637</v>
      </c>
    </row>
    <row r="61" spans="3:5">
      <c r="C61" t="s">
        <v>13311</v>
      </c>
      <c r="D61" s="2" t="s">
        <v>5968</v>
      </c>
      <c r="E61" s="4">
        <v>1510.3121276588531</v>
      </c>
    </row>
    <row r="62" spans="3:5">
      <c r="C62" t="s">
        <v>13311</v>
      </c>
      <c r="D62" s="2" t="s">
        <v>4030</v>
      </c>
      <c r="E62" s="4">
        <v>15603.657290310528</v>
      </c>
    </row>
    <row r="63" spans="3:5">
      <c r="C63" t="s">
        <v>13311</v>
      </c>
      <c r="D63" s="2" t="s">
        <v>7076</v>
      </c>
      <c r="E63" s="4">
        <v>16721.926541769608</v>
      </c>
    </row>
    <row r="64" spans="3:5">
      <c r="C64" t="s">
        <v>13311</v>
      </c>
      <c r="D64" s="2" t="s">
        <v>18169</v>
      </c>
      <c r="E64" s="4">
        <v>3689.8861614694692</v>
      </c>
    </row>
    <row r="65" spans="3:5">
      <c r="C65" t="s">
        <v>13311</v>
      </c>
      <c r="D65" s="2" t="s">
        <v>18173</v>
      </c>
      <c r="E65" s="4">
        <v>4395.7270081209699</v>
      </c>
    </row>
    <row r="66" spans="3:5">
      <c r="C66" t="s">
        <v>13311</v>
      </c>
      <c r="D66" s="2" t="s">
        <v>18171</v>
      </c>
      <c r="E66" s="4">
        <v>12611.333225517128</v>
      </c>
    </row>
    <row r="67" spans="3:5">
      <c r="C67" t="s">
        <v>13311</v>
      </c>
      <c r="D67" s="2" t="s">
        <v>18174</v>
      </c>
      <c r="E67" s="4">
        <v>3062.5726440135923</v>
      </c>
    </row>
    <row r="68" spans="3:5">
      <c r="C68" t="s">
        <v>13311</v>
      </c>
      <c r="D68" s="2" t="s">
        <v>18176</v>
      </c>
      <c r="E68" s="4">
        <v>4856.8666522517124</v>
      </c>
    </row>
    <row r="69" spans="3:5">
      <c r="C69" t="s">
        <v>13311</v>
      </c>
      <c r="D69" s="2" t="s">
        <v>18178</v>
      </c>
      <c r="E69" s="4">
        <v>13610.333013448158</v>
      </c>
    </row>
    <row r="70" spans="3:5">
      <c r="C70" t="s">
        <v>13311</v>
      </c>
      <c r="D70" s="2" t="s">
        <v>4036</v>
      </c>
      <c r="E70" s="4">
        <v>3234.7590743492419</v>
      </c>
    </row>
    <row r="71" spans="3:5">
      <c r="C71" t="s">
        <v>13311</v>
      </c>
      <c r="D71" s="2" t="s">
        <v>4047</v>
      </c>
      <c r="E71" s="4">
        <v>8036.5514529769071</v>
      </c>
    </row>
    <row r="72" spans="3:5">
      <c r="C72" t="s">
        <v>13311</v>
      </c>
      <c r="D72" s="2" t="s">
        <v>4050</v>
      </c>
      <c r="E72" s="4">
        <v>4094.2961222502931</v>
      </c>
    </row>
    <row r="73" spans="3:5">
      <c r="C73" t="s">
        <v>13311</v>
      </c>
      <c r="D73" s="2" t="s">
        <v>4053</v>
      </c>
      <c r="E73" s="4">
        <v>8020.5434878065789</v>
      </c>
    </row>
    <row r="74" spans="3:5">
      <c r="C74" t="s">
        <v>13311</v>
      </c>
      <c r="D74" s="2" t="s">
        <v>4056</v>
      </c>
      <c r="E74" s="4">
        <v>4067.5781835708563</v>
      </c>
    </row>
    <row r="75" spans="3:5">
      <c r="C75" t="s">
        <v>13311</v>
      </c>
      <c r="D75" s="2" t="s">
        <v>7082</v>
      </c>
      <c r="E75" s="4">
        <v>11805.645482069902</v>
      </c>
    </row>
    <row r="76" spans="3:5">
      <c r="C76" t="s">
        <v>13311</v>
      </c>
      <c r="D76" s="2" t="s">
        <v>4066</v>
      </c>
      <c r="E76" s="4">
        <v>1654.1728472791481</v>
      </c>
    </row>
    <row r="77" spans="3:5">
      <c r="C77" t="s">
        <v>13311</v>
      </c>
      <c r="D77" s="2" t="s">
        <v>4073</v>
      </c>
      <c r="E77" s="4">
        <v>9623.5976910738609</v>
      </c>
    </row>
    <row r="78" spans="3:5">
      <c r="C78" t="s">
        <v>13311</v>
      </c>
      <c r="D78" s="2" t="s">
        <v>7079</v>
      </c>
      <c r="E78" s="4">
        <v>2646.3791603536438</v>
      </c>
    </row>
    <row r="79" spans="3:5">
      <c r="C79" t="s">
        <v>13311</v>
      </c>
      <c r="D79" s="2" t="s">
        <v>4079</v>
      </c>
      <c r="E79" s="4">
        <v>2208.9698912038475</v>
      </c>
    </row>
    <row r="80" spans="3:5">
      <c r="C80" t="s">
        <v>13311</v>
      </c>
      <c r="D80" s="2" t="s">
        <v>4082</v>
      </c>
      <c r="E80" s="4">
        <v>4086.3406280281174</v>
      </c>
    </row>
    <row r="81" spans="3:5">
      <c r="C81" t="s">
        <v>13311</v>
      </c>
      <c r="D81" s="2" t="s">
        <v>4085</v>
      </c>
      <c r="E81" s="4">
        <v>8333.6575171382665</v>
      </c>
    </row>
    <row r="82" spans="3:5">
      <c r="C82" t="s">
        <v>13311</v>
      </c>
      <c r="D82" s="2" t="s">
        <v>4090</v>
      </c>
      <c r="E82" s="4">
        <v>5410.484663350072</v>
      </c>
    </row>
    <row r="83" spans="3:5">
      <c r="C83" t="s">
        <v>13311</v>
      </c>
      <c r="D83" s="2" t="s">
        <v>5249</v>
      </c>
      <c r="E83" s="4">
        <v>5588.7925368447004</v>
      </c>
    </row>
    <row r="84" spans="3:5">
      <c r="C84" t="s">
        <v>13311</v>
      </c>
      <c r="D84" s="2" t="s">
        <v>7085</v>
      </c>
      <c r="E84" s="4">
        <v>1625.581726576911</v>
      </c>
    </row>
    <row r="85" spans="3:5">
      <c r="C85" t="s">
        <v>13311</v>
      </c>
      <c r="D85" s="2" t="s">
        <v>5255</v>
      </c>
      <c r="E85" s="4">
        <v>17125.075805112741</v>
      </c>
    </row>
    <row r="86" spans="3:5">
      <c r="C86" t="s">
        <v>13311</v>
      </c>
      <c r="D86" s="2" t="s">
        <v>5258</v>
      </c>
      <c r="E86" s="4">
        <v>4613.4907983192943</v>
      </c>
    </row>
    <row r="87" spans="3:5">
      <c r="C87" t="s">
        <v>13311</v>
      </c>
      <c r="D87" s="2" t="s">
        <v>5261</v>
      </c>
      <c r="E87" s="4">
        <v>7920.7595408154339</v>
      </c>
    </row>
    <row r="88" spans="3:5">
      <c r="C88" t="s">
        <v>13311</v>
      </c>
      <c r="D88" s="2" t="s">
        <v>5264</v>
      </c>
      <c r="E88" s="4">
        <v>5516.8664303997284</v>
      </c>
    </row>
    <row r="89" spans="3:5">
      <c r="C89" t="s">
        <v>13311</v>
      </c>
      <c r="D89" s="2" t="s">
        <v>5267</v>
      </c>
      <c r="E89" s="4">
        <v>8387.1597469938606</v>
      </c>
    </row>
    <row r="90" spans="3:5">
      <c r="C90" t="s">
        <v>13311</v>
      </c>
      <c r="D90" s="2" t="s">
        <v>5276</v>
      </c>
      <c r="E90" s="4">
        <v>3882.5908254063679</v>
      </c>
    </row>
    <row r="91" spans="3:5">
      <c r="C91" t="s">
        <v>13311</v>
      </c>
      <c r="D91" s="2" t="s">
        <v>5279</v>
      </c>
      <c r="E91" s="4">
        <v>12663.700657544197</v>
      </c>
    </row>
    <row r="92" spans="3:5">
      <c r="C92" t="s">
        <v>13311</v>
      </c>
      <c r="D92" s="2" t="s">
        <v>5148</v>
      </c>
      <c r="E92" s="4">
        <v>1729.423383944423</v>
      </c>
    </row>
    <row r="93" spans="3:5">
      <c r="C93" t="s">
        <v>13311</v>
      </c>
      <c r="D93" s="2" t="s">
        <v>5159</v>
      </c>
      <c r="E93" s="4">
        <v>10360.289046008234</v>
      </c>
    </row>
    <row r="94" spans="3:5">
      <c r="C94" t="s">
        <v>13311</v>
      </c>
      <c r="D94" s="2" t="s">
        <v>5291</v>
      </c>
      <c r="E94" s="4">
        <v>11951.845552536113</v>
      </c>
    </row>
    <row r="95" spans="3:5">
      <c r="C95" t="s">
        <v>13311</v>
      </c>
      <c r="D95" s="2" t="s">
        <v>5297</v>
      </c>
      <c r="E95" s="4">
        <v>5003.3440421272908</v>
      </c>
    </row>
    <row r="96" spans="3:5">
      <c r="C96" t="s">
        <v>13311</v>
      </c>
      <c r="D96" s="2" t="s">
        <v>7007</v>
      </c>
      <c r="E96" s="4">
        <v>3887.9228439889807</v>
      </c>
    </row>
    <row r="97" spans="3:5">
      <c r="C97" t="s">
        <v>13311</v>
      </c>
      <c r="D97" s="2" t="s">
        <v>5377</v>
      </c>
      <c r="E97" s="4">
        <v>4795.2898339490603</v>
      </c>
    </row>
    <row r="98" spans="3:5">
      <c r="C98" t="s">
        <v>13311</v>
      </c>
      <c r="D98" s="2" t="s">
        <v>5180</v>
      </c>
      <c r="E98" s="4">
        <v>4552.1215442371513</v>
      </c>
    </row>
    <row r="99" spans="3:5">
      <c r="C99" t="s">
        <v>13311</v>
      </c>
      <c r="D99" s="2" t="s">
        <v>5153</v>
      </c>
      <c r="E99" s="4">
        <v>1758.8124359533751</v>
      </c>
    </row>
    <row r="100" spans="3:5">
      <c r="C100" t="s">
        <v>13311</v>
      </c>
      <c r="D100" s="2" t="s">
        <v>5410</v>
      </c>
      <c r="E100" s="4">
        <v>6310.039072157836</v>
      </c>
    </row>
    <row r="101" spans="3:5">
      <c r="C101" t="s">
        <v>13311</v>
      </c>
      <c r="D101" s="2" t="s">
        <v>5413</v>
      </c>
      <c r="E101" s="4">
        <v>20658.038311838336</v>
      </c>
    </row>
    <row r="102" spans="3:5">
      <c r="C102" t="s">
        <v>13311</v>
      </c>
      <c r="D102" s="2" t="s">
        <v>5429</v>
      </c>
      <c r="E102" s="4">
        <v>7759.636963971403</v>
      </c>
    </row>
    <row r="103" spans="3:5">
      <c r="C103" t="s">
        <v>13311</v>
      </c>
      <c r="D103" s="2" t="s">
        <v>5432</v>
      </c>
      <c r="E103" s="4">
        <v>6047.7816795432727</v>
      </c>
    </row>
    <row r="104" spans="3:5">
      <c r="C104" t="s">
        <v>13311</v>
      </c>
      <c r="D104" s="2" t="s">
        <v>5435</v>
      </c>
      <c r="E104" s="4">
        <v>14179.969197793262</v>
      </c>
    </row>
    <row r="105" spans="3:5">
      <c r="C105" t="s">
        <v>13311</v>
      </c>
      <c r="D105" s="2" t="s">
        <v>5438</v>
      </c>
      <c r="E105" s="4">
        <v>5457.7990975499652</v>
      </c>
    </row>
    <row r="106" spans="3:5">
      <c r="C106" t="s">
        <v>13311</v>
      </c>
      <c r="D106" s="2" t="s">
        <v>7088</v>
      </c>
      <c r="E106" s="4">
        <v>6430.3803837098339</v>
      </c>
    </row>
    <row r="107" spans="3:5">
      <c r="C107" t="s">
        <v>13311</v>
      </c>
      <c r="D107" s="2" t="s">
        <v>5450</v>
      </c>
      <c r="E107" s="4">
        <v>19232.017673859435</v>
      </c>
    </row>
    <row r="108" spans="3:5">
      <c r="C108" t="s">
        <v>13311</v>
      </c>
      <c r="D108" s="2" t="s">
        <v>5839</v>
      </c>
      <c r="E108" s="4">
        <v>9687.3981686896841</v>
      </c>
    </row>
    <row r="109" spans="3:5">
      <c r="C109" t="s">
        <v>13311</v>
      </c>
      <c r="D109" s="2" t="s">
        <v>5459</v>
      </c>
      <c r="E109" s="4">
        <v>24644.241112892796</v>
      </c>
    </row>
    <row r="110" spans="3:5">
      <c r="C110" t="s">
        <v>13311</v>
      </c>
      <c r="D110" s="2" t="s">
        <v>7100</v>
      </c>
      <c r="E110" s="4">
        <v>11036.769763533968</v>
      </c>
    </row>
    <row r="111" spans="3:5">
      <c r="C111" t="s">
        <v>13311</v>
      </c>
      <c r="D111" s="2" t="s">
        <v>5462</v>
      </c>
      <c r="E111" s="4">
        <v>7063.5108033782053</v>
      </c>
    </row>
    <row r="112" spans="3:5">
      <c r="C112" t="s">
        <v>13311</v>
      </c>
      <c r="D112" s="2" t="s">
        <v>5538</v>
      </c>
      <c r="E112" s="4">
        <v>3757.2781806385451</v>
      </c>
    </row>
    <row r="113" spans="3:5">
      <c r="C113" t="s">
        <v>13311</v>
      </c>
      <c r="D113" s="2" t="s">
        <v>5474</v>
      </c>
      <c r="E113" s="4">
        <v>2837.6614989762261</v>
      </c>
    </row>
    <row r="114" spans="3:5">
      <c r="C114" t="s">
        <v>13311</v>
      </c>
      <c r="D114" s="2" t="s">
        <v>5477</v>
      </c>
      <c r="E114" s="4">
        <v>8940.0393738979456</v>
      </c>
    </row>
    <row r="115" spans="3:5">
      <c r="C115" t="s">
        <v>13311</v>
      </c>
      <c r="D115" s="2" t="s">
        <v>7091</v>
      </c>
      <c r="E115" s="4">
        <v>3776.9151169756597</v>
      </c>
    </row>
    <row r="116" spans="3:5">
      <c r="C116" t="s">
        <v>13311</v>
      </c>
      <c r="D116" s="2" t="s">
        <v>5518</v>
      </c>
      <c r="E116" s="4">
        <v>4386.8629950975455</v>
      </c>
    </row>
    <row r="117" spans="3:5">
      <c r="C117" t="s">
        <v>13311</v>
      </c>
      <c r="D117" s="2" t="s">
        <v>5527</v>
      </c>
      <c r="E117" s="4">
        <v>3926.3528490126118</v>
      </c>
    </row>
    <row r="118" spans="3:5">
      <c r="C118" t="s">
        <v>13311</v>
      </c>
      <c r="D118" s="2" t="s">
        <v>5546</v>
      </c>
      <c r="E118" s="4">
        <v>8294.8566186714288</v>
      </c>
    </row>
    <row r="119" spans="3:5">
      <c r="C119" t="s">
        <v>13311</v>
      </c>
      <c r="D119" s="2" t="s">
        <v>5549</v>
      </c>
      <c r="E119" s="4">
        <v>9098.7239218240193</v>
      </c>
    </row>
    <row r="120" spans="3:5">
      <c r="C120" t="s">
        <v>13311</v>
      </c>
      <c r="D120" s="2" t="s">
        <v>6949</v>
      </c>
      <c r="E120" s="4">
        <v>5148.4756672616932</v>
      </c>
    </row>
    <row r="121" spans="3:5">
      <c r="C121" t="s">
        <v>13311</v>
      </c>
      <c r="D121" s="2" t="s">
        <v>7968</v>
      </c>
      <c r="E121" s="4">
        <v>6653.9321532374652</v>
      </c>
    </row>
    <row r="122" spans="3:5">
      <c r="C122" t="s">
        <v>13311</v>
      </c>
      <c r="D122" s="2" t="s">
        <v>8041</v>
      </c>
      <c r="E122" s="4">
        <v>4203.6382314613238</v>
      </c>
    </row>
    <row r="123" spans="3:5">
      <c r="C123" t="s">
        <v>13311</v>
      </c>
      <c r="D123" s="2" t="s">
        <v>5564</v>
      </c>
      <c r="E123" s="4">
        <v>7714.1106444908228</v>
      </c>
    </row>
    <row r="124" spans="3:5">
      <c r="C124" t="s">
        <v>13311</v>
      </c>
      <c r="D124" s="2" t="s">
        <v>5567</v>
      </c>
      <c r="E124" s="4">
        <v>2140.3001611363861</v>
      </c>
    </row>
    <row r="125" spans="3:5">
      <c r="C125" t="s">
        <v>13311</v>
      </c>
      <c r="D125" s="2" t="s">
        <v>5570</v>
      </c>
      <c r="E125" s="4">
        <v>5340.2445908602267</v>
      </c>
    </row>
    <row r="126" spans="3:5">
      <c r="C126" t="s">
        <v>13311</v>
      </c>
      <c r="D126" s="2" t="s">
        <v>5575</v>
      </c>
      <c r="E126" s="4">
        <v>11179.512698786433</v>
      </c>
    </row>
    <row r="127" spans="3:5">
      <c r="C127" t="s">
        <v>13311</v>
      </c>
      <c r="D127" s="2" t="s">
        <v>5578</v>
      </c>
      <c r="E127" s="4">
        <v>16108.492605550793</v>
      </c>
    </row>
    <row r="128" spans="3:5">
      <c r="C128" t="s">
        <v>13311</v>
      </c>
      <c r="D128" s="2" t="s">
        <v>5583</v>
      </c>
      <c r="E128" s="4">
        <v>11281.225972220684</v>
      </c>
    </row>
    <row r="129" spans="3:5">
      <c r="C129" t="s">
        <v>13311</v>
      </c>
      <c r="D129" s="2" t="s">
        <v>5604</v>
      </c>
      <c r="E129" s="4">
        <v>17491.452174504189</v>
      </c>
    </row>
    <row r="130" spans="3:5">
      <c r="C130" t="s">
        <v>13311</v>
      </c>
      <c r="D130" s="2" t="s">
        <v>5609</v>
      </c>
      <c r="E130" s="4">
        <v>721.76374451834033</v>
      </c>
    </row>
    <row r="131" spans="3:5">
      <c r="C131" t="s">
        <v>13311</v>
      </c>
      <c r="D131" s="2" t="s">
        <v>5618</v>
      </c>
      <c r="E131" s="4">
        <v>14328.578374294246</v>
      </c>
    </row>
    <row r="132" spans="3:5">
      <c r="C132" t="s">
        <v>13311</v>
      </c>
      <c r="D132" s="2" t="s">
        <v>8140</v>
      </c>
      <c r="E132" s="4">
        <v>8907.5930030016425</v>
      </c>
    </row>
    <row r="133" spans="3:5">
      <c r="C133" t="s">
        <v>13311</v>
      </c>
      <c r="D133" s="2" t="s">
        <v>6121</v>
      </c>
      <c r="E133" s="4">
        <v>1800.9275565640964</v>
      </c>
    </row>
    <row r="134" spans="3:5">
      <c r="C134" t="s">
        <v>13311</v>
      </c>
      <c r="D134" s="2" t="s">
        <v>5627</v>
      </c>
      <c r="E134" s="4">
        <v>8193.6775679030834</v>
      </c>
    </row>
    <row r="135" spans="3:5">
      <c r="C135" t="s">
        <v>13311</v>
      </c>
      <c r="D135" s="2" t="s">
        <v>5630</v>
      </c>
      <c r="E135" s="4">
        <v>4859.7827594152732</v>
      </c>
    </row>
    <row r="136" spans="3:5">
      <c r="C136" t="s">
        <v>13311</v>
      </c>
      <c r="D136" s="2" t="s">
        <v>5633</v>
      </c>
      <c r="E136" s="4">
        <v>6318.8452394148881</v>
      </c>
    </row>
    <row r="137" spans="3:5">
      <c r="C137" t="s">
        <v>13311</v>
      </c>
      <c r="D137" s="2" t="s">
        <v>5636</v>
      </c>
      <c r="E137" s="4">
        <v>11486.803020521351</v>
      </c>
    </row>
    <row r="138" spans="3:5">
      <c r="C138" t="s">
        <v>13311</v>
      </c>
      <c r="D138" s="2" t="s">
        <v>5639</v>
      </c>
      <c r="E138" s="4">
        <v>9303.9692076410829</v>
      </c>
    </row>
    <row r="139" spans="3:5">
      <c r="C139" t="s">
        <v>13311</v>
      </c>
      <c r="D139" s="2" t="s">
        <v>5049</v>
      </c>
      <c r="E139" s="4">
        <v>8544.2790565357573</v>
      </c>
    </row>
    <row r="140" spans="3:5">
      <c r="C140" t="s">
        <v>13311</v>
      </c>
      <c r="D140" s="2" t="s">
        <v>7822</v>
      </c>
      <c r="E140" s="4">
        <v>2032.4535351206703</v>
      </c>
    </row>
    <row r="141" spans="3:5">
      <c r="C141" t="s">
        <v>13311</v>
      </c>
      <c r="D141" s="2" t="s">
        <v>5656</v>
      </c>
      <c r="E141" s="4">
        <v>6644.4573569749982</v>
      </c>
    </row>
    <row r="142" spans="3:5">
      <c r="C142" t="s">
        <v>13311</v>
      </c>
      <c r="D142" s="2" t="s">
        <v>5659</v>
      </c>
      <c r="E142" s="4">
        <v>5017.6948962256765</v>
      </c>
    </row>
    <row r="143" spans="3:5">
      <c r="C143" t="s">
        <v>13311</v>
      </c>
      <c r="D143" s="2" t="s">
        <v>5662</v>
      </c>
      <c r="E143" s="4">
        <v>6700.402719786759</v>
      </c>
    </row>
    <row r="144" spans="3:5">
      <c r="C144" t="s">
        <v>13311</v>
      </c>
      <c r="D144" s="2" t="s">
        <v>7936</v>
      </c>
      <c r="E144" s="4">
        <v>4182.5024092367539</v>
      </c>
    </row>
    <row r="145" spans="3:5">
      <c r="C145" t="s">
        <v>13311</v>
      </c>
      <c r="D145" s="2" t="s">
        <v>5675</v>
      </c>
      <c r="E145" s="4">
        <v>12650.693866840918</v>
      </c>
    </row>
    <row r="146" spans="3:5">
      <c r="C146" t="s">
        <v>13311</v>
      </c>
      <c r="D146" s="2" t="s">
        <v>5687</v>
      </c>
      <c r="E146" s="4">
        <v>3597.2801935466214</v>
      </c>
    </row>
    <row r="147" spans="3:5">
      <c r="C147" t="s">
        <v>13311</v>
      </c>
      <c r="D147" s="2" t="s">
        <v>18179</v>
      </c>
      <c r="E147" s="4">
        <v>3546.2602276068005</v>
      </c>
    </row>
    <row r="148" spans="3:5">
      <c r="C148" t="s">
        <v>13311</v>
      </c>
      <c r="D148" s="2" t="s">
        <v>5712</v>
      </c>
      <c r="E148" s="4">
        <v>17338.128568043918</v>
      </c>
    </row>
    <row r="149" spans="3:5">
      <c r="C149" t="s">
        <v>13311</v>
      </c>
      <c r="D149" s="2" t="s">
        <v>5094</v>
      </c>
      <c r="E149" s="4">
        <v>6530.5828618341402</v>
      </c>
    </row>
    <row r="150" spans="3:5">
      <c r="C150" t="s">
        <v>13311</v>
      </c>
      <c r="D150" s="2" t="s">
        <v>6937</v>
      </c>
      <c r="E150" s="4">
        <v>7544.6191463296645</v>
      </c>
    </row>
    <row r="151" spans="3:5">
      <c r="C151" t="s">
        <v>13311</v>
      </c>
      <c r="D151" s="2" t="s">
        <v>6898</v>
      </c>
      <c r="E151" s="4">
        <v>10489.2051417518</v>
      </c>
    </row>
    <row r="152" spans="3:5">
      <c r="C152" t="s">
        <v>13311</v>
      </c>
      <c r="D152" s="2" t="s">
        <v>5726</v>
      </c>
      <c r="E152" s="4">
        <v>4258.2667524150947</v>
      </c>
    </row>
    <row r="153" spans="3:5">
      <c r="C153" t="s">
        <v>13311</v>
      </c>
      <c r="D153" s="2" t="s">
        <v>6904</v>
      </c>
      <c r="E153" s="4">
        <v>8287.6429113356644</v>
      </c>
    </row>
    <row r="154" spans="3:5">
      <c r="C154" t="s">
        <v>13311</v>
      </c>
      <c r="D154" s="2" t="s">
        <v>6907</v>
      </c>
      <c r="E154" s="4">
        <v>2008.2893168919366</v>
      </c>
    </row>
    <row r="155" spans="3:5">
      <c r="C155" t="s">
        <v>13311</v>
      </c>
      <c r="D155" s="2" t="s">
        <v>5740</v>
      </c>
      <c r="E155" s="4">
        <v>2173.2416237389871</v>
      </c>
    </row>
    <row r="156" spans="3:5">
      <c r="C156" t="s">
        <v>13311</v>
      </c>
      <c r="D156" s="2" t="s">
        <v>5745</v>
      </c>
      <c r="E156" s="4">
        <v>867.07741368220604</v>
      </c>
    </row>
    <row r="157" spans="3:5">
      <c r="C157" t="s">
        <v>13311</v>
      </c>
      <c r="D157" s="2" t="s">
        <v>5757</v>
      </c>
      <c r="E157" s="4">
        <v>2471.1660353598995</v>
      </c>
    </row>
    <row r="158" spans="3:5">
      <c r="C158" t="s">
        <v>13311</v>
      </c>
      <c r="D158" s="2" t="s">
        <v>5764</v>
      </c>
      <c r="E158" s="4">
        <v>8535.1598416018696</v>
      </c>
    </row>
    <row r="159" spans="3:5">
      <c r="C159" t="s">
        <v>13311</v>
      </c>
      <c r="D159" s="2" t="s">
        <v>5770</v>
      </c>
      <c r="E159" s="4">
        <v>2177.8726877408608</v>
      </c>
    </row>
    <row r="160" spans="3:5">
      <c r="C160" t="s">
        <v>13311</v>
      </c>
      <c r="D160" s="2" t="s">
        <v>5788</v>
      </c>
      <c r="E160" s="4">
        <v>3109.381778430768</v>
      </c>
    </row>
    <row r="161" spans="3:5">
      <c r="C161" t="s">
        <v>13311</v>
      </c>
      <c r="D161" s="2" t="s">
        <v>5091</v>
      </c>
      <c r="E161" s="4">
        <v>2289.8416752835938</v>
      </c>
    </row>
    <row r="162" spans="3:5">
      <c r="C162" t="s">
        <v>13311</v>
      </c>
      <c r="D162" s="2" t="s">
        <v>5805</v>
      </c>
      <c r="E162" s="4">
        <v>5623.8096416524031</v>
      </c>
    </row>
    <row r="163" spans="3:5">
      <c r="C163" t="s">
        <v>13311</v>
      </c>
      <c r="D163" s="2" t="s">
        <v>5808</v>
      </c>
      <c r="E163" s="4">
        <v>13019.887665323877</v>
      </c>
    </row>
    <row r="164" spans="3:5">
      <c r="C164" t="s">
        <v>13311</v>
      </c>
      <c r="D164" s="2" t="s">
        <v>5811</v>
      </c>
      <c r="E164" s="4">
        <v>13519.926885993502</v>
      </c>
    </row>
    <row r="165" spans="3:5">
      <c r="C165" t="s">
        <v>13311</v>
      </c>
      <c r="D165" s="2" t="s">
        <v>5814</v>
      </c>
      <c r="E165" s="4">
        <v>4525.8544622662012</v>
      </c>
    </row>
    <row r="166" spans="3:5">
      <c r="C166" t="s">
        <v>13311</v>
      </c>
      <c r="D166" s="2" t="s">
        <v>7880</v>
      </c>
      <c r="E166" s="4">
        <v>73315.405229382333</v>
      </c>
    </row>
    <row r="167" spans="3:5">
      <c r="C167" t="s">
        <v>13311</v>
      </c>
      <c r="D167" s="2" t="s">
        <v>5122</v>
      </c>
      <c r="E167" s="4">
        <v>3748.3835433858644</v>
      </c>
    </row>
    <row r="168" spans="3:5">
      <c r="C168" t="s">
        <v>13311</v>
      </c>
      <c r="D168" s="2" t="s">
        <v>5352</v>
      </c>
      <c r="E168" s="4">
        <v>9800.493447330593</v>
      </c>
    </row>
    <row r="169" spans="3:5">
      <c r="C169" t="s">
        <v>13311</v>
      </c>
      <c r="D169" s="2" t="s">
        <v>5363</v>
      </c>
      <c r="E169" s="4">
        <v>408.05084137009965</v>
      </c>
    </row>
    <row r="170" spans="3:5">
      <c r="C170" t="s">
        <v>13311</v>
      </c>
      <c r="D170" s="2" t="s">
        <v>5842</v>
      </c>
      <c r="E170" s="4">
        <v>6835.0846773607254</v>
      </c>
    </row>
    <row r="171" spans="3:5">
      <c r="C171" t="s">
        <v>13311</v>
      </c>
      <c r="D171" s="2" t="s">
        <v>5856</v>
      </c>
      <c r="E171" s="4">
        <v>28838.472601934442</v>
      </c>
    </row>
    <row r="172" spans="3:5">
      <c r="C172" t="s">
        <v>13311</v>
      </c>
      <c r="D172" s="2" t="s">
        <v>7941</v>
      </c>
      <c r="E172" s="4">
        <v>1437.6629491342342</v>
      </c>
    </row>
    <row r="173" spans="3:5">
      <c r="C173" t="s">
        <v>13311</v>
      </c>
      <c r="D173" s="2" t="s">
        <v>5877</v>
      </c>
      <c r="E173" s="4">
        <v>6255.6385315774123</v>
      </c>
    </row>
    <row r="174" spans="3:5">
      <c r="C174" t="s">
        <v>13311</v>
      </c>
      <c r="D174" s="2" t="s">
        <v>7946</v>
      </c>
      <c r="E174" s="4">
        <v>6882.5233098237104</v>
      </c>
    </row>
    <row r="175" spans="3:5">
      <c r="C175" t="s">
        <v>13311</v>
      </c>
      <c r="D175" s="2" t="s">
        <v>5886</v>
      </c>
      <c r="E175" s="4">
        <v>8531.3590344820368</v>
      </c>
    </row>
    <row r="176" spans="3:5">
      <c r="C176" t="s">
        <v>13311</v>
      </c>
      <c r="D176" s="2" t="s">
        <v>5889</v>
      </c>
      <c r="E176" s="4">
        <v>4446.5326044560015</v>
      </c>
    </row>
    <row r="177" spans="3:5">
      <c r="C177" t="s">
        <v>13311</v>
      </c>
      <c r="D177" s="2" t="s">
        <v>5897</v>
      </c>
      <c r="E177" s="4">
        <v>4136.418048245293</v>
      </c>
    </row>
    <row r="178" spans="3:5">
      <c r="C178" t="s">
        <v>13311</v>
      </c>
      <c r="D178" s="2" t="s">
        <v>5900</v>
      </c>
      <c r="E178" s="4">
        <v>5200.7784481381095</v>
      </c>
    </row>
    <row r="179" spans="3:5">
      <c r="C179" t="s">
        <v>13311</v>
      </c>
      <c r="D179" s="2" t="s">
        <v>5903</v>
      </c>
      <c r="E179" s="4">
        <v>1575.5162157822233</v>
      </c>
    </row>
    <row r="180" spans="3:5">
      <c r="C180" t="s">
        <v>13311</v>
      </c>
      <c r="D180" s="2" t="s">
        <v>5908</v>
      </c>
      <c r="E180" s="4">
        <v>413.41688687410766</v>
      </c>
    </row>
    <row r="181" spans="3:5">
      <c r="C181" t="s">
        <v>13311</v>
      </c>
      <c r="D181" s="2" t="s">
        <v>5482</v>
      </c>
      <c r="E181" s="4">
        <v>2999.4595102099511</v>
      </c>
    </row>
    <row r="182" spans="3:5">
      <c r="C182" t="s">
        <v>13311</v>
      </c>
      <c r="D182" s="2" t="s">
        <v>5489</v>
      </c>
      <c r="E182" s="4">
        <v>838.9694752637796</v>
      </c>
    </row>
    <row r="183" spans="3:5">
      <c r="C183" t="s">
        <v>13311</v>
      </c>
      <c r="D183" s="2" t="s">
        <v>5914</v>
      </c>
      <c r="E183" s="4">
        <v>2464.7910916365263</v>
      </c>
    </row>
    <row r="184" spans="3:5">
      <c r="C184" t="s">
        <v>13311</v>
      </c>
      <c r="D184" s="2" t="s">
        <v>3930</v>
      </c>
      <c r="E184" s="4">
        <v>2876.6104145511335</v>
      </c>
    </row>
    <row r="185" spans="3:5">
      <c r="C185" t="s">
        <v>13311</v>
      </c>
      <c r="D185" s="2" t="s">
        <v>8012</v>
      </c>
      <c r="E185" s="4">
        <v>1575.5706588564553</v>
      </c>
    </row>
    <row r="186" spans="3:5">
      <c r="C186" t="s">
        <v>13311</v>
      </c>
      <c r="D186" s="2" t="s">
        <v>11590</v>
      </c>
      <c r="E186" s="4">
        <v>1977.421795148367</v>
      </c>
    </row>
    <row r="187" spans="3:5">
      <c r="C187" t="s">
        <v>13311</v>
      </c>
      <c r="D187" s="2" t="s">
        <v>6055</v>
      </c>
      <c r="E187" s="4">
        <v>9511.1846522069227</v>
      </c>
    </row>
    <row r="188" spans="3:5">
      <c r="C188" t="s">
        <v>13311</v>
      </c>
      <c r="D188" s="2" t="s">
        <v>7492</v>
      </c>
      <c r="E188" s="4">
        <v>4127.6510119478444</v>
      </c>
    </row>
    <row r="189" spans="3:5">
      <c r="C189" t="s">
        <v>13311</v>
      </c>
      <c r="D189" s="2" t="s">
        <v>6065</v>
      </c>
      <c r="E189" s="4">
        <v>1656.2808150595749</v>
      </c>
    </row>
    <row r="190" spans="3:5">
      <c r="C190" t="s">
        <v>13311</v>
      </c>
      <c r="D190" s="2" t="s">
        <v>7557</v>
      </c>
      <c r="E190" s="4">
        <v>3050.651312102817</v>
      </c>
    </row>
    <row r="191" spans="3:5">
      <c r="C191" t="s">
        <v>13311</v>
      </c>
      <c r="D191" s="2" t="s">
        <v>6080</v>
      </c>
      <c r="E191" s="4">
        <v>9758.7117905495452</v>
      </c>
    </row>
    <row r="192" spans="3:5">
      <c r="C192" t="s">
        <v>13311</v>
      </c>
      <c r="D192" s="2" t="s">
        <v>6083</v>
      </c>
      <c r="E192" s="4">
        <v>1133.3823085967167</v>
      </c>
    </row>
    <row r="193" spans="3:5">
      <c r="C193" t="s">
        <v>13311</v>
      </c>
      <c r="D193" s="2" t="s">
        <v>6086</v>
      </c>
      <c r="E193" s="4">
        <v>9865.2075477858743</v>
      </c>
    </row>
    <row r="194" spans="3:5">
      <c r="C194" t="s">
        <v>13311</v>
      </c>
      <c r="D194" s="2" t="s">
        <v>7586</v>
      </c>
      <c r="E194" s="4">
        <v>10951.004908157607</v>
      </c>
    </row>
    <row r="195" spans="3:5">
      <c r="C195" t="s">
        <v>13311</v>
      </c>
      <c r="D195" s="2" t="s">
        <v>7495</v>
      </c>
      <c r="E195" s="4">
        <v>24813.191583003772</v>
      </c>
    </row>
    <row r="196" spans="3:5">
      <c r="C196" t="s">
        <v>13311</v>
      </c>
      <c r="D196" s="2" t="s">
        <v>7465</v>
      </c>
      <c r="E196" s="4">
        <v>4797.6972386377638</v>
      </c>
    </row>
    <row r="197" spans="3:5">
      <c r="C197" t="s">
        <v>13311</v>
      </c>
      <c r="D197" s="2" t="s">
        <v>7512</v>
      </c>
      <c r="E197" s="4">
        <v>3305.8004808379424</v>
      </c>
    </row>
    <row r="198" spans="3:5">
      <c r="C198" t="s">
        <v>13311</v>
      </c>
      <c r="D198" s="2" t="s">
        <v>6097</v>
      </c>
      <c r="E198" s="4">
        <v>7515.0905839429934</v>
      </c>
    </row>
    <row r="199" spans="3:5">
      <c r="C199" t="s">
        <v>13311</v>
      </c>
      <c r="D199" s="2" t="s">
        <v>6100</v>
      </c>
      <c r="E199" s="4">
        <v>12304.010578206891</v>
      </c>
    </row>
    <row r="200" spans="3:5">
      <c r="C200" t="s">
        <v>13311</v>
      </c>
      <c r="D200" s="2" t="s">
        <v>6103</v>
      </c>
      <c r="E200" s="4">
        <v>3163.6598220941701</v>
      </c>
    </row>
    <row r="201" spans="3:5">
      <c r="C201" t="s">
        <v>13311</v>
      </c>
      <c r="D201" s="2" t="s">
        <v>6106</v>
      </c>
      <c r="E201" s="4">
        <v>5416.7200966957244</v>
      </c>
    </row>
    <row r="202" spans="3:5">
      <c r="C202" t="s">
        <v>13311</v>
      </c>
      <c r="D202" s="2" t="s">
        <v>6109</v>
      </c>
      <c r="E202" s="4">
        <v>4054.5339632540436</v>
      </c>
    </row>
    <row r="203" spans="3:5">
      <c r="C203" t="s">
        <v>13311</v>
      </c>
      <c r="D203" s="2" t="s">
        <v>7450</v>
      </c>
      <c r="E203" s="4">
        <v>1021.573247584541</v>
      </c>
    </row>
    <row r="204" spans="3:5">
      <c r="C204" t="s">
        <v>13311</v>
      </c>
      <c r="D204" s="2" t="s">
        <v>18180</v>
      </c>
      <c r="E204" s="4">
        <v>7753.6635379204918</v>
      </c>
    </row>
    <row r="205" spans="3:5">
      <c r="C205" t="s">
        <v>13311</v>
      </c>
      <c r="D205" s="2" t="s">
        <v>7530</v>
      </c>
      <c r="E205" s="4">
        <v>11914.984188588793</v>
      </c>
    </row>
    <row r="206" spans="3:5">
      <c r="C206" t="s">
        <v>13311</v>
      </c>
      <c r="D206" s="2" t="s">
        <v>6124</v>
      </c>
      <c r="E206" s="4">
        <v>2350.705629583018</v>
      </c>
    </row>
    <row r="207" spans="3:5">
      <c r="C207" t="s">
        <v>13311</v>
      </c>
      <c r="D207" s="2" t="s">
        <v>7562</v>
      </c>
      <c r="E207" s="4">
        <v>8736.483524728148</v>
      </c>
    </row>
    <row r="208" spans="3:5">
      <c r="C208" t="s">
        <v>13311</v>
      </c>
      <c r="D208" s="2" t="s">
        <v>6140</v>
      </c>
      <c r="E208" s="4">
        <v>6710.6141988974305</v>
      </c>
    </row>
    <row r="209" spans="3:5">
      <c r="C209" t="s">
        <v>13311</v>
      </c>
      <c r="D209" s="2" t="s">
        <v>7908</v>
      </c>
      <c r="E209" s="4">
        <v>3792.3344164058522</v>
      </c>
    </row>
    <row r="210" spans="3:5">
      <c r="C210" t="s">
        <v>13311</v>
      </c>
      <c r="D210" s="2" t="s">
        <v>6153</v>
      </c>
      <c r="E210" s="4">
        <v>2150.8825336902637</v>
      </c>
    </row>
    <row r="211" spans="3:5">
      <c r="C211" t="s">
        <v>13311</v>
      </c>
      <c r="D211" s="2" t="s">
        <v>6158</v>
      </c>
      <c r="E211" s="4">
        <v>9995.826690945265</v>
      </c>
    </row>
    <row r="212" spans="3:5">
      <c r="C212" t="s">
        <v>13311</v>
      </c>
      <c r="D212" s="2" t="s">
        <v>7618</v>
      </c>
      <c r="E212" s="4">
        <v>1506.9740866699935</v>
      </c>
    </row>
    <row r="213" spans="3:5">
      <c r="C213" t="s">
        <v>13311</v>
      </c>
      <c r="D213" s="2" t="s">
        <v>6174</v>
      </c>
      <c r="E213" s="4">
        <v>14996.486008974482</v>
      </c>
    </row>
    <row r="214" spans="3:5">
      <c r="C214" t="s">
        <v>13311</v>
      </c>
      <c r="D214" s="2" t="s">
        <v>6181</v>
      </c>
      <c r="E214" s="4">
        <v>5390.6895018284686</v>
      </c>
    </row>
    <row r="215" spans="3:5">
      <c r="C215" t="s">
        <v>13311</v>
      </c>
      <c r="D215" s="2" t="s">
        <v>6192</v>
      </c>
      <c r="E215" s="4">
        <v>4704.8905118786861</v>
      </c>
    </row>
    <row r="216" spans="3:5">
      <c r="C216" t="s">
        <v>13311</v>
      </c>
      <c r="D216" s="2" t="s">
        <v>6195</v>
      </c>
      <c r="E216" s="4">
        <v>28310.216556697927</v>
      </c>
    </row>
    <row r="217" spans="3:5">
      <c r="C217" t="s">
        <v>13311</v>
      </c>
      <c r="D217" s="2" t="s">
        <v>6198</v>
      </c>
      <c r="E217" s="4">
        <v>9251.7582994524328</v>
      </c>
    </row>
    <row r="218" spans="3:5">
      <c r="C218" t="s">
        <v>13311</v>
      </c>
      <c r="D218" s="2" t="s">
        <v>7642</v>
      </c>
      <c r="E218" s="4">
        <v>3305.1488652932258</v>
      </c>
    </row>
    <row r="219" spans="3:5">
      <c r="C219" t="s">
        <v>13311</v>
      </c>
      <c r="D219" s="2" t="s">
        <v>6204</v>
      </c>
      <c r="E219" s="4">
        <v>1825.3214565122476</v>
      </c>
    </row>
    <row r="220" spans="3:5">
      <c r="C220" t="s">
        <v>13311</v>
      </c>
      <c r="D220" s="2" t="s">
        <v>6213</v>
      </c>
      <c r="E220" s="4">
        <v>7839.513460600343</v>
      </c>
    </row>
    <row r="221" spans="3:5">
      <c r="C221" t="s">
        <v>13311</v>
      </c>
      <c r="D221" s="2" t="s">
        <v>6220</v>
      </c>
      <c r="E221" s="4">
        <v>1799.5647783622226</v>
      </c>
    </row>
    <row r="222" spans="3:5">
      <c r="C222" t="s">
        <v>13311</v>
      </c>
      <c r="D222" s="2" t="s">
        <v>6234</v>
      </c>
      <c r="E222" s="4">
        <v>13268.478144960094</v>
      </c>
    </row>
    <row r="223" spans="3:5">
      <c r="C223" t="s">
        <v>13311</v>
      </c>
      <c r="D223" s="2" t="s">
        <v>6237</v>
      </c>
      <c r="E223" s="4">
        <v>7516.5333254101452</v>
      </c>
    </row>
    <row r="224" spans="3:5">
      <c r="C224" t="s">
        <v>13311</v>
      </c>
      <c r="D224" s="2" t="s">
        <v>6243</v>
      </c>
      <c r="E224" s="4">
        <v>5318.5456230865684</v>
      </c>
    </row>
    <row r="225" spans="3:5">
      <c r="C225" t="s">
        <v>13311</v>
      </c>
      <c r="D225" s="2" t="s">
        <v>6246</v>
      </c>
      <c r="E225" s="4">
        <v>11119.761424816632</v>
      </c>
    </row>
    <row r="226" spans="3:5">
      <c r="C226" t="s">
        <v>13311</v>
      </c>
      <c r="D226" s="2" t="s">
        <v>7676</v>
      </c>
      <c r="E226" s="4">
        <v>3723.0862286746733</v>
      </c>
    </row>
    <row r="227" spans="3:5">
      <c r="C227" t="s">
        <v>13311</v>
      </c>
      <c r="D227" s="2" t="s">
        <v>6270</v>
      </c>
      <c r="E227" s="4">
        <v>788.37144314925843</v>
      </c>
    </row>
    <row r="228" spans="3:5">
      <c r="C228" t="s">
        <v>13311</v>
      </c>
      <c r="D228" s="2" t="s">
        <v>7657</v>
      </c>
      <c r="E228" s="4">
        <v>15756.805658125615</v>
      </c>
    </row>
    <row r="229" spans="3:5">
      <c r="C229" t="s">
        <v>13311</v>
      </c>
      <c r="D229" s="2" t="s">
        <v>6883</v>
      </c>
      <c r="E229" s="4">
        <v>1599.5562357478648</v>
      </c>
    </row>
    <row r="230" spans="3:5">
      <c r="C230" t="s">
        <v>13311</v>
      </c>
      <c r="D230" s="2" t="s">
        <v>7789</v>
      </c>
      <c r="E230" s="4">
        <v>2579.155574445474</v>
      </c>
    </row>
    <row r="231" spans="3:5">
      <c r="C231" t="s">
        <v>13311</v>
      </c>
      <c r="D231" s="2" t="s">
        <v>6287</v>
      </c>
      <c r="E231" s="4">
        <v>3359.9100912404383</v>
      </c>
    </row>
    <row r="232" spans="3:5">
      <c r="C232" t="s">
        <v>13311</v>
      </c>
      <c r="D232" s="2" t="s">
        <v>6290</v>
      </c>
      <c r="E232" s="4">
        <v>2805.5077596039223</v>
      </c>
    </row>
    <row r="233" spans="3:5">
      <c r="C233" t="s">
        <v>13311</v>
      </c>
      <c r="D233" s="2" t="s">
        <v>6297</v>
      </c>
      <c r="E233" s="4">
        <v>16664.584373834579</v>
      </c>
    </row>
    <row r="234" spans="3:5">
      <c r="C234" t="s">
        <v>13311</v>
      </c>
      <c r="D234" s="2" t="s">
        <v>6299</v>
      </c>
      <c r="E234" s="4">
        <v>2629.7961402117389</v>
      </c>
    </row>
    <row r="235" spans="3:5">
      <c r="C235" t="s">
        <v>13311</v>
      </c>
      <c r="D235" s="2" t="s">
        <v>6309</v>
      </c>
      <c r="E235" s="4">
        <v>1959.081284516405</v>
      </c>
    </row>
    <row r="236" spans="3:5">
      <c r="C236" t="s">
        <v>13311</v>
      </c>
      <c r="D236" s="2" t="s">
        <v>6790</v>
      </c>
      <c r="E236" s="4">
        <v>17418.280682736156</v>
      </c>
    </row>
    <row r="237" spans="3:5">
      <c r="C237" t="s">
        <v>13311</v>
      </c>
      <c r="D237" s="2" t="s">
        <v>6315</v>
      </c>
      <c r="E237" s="4">
        <v>14073.556806514353</v>
      </c>
    </row>
    <row r="238" spans="3:5">
      <c r="C238" t="s">
        <v>13311</v>
      </c>
      <c r="D238" s="2" t="s">
        <v>6321</v>
      </c>
      <c r="E238" s="4">
        <v>9045.0141277479161</v>
      </c>
    </row>
    <row r="239" spans="3:5">
      <c r="C239" t="s">
        <v>13311</v>
      </c>
      <c r="D239" s="2" t="s">
        <v>6327</v>
      </c>
      <c r="E239" s="4">
        <v>1624.9028894950786</v>
      </c>
    </row>
    <row r="240" spans="3:5">
      <c r="C240" t="s">
        <v>13311</v>
      </c>
      <c r="D240" s="2" t="s">
        <v>18181</v>
      </c>
      <c r="E240" s="4">
        <v>4120.484942302036</v>
      </c>
    </row>
    <row r="241" spans="3:5">
      <c r="C241" t="s">
        <v>13311</v>
      </c>
      <c r="D241" s="2" t="s">
        <v>18182</v>
      </c>
      <c r="E241" s="4">
        <v>1827.6914315874164</v>
      </c>
    </row>
    <row r="242" spans="3:5">
      <c r="C242" t="s">
        <v>13311</v>
      </c>
      <c r="D242" s="2" t="s">
        <v>13215</v>
      </c>
      <c r="E242" s="4">
        <v>836.44127500412333</v>
      </c>
    </row>
    <row r="243" spans="3:5">
      <c r="C243" t="s">
        <v>13311</v>
      </c>
      <c r="D243" s="2" t="s">
        <v>3667</v>
      </c>
      <c r="E243" s="4">
        <v>41564.093749687381</v>
      </c>
    </row>
    <row r="244" spans="3:5">
      <c r="C244" t="s">
        <v>13311</v>
      </c>
      <c r="D244" s="2" t="s">
        <v>3712</v>
      </c>
      <c r="E244" s="4">
        <v>1302.1847615996237</v>
      </c>
    </row>
    <row r="245" spans="3:5">
      <c r="C245" t="s">
        <v>13311</v>
      </c>
      <c r="D245" s="2" t="s">
        <v>3639</v>
      </c>
      <c r="E245" s="4">
        <v>507.32098184817909</v>
      </c>
    </row>
    <row r="246" spans="3:5">
      <c r="C246" t="s">
        <v>13311</v>
      </c>
      <c r="D246" s="2" t="s">
        <v>3678</v>
      </c>
      <c r="E246" s="4">
        <v>7158.0563058205744</v>
      </c>
    </row>
    <row r="247" spans="3:5">
      <c r="C247" t="s">
        <v>13311</v>
      </c>
      <c r="D247" s="2" t="s">
        <v>3653</v>
      </c>
      <c r="E247" s="4">
        <v>8387.1359281488822</v>
      </c>
    </row>
    <row r="248" spans="3:5">
      <c r="C248" t="s">
        <v>13311</v>
      </c>
      <c r="D248" s="2" t="s">
        <v>6496</v>
      </c>
      <c r="E248" s="4">
        <v>850.67303487762592</v>
      </c>
    </row>
    <row r="249" spans="3:5">
      <c r="C249" t="s">
        <v>13311</v>
      </c>
      <c r="D249" s="2" t="s">
        <v>10510</v>
      </c>
      <c r="E249" s="4">
        <v>1439.6399132672898</v>
      </c>
    </row>
    <row r="250" spans="3:5">
      <c r="C250" t="s">
        <v>13311</v>
      </c>
      <c r="D250" s="2" t="s">
        <v>18190</v>
      </c>
      <c r="E250" s="4">
        <v>1531.7746083288157</v>
      </c>
    </row>
    <row r="251" spans="3:5">
      <c r="C251" t="s">
        <v>13311</v>
      </c>
      <c r="D251" s="2" t="s">
        <v>11787</v>
      </c>
      <c r="E251" s="4">
        <v>3327.0417865188365</v>
      </c>
    </row>
    <row r="252" spans="3:5">
      <c r="C252" t="s">
        <v>13311</v>
      </c>
      <c r="D252" s="2" t="s">
        <v>11846</v>
      </c>
      <c r="E252" s="4">
        <v>4616.694432968643</v>
      </c>
    </row>
    <row r="253" spans="3:5">
      <c r="C253" t="s">
        <v>13311</v>
      </c>
      <c r="D253" s="2" t="s">
        <v>12072</v>
      </c>
      <c r="E253" s="4">
        <v>2627.2713426442224</v>
      </c>
    </row>
    <row r="254" spans="3:5">
      <c r="C254" t="s">
        <v>13311</v>
      </c>
      <c r="D254" s="2" t="s">
        <v>12075</v>
      </c>
      <c r="E254" s="4">
        <v>2270.0856447215956</v>
      </c>
    </row>
    <row r="255" spans="3:5">
      <c r="C255" t="s">
        <v>13311</v>
      </c>
      <c r="D255" s="2" t="s">
        <v>7067</v>
      </c>
      <c r="E255" s="4">
        <v>4669.0635663417788</v>
      </c>
    </row>
    <row r="256" spans="3:5">
      <c r="C256" t="s">
        <v>13311</v>
      </c>
      <c r="D256" s="2" t="s">
        <v>12281</v>
      </c>
      <c r="E256" s="4">
        <v>8263.2881423471208</v>
      </c>
    </row>
    <row r="257" spans="3:5">
      <c r="C257" t="s">
        <v>13311</v>
      </c>
      <c r="D257" s="2" t="s">
        <v>6135</v>
      </c>
      <c r="E257" s="4">
        <v>33009.453495586815</v>
      </c>
    </row>
    <row r="258" spans="3:5">
      <c r="C258" t="s">
        <v>13311</v>
      </c>
      <c r="D258" s="2" t="s">
        <v>12340</v>
      </c>
      <c r="E258" s="4">
        <v>1382.8676962656268</v>
      </c>
    </row>
    <row r="259" spans="3:5">
      <c r="C259" t="s">
        <v>13311</v>
      </c>
      <c r="D259" s="2" t="s">
        <v>12343</v>
      </c>
      <c r="E259" s="4">
        <v>3725.1771829944028</v>
      </c>
    </row>
    <row r="260" spans="3:5">
      <c r="C260" t="s">
        <v>13311</v>
      </c>
      <c r="D260" s="2" t="s">
        <v>12932</v>
      </c>
      <c r="E260" s="4">
        <v>28097.305005490547</v>
      </c>
    </row>
    <row r="261" spans="3:5">
      <c r="C261" t="s">
        <v>13311</v>
      </c>
      <c r="D261" s="2" t="s">
        <v>3924</v>
      </c>
      <c r="E261" s="4">
        <v>520.61189734510708</v>
      </c>
    </row>
    <row r="262" spans="3:5">
      <c r="C262" t="s">
        <v>13311</v>
      </c>
      <c r="D262" s="2" t="s">
        <v>6176</v>
      </c>
      <c r="E262" s="4">
        <v>2986.0784233713262</v>
      </c>
    </row>
    <row r="263" spans="3:5">
      <c r="C263" t="s">
        <v>13311</v>
      </c>
      <c r="D263" s="2" t="s">
        <v>11840</v>
      </c>
      <c r="E263" s="4">
        <v>1033.9403321655918</v>
      </c>
    </row>
    <row r="264" spans="3:5">
      <c r="C264" t="s">
        <v>13311</v>
      </c>
      <c r="D264" s="2" t="s">
        <v>5717</v>
      </c>
      <c r="E264" s="4">
        <v>2811.3757021985075</v>
      </c>
    </row>
    <row r="265" spans="3:5">
      <c r="C265" t="s">
        <v>13311</v>
      </c>
      <c r="D265" s="2" t="s">
        <v>20145</v>
      </c>
      <c r="E265" s="4">
        <v>10452.893312585013</v>
      </c>
    </row>
    <row r="266" spans="3:5">
      <c r="C266" t="s">
        <v>13311</v>
      </c>
      <c r="D266" s="2" t="s">
        <v>5706</v>
      </c>
      <c r="E266" s="4">
        <v>9538.7124316155623</v>
      </c>
    </row>
    <row r="267" spans="3:5">
      <c r="C267" t="s">
        <v>13311</v>
      </c>
      <c r="D267" s="2" t="s">
        <v>20152</v>
      </c>
      <c r="E267" s="4">
        <v>1422.0956325959737</v>
      </c>
    </row>
    <row r="268" spans="3:5">
      <c r="C268" t="s">
        <v>13311</v>
      </c>
      <c r="D268" s="2" t="s">
        <v>20163</v>
      </c>
      <c r="E268" s="4">
        <v>5964.051634066338</v>
      </c>
    </row>
    <row r="269" spans="3:5">
      <c r="C269" t="s">
        <v>13311</v>
      </c>
      <c r="D269" s="2" t="s">
        <v>20164</v>
      </c>
      <c r="E269" s="4">
        <v>7621.428115994835</v>
      </c>
    </row>
    <row r="270" spans="3:5">
      <c r="C270" t="s">
        <v>13311</v>
      </c>
      <c r="D270" s="2" t="s">
        <v>20171</v>
      </c>
      <c r="E270" s="4">
        <v>1415.3889263889985</v>
      </c>
    </row>
    <row r="271" spans="3:5">
      <c r="C271" t="s">
        <v>13311</v>
      </c>
      <c r="D271" s="2" t="s">
        <v>20172</v>
      </c>
      <c r="E271" s="4">
        <v>4070.1438134440477</v>
      </c>
    </row>
    <row r="272" spans="3:5">
      <c r="C272" t="s">
        <v>13311</v>
      </c>
      <c r="D272" s="2" t="s">
        <v>20236</v>
      </c>
      <c r="E272" s="4">
        <v>10466.1246809695</v>
      </c>
    </row>
    <row r="273" spans="3:5">
      <c r="C273" t="s">
        <v>13311</v>
      </c>
      <c r="D273" s="2" t="s">
        <v>5150</v>
      </c>
      <c r="E273" s="4">
        <v>1058.1845136596041</v>
      </c>
    </row>
    <row r="274" spans="3:5">
      <c r="C274" t="s">
        <v>13282</v>
      </c>
      <c r="D274" s="2" t="s">
        <v>6634</v>
      </c>
      <c r="E274" s="4">
        <v>1383.752073769796</v>
      </c>
    </row>
    <row r="275" spans="3:5">
      <c r="C275" t="s">
        <v>13282</v>
      </c>
      <c r="D275" s="2" t="s">
        <v>6637</v>
      </c>
      <c r="E275" s="4">
        <v>1845.0040545455652</v>
      </c>
    </row>
    <row r="276" spans="3:5">
      <c r="C276" t="s">
        <v>13282</v>
      </c>
      <c r="D276" s="2" t="s">
        <v>5389</v>
      </c>
      <c r="E276" s="4">
        <v>1886.5600993450998</v>
      </c>
    </row>
    <row r="277" spans="3:5">
      <c r="C277" t="s">
        <v>13282</v>
      </c>
      <c r="D277" s="2" t="s">
        <v>5398</v>
      </c>
      <c r="E277" s="4">
        <v>2794.7194496401989</v>
      </c>
    </row>
    <row r="278" spans="3:5">
      <c r="C278" t="s">
        <v>13282</v>
      </c>
      <c r="D278" s="2" t="s">
        <v>6844</v>
      </c>
      <c r="E278" s="4">
        <v>1375.9994845146973</v>
      </c>
    </row>
    <row r="279" spans="3:5">
      <c r="C279" t="s">
        <v>13282</v>
      </c>
      <c r="D279" s="2" t="s">
        <v>5983</v>
      </c>
      <c r="E279" s="4">
        <v>4029.2689972669627</v>
      </c>
    </row>
    <row r="280" spans="3:5">
      <c r="C280" t="s">
        <v>13282</v>
      </c>
      <c r="D280" s="2" t="s">
        <v>6913</v>
      </c>
      <c r="E280" s="4">
        <v>842.8503623686662</v>
      </c>
    </row>
    <row r="281" spans="3:5">
      <c r="C281" t="s">
        <v>13282</v>
      </c>
      <c r="D281" s="2" t="s">
        <v>5672</v>
      </c>
      <c r="E281" s="4">
        <v>743.1112125807681</v>
      </c>
    </row>
    <row r="282" spans="3:5">
      <c r="C282" t="s">
        <v>13282</v>
      </c>
      <c r="D282" s="2" t="s">
        <v>5735</v>
      </c>
      <c r="E282" s="4">
        <v>711.10276772214308</v>
      </c>
    </row>
    <row r="283" spans="3:5">
      <c r="C283" t="s">
        <v>13282</v>
      </c>
      <c r="D283" s="2" t="s">
        <v>5778</v>
      </c>
      <c r="E283" s="4">
        <v>1990.4424742289116</v>
      </c>
    </row>
    <row r="284" spans="3:5">
      <c r="C284" t="s">
        <v>13282</v>
      </c>
      <c r="D284" s="2" t="s">
        <v>7033</v>
      </c>
      <c r="E284" s="4">
        <v>1717.9374144891967</v>
      </c>
    </row>
    <row r="285" spans="3:5">
      <c r="C285" t="s">
        <v>13282</v>
      </c>
      <c r="D285" s="2" t="s">
        <v>7044</v>
      </c>
      <c r="E285" s="4">
        <v>1059.056304628617</v>
      </c>
    </row>
    <row r="286" spans="3:5">
      <c r="C286" t="s">
        <v>13282</v>
      </c>
      <c r="D286" s="2" t="s">
        <v>6382</v>
      </c>
      <c r="E286" s="4">
        <v>1306.7097509078769</v>
      </c>
    </row>
    <row r="287" spans="3:5">
      <c r="C287" t="s">
        <v>13282</v>
      </c>
      <c r="D287" s="2" t="s">
        <v>7148</v>
      </c>
      <c r="E287" s="4">
        <v>1092.4729044218009</v>
      </c>
    </row>
    <row r="288" spans="3:5">
      <c r="C288" t="s">
        <v>13282</v>
      </c>
      <c r="D288" s="2" t="s">
        <v>7151</v>
      </c>
      <c r="E288" s="4">
        <v>588.9491957066798</v>
      </c>
    </row>
    <row r="289" spans="3:5">
      <c r="C289" t="s">
        <v>13282</v>
      </c>
      <c r="D289" s="2" t="s">
        <v>7160</v>
      </c>
      <c r="E289" s="4">
        <v>637.08178827750544</v>
      </c>
    </row>
    <row r="290" spans="3:5">
      <c r="C290" t="s">
        <v>13282</v>
      </c>
      <c r="D290" s="2" t="s">
        <v>7193</v>
      </c>
      <c r="E290" s="4">
        <v>974.63277403280199</v>
      </c>
    </row>
    <row r="291" spans="3:5">
      <c r="C291" t="s">
        <v>13282</v>
      </c>
      <c r="D291" s="2" t="s">
        <v>7196</v>
      </c>
      <c r="E291" s="4">
        <v>835.29893810421902</v>
      </c>
    </row>
    <row r="292" spans="3:5">
      <c r="C292" t="s">
        <v>13282</v>
      </c>
      <c r="D292" s="2" t="s">
        <v>7235</v>
      </c>
      <c r="E292" s="4">
        <v>2528.6980922914745</v>
      </c>
    </row>
    <row r="293" spans="3:5">
      <c r="C293" t="s">
        <v>13311</v>
      </c>
      <c r="D293" s="2" t="s">
        <v>5183</v>
      </c>
      <c r="E293" s="4">
        <v>11022.653840532534</v>
      </c>
    </row>
    <row r="294" spans="3:5">
      <c r="C294" t="s">
        <v>13311</v>
      </c>
      <c r="D294" s="2" t="s">
        <v>3733</v>
      </c>
      <c r="E294" s="4">
        <v>10371.529188484565</v>
      </c>
    </row>
    <row r="295" spans="3:5">
      <c r="C295" t="s">
        <v>13311</v>
      </c>
      <c r="D295" s="2" t="s">
        <v>3736</v>
      </c>
      <c r="E295" s="4">
        <v>8788.3800548467352</v>
      </c>
    </row>
    <row r="296" spans="3:5">
      <c r="C296" s="38" t="s">
        <v>13311</v>
      </c>
      <c r="D296" s="2" t="s">
        <v>3739</v>
      </c>
      <c r="E296" s="4">
        <v>10138.970853619174</v>
      </c>
    </row>
    <row r="297" spans="3:5">
      <c r="C297" t="s">
        <v>13311</v>
      </c>
      <c r="D297" s="2" t="s">
        <v>3742</v>
      </c>
      <c r="E297" s="4">
        <v>5017.8750010350022</v>
      </c>
    </row>
    <row r="298" spans="3:5">
      <c r="C298" s="38" t="s">
        <v>13311</v>
      </c>
      <c r="D298" s="2" t="s">
        <v>6523</v>
      </c>
      <c r="E298" s="4">
        <v>12204.420789458416</v>
      </c>
    </row>
    <row r="299" spans="3:5">
      <c r="C299" t="s">
        <v>13311</v>
      </c>
      <c r="D299" s="2" t="s">
        <v>6595</v>
      </c>
      <c r="E299" s="4">
        <v>10300.080799785756</v>
      </c>
    </row>
    <row r="300" spans="3:5">
      <c r="C300" t="s">
        <v>13311</v>
      </c>
      <c r="D300" s="2" t="s">
        <v>6598</v>
      </c>
      <c r="E300" s="4">
        <v>5363.9019963002393</v>
      </c>
    </row>
    <row r="301" spans="3:5">
      <c r="C301" s="38" t="s">
        <v>13311</v>
      </c>
      <c r="D301" s="2" t="s">
        <v>6604</v>
      </c>
      <c r="E301" s="4">
        <v>19355.747230287812</v>
      </c>
    </row>
    <row r="302" spans="3:5">
      <c r="C302" t="s">
        <v>13311</v>
      </c>
      <c r="D302" s="2" t="s">
        <v>6613</v>
      </c>
      <c r="E302" s="4">
        <v>6285.0519627223948</v>
      </c>
    </row>
    <row r="303" spans="3:5">
      <c r="C303" s="38" t="s">
        <v>13311</v>
      </c>
      <c r="D303" s="2" t="s">
        <v>6823</v>
      </c>
      <c r="E303" s="4">
        <v>21234.833276518719</v>
      </c>
    </row>
    <row r="304" spans="3:5">
      <c r="C304" t="s">
        <v>13311</v>
      </c>
      <c r="D304" s="2" t="s">
        <v>6622</v>
      </c>
      <c r="E304" s="4">
        <v>4307.2209859843124</v>
      </c>
    </row>
    <row r="305" spans="3:5">
      <c r="C305" t="s">
        <v>13311</v>
      </c>
      <c r="D305" s="2" t="s">
        <v>6625</v>
      </c>
      <c r="E305" s="4">
        <v>29496.327403832194</v>
      </c>
    </row>
    <row r="306" spans="3:5">
      <c r="C306" t="s">
        <v>13311</v>
      </c>
      <c r="D306" s="2" t="s">
        <v>6628</v>
      </c>
      <c r="E306" s="4">
        <v>13197.730959161685</v>
      </c>
    </row>
    <row r="307" spans="3:5">
      <c r="C307" t="s">
        <v>13311</v>
      </c>
      <c r="D307" s="2" t="s">
        <v>6634</v>
      </c>
      <c r="E307" s="4">
        <v>7780.2649155430381</v>
      </c>
    </row>
    <row r="308" spans="3:5">
      <c r="C308" t="s">
        <v>13311</v>
      </c>
      <c r="D308" s="2" t="s">
        <v>6637</v>
      </c>
      <c r="E308" s="4">
        <v>71475.05853430026</v>
      </c>
    </row>
    <row r="309" spans="3:5">
      <c r="C309" t="s">
        <v>13311</v>
      </c>
      <c r="D309" s="2" t="s">
        <v>6640</v>
      </c>
      <c r="E309" s="4">
        <v>2931.3685066550906</v>
      </c>
    </row>
    <row r="310" spans="3:5">
      <c r="C310" t="s">
        <v>13311</v>
      </c>
      <c r="D310" s="2" t="s">
        <v>6652</v>
      </c>
      <c r="E310" s="4">
        <v>12099.033545702234</v>
      </c>
    </row>
    <row r="311" spans="3:5">
      <c r="C311" t="s">
        <v>13311</v>
      </c>
      <c r="D311" s="2" t="s">
        <v>6679</v>
      </c>
      <c r="E311" s="4">
        <v>8913.4273078815677</v>
      </c>
    </row>
    <row r="312" spans="3:5">
      <c r="C312" t="s">
        <v>13311</v>
      </c>
      <c r="D312" s="2" t="s">
        <v>6682</v>
      </c>
      <c r="E312" s="4">
        <v>42265.487956083918</v>
      </c>
    </row>
    <row r="313" spans="3:5">
      <c r="C313" s="38" t="s">
        <v>13311</v>
      </c>
      <c r="D313" s="2" t="s">
        <v>6021</v>
      </c>
      <c r="E313" s="4">
        <v>57921.164959190522</v>
      </c>
    </row>
    <row r="314" spans="3:5">
      <c r="C314" t="s">
        <v>13311</v>
      </c>
      <c r="D314" s="2" t="s">
        <v>6688</v>
      </c>
      <c r="E314" s="4">
        <v>8778.8556662509018</v>
      </c>
    </row>
    <row r="315" spans="3:5">
      <c r="C315" t="s">
        <v>13311</v>
      </c>
      <c r="D315" s="2" t="s">
        <v>6691</v>
      </c>
      <c r="E315" s="4">
        <v>58147.630315973685</v>
      </c>
    </row>
    <row r="316" spans="3:5">
      <c r="C316" t="s">
        <v>13311</v>
      </c>
      <c r="D316" s="2" t="s">
        <v>6697</v>
      </c>
      <c r="E316" s="4">
        <v>9045.5230727042162</v>
      </c>
    </row>
    <row r="317" spans="3:5">
      <c r="C317" t="s">
        <v>13311</v>
      </c>
      <c r="D317" s="2" t="s">
        <v>6700</v>
      </c>
      <c r="E317" s="4">
        <v>6253.616064375623</v>
      </c>
    </row>
    <row r="318" spans="3:5">
      <c r="C318" t="s">
        <v>13311</v>
      </c>
      <c r="D318" s="2" t="s">
        <v>6703</v>
      </c>
      <c r="E318" s="4">
        <v>6464.9669669573559</v>
      </c>
    </row>
    <row r="319" spans="3:5">
      <c r="C319" t="s">
        <v>13311</v>
      </c>
      <c r="D319" s="2" t="s">
        <v>18183</v>
      </c>
      <c r="E319" s="4">
        <v>16691.108027006238</v>
      </c>
    </row>
    <row r="320" spans="3:5">
      <c r="C320" t="s">
        <v>13311</v>
      </c>
      <c r="D320" s="2" t="s">
        <v>6721</v>
      </c>
      <c r="E320" s="4">
        <v>36305.503144023904</v>
      </c>
    </row>
    <row r="321" spans="3:5">
      <c r="C321" t="s">
        <v>13311</v>
      </c>
      <c r="D321" s="2" t="s">
        <v>6724</v>
      </c>
      <c r="E321" s="4">
        <v>15096.202347087847</v>
      </c>
    </row>
    <row r="322" spans="3:5">
      <c r="C322" t="s">
        <v>13311</v>
      </c>
      <c r="D322" s="2" t="s">
        <v>6094</v>
      </c>
      <c r="E322" s="4">
        <v>3370.7167147949481</v>
      </c>
    </row>
    <row r="323" spans="3:5">
      <c r="C323" t="s">
        <v>13311</v>
      </c>
      <c r="D323" s="2" t="s">
        <v>6736</v>
      </c>
      <c r="E323" s="4">
        <v>24047.054080345573</v>
      </c>
    </row>
    <row r="324" spans="3:5">
      <c r="C324" t="s">
        <v>13311</v>
      </c>
      <c r="D324" s="2" t="s">
        <v>6358</v>
      </c>
      <c r="E324" s="4">
        <v>7968.8300143760034</v>
      </c>
    </row>
    <row r="325" spans="3:5">
      <c r="C325" t="s">
        <v>13311</v>
      </c>
      <c r="D325" s="2" t="s">
        <v>6631</v>
      </c>
      <c r="E325" s="4">
        <v>5171.1743295837978</v>
      </c>
    </row>
    <row r="326" spans="3:5">
      <c r="C326" t="s">
        <v>13311</v>
      </c>
      <c r="D326" s="2" t="s">
        <v>6709</v>
      </c>
      <c r="E326" s="4">
        <v>7373.1301858099669</v>
      </c>
    </row>
    <row r="327" spans="3:5">
      <c r="C327" t="s">
        <v>13311</v>
      </c>
      <c r="D327" s="2" t="s">
        <v>6727</v>
      </c>
      <c r="E327" s="4">
        <v>6535.4211363754457</v>
      </c>
    </row>
    <row r="328" spans="3:5">
      <c r="C328" t="s">
        <v>13311</v>
      </c>
      <c r="D328" s="2" t="s">
        <v>6739</v>
      </c>
      <c r="E328" s="4">
        <v>9941.0477141634146</v>
      </c>
    </row>
    <row r="329" spans="3:5">
      <c r="C329" t="s">
        <v>13311</v>
      </c>
      <c r="D329" s="2" t="s">
        <v>6118</v>
      </c>
      <c r="E329" s="4">
        <v>5272.05470383789</v>
      </c>
    </row>
    <row r="330" spans="3:5">
      <c r="C330" t="s">
        <v>13311</v>
      </c>
      <c r="D330" s="2" t="s">
        <v>6754</v>
      </c>
      <c r="E330" s="4">
        <v>9871.7695862291293</v>
      </c>
    </row>
    <row r="331" spans="3:5">
      <c r="C331" t="s">
        <v>13311</v>
      </c>
      <c r="D331" s="2" t="s">
        <v>6775</v>
      </c>
      <c r="E331" s="4">
        <v>27044.934696313492</v>
      </c>
    </row>
    <row r="332" spans="3:5">
      <c r="C332" t="s">
        <v>13311</v>
      </c>
      <c r="D332" s="2" t="s">
        <v>5374</v>
      </c>
      <c r="E332" s="4">
        <v>4915.0448737945972</v>
      </c>
    </row>
    <row r="333" spans="3:5">
      <c r="C333" t="s">
        <v>13311</v>
      </c>
      <c r="D333" s="2" t="s">
        <v>5389</v>
      </c>
      <c r="E333" s="4">
        <v>4609.01876320886</v>
      </c>
    </row>
    <row r="334" spans="3:5">
      <c r="C334" t="s">
        <v>13311</v>
      </c>
      <c r="D334" s="2" t="s">
        <v>5398</v>
      </c>
      <c r="E334" s="4">
        <v>95147.578219070798</v>
      </c>
    </row>
    <row r="335" spans="3:5">
      <c r="C335" t="s">
        <v>13311</v>
      </c>
      <c r="D335" s="2" t="s">
        <v>5407</v>
      </c>
      <c r="E335" s="4">
        <v>5431.7178094947876</v>
      </c>
    </row>
    <row r="336" spans="3:5">
      <c r="C336" t="s">
        <v>13311</v>
      </c>
      <c r="D336" s="2" t="s">
        <v>6844</v>
      </c>
      <c r="E336" s="4">
        <v>19740.100024829622</v>
      </c>
    </row>
    <row r="337" spans="3:5">
      <c r="C337" t="s">
        <v>13311</v>
      </c>
      <c r="D337" s="2" t="s">
        <v>5971</v>
      </c>
      <c r="E337" s="4">
        <v>31143.988602548878</v>
      </c>
    </row>
    <row r="338" spans="3:5">
      <c r="C338" t="s">
        <v>13311</v>
      </c>
      <c r="D338" s="2" t="s">
        <v>5977</v>
      </c>
      <c r="E338" s="4">
        <v>12204.281521387966</v>
      </c>
    </row>
    <row r="339" spans="3:5">
      <c r="C339" t="s">
        <v>13311</v>
      </c>
      <c r="D339" s="2" t="s">
        <v>5980</v>
      </c>
      <c r="E339" s="4">
        <v>8558.4794189924505</v>
      </c>
    </row>
    <row r="340" spans="3:5">
      <c r="C340" t="s">
        <v>13311</v>
      </c>
      <c r="D340" s="2" t="s">
        <v>5983</v>
      </c>
      <c r="E340" s="4">
        <v>11336.045684622115</v>
      </c>
    </row>
    <row r="341" spans="3:5">
      <c r="C341" t="s">
        <v>13311</v>
      </c>
      <c r="D341" s="2" t="s">
        <v>5989</v>
      </c>
      <c r="E341" s="4">
        <v>15901.492884567415</v>
      </c>
    </row>
    <row r="342" spans="3:5">
      <c r="C342" t="s">
        <v>13311</v>
      </c>
      <c r="D342" s="2" t="s">
        <v>5992</v>
      </c>
      <c r="E342" s="4">
        <v>16015.479931673941</v>
      </c>
    </row>
    <row r="343" spans="3:5">
      <c r="C343" t="s">
        <v>13311</v>
      </c>
      <c r="D343" s="2" t="s">
        <v>5995</v>
      </c>
      <c r="E343" s="4">
        <v>87075.349399500046</v>
      </c>
    </row>
    <row r="344" spans="3:5">
      <c r="C344" t="s">
        <v>13311</v>
      </c>
      <c r="D344" s="2" t="s">
        <v>6004</v>
      </c>
      <c r="E344" s="4">
        <v>17471.365128822265</v>
      </c>
    </row>
    <row r="345" spans="3:5">
      <c r="C345" t="s">
        <v>13311</v>
      </c>
      <c r="D345" s="2" t="s">
        <v>6001</v>
      </c>
      <c r="E345" s="4">
        <v>15937.772216919868</v>
      </c>
    </row>
    <row r="346" spans="3:5">
      <c r="C346" t="s">
        <v>13311</v>
      </c>
      <c r="D346" s="2" t="s">
        <v>6877</v>
      </c>
      <c r="E346" s="4">
        <v>2233.9333526246955</v>
      </c>
    </row>
    <row r="347" spans="3:5">
      <c r="C347" t="s">
        <v>13311</v>
      </c>
      <c r="D347" s="2" t="s">
        <v>5186</v>
      </c>
      <c r="E347" s="4">
        <v>8323.3833103988436</v>
      </c>
    </row>
    <row r="348" spans="3:5">
      <c r="C348" t="s">
        <v>13311</v>
      </c>
      <c r="D348" s="2" t="s">
        <v>6895</v>
      </c>
      <c r="E348" s="4">
        <v>24324.758481382119</v>
      </c>
    </row>
    <row r="349" spans="3:5">
      <c r="C349" t="s">
        <v>13311</v>
      </c>
      <c r="D349" s="2" t="s">
        <v>5558</v>
      </c>
      <c r="E349" s="4">
        <v>21485.345586799729</v>
      </c>
    </row>
    <row r="350" spans="3:5">
      <c r="C350" t="s">
        <v>13311</v>
      </c>
      <c r="D350" s="2" t="s">
        <v>5642</v>
      </c>
      <c r="E350" s="4">
        <v>19513.147229799881</v>
      </c>
    </row>
    <row r="351" spans="3:5">
      <c r="C351" t="s">
        <v>13311</v>
      </c>
      <c r="D351" s="2" t="s">
        <v>6910</v>
      </c>
      <c r="E351" s="4">
        <v>5192.3856304249675</v>
      </c>
    </row>
    <row r="352" spans="3:5">
      <c r="C352" t="s">
        <v>13311</v>
      </c>
      <c r="D352" s="2" t="s">
        <v>6913</v>
      </c>
      <c r="E352" s="4">
        <v>16208.729853654573</v>
      </c>
    </row>
    <row r="353" spans="3:5">
      <c r="C353" t="s">
        <v>13311</v>
      </c>
      <c r="D353" s="2" t="s">
        <v>6916</v>
      </c>
      <c r="E353" s="4">
        <v>13328.704842305704</v>
      </c>
    </row>
    <row r="354" spans="3:5">
      <c r="C354" t="s">
        <v>13311</v>
      </c>
      <c r="D354" s="2" t="s">
        <v>6919</v>
      </c>
      <c r="E354" s="4">
        <v>23386.211611826144</v>
      </c>
    </row>
    <row r="355" spans="3:5">
      <c r="C355" t="s">
        <v>13311</v>
      </c>
      <c r="D355" s="2" t="s">
        <v>5647</v>
      </c>
      <c r="E355" s="4">
        <v>23822.387602805731</v>
      </c>
    </row>
    <row r="356" spans="3:5">
      <c r="C356" t="s">
        <v>13311</v>
      </c>
      <c r="D356" s="2" t="s">
        <v>6928</v>
      </c>
      <c r="E356" s="4">
        <v>2616.8779922319504</v>
      </c>
    </row>
    <row r="357" spans="3:5">
      <c r="C357" t="s">
        <v>13311</v>
      </c>
      <c r="D357" s="2" t="s">
        <v>6931</v>
      </c>
      <c r="E357" s="4">
        <v>7776.7832137817659</v>
      </c>
    </row>
    <row r="358" spans="3:5">
      <c r="C358" t="s">
        <v>13311</v>
      </c>
      <c r="D358" s="2" t="s">
        <v>5672</v>
      </c>
      <c r="E358" s="4">
        <v>15316.590200018836</v>
      </c>
    </row>
    <row r="359" spans="3:5">
      <c r="C359" t="s">
        <v>13311</v>
      </c>
      <c r="D359" s="2" t="s">
        <v>5715</v>
      </c>
      <c r="E359" s="4">
        <v>10265.147725447663</v>
      </c>
    </row>
    <row r="360" spans="3:5">
      <c r="C360" t="s">
        <v>13311</v>
      </c>
      <c r="D360" s="2" t="s">
        <v>5723</v>
      </c>
      <c r="E360" s="4">
        <v>5144.0363986334405</v>
      </c>
    </row>
    <row r="361" spans="3:5">
      <c r="C361" t="s">
        <v>13311</v>
      </c>
      <c r="D361" s="2" t="s">
        <v>5729</v>
      </c>
      <c r="E361" s="4">
        <v>10568.10993848348</v>
      </c>
    </row>
    <row r="362" spans="3:5">
      <c r="C362" t="s">
        <v>13311</v>
      </c>
      <c r="D362" s="2" t="s">
        <v>5732</v>
      </c>
      <c r="E362" s="4">
        <v>9050.8655506290143</v>
      </c>
    </row>
    <row r="363" spans="3:5">
      <c r="C363" t="s">
        <v>13311</v>
      </c>
      <c r="D363" s="2" t="s">
        <v>5735</v>
      </c>
      <c r="E363" s="4">
        <v>35216.682157893927</v>
      </c>
    </row>
    <row r="364" spans="3:5">
      <c r="C364" t="s">
        <v>13311</v>
      </c>
      <c r="D364" s="2" t="s">
        <v>5748</v>
      </c>
      <c r="E364" s="4">
        <v>13789.662812710521</v>
      </c>
    </row>
    <row r="365" spans="3:5">
      <c r="C365" t="s">
        <v>13311</v>
      </c>
      <c r="D365" s="2" t="s">
        <v>5778</v>
      </c>
      <c r="E365" s="4">
        <v>6968.3436704870019</v>
      </c>
    </row>
    <row r="366" spans="3:5">
      <c r="C366" t="s">
        <v>13311</v>
      </c>
      <c r="D366" s="2" t="s">
        <v>6967</v>
      </c>
      <c r="E366" s="4">
        <v>6613.3532274652462</v>
      </c>
    </row>
    <row r="367" spans="3:5">
      <c r="C367" t="s">
        <v>13311</v>
      </c>
      <c r="D367" s="2" t="s">
        <v>6970</v>
      </c>
      <c r="E367" s="4">
        <v>20192.732859467491</v>
      </c>
    </row>
    <row r="368" spans="3:5">
      <c r="C368" t="s">
        <v>13311</v>
      </c>
      <c r="D368" s="2" t="s">
        <v>6973</v>
      </c>
      <c r="E368" s="4">
        <v>5229.5624681203253</v>
      </c>
    </row>
    <row r="369" spans="3:5">
      <c r="C369" t="s">
        <v>13311</v>
      </c>
      <c r="D369" s="2" t="s">
        <v>6976</v>
      </c>
      <c r="E369" s="4">
        <v>60746.252585304035</v>
      </c>
    </row>
    <row r="370" spans="3:5">
      <c r="C370" t="s">
        <v>13311</v>
      </c>
      <c r="D370" s="2" t="s">
        <v>6982</v>
      </c>
      <c r="E370" s="4">
        <v>19356.242405649413</v>
      </c>
    </row>
    <row r="371" spans="3:5">
      <c r="C371" t="s">
        <v>13311</v>
      </c>
      <c r="D371" s="2" t="s">
        <v>6985</v>
      </c>
      <c r="E371" s="4">
        <v>86586.847299606059</v>
      </c>
    </row>
    <row r="372" spans="3:5">
      <c r="C372" t="s">
        <v>13311</v>
      </c>
      <c r="D372" s="2" t="s">
        <v>6988</v>
      </c>
      <c r="E372" s="4">
        <v>35343.462524694369</v>
      </c>
    </row>
    <row r="373" spans="3:5">
      <c r="C373" t="s">
        <v>13311</v>
      </c>
      <c r="D373" s="2" t="s">
        <v>6991</v>
      </c>
      <c r="E373" s="4">
        <v>7998.6411185675133</v>
      </c>
    </row>
    <row r="374" spans="3:5">
      <c r="C374" t="s">
        <v>13311</v>
      </c>
      <c r="D374" s="2" t="s">
        <v>6999</v>
      </c>
      <c r="E374" s="4">
        <v>20048.899891151843</v>
      </c>
    </row>
    <row r="375" spans="3:5">
      <c r="C375" t="s">
        <v>13311</v>
      </c>
      <c r="D375" s="2" t="s">
        <v>7002</v>
      </c>
      <c r="E375" s="4">
        <v>19091.397089784496</v>
      </c>
    </row>
    <row r="376" spans="3:5">
      <c r="C376" t="s">
        <v>13311</v>
      </c>
      <c r="D376" s="2" t="s">
        <v>7005</v>
      </c>
      <c r="E376" s="4">
        <v>12869.673413542125</v>
      </c>
    </row>
    <row r="377" spans="3:5">
      <c r="C377" t="s">
        <v>13311</v>
      </c>
      <c r="D377" s="2" t="s">
        <v>5827</v>
      </c>
      <c r="E377" s="4">
        <v>12991.045536940057</v>
      </c>
    </row>
    <row r="378" spans="3:5">
      <c r="C378" t="s">
        <v>13311</v>
      </c>
      <c r="D378" s="2" t="s">
        <v>7021</v>
      </c>
      <c r="E378" s="4">
        <v>7816.9349722042543</v>
      </c>
    </row>
    <row r="379" spans="3:5">
      <c r="C379" t="s">
        <v>13311</v>
      </c>
      <c r="D379" s="2" t="s">
        <v>7024</v>
      </c>
      <c r="E379" s="4">
        <v>5393.0631828296464</v>
      </c>
    </row>
    <row r="380" spans="3:5">
      <c r="C380" t="s">
        <v>13311</v>
      </c>
      <c r="D380" s="2" t="s">
        <v>7027</v>
      </c>
      <c r="E380" s="4">
        <v>7278.8534392297543</v>
      </c>
    </row>
    <row r="381" spans="3:5">
      <c r="C381" t="s">
        <v>13311</v>
      </c>
      <c r="D381" s="2" t="s">
        <v>7033</v>
      </c>
      <c r="E381" s="4">
        <v>16465.439593070652</v>
      </c>
    </row>
    <row r="382" spans="3:5">
      <c r="C382" t="s">
        <v>13311</v>
      </c>
      <c r="D382" s="2" t="s">
        <v>5851</v>
      </c>
      <c r="E382" s="4">
        <v>16778.436844293959</v>
      </c>
    </row>
    <row r="383" spans="3:5">
      <c r="C383" t="s">
        <v>13311</v>
      </c>
      <c r="D383" s="2" t="s">
        <v>5859</v>
      </c>
      <c r="E383" s="4">
        <v>22204.467874245336</v>
      </c>
    </row>
    <row r="384" spans="3:5">
      <c r="C384" t="s">
        <v>13311</v>
      </c>
      <c r="D384" s="2" t="s">
        <v>7044</v>
      </c>
      <c r="E384" s="4">
        <v>10057.069622521525</v>
      </c>
    </row>
    <row r="385" spans="3:5">
      <c r="C385" t="s">
        <v>13311</v>
      </c>
      <c r="D385" s="2" t="s">
        <v>7047</v>
      </c>
      <c r="E385" s="4">
        <v>10058.183767085133</v>
      </c>
    </row>
    <row r="386" spans="3:5">
      <c r="C386" t="s">
        <v>13311</v>
      </c>
      <c r="D386" s="2" t="s">
        <v>5919</v>
      </c>
      <c r="E386" s="4">
        <v>1772.6040006986755</v>
      </c>
    </row>
    <row r="387" spans="3:5">
      <c r="C387" t="s">
        <v>13311</v>
      </c>
      <c r="D387" s="2" t="s">
        <v>5933</v>
      </c>
      <c r="E387" s="4">
        <v>6791.3300843864326</v>
      </c>
    </row>
    <row r="388" spans="3:5">
      <c r="C388" t="s">
        <v>13311</v>
      </c>
      <c r="D388" s="2" t="s">
        <v>6148</v>
      </c>
      <c r="E388" s="4">
        <v>11481.310019217399</v>
      </c>
    </row>
    <row r="389" spans="3:5">
      <c r="C389" t="s">
        <v>13311</v>
      </c>
      <c r="D389" s="2" t="s">
        <v>6164</v>
      </c>
      <c r="E389" s="4">
        <v>3548.5117495130467</v>
      </c>
    </row>
    <row r="390" spans="3:5">
      <c r="C390" t="s">
        <v>13311</v>
      </c>
      <c r="D390" s="2" t="s">
        <v>6184</v>
      </c>
      <c r="E390" s="4">
        <v>5814.8868254377694</v>
      </c>
    </row>
    <row r="391" spans="3:5">
      <c r="C391" t="s">
        <v>13311</v>
      </c>
      <c r="D391" s="2" t="s">
        <v>6189</v>
      </c>
      <c r="E391" s="4">
        <v>7956.4738416809996</v>
      </c>
    </row>
    <row r="392" spans="3:5">
      <c r="C392" t="s">
        <v>13311</v>
      </c>
      <c r="D392" s="2" t="s">
        <v>6273</v>
      </c>
      <c r="E392" s="4">
        <v>2559.9134828600318</v>
      </c>
    </row>
    <row r="393" spans="3:5">
      <c r="C393" t="s">
        <v>13311</v>
      </c>
      <c r="D393" s="2" t="s">
        <v>6276</v>
      </c>
      <c r="E393" s="4">
        <v>5154.6594575628314</v>
      </c>
    </row>
    <row r="394" spans="3:5">
      <c r="C394" t="s">
        <v>13311</v>
      </c>
      <c r="D394" s="2" t="s">
        <v>6279</v>
      </c>
      <c r="E394" s="4">
        <v>26169.56523949455</v>
      </c>
    </row>
    <row r="395" spans="3:5">
      <c r="C395" t="s">
        <v>13311</v>
      </c>
      <c r="D395" s="2" t="s">
        <v>6282</v>
      </c>
      <c r="E395" s="4">
        <v>7536.7198773420787</v>
      </c>
    </row>
    <row r="396" spans="3:5">
      <c r="C396" t="s">
        <v>13311</v>
      </c>
      <c r="D396" s="2" t="s">
        <v>6343</v>
      </c>
      <c r="E396" s="4">
        <v>6217.1587783775958</v>
      </c>
    </row>
    <row r="397" spans="3:5">
      <c r="C397" t="s">
        <v>13311</v>
      </c>
      <c r="D397" s="2" t="s">
        <v>6346</v>
      </c>
      <c r="E397" s="4">
        <v>5552.2852729301167</v>
      </c>
    </row>
    <row r="398" spans="3:5">
      <c r="C398" t="s">
        <v>13311</v>
      </c>
      <c r="D398" s="2" t="s">
        <v>6352</v>
      </c>
      <c r="E398" s="4">
        <v>9588.1772406585205</v>
      </c>
    </row>
    <row r="399" spans="3:5">
      <c r="C399" t="s">
        <v>13311</v>
      </c>
      <c r="D399" s="2" t="s">
        <v>6355</v>
      </c>
      <c r="E399" s="4">
        <v>17234.713860108623</v>
      </c>
    </row>
    <row r="400" spans="3:5">
      <c r="C400" t="s">
        <v>13311</v>
      </c>
      <c r="D400" s="2" t="s">
        <v>6364</v>
      </c>
      <c r="E400" s="4">
        <v>13527.711177864972</v>
      </c>
    </row>
    <row r="401" spans="3:5">
      <c r="C401" t="s">
        <v>13311</v>
      </c>
      <c r="D401" s="2" t="s">
        <v>6382</v>
      </c>
      <c r="E401" s="4">
        <v>14341.791078012997</v>
      </c>
    </row>
    <row r="402" spans="3:5">
      <c r="C402" t="s">
        <v>13311</v>
      </c>
      <c r="D402" s="2" t="s">
        <v>6552</v>
      </c>
      <c r="E402" s="4">
        <v>60487.086311867504</v>
      </c>
    </row>
    <row r="403" spans="3:5">
      <c r="C403" t="s">
        <v>13311</v>
      </c>
      <c r="D403" s="2" t="s">
        <v>6742</v>
      </c>
      <c r="E403" s="4">
        <v>34754.041364971163</v>
      </c>
    </row>
    <row r="404" spans="3:5">
      <c r="C404" t="s">
        <v>13311</v>
      </c>
      <c r="D404" s="2" t="s">
        <v>6781</v>
      </c>
      <c r="E404" s="4">
        <v>27711.429127358722</v>
      </c>
    </row>
    <row r="405" spans="3:5">
      <c r="C405" t="s">
        <v>13311</v>
      </c>
      <c r="D405" s="2" t="s">
        <v>7118</v>
      </c>
      <c r="E405" s="4">
        <v>31091.31819201586</v>
      </c>
    </row>
    <row r="406" spans="3:5">
      <c r="C406" t="s">
        <v>13311</v>
      </c>
      <c r="D406" s="2" t="s">
        <v>7121</v>
      </c>
      <c r="E406" s="4">
        <v>1649.0577479787034</v>
      </c>
    </row>
    <row r="407" spans="3:5">
      <c r="C407" t="s">
        <v>13311</v>
      </c>
      <c r="D407" s="2" t="s">
        <v>7124</v>
      </c>
      <c r="E407" s="4">
        <v>11894.758234810906</v>
      </c>
    </row>
    <row r="408" spans="3:5">
      <c r="C408" t="s">
        <v>13311</v>
      </c>
      <c r="D408" s="2" t="s">
        <v>7127</v>
      </c>
      <c r="E408" s="4">
        <v>11643.154991311359</v>
      </c>
    </row>
    <row r="409" spans="3:5">
      <c r="C409" t="s">
        <v>13311</v>
      </c>
      <c r="D409" s="2" t="s">
        <v>7130</v>
      </c>
      <c r="E409" s="4">
        <v>1734.0228766262719</v>
      </c>
    </row>
    <row r="410" spans="3:5">
      <c r="C410" t="s">
        <v>13311</v>
      </c>
      <c r="D410" s="2" t="s">
        <v>6799</v>
      </c>
      <c r="E410" s="4">
        <v>42156.274708947851</v>
      </c>
    </row>
    <row r="411" spans="3:5">
      <c r="C411" t="s">
        <v>13311</v>
      </c>
      <c r="D411" s="2" t="s">
        <v>6802</v>
      </c>
      <c r="E411" s="4">
        <v>35057.835317872166</v>
      </c>
    </row>
    <row r="412" spans="3:5">
      <c r="C412" t="s">
        <v>13311</v>
      </c>
      <c r="D412" s="2" t="s">
        <v>7133</v>
      </c>
      <c r="E412" s="4">
        <v>96180.680371347902</v>
      </c>
    </row>
    <row r="413" spans="3:5">
      <c r="C413" t="s">
        <v>13311</v>
      </c>
      <c r="D413" s="2" t="s">
        <v>7139</v>
      </c>
      <c r="E413" s="4">
        <v>35147.953365126421</v>
      </c>
    </row>
    <row r="414" spans="3:5">
      <c r="C414" t="s">
        <v>13311</v>
      </c>
      <c r="D414" s="2" t="s">
        <v>7142</v>
      </c>
      <c r="E414" s="4">
        <v>7159.6593137113723</v>
      </c>
    </row>
    <row r="415" spans="3:5">
      <c r="C415" t="s">
        <v>13311</v>
      </c>
      <c r="D415" s="2" t="s">
        <v>7145</v>
      </c>
      <c r="E415" s="4">
        <v>13861.486451488046</v>
      </c>
    </row>
    <row r="416" spans="3:5">
      <c r="C416" t="s">
        <v>13311</v>
      </c>
      <c r="D416" s="2" t="s">
        <v>7148</v>
      </c>
      <c r="E416" s="4">
        <v>10017.208005912476</v>
      </c>
    </row>
    <row r="417" spans="3:5">
      <c r="C417" t="s">
        <v>13311</v>
      </c>
      <c r="D417" s="2" t="s">
        <v>7151</v>
      </c>
      <c r="E417" s="4">
        <v>94267.272482865883</v>
      </c>
    </row>
    <row r="418" spans="3:5">
      <c r="C418" t="s">
        <v>13311</v>
      </c>
      <c r="D418" s="2" t="s">
        <v>7157</v>
      </c>
      <c r="E418" s="4">
        <v>19489.011299479243</v>
      </c>
    </row>
    <row r="419" spans="3:5">
      <c r="C419" t="s">
        <v>13311</v>
      </c>
      <c r="D419" s="2" t="s">
        <v>7160</v>
      </c>
      <c r="E419" s="4">
        <v>109026.44609946261</v>
      </c>
    </row>
    <row r="420" spans="3:5">
      <c r="C420" t="s">
        <v>13311</v>
      </c>
      <c r="D420" s="2" t="s">
        <v>7163</v>
      </c>
      <c r="E420" s="4">
        <v>55011.808544781692</v>
      </c>
    </row>
    <row r="421" spans="3:5">
      <c r="C421" t="s">
        <v>13311</v>
      </c>
      <c r="D421" s="2" t="s">
        <v>6814</v>
      </c>
      <c r="E421" s="4">
        <v>13209.831807060862</v>
      </c>
    </row>
    <row r="422" spans="3:5">
      <c r="C422" t="s">
        <v>13311</v>
      </c>
      <c r="D422" s="2" t="s">
        <v>6820</v>
      </c>
      <c r="E422" s="4">
        <v>9204.1184564876585</v>
      </c>
    </row>
    <row r="423" spans="3:5">
      <c r="C423" t="s">
        <v>13311</v>
      </c>
      <c r="D423" s="2" t="s">
        <v>7169</v>
      </c>
      <c r="E423" s="4">
        <v>3779.2402566750134</v>
      </c>
    </row>
    <row r="424" spans="3:5">
      <c r="C424" t="s">
        <v>13311</v>
      </c>
      <c r="D424" s="2" t="s">
        <v>7172</v>
      </c>
      <c r="E424" s="4">
        <v>45446.486741907174</v>
      </c>
    </row>
    <row r="425" spans="3:5">
      <c r="C425" t="s">
        <v>13311</v>
      </c>
      <c r="D425" s="2" t="s">
        <v>7175</v>
      </c>
      <c r="E425" s="4">
        <v>5018.7995862804955</v>
      </c>
    </row>
    <row r="426" spans="3:5">
      <c r="C426" t="s">
        <v>13311</v>
      </c>
      <c r="D426" s="2" t="s">
        <v>7178</v>
      </c>
      <c r="E426" s="4">
        <v>8138.4353128400862</v>
      </c>
    </row>
    <row r="427" spans="3:5">
      <c r="C427" t="s">
        <v>13311</v>
      </c>
      <c r="D427" s="2" t="s">
        <v>7181</v>
      </c>
      <c r="E427" s="4">
        <v>11892.750453461907</v>
      </c>
    </row>
    <row r="428" spans="3:5">
      <c r="C428" t="s">
        <v>13311</v>
      </c>
      <c r="D428" s="2" t="s">
        <v>6838</v>
      </c>
      <c r="E428" s="4">
        <v>23723.085600016748</v>
      </c>
    </row>
    <row r="429" spans="3:5">
      <c r="C429" t="s">
        <v>13311</v>
      </c>
      <c r="D429" s="2" t="s">
        <v>7187</v>
      </c>
      <c r="E429" s="4">
        <v>12470.767105638193</v>
      </c>
    </row>
    <row r="430" spans="3:5">
      <c r="C430" t="s">
        <v>13311</v>
      </c>
      <c r="D430" s="2" t="s">
        <v>7190</v>
      </c>
      <c r="E430" s="4">
        <v>8592.5072508726116</v>
      </c>
    </row>
    <row r="431" spans="3:5">
      <c r="C431" t="s">
        <v>13311</v>
      </c>
      <c r="D431" s="2" t="s">
        <v>7193</v>
      </c>
      <c r="E431" s="4">
        <v>101529.88571765806</v>
      </c>
    </row>
    <row r="432" spans="3:5">
      <c r="C432" t="s">
        <v>13311</v>
      </c>
      <c r="D432" s="2" t="s">
        <v>7196</v>
      </c>
      <c r="E432" s="4">
        <v>117584.00093320957</v>
      </c>
    </row>
    <row r="433" spans="3:5">
      <c r="C433" t="s">
        <v>13311</v>
      </c>
      <c r="D433" s="2" t="s">
        <v>7199</v>
      </c>
      <c r="E433" s="4">
        <v>27150.933172156656</v>
      </c>
    </row>
    <row r="434" spans="3:5">
      <c r="C434" t="s">
        <v>13311</v>
      </c>
      <c r="D434" s="2" t="s">
        <v>7202</v>
      </c>
      <c r="E434" s="4">
        <v>35930.694080865484</v>
      </c>
    </row>
    <row r="435" spans="3:5">
      <c r="C435" t="s">
        <v>13311</v>
      </c>
      <c r="D435" s="2" t="s">
        <v>7205</v>
      </c>
      <c r="E435" s="4">
        <v>5947.6827991701866</v>
      </c>
    </row>
    <row r="436" spans="3:5">
      <c r="C436" t="s">
        <v>13311</v>
      </c>
      <c r="D436" s="2" t="s">
        <v>7211</v>
      </c>
      <c r="E436" s="4">
        <v>75704.010864691183</v>
      </c>
    </row>
    <row r="437" spans="3:5">
      <c r="C437" t="s">
        <v>13311</v>
      </c>
      <c r="D437" s="2" t="s">
        <v>7217</v>
      </c>
      <c r="E437" s="4">
        <v>1004.5289864895889</v>
      </c>
    </row>
    <row r="438" spans="3:5">
      <c r="C438" t="s">
        <v>13311</v>
      </c>
      <c r="D438" s="2" t="s">
        <v>7220</v>
      </c>
      <c r="E438" s="4">
        <v>30419.133112869709</v>
      </c>
    </row>
    <row r="439" spans="3:5">
      <c r="C439" t="s">
        <v>13311</v>
      </c>
      <c r="D439" s="2" t="s">
        <v>7223</v>
      </c>
      <c r="E439" s="4">
        <v>1737.9185140413836</v>
      </c>
    </row>
    <row r="440" spans="3:5">
      <c r="C440" t="s">
        <v>13311</v>
      </c>
      <c r="D440" s="2" t="s">
        <v>7226</v>
      </c>
      <c r="E440" s="4">
        <v>10964.695111879897</v>
      </c>
    </row>
    <row r="441" spans="3:5">
      <c r="C441" t="s">
        <v>13311</v>
      </c>
      <c r="D441" s="2" t="s">
        <v>7232</v>
      </c>
      <c r="E441" s="4">
        <v>1341.6466938034828</v>
      </c>
    </row>
    <row r="442" spans="3:5">
      <c r="C442" t="s">
        <v>13311</v>
      </c>
      <c r="D442" s="2" t="s">
        <v>7235</v>
      </c>
      <c r="E442" s="4">
        <v>12208.037890732629</v>
      </c>
    </row>
    <row r="443" spans="3:5">
      <c r="C443" t="s">
        <v>13311</v>
      </c>
      <c r="D443" s="2" t="s">
        <v>7241</v>
      </c>
      <c r="E443" s="4">
        <v>20237.573309595158</v>
      </c>
    </row>
    <row r="444" spans="3:5">
      <c r="C444" t="s">
        <v>13311</v>
      </c>
      <c r="D444" s="2" t="s">
        <v>7244</v>
      </c>
      <c r="E444" s="4">
        <v>5890.0142123309888</v>
      </c>
    </row>
    <row r="445" spans="3:5">
      <c r="C445" t="s">
        <v>13311</v>
      </c>
      <c r="D445" s="2" t="s">
        <v>7247</v>
      </c>
      <c r="E445" s="4">
        <v>7904.414663234963</v>
      </c>
    </row>
    <row r="446" spans="3:5">
      <c r="C446" t="s">
        <v>13311</v>
      </c>
      <c r="D446" s="2" t="s">
        <v>7250</v>
      </c>
      <c r="E446" s="4">
        <v>8611.7339817098564</v>
      </c>
    </row>
    <row r="447" spans="3:5">
      <c r="C447" t="s">
        <v>13311</v>
      </c>
      <c r="D447" s="2" t="s">
        <v>7253</v>
      </c>
      <c r="E447" s="4">
        <v>13072.989322170344</v>
      </c>
    </row>
    <row r="448" spans="3:5">
      <c r="C448" t="s">
        <v>13311</v>
      </c>
      <c r="D448" s="2" t="s">
        <v>7262</v>
      </c>
      <c r="E448" s="4">
        <v>6702.2913646781772</v>
      </c>
    </row>
    <row r="449" spans="3:5">
      <c r="C449" t="s">
        <v>13311</v>
      </c>
      <c r="D449" s="2" t="s">
        <v>7265</v>
      </c>
      <c r="E449" s="4">
        <v>17541.672293054879</v>
      </c>
    </row>
    <row r="450" spans="3:5">
      <c r="C450" t="s">
        <v>13311</v>
      </c>
      <c r="D450" s="2" t="s">
        <v>6847</v>
      </c>
      <c r="E450" s="4">
        <v>6181.3475414841587</v>
      </c>
    </row>
    <row r="451" spans="3:5">
      <c r="C451" t="s">
        <v>13311</v>
      </c>
      <c r="D451" s="2" t="s">
        <v>7274</v>
      </c>
      <c r="E451" s="4">
        <v>4271.2047155427117</v>
      </c>
    </row>
    <row r="452" spans="3:5">
      <c r="C452" t="s">
        <v>13311</v>
      </c>
      <c r="D452" s="2" t="s">
        <v>5561</v>
      </c>
      <c r="E452" s="4">
        <v>12485.517915433447</v>
      </c>
    </row>
    <row r="453" spans="3:5">
      <c r="C453" t="s">
        <v>13311</v>
      </c>
      <c r="D453" s="2" t="s">
        <v>6388</v>
      </c>
      <c r="E453" s="4">
        <v>8801.7420524949939</v>
      </c>
    </row>
    <row r="454" spans="3:5">
      <c r="C454" t="s">
        <v>13311</v>
      </c>
      <c r="D454" s="2" t="s">
        <v>6796</v>
      </c>
      <c r="E454" s="4">
        <v>2039.3139612846294</v>
      </c>
    </row>
    <row r="455" spans="3:5">
      <c r="C455" t="s">
        <v>13311</v>
      </c>
      <c r="D455" s="2" t="s">
        <v>18185</v>
      </c>
      <c r="E455" s="4">
        <v>4954.581531572594</v>
      </c>
    </row>
    <row r="456" spans="3:5">
      <c r="C456" t="s">
        <v>13311</v>
      </c>
      <c r="D456" s="2" t="s">
        <v>6018</v>
      </c>
      <c r="E456" s="4">
        <v>33815.79624290116</v>
      </c>
    </row>
    <row r="457" spans="3:5">
      <c r="C457" t="s">
        <v>13311</v>
      </c>
      <c r="D457" s="2" t="s">
        <v>5282</v>
      </c>
      <c r="E457" s="4">
        <v>3088.5286556013848</v>
      </c>
    </row>
    <row r="458" spans="3:5">
      <c r="C458" t="s">
        <v>13311</v>
      </c>
      <c r="D458" s="2" t="s">
        <v>5192</v>
      </c>
      <c r="E458" s="4">
        <v>10725.397749827689</v>
      </c>
    </row>
    <row r="459" spans="3:5">
      <c r="C459" t="s">
        <v>13311</v>
      </c>
      <c r="D459" s="2" t="s">
        <v>19775</v>
      </c>
      <c r="E459" s="4">
        <v>6847.7181786889851</v>
      </c>
    </row>
    <row r="460" spans="3:5">
      <c r="C460" t="s">
        <v>13311</v>
      </c>
      <c r="D460" s="2" t="s">
        <v>7367</v>
      </c>
      <c r="E460" s="4">
        <v>8515.0277810117768</v>
      </c>
    </row>
    <row r="461" spans="3:5">
      <c r="C461" t="s">
        <v>13311</v>
      </c>
      <c r="D461" s="2" t="s">
        <v>6979</v>
      </c>
      <c r="E461" s="4">
        <v>27294.506947118967</v>
      </c>
    </row>
    <row r="462" spans="3:5">
      <c r="C462" t="s">
        <v>13311</v>
      </c>
      <c r="D462" s="2" t="s">
        <v>20160</v>
      </c>
      <c r="E462" s="4">
        <v>16690.48132068921</v>
      </c>
    </row>
    <row r="463" spans="3:5">
      <c r="C463" t="s">
        <v>13311</v>
      </c>
      <c r="D463" s="2" t="s">
        <v>7268</v>
      </c>
      <c r="E463" s="4">
        <v>34373.015529890115</v>
      </c>
    </row>
    <row r="464" spans="3:5">
      <c r="C464" t="s">
        <v>13311</v>
      </c>
      <c r="D464" s="2" t="s">
        <v>20173</v>
      </c>
      <c r="E464" s="4">
        <v>31302.077205298177</v>
      </c>
    </row>
    <row r="465" spans="3:5">
      <c r="C465" t="s">
        <v>13311</v>
      </c>
      <c r="D465" s="2" t="s">
        <v>20174</v>
      </c>
      <c r="E465" s="4">
        <v>41247.976090582299</v>
      </c>
    </row>
    <row r="466" spans="3:5">
      <c r="C466" t="s">
        <v>13311</v>
      </c>
      <c r="D466" s="2" t="s">
        <v>20189</v>
      </c>
      <c r="E466" s="4">
        <v>4076.8677289010598</v>
      </c>
    </row>
    <row r="467" spans="3:5">
      <c r="C467" t="s">
        <v>13311</v>
      </c>
      <c r="D467" s="2" t="s">
        <v>20190</v>
      </c>
      <c r="E467" s="4">
        <v>12433.126041041332</v>
      </c>
    </row>
    <row r="468" spans="3:5">
      <c r="C468" t="s">
        <v>13311</v>
      </c>
      <c r="D468" s="2" t="s">
        <v>20191</v>
      </c>
      <c r="E468" s="4">
        <v>1878.4825512589493</v>
      </c>
    </row>
    <row r="469" spans="3:5">
      <c r="C469" t="s">
        <v>13311</v>
      </c>
      <c r="D469" s="2" t="s">
        <v>20207</v>
      </c>
      <c r="E469" s="4">
        <v>9647.1533999369512</v>
      </c>
    </row>
    <row r="470" spans="3:5">
      <c r="C470" t="s">
        <v>13311</v>
      </c>
      <c r="D470" s="2" t="s">
        <v>20208</v>
      </c>
      <c r="E470" s="4">
        <v>4483.3912265471499</v>
      </c>
    </row>
    <row r="471" spans="3:5">
      <c r="C471" t="s">
        <v>13311</v>
      </c>
      <c r="D471" s="2" t="s">
        <v>20245</v>
      </c>
      <c r="E471" s="4">
        <v>27099.051947356194</v>
      </c>
    </row>
    <row r="472" spans="3:5">
      <c r="C472" t="s">
        <v>13311</v>
      </c>
      <c r="D472" s="2" t="s">
        <v>20253</v>
      </c>
      <c r="E472" s="4">
        <v>8483.642173912669</v>
      </c>
    </row>
    <row r="473" spans="3:5">
      <c r="C473" t="s">
        <v>13311</v>
      </c>
      <c r="D473" s="2" t="s">
        <v>7154</v>
      </c>
      <c r="E473" s="4">
        <v>97583.187211938406</v>
      </c>
    </row>
    <row r="474" spans="3:5">
      <c r="C474" t="s">
        <v>13311</v>
      </c>
      <c r="D474" s="2" t="s">
        <v>7208</v>
      </c>
      <c r="E474" s="4">
        <v>65899.163454871217</v>
      </c>
    </row>
    <row r="475" spans="3:5">
      <c r="C475" t="s">
        <v>13311</v>
      </c>
      <c r="D475" s="2" t="s">
        <v>20259</v>
      </c>
      <c r="E475" s="4">
        <v>8474.5665379882885</v>
      </c>
    </row>
    <row r="476" spans="3:5">
      <c r="C476" t="s">
        <v>13311</v>
      </c>
      <c r="D476" s="2" t="s">
        <v>20261</v>
      </c>
      <c r="E476" s="4">
        <v>7184.0969915179867</v>
      </c>
    </row>
    <row r="477" spans="3:5">
      <c r="C477" t="s">
        <v>13311</v>
      </c>
      <c r="D477" s="2" t="s">
        <v>20288</v>
      </c>
      <c r="E477" s="4">
        <v>1936.8397413353764</v>
      </c>
    </row>
    <row r="478" spans="3:5">
      <c r="C478" t="s">
        <v>13311</v>
      </c>
      <c r="D478" s="2" t="s">
        <v>5076</v>
      </c>
      <c r="E478" s="4">
        <v>8236.1838213930732</v>
      </c>
    </row>
    <row r="479" spans="3:5">
      <c r="C479" t="s">
        <v>13311</v>
      </c>
      <c r="D479" s="2" t="s">
        <v>3656</v>
      </c>
      <c r="E479" s="4">
        <v>15927.20872550624</v>
      </c>
    </row>
    <row r="480" spans="3:5">
      <c r="C480" t="s">
        <v>13311</v>
      </c>
      <c r="D480" s="2" t="s">
        <v>3664</v>
      </c>
      <c r="E480" s="4">
        <v>29890.558613466637</v>
      </c>
    </row>
    <row r="481" spans="3:5">
      <c r="C481" t="s">
        <v>13311</v>
      </c>
      <c r="D481" s="2" t="s">
        <v>3672</v>
      </c>
      <c r="E481" s="4">
        <v>15334.57159734002</v>
      </c>
    </row>
    <row r="482" spans="3:5">
      <c r="C482" t="s">
        <v>13311</v>
      </c>
      <c r="D482" s="2" t="s">
        <v>3681</v>
      </c>
      <c r="E482" s="4">
        <v>57761.513839643434</v>
      </c>
    </row>
    <row r="483" spans="3:5">
      <c r="C483" t="s">
        <v>13311</v>
      </c>
      <c r="D483" s="2" t="s">
        <v>5189</v>
      </c>
      <c r="E483" s="4">
        <v>11193.603674738351</v>
      </c>
    </row>
    <row r="484" spans="3:5">
      <c r="C484" t="s">
        <v>13311</v>
      </c>
      <c r="D484" s="2" t="s">
        <v>5033</v>
      </c>
      <c r="E484" s="4">
        <v>18825.32840638264</v>
      </c>
    </row>
    <row r="485" spans="3:5">
      <c r="C485" t="s">
        <v>13311</v>
      </c>
      <c r="D485" s="2" t="s">
        <v>3751</v>
      </c>
      <c r="E485" s="4">
        <v>16041.34356967155</v>
      </c>
    </row>
    <row r="486" spans="3:5">
      <c r="C486" t="s">
        <v>13311</v>
      </c>
      <c r="D486" s="2" t="s">
        <v>12838</v>
      </c>
      <c r="E486" s="4">
        <v>28320.351092209276</v>
      </c>
    </row>
    <row r="487" spans="3:5">
      <c r="C487" t="s">
        <v>13311</v>
      </c>
      <c r="D487" s="2" t="s">
        <v>3757</v>
      </c>
      <c r="E487" s="4">
        <v>3468.1711837484154</v>
      </c>
    </row>
    <row r="488" spans="3:5">
      <c r="C488" t="s">
        <v>13311</v>
      </c>
      <c r="D488" s="2" t="s">
        <v>18184</v>
      </c>
      <c r="E488" s="4">
        <v>4411.6953599674935</v>
      </c>
    </row>
    <row r="489" spans="3:5">
      <c r="C489" t="s">
        <v>13311</v>
      </c>
      <c r="D489" s="2" t="s">
        <v>7388</v>
      </c>
      <c r="E489" s="4">
        <v>35508.681281113539</v>
      </c>
    </row>
    <row r="490" spans="3:5">
      <c r="C490" t="s">
        <v>13311</v>
      </c>
      <c r="D490" s="2" t="s">
        <v>7391</v>
      </c>
      <c r="E490" s="4">
        <v>7651.0031760918391</v>
      </c>
    </row>
    <row r="491" spans="3:5">
      <c r="C491" t="s">
        <v>13311</v>
      </c>
      <c r="D491" s="2" t="s">
        <v>7394</v>
      </c>
      <c r="E491" s="4">
        <v>13333.63038957899</v>
      </c>
    </row>
    <row r="492" spans="3:5">
      <c r="C492" t="s">
        <v>13311</v>
      </c>
      <c r="D492" s="2" t="s">
        <v>7397</v>
      </c>
      <c r="E492" s="4">
        <v>35489.880361315059</v>
      </c>
    </row>
    <row r="493" spans="3:5">
      <c r="C493" t="s">
        <v>13311</v>
      </c>
      <c r="D493" s="2" t="s">
        <v>7400</v>
      </c>
      <c r="E493" s="4">
        <v>11835.919498998126</v>
      </c>
    </row>
    <row r="494" spans="3:5">
      <c r="C494" t="s">
        <v>13311</v>
      </c>
      <c r="D494" s="2" t="s">
        <v>7403</v>
      </c>
      <c r="E494" s="4">
        <v>13992.585366644793</v>
      </c>
    </row>
    <row r="495" spans="3:5">
      <c r="C495" t="s">
        <v>13311</v>
      </c>
      <c r="D495" s="2" t="s">
        <v>3768</v>
      </c>
      <c r="E495" s="4">
        <v>22537.543724470728</v>
      </c>
    </row>
    <row r="496" spans="3:5">
      <c r="C496" t="s">
        <v>13311</v>
      </c>
      <c r="D496" s="2" t="s">
        <v>7432</v>
      </c>
      <c r="E496" s="4">
        <v>7028.795011379706</v>
      </c>
    </row>
    <row r="497" spans="3:5">
      <c r="C497" t="s">
        <v>13311</v>
      </c>
      <c r="D497" s="2" t="s">
        <v>7435</v>
      </c>
      <c r="E497" s="4">
        <v>1154.2609662855994</v>
      </c>
    </row>
    <row r="498" spans="3:5">
      <c r="C498" t="s">
        <v>13311</v>
      </c>
      <c r="D498" s="2" t="s">
        <v>7438</v>
      </c>
      <c r="E498" s="4">
        <v>1050.0379851065445</v>
      </c>
    </row>
    <row r="499" spans="3:5">
      <c r="C499" t="s">
        <v>13311</v>
      </c>
      <c r="D499" s="2" t="s">
        <v>7441</v>
      </c>
      <c r="E499" s="4">
        <v>1240.9671817900492</v>
      </c>
    </row>
    <row r="500" spans="3:5">
      <c r="C500" t="s">
        <v>13311</v>
      </c>
      <c r="D500" s="2" t="s">
        <v>7444</v>
      </c>
      <c r="E500" s="4">
        <v>15273.096751807097</v>
      </c>
    </row>
    <row r="501" spans="3:5">
      <c r="C501" t="s">
        <v>13311</v>
      </c>
      <c r="D501" s="2" t="s">
        <v>7447</v>
      </c>
      <c r="E501" s="4">
        <v>3104.4329149031564</v>
      </c>
    </row>
    <row r="502" spans="3:5">
      <c r="C502" t="s">
        <v>13311</v>
      </c>
      <c r="D502" s="2" t="s">
        <v>11966</v>
      </c>
      <c r="E502" s="4">
        <v>20472.017307921975</v>
      </c>
    </row>
    <row r="503" spans="3:5">
      <c r="C503" t="s">
        <v>13311</v>
      </c>
      <c r="D503" s="2" t="s">
        <v>7456</v>
      </c>
      <c r="E503" s="4">
        <v>8159.1894247651308</v>
      </c>
    </row>
    <row r="504" spans="3:5">
      <c r="C504" t="s">
        <v>13311</v>
      </c>
      <c r="D504" s="2" t="s">
        <v>7459</v>
      </c>
      <c r="E504" s="4">
        <v>28506.795429012931</v>
      </c>
    </row>
    <row r="505" spans="3:5">
      <c r="C505" t="s">
        <v>13311</v>
      </c>
      <c r="D505" s="2" t="s">
        <v>3748</v>
      </c>
      <c r="E505" s="4">
        <v>40799.802812715163</v>
      </c>
    </row>
    <row r="506" spans="3:5">
      <c r="C506" t="s">
        <v>13311</v>
      </c>
      <c r="D506" s="2" t="s">
        <v>7592</v>
      </c>
      <c r="E506" s="4">
        <v>2976.1885079647654</v>
      </c>
    </row>
    <row r="507" spans="3:5">
      <c r="C507" t="s">
        <v>13311</v>
      </c>
      <c r="D507" s="2" t="s">
        <v>12050</v>
      </c>
      <c r="E507" s="4">
        <v>26342.321388050266</v>
      </c>
    </row>
    <row r="508" spans="3:5">
      <c r="C508" t="s">
        <v>13311</v>
      </c>
      <c r="D508" s="2" t="s">
        <v>12014</v>
      </c>
      <c r="E508" s="4">
        <v>6095.2149633258769</v>
      </c>
    </row>
    <row r="509" spans="3:5">
      <c r="C509" t="s">
        <v>13311</v>
      </c>
      <c r="D509" s="2" t="s">
        <v>7621</v>
      </c>
      <c r="E509" s="4">
        <v>17637.489068320356</v>
      </c>
    </row>
    <row r="510" spans="3:5">
      <c r="C510" t="s">
        <v>13311</v>
      </c>
      <c r="D510" s="2" t="s">
        <v>7624</v>
      </c>
      <c r="E510" s="4">
        <v>13700.466115607454</v>
      </c>
    </row>
    <row r="511" spans="3:5">
      <c r="C511" t="s">
        <v>13311</v>
      </c>
      <c r="D511" s="2" t="s">
        <v>7627</v>
      </c>
      <c r="E511" s="4">
        <v>10891.779057860307</v>
      </c>
    </row>
    <row r="512" spans="3:5">
      <c r="C512" t="s">
        <v>13311</v>
      </c>
      <c r="D512" s="2" t="s">
        <v>3607</v>
      </c>
      <c r="E512" s="4">
        <v>22544.467831882353</v>
      </c>
    </row>
    <row r="513" spans="3:5">
      <c r="C513" t="s">
        <v>13311</v>
      </c>
      <c r="D513" s="2" t="s">
        <v>7682</v>
      </c>
      <c r="E513" s="4">
        <v>15461.770612479077</v>
      </c>
    </row>
    <row r="514" spans="3:5">
      <c r="C514" t="s">
        <v>13311</v>
      </c>
      <c r="D514" s="2" t="s">
        <v>7685</v>
      </c>
      <c r="E514" s="4">
        <v>5360.9885501902909</v>
      </c>
    </row>
    <row r="515" spans="3:5">
      <c r="C515" t="s">
        <v>13311</v>
      </c>
      <c r="D515" s="2" t="s">
        <v>7691</v>
      </c>
      <c r="E515" s="4">
        <v>18305.520240236532</v>
      </c>
    </row>
    <row r="516" spans="3:5">
      <c r="C516" t="s">
        <v>13311</v>
      </c>
      <c r="D516" s="2" t="s">
        <v>7694</v>
      </c>
      <c r="E516" s="4">
        <v>3826.5889245779399</v>
      </c>
    </row>
    <row r="517" spans="3:5">
      <c r="C517" t="s">
        <v>13311</v>
      </c>
      <c r="D517" s="2" t="s">
        <v>7697</v>
      </c>
      <c r="E517" s="4">
        <v>13087.708421821997</v>
      </c>
    </row>
    <row r="518" spans="3:5">
      <c r="C518" t="s">
        <v>13311</v>
      </c>
      <c r="D518" s="2" t="s">
        <v>7700</v>
      </c>
      <c r="E518" s="4">
        <v>14546.852743954059</v>
      </c>
    </row>
    <row r="519" spans="3:5">
      <c r="C519" t="s">
        <v>13311</v>
      </c>
      <c r="D519" s="2" t="s">
        <v>7705</v>
      </c>
      <c r="E519" s="4">
        <v>17720.965539407734</v>
      </c>
    </row>
    <row r="520" spans="3:5">
      <c r="C520" t="s">
        <v>13311</v>
      </c>
      <c r="D520" s="2" t="s">
        <v>7708</v>
      </c>
      <c r="E520" s="4">
        <v>14147.051684549757</v>
      </c>
    </row>
    <row r="521" spans="3:5">
      <c r="C521" t="s">
        <v>13311</v>
      </c>
      <c r="D521" s="2" t="s">
        <v>7711</v>
      </c>
      <c r="E521" s="4">
        <v>11466.557409454608</v>
      </c>
    </row>
    <row r="522" spans="3:5">
      <c r="C522" t="s">
        <v>13311</v>
      </c>
      <c r="D522" s="2" t="s">
        <v>7714</v>
      </c>
      <c r="E522" s="4">
        <v>12806.804547002183</v>
      </c>
    </row>
    <row r="523" spans="3:5">
      <c r="C523" t="s">
        <v>13311</v>
      </c>
      <c r="D523" s="2" t="s">
        <v>7717</v>
      </c>
      <c r="E523" s="4">
        <v>15487.298822097329</v>
      </c>
    </row>
    <row r="524" spans="3:5">
      <c r="C524" t="s">
        <v>13311</v>
      </c>
      <c r="D524" s="2" t="s">
        <v>11611</v>
      </c>
      <c r="E524" s="4">
        <v>12806.804547002183</v>
      </c>
    </row>
    <row r="525" spans="3:5">
      <c r="C525" t="s">
        <v>13311</v>
      </c>
      <c r="D525" s="2" t="s">
        <v>7729</v>
      </c>
      <c r="E525" s="4">
        <v>14147.051684549757</v>
      </c>
    </row>
    <row r="526" spans="3:5">
      <c r="C526" t="s">
        <v>13311</v>
      </c>
      <c r="D526" s="2" t="s">
        <v>7777</v>
      </c>
      <c r="E526" s="4">
        <v>17530.10409960011</v>
      </c>
    </row>
    <row r="527" spans="3:5">
      <c r="C527" t="s">
        <v>13311</v>
      </c>
      <c r="D527" s="2" t="s">
        <v>5285</v>
      </c>
      <c r="E527" s="4">
        <v>2822.9289077540943</v>
      </c>
    </row>
    <row r="528" spans="3:5">
      <c r="C528" t="s">
        <v>13311</v>
      </c>
      <c r="D528" s="2" t="s">
        <v>7883</v>
      </c>
      <c r="E528" s="4">
        <v>8898.5492278782986</v>
      </c>
    </row>
    <row r="529" spans="3:5">
      <c r="C529" t="s">
        <v>13311</v>
      </c>
      <c r="D529" s="2" t="s">
        <v>7888</v>
      </c>
      <c r="E529" s="4">
        <v>8902.0370937273037</v>
      </c>
    </row>
    <row r="530" spans="3:5">
      <c r="C530" t="s">
        <v>13311</v>
      </c>
      <c r="D530" s="2" t="s">
        <v>7891</v>
      </c>
      <c r="E530" s="4">
        <v>20817.090170720523</v>
      </c>
    </row>
    <row r="531" spans="3:5">
      <c r="C531" t="s">
        <v>13311</v>
      </c>
      <c r="D531" s="2" t="s">
        <v>13098</v>
      </c>
      <c r="E531" s="4">
        <v>27483.443973450438</v>
      </c>
    </row>
    <row r="532" spans="3:5">
      <c r="C532" t="s">
        <v>13311</v>
      </c>
      <c r="D532" s="2" t="s">
        <v>8033</v>
      </c>
      <c r="E532" s="4">
        <v>2169.6622817445323</v>
      </c>
    </row>
    <row r="533" spans="3:5">
      <c r="C533" t="s">
        <v>13311</v>
      </c>
      <c r="D533" s="2" t="s">
        <v>18186</v>
      </c>
      <c r="E533" s="4">
        <v>2417.4072321145572</v>
      </c>
    </row>
    <row r="534" spans="3:5">
      <c r="C534" t="s">
        <v>13311</v>
      </c>
      <c r="D534" s="2" t="s">
        <v>18187</v>
      </c>
      <c r="E534" s="4">
        <v>2622.5331075544186</v>
      </c>
    </row>
    <row r="535" spans="3:5">
      <c r="C535" t="s">
        <v>13311</v>
      </c>
      <c r="D535" s="2" t="s">
        <v>18188</v>
      </c>
      <c r="E535" s="4">
        <v>746.8840428540384</v>
      </c>
    </row>
    <row r="536" spans="3:5">
      <c r="C536" t="s">
        <v>13311</v>
      </c>
      <c r="D536" s="2" t="s">
        <v>8137</v>
      </c>
      <c r="E536" s="4">
        <v>1993.6299182015048</v>
      </c>
    </row>
    <row r="537" spans="3:5">
      <c r="C537" t="s">
        <v>13311</v>
      </c>
      <c r="D537" s="2" t="s">
        <v>8143</v>
      </c>
      <c r="E537" s="4">
        <v>1891.568704014895</v>
      </c>
    </row>
    <row r="538" spans="3:5">
      <c r="C538" t="s">
        <v>13311</v>
      </c>
      <c r="D538" s="2" t="s">
        <v>8149</v>
      </c>
      <c r="E538" s="4">
        <v>1427.9019493143792</v>
      </c>
    </row>
    <row r="539" spans="3:5">
      <c r="C539" t="s">
        <v>13311</v>
      </c>
      <c r="D539" s="2" t="s">
        <v>12991</v>
      </c>
      <c r="E539" s="4">
        <v>15468.510808370449</v>
      </c>
    </row>
    <row r="540" spans="3:5">
      <c r="C540" t="s">
        <v>13311</v>
      </c>
      <c r="D540" s="2" t="s">
        <v>8158</v>
      </c>
      <c r="E540" s="4">
        <v>4963.0104733990174</v>
      </c>
    </row>
    <row r="541" spans="3:5">
      <c r="C541" t="s">
        <v>13311</v>
      </c>
      <c r="D541" s="2" t="s">
        <v>8161</v>
      </c>
      <c r="E541" s="4">
        <v>5512.1767259096932</v>
      </c>
    </row>
    <row r="542" spans="3:5">
      <c r="C542" t="s">
        <v>13311</v>
      </c>
      <c r="D542" s="2" t="s">
        <v>8164</v>
      </c>
      <c r="E542" s="4">
        <v>926.15905688573378</v>
      </c>
    </row>
    <row r="543" spans="3:5">
      <c r="C543" t="s">
        <v>13311</v>
      </c>
      <c r="D543" s="2" t="s">
        <v>8169</v>
      </c>
      <c r="E543" s="4">
        <v>55766.21581168806</v>
      </c>
    </row>
    <row r="544" spans="3:5">
      <c r="C544" t="s">
        <v>13311</v>
      </c>
      <c r="D544" s="2" t="s">
        <v>8175</v>
      </c>
      <c r="E544" s="4">
        <v>1613.2589495860136</v>
      </c>
    </row>
    <row r="545" spans="3:5">
      <c r="C545" t="s">
        <v>13311</v>
      </c>
      <c r="D545" s="2" t="s">
        <v>13137</v>
      </c>
      <c r="E545" s="4">
        <v>3433.0408568622302</v>
      </c>
    </row>
    <row r="546" spans="3:5">
      <c r="C546" t="s">
        <v>13311</v>
      </c>
      <c r="D546" s="2" t="s">
        <v>13151</v>
      </c>
      <c r="E546" s="4">
        <v>21891.575481949094</v>
      </c>
    </row>
    <row r="547" spans="3:5">
      <c r="C547" t="s">
        <v>13311</v>
      </c>
      <c r="D547" s="2" t="s">
        <v>8191</v>
      </c>
      <c r="E547" s="4">
        <v>2358.5587721515585</v>
      </c>
    </row>
    <row r="548" spans="3:5">
      <c r="C548" t="s">
        <v>13311</v>
      </c>
      <c r="D548" s="2" t="s">
        <v>8194</v>
      </c>
      <c r="E548" s="4">
        <v>29229.561250570656</v>
      </c>
    </row>
    <row r="549" spans="3:5">
      <c r="C549" t="s">
        <v>13311</v>
      </c>
      <c r="D549" s="2" t="s">
        <v>8200</v>
      </c>
      <c r="E549" s="4">
        <v>3603.6591233704467</v>
      </c>
    </row>
    <row r="550" spans="3:5">
      <c r="C550" t="s">
        <v>13311</v>
      </c>
      <c r="D550" s="2" t="s">
        <v>13113</v>
      </c>
      <c r="E550" s="4">
        <v>416.22080899319155</v>
      </c>
    </row>
    <row r="551" spans="3:5">
      <c r="C551" t="s">
        <v>13311</v>
      </c>
      <c r="D551" s="2" t="s">
        <v>8249</v>
      </c>
      <c r="E551" s="4">
        <v>2800.6433486245128</v>
      </c>
    </row>
    <row r="552" spans="3:5">
      <c r="C552" t="s">
        <v>13311</v>
      </c>
      <c r="D552" s="2" t="s">
        <v>8255</v>
      </c>
      <c r="E552" s="4">
        <v>17392.654437095385</v>
      </c>
    </row>
    <row r="553" spans="3:5">
      <c r="C553" t="s">
        <v>13311</v>
      </c>
      <c r="D553" s="2" t="s">
        <v>18189</v>
      </c>
      <c r="E553" s="4">
        <v>9444.7019126711475</v>
      </c>
    </row>
    <row r="554" spans="3:5">
      <c r="C554" t="s">
        <v>13311</v>
      </c>
      <c r="D554" s="2" t="s">
        <v>8279</v>
      </c>
      <c r="E554" s="4">
        <v>3542.9941338302151</v>
      </c>
    </row>
    <row r="555" spans="3:5">
      <c r="C555" t="s">
        <v>13311</v>
      </c>
      <c r="D555" s="2" t="s">
        <v>12646</v>
      </c>
      <c r="E555" s="4">
        <v>23403.957349417495</v>
      </c>
    </row>
    <row r="556" spans="3:5">
      <c r="C556" t="s">
        <v>13311</v>
      </c>
      <c r="D556" s="2" t="s">
        <v>8295</v>
      </c>
      <c r="E556" s="4">
        <v>18002.269502447049</v>
      </c>
    </row>
    <row r="557" spans="3:5">
      <c r="C557" t="s">
        <v>13311</v>
      </c>
      <c r="D557" s="2" t="s">
        <v>8304</v>
      </c>
      <c r="E557" s="4">
        <v>3564.1278260697918</v>
      </c>
    </row>
    <row r="558" spans="3:5">
      <c r="C558" t="s">
        <v>13311</v>
      </c>
      <c r="D558" s="2" t="s">
        <v>8307</v>
      </c>
      <c r="E558" s="4">
        <v>688.451803700033</v>
      </c>
    </row>
    <row r="559" spans="3:5">
      <c r="C559" t="s">
        <v>13311</v>
      </c>
      <c r="D559" s="2" t="s">
        <v>8313</v>
      </c>
      <c r="E559" s="4">
        <v>520.9955247330048</v>
      </c>
    </row>
    <row r="560" spans="3:5">
      <c r="C560" t="s">
        <v>13311</v>
      </c>
      <c r="D560" s="2" t="s">
        <v>8316</v>
      </c>
      <c r="E560" s="4">
        <v>30137.461442664979</v>
      </c>
    </row>
    <row r="561" spans="3:5">
      <c r="C561" t="s">
        <v>13311</v>
      </c>
      <c r="D561" s="2" t="s">
        <v>8319</v>
      </c>
      <c r="E561" s="4">
        <v>10382.424809707514</v>
      </c>
    </row>
    <row r="562" spans="3:5">
      <c r="C562" t="s">
        <v>13311</v>
      </c>
      <c r="D562" s="2" t="s">
        <v>8322</v>
      </c>
      <c r="E562" s="4">
        <v>10486.967216158588</v>
      </c>
    </row>
    <row r="563" spans="3:5">
      <c r="C563" t="s">
        <v>13311</v>
      </c>
      <c r="D563" s="2" t="s">
        <v>12691</v>
      </c>
      <c r="E563" s="4">
        <v>1466.7072800877208</v>
      </c>
    </row>
    <row r="564" spans="3:5">
      <c r="C564" t="s">
        <v>13311</v>
      </c>
      <c r="D564" s="2" t="s">
        <v>8330</v>
      </c>
      <c r="E564" s="4">
        <v>9518.1761782710928</v>
      </c>
    </row>
    <row r="565" spans="3:5">
      <c r="C565" t="s">
        <v>13311</v>
      </c>
      <c r="D565" s="2" t="s">
        <v>8333</v>
      </c>
      <c r="E565" s="4">
        <v>2277.6893275267107</v>
      </c>
    </row>
    <row r="566" spans="3:5">
      <c r="C566" t="s">
        <v>13311</v>
      </c>
      <c r="D566" s="2" t="s">
        <v>8336</v>
      </c>
      <c r="E566" s="4">
        <v>2296.4063578598079</v>
      </c>
    </row>
    <row r="567" spans="3:5">
      <c r="C567" t="s">
        <v>13311</v>
      </c>
      <c r="D567" s="2" t="s">
        <v>8339</v>
      </c>
      <c r="E567" s="4">
        <v>25385.149041117689</v>
      </c>
    </row>
    <row r="568" spans="3:5">
      <c r="C568" t="s">
        <v>13311</v>
      </c>
      <c r="D568" s="2" t="s">
        <v>12697</v>
      </c>
      <c r="E568" s="4">
        <v>875.96734444621381</v>
      </c>
    </row>
    <row r="569" spans="3:5">
      <c r="C569" t="s">
        <v>13311</v>
      </c>
      <c r="D569" s="2" t="s">
        <v>12704</v>
      </c>
      <c r="E569" s="4">
        <v>1002.5436416307323</v>
      </c>
    </row>
    <row r="570" spans="3:5">
      <c r="C570" t="s">
        <v>13311</v>
      </c>
      <c r="D570" s="2" t="s">
        <v>12726</v>
      </c>
      <c r="E570" s="4">
        <v>1389.883888908435</v>
      </c>
    </row>
    <row r="571" spans="3:5">
      <c r="C571" t="s">
        <v>13311</v>
      </c>
      <c r="D571" s="2" t="s">
        <v>8359</v>
      </c>
      <c r="E571" s="4">
        <v>7924.1021041135564</v>
      </c>
    </row>
    <row r="572" spans="3:5">
      <c r="C572" t="s">
        <v>13311</v>
      </c>
      <c r="D572" s="2" t="s">
        <v>12729</v>
      </c>
      <c r="E572" s="4">
        <v>6132.3779964885398</v>
      </c>
    </row>
    <row r="573" spans="3:5">
      <c r="C573" t="s">
        <v>13311</v>
      </c>
      <c r="D573" s="2" t="s">
        <v>8364</v>
      </c>
      <c r="E573" s="4">
        <v>1204.3849218492369</v>
      </c>
    </row>
    <row r="574" spans="3:5">
      <c r="C574" t="s">
        <v>13311</v>
      </c>
      <c r="D574" s="2" t="s">
        <v>8370</v>
      </c>
      <c r="E574" s="4">
        <v>440.61328431093199</v>
      </c>
    </row>
    <row r="575" spans="3:5">
      <c r="C575" t="s">
        <v>13311</v>
      </c>
      <c r="D575" s="2" t="s">
        <v>8373</v>
      </c>
      <c r="E575" s="4">
        <v>12951.139598703743</v>
      </c>
    </row>
    <row r="576" spans="3:5">
      <c r="C576" t="s">
        <v>13311</v>
      </c>
      <c r="D576" s="2" t="s">
        <v>8376</v>
      </c>
      <c r="E576" s="4">
        <v>6503.5953338240797</v>
      </c>
    </row>
    <row r="577" spans="3:5">
      <c r="C577" t="s">
        <v>13311</v>
      </c>
      <c r="D577" s="2" t="s">
        <v>8420</v>
      </c>
      <c r="E577" s="4">
        <v>3409.9648008473519</v>
      </c>
    </row>
    <row r="578" spans="3:5">
      <c r="C578" t="s">
        <v>13311</v>
      </c>
      <c r="D578" s="2" t="s">
        <v>8431</v>
      </c>
      <c r="E578" s="4">
        <v>5729.5440102590128</v>
      </c>
    </row>
    <row r="579" spans="3:5">
      <c r="C579" t="s">
        <v>13311</v>
      </c>
      <c r="D579" s="2" t="s">
        <v>8441</v>
      </c>
      <c r="E579" s="4">
        <v>2418.3396957874179</v>
      </c>
    </row>
    <row r="580" spans="3:5">
      <c r="C580" t="s">
        <v>13311</v>
      </c>
      <c r="D580" s="2" t="s">
        <v>8448</v>
      </c>
      <c r="E580" s="4">
        <v>95112.933702885799</v>
      </c>
    </row>
    <row r="581" spans="3:5">
      <c r="C581" t="s">
        <v>13311</v>
      </c>
      <c r="D581" s="2" t="s">
        <v>12736</v>
      </c>
      <c r="E581" s="4">
        <v>51714.770854716815</v>
      </c>
    </row>
    <row r="582" spans="3:5">
      <c r="C582" t="s">
        <v>13311</v>
      </c>
      <c r="D582" s="2" t="s">
        <v>8455</v>
      </c>
      <c r="E582" s="4">
        <v>25729.660489801787</v>
      </c>
    </row>
    <row r="583" spans="3:5">
      <c r="C583" t="s">
        <v>13311</v>
      </c>
      <c r="D583" s="2" t="s">
        <v>8458</v>
      </c>
      <c r="E583" s="4">
        <v>35248.630391476079</v>
      </c>
    </row>
    <row r="584" spans="3:5">
      <c r="C584" t="s">
        <v>13311</v>
      </c>
      <c r="D584" s="2" t="s">
        <v>8461</v>
      </c>
      <c r="E584" s="4">
        <v>7417.4065067096826</v>
      </c>
    </row>
    <row r="585" spans="3:5">
      <c r="C585" t="s">
        <v>13311</v>
      </c>
      <c r="D585" s="2" t="s">
        <v>8464</v>
      </c>
      <c r="E585" s="4">
        <v>8207.7420661118704</v>
      </c>
    </row>
    <row r="586" spans="3:5">
      <c r="C586" t="s">
        <v>13311</v>
      </c>
      <c r="D586" s="2" t="s">
        <v>8470</v>
      </c>
      <c r="E586" s="4">
        <v>1636.0801106868571</v>
      </c>
    </row>
    <row r="587" spans="3:5">
      <c r="C587" t="s">
        <v>13311</v>
      </c>
      <c r="D587" s="2" t="s">
        <v>12761</v>
      </c>
      <c r="E587" s="4">
        <v>22615.996507189098</v>
      </c>
    </row>
    <row r="588" spans="3:5">
      <c r="C588" t="s">
        <v>13311</v>
      </c>
      <c r="D588" s="2" t="s">
        <v>8475</v>
      </c>
      <c r="E588" s="4">
        <v>21185.532702662775</v>
      </c>
    </row>
    <row r="589" spans="3:5">
      <c r="C589" t="s">
        <v>13311</v>
      </c>
      <c r="D589" s="2" t="s">
        <v>8478</v>
      </c>
      <c r="E589" s="4">
        <v>24011.284813578644</v>
      </c>
    </row>
    <row r="590" spans="3:5">
      <c r="C590" t="s">
        <v>13311</v>
      </c>
      <c r="D590" s="2" t="s">
        <v>8484</v>
      </c>
      <c r="E590" s="4">
        <v>8034.052154563642</v>
      </c>
    </row>
    <row r="591" spans="3:5">
      <c r="C591" t="s">
        <v>13311</v>
      </c>
      <c r="D591" s="2" t="s">
        <v>8487</v>
      </c>
      <c r="E591" s="4">
        <v>15846.319921773997</v>
      </c>
    </row>
    <row r="592" spans="3:5">
      <c r="C592" t="s">
        <v>13311</v>
      </c>
      <c r="D592" s="2" t="s">
        <v>8492</v>
      </c>
      <c r="E592" s="4">
        <v>11386.865643862959</v>
      </c>
    </row>
    <row r="593" spans="3:5">
      <c r="C593" t="s">
        <v>13311</v>
      </c>
      <c r="D593" s="2" t="s">
        <v>12825</v>
      </c>
      <c r="E593" s="4">
        <v>1609.0031724770058</v>
      </c>
    </row>
    <row r="594" spans="3:5">
      <c r="C594" t="s">
        <v>13311</v>
      </c>
      <c r="D594" s="2" t="s">
        <v>12828</v>
      </c>
      <c r="E594" s="4">
        <v>31071.602904833264</v>
      </c>
    </row>
    <row r="595" spans="3:5">
      <c r="C595" t="s">
        <v>13311</v>
      </c>
      <c r="D595" s="2" t="s">
        <v>12831</v>
      </c>
      <c r="E595" s="4">
        <v>33567.246742966941</v>
      </c>
    </row>
    <row r="596" spans="3:5">
      <c r="C596" t="s">
        <v>13311</v>
      </c>
      <c r="D596" s="2" t="s">
        <v>12857</v>
      </c>
      <c r="E596" s="4">
        <v>34006.037044664845</v>
      </c>
    </row>
    <row r="597" spans="3:5">
      <c r="C597" t="s">
        <v>13311</v>
      </c>
      <c r="D597" s="2" t="s">
        <v>8515</v>
      </c>
      <c r="E597" s="4">
        <v>1843.161255973617</v>
      </c>
    </row>
    <row r="598" spans="3:5">
      <c r="C598" t="s">
        <v>13311</v>
      </c>
      <c r="D598" s="2" t="s">
        <v>8518</v>
      </c>
      <c r="E598" s="4">
        <v>3414.5851744789661</v>
      </c>
    </row>
    <row r="599" spans="3:5">
      <c r="C599" t="s">
        <v>13311</v>
      </c>
      <c r="D599" s="2" t="s">
        <v>12810</v>
      </c>
      <c r="E599" s="4">
        <v>1202.2005692314974</v>
      </c>
    </row>
    <row r="600" spans="3:5">
      <c r="C600" t="s">
        <v>13311</v>
      </c>
      <c r="D600" s="2" t="s">
        <v>12863</v>
      </c>
      <c r="E600" s="4">
        <v>32413.9214668721</v>
      </c>
    </row>
    <row r="601" spans="3:5">
      <c r="C601" t="s">
        <v>13311</v>
      </c>
      <c r="D601" s="2" t="s">
        <v>12952</v>
      </c>
      <c r="E601" s="4">
        <v>1797.1962819820124</v>
      </c>
    </row>
    <row r="602" spans="3:5">
      <c r="C602" t="s">
        <v>13311</v>
      </c>
      <c r="D602" s="2" t="s">
        <v>5012</v>
      </c>
      <c r="E602" s="4">
        <v>10857.232730713871</v>
      </c>
    </row>
    <row r="603" spans="3:5">
      <c r="C603" t="s">
        <v>13311</v>
      </c>
      <c r="D603" s="2" t="s">
        <v>3730</v>
      </c>
      <c r="E603" s="4">
        <v>6501.4722850464241</v>
      </c>
    </row>
    <row r="604" spans="3:5">
      <c r="C604" t="s">
        <v>13311</v>
      </c>
      <c r="D604" s="2" t="s">
        <v>5218</v>
      </c>
      <c r="E604" s="4">
        <v>35656.258983303771</v>
      </c>
    </row>
    <row r="605" spans="3:5">
      <c r="C605" t="s">
        <v>13311</v>
      </c>
      <c r="D605" s="2" t="s">
        <v>8616</v>
      </c>
      <c r="E605" s="4">
        <v>4571.7403273201235</v>
      </c>
    </row>
    <row r="606" spans="3:5">
      <c r="C606" t="s">
        <v>13311</v>
      </c>
      <c r="D606" s="2" t="s">
        <v>3745</v>
      </c>
      <c r="E606" s="4">
        <v>3478.2863173623191</v>
      </c>
    </row>
    <row r="607" spans="3:5">
      <c r="C607" t="s">
        <v>13311</v>
      </c>
      <c r="D607" s="2" t="s">
        <v>8631</v>
      </c>
      <c r="E607" s="4">
        <v>14088.525876376676</v>
      </c>
    </row>
    <row r="608" spans="3:5">
      <c r="C608" t="s">
        <v>13311</v>
      </c>
      <c r="D608" s="2" t="s">
        <v>8634</v>
      </c>
      <c r="E608" s="4">
        <v>7910.1958119681249</v>
      </c>
    </row>
    <row r="609" spans="3:5">
      <c r="C609" t="s">
        <v>13311</v>
      </c>
      <c r="D609" s="2" t="s">
        <v>12330</v>
      </c>
      <c r="E609" s="4">
        <v>19368.777269175982</v>
      </c>
    </row>
    <row r="610" spans="3:5">
      <c r="C610" t="s">
        <v>13311</v>
      </c>
      <c r="D610" s="2" t="s">
        <v>12353</v>
      </c>
      <c r="E610" s="4">
        <v>9491.3767206005705</v>
      </c>
    </row>
    <row r="611" spans="3:5">
      <c r="C611" t="s">
        <v>13311</v>
      </c>
      <c r="D611" s="2" t="s">
        <v>8657</v>
      </c>
      <c r="E611" s="4">
        <v>19009.607749675954</v>
      </c>
    </row>
    <row r="612" spans="3:5">
      <c r="C612" t="s">
        <v>13311</v>
      </c>
      <c r="D612" s="2" t="s">
        <v>8660</v>
      </c>
      <c r="E612" s="4">
        <v>19180.500270205597</v>
      </c>
    </row>
    <row r="613" spans="3:5">
      <c r="C613" t="s">
        <v>13311</v>
      </c>
      <c r="D613" s="2" t="s">
        <v>6865</v>
      </c>
      <c r="E613" s="4">
        <v>6637.0570202054323</v>
      </c>
    </row>
    <row r="614" spans="3:5">
      <c r="C614" t="s">
        <v>13311</v>
      </c>
      <c r="D614" s="2" t="s">
        <v>6868</v>
      </c>
      <c r="E614" s="4">
        <v>5357.6587837183451</v>
      </c>
    </row>
    <row r="615" spans="3:5">
      <c r="C615" t="s">
        <v>13311</v>
      </c>
      <c r="D615" s="2" t="s">
        <v>3629</v>
      </c>
      <c r="E615" s="4">
        <v>2194.4258066206776</v>
      </c>
    </row>
    <row r="616" spans="3:5">
      <c r="C616" t="s">
        <v>13311</v>
      </c>
      <c r="D616" s="2" t="s">
        <v>5236</v>
      </c>
      <c r="E616" s="4">
        <v>7160.6079471145813</v>
      </c>
    </row>
    <row r="617" spans="3:5">
      <c r="C617" t="s">
        <v>13311</v>
      </c>
      <c r="D617" s="2" t="s">
        <v>5243</v>
      </c>
      <c r="E617" s="4">
        <v>9497.4006295183244</v>
      </c>
    </row>
    <row r="618" spans="3:5">
      <c r="C618" t="s">
        <v>13311</v>
      </c>
      <c r="D618" s="2" t="s">
        <v>8903</v>
      </c>
      <c r="E618" s="4">
        <v>2193.9450554537007</v>
      </c>
    </row>
    <row r="619" spans="3:5">
      <c r="C619" t="s">
        <v>13311</v>
      </c>
      <c r="D619" s="2" t="s">
        <v>8906</v>
      </c>
      <c r="E619" s="4">
        <v>14140.992283935111</v>
      </c>
    </row>
    <row r="620" spans="3:5">
      <c r="C620" t="s">
        <v>13311</v>
      </c>
      <c r="D620" s="2" t="s">
        <v>8909</v>
      </c>
      <c r="E620" s="4">
        <v>3873.0088375933278</v>
      </c>
    </row>
    <row r="621" spans="3:5">
      <c r="C621" t="s">
        <v>13311</v>
      </c>
      <c r="D621" s="2" t="s">
        <v>12318</v>
      </c>
      <c r="E621" s="4">
        <v>6225.772783597974</v>
      </c>
    </row>
    <row r="622" spans="3:5">
      <c r="C622" t="s">
        <v>13311</v>
      </c>
      <c r="D622" s="2" t="s">
        <v>8916</v>
      </c>
      <c r="E622" s="4">
        <v>4055.561993810582</v>
      </c>
    </row>
    <row r="623" spans="3:5">
      <c r="C623" t="s">
        <v>13311</v>
      </c>
      <c r="D623" s="2" t="s">
        <v>8919</v>
      </c>
      <c r="E623" s="4">
        <v>2679.4521098137125</v>
      </c>
    </row>
    <row r="624" spans="3:5">
      <c r="C624" t="s">
        <v>13311</v>
      </c>
      <c r="D624" s="2" t="s">
        <v>5252</v>
      </c>
      <c r="E624" s="4">
        <v>8333.8182530220183</v>
      </c>
    </row>
    <row r="625" spans="3:5">
      <c r="C625" t="s">
        <v>13311</v>
      </c>
      <c r="D625" s="2" t="s">
        <v>5273</v>
      </c>
      <c r="E625" s="4">
        <v>15709.386502133137</v>
      </c>
    </row>
    <row r="626" spans="3:5">
      <c r="C626" t="s">
        <v>13311</v>
      </c>
      <c r="D626" s="2" t="s">
        <v>9011</v>
      </c>
      <c r="E626" s="4">
        <v>9179.069147068114</v>
      </c>
    </row>
    <row r="627" spans="3:5">
      <c r="C627" t="s">
        <v>13311</v>
      </c>
      <c r="D627" s="2" t="s">
        <v>9017</v>
      </c>
      <c r="E627" s="4">
        <v>11247.270346955282</v>
      </c>
    </row>
    <row r="628" spans="3:5">
      <c r="C628" t="s">
        <v>13311</v>
      </c>
      <c r="D628" s="2" t="s">
        <v>9020</v>
      </c>
      <c r="E628" s="4">
        <v>7255.5708219230128</v>
      </c>
    </row>
    <row r="629" spans="3:5">
      <c r="C629" t="s">
        <v>13311</v>
      </c>
      <c r="D629" s="2" t="s">
        <v>9023</v>
      </c>
      <c r="E629" s="4">
        <v>51594.560477347361</v>
      </c>
    </row>
    <row r="630" spans="3:5">
      <c r="C630" t="s">
        <v>13311</v>
      </c>
      <c r="D630" s="2" t="s">
        <v>9026</v>
      </c>
      <c r="E630" s="4">
        <v>10740.297269012081</v>
      </c>
    </row>
    <row r="631" spans="3:5">
      <c r="C631" t="s">
        <v>13311</v>
      </c>
      <c r="D631" s="2" t="s">
        <v>12739</v>
      </c>
      <c r="E631" s="4">
        <v>14067.256670385332</v>
      </c>
    </row>
    <row r="632" spans="3:5">
      <c r="C632" t="s">
        <v>13311</v>
      </c>
      <c r="D632" s="2" t="s">
        <v>9032</v>
      </c>
      <c r="E632" s="4">
        <v>30247.17918382632</v>
      </c>
    </row>
    <row r="633" spans="3:5">
      <c r="C633" t="s">
        <v>13311</v>
      </c>
      <c r="D633" s="2" t="s">
        <v>9039</v>
      </c>
      <c r="E633" s="4">
        <v>7995.7695196899658</v>
      </c>
    </row>
    <row r="634" spans="3:5">
      <c r="C634" t="s">
        <v>13311</v>
      </c>
      <c r="D634" s="2" t="s">
        <v>9042</v>
      </c>
      <c r="E634" s="4">
        <v>14904.289623342238</v>
      </c>
    </row>
    <row r="635" spans="3:5">
      <c r="C635" t="s">
        <v>13311</v>
      </c>
      <c r="D635" s="2" t="s">
        <v>9045</v>
      </c>
      <c r="E635" s="4">
        <v>17582.312385726615</v>
      </c>
    </row>
    <row r="636" spans="3:5">
      <c r="C636" t="s">
        <v>13311</v>
      </c>
      <c r="D636" s="2" t="s">
        <v>9055</v>
      </c>
      <c r="E636" s="4">
        <v>10063.796487610578</v>
      </c>
    </row>
    <row r="637" spans="3:5">
      <c r="C637" t="s">
        <v>13311</v>
      </c>
      <c r="D637" s="2" t="s">
        <v>9105</v>
      </c>
      <c r="E637" s="4">
        <v>9093.2534505038348</v>
      </c>
    </row>
    <row r="638" spans="3:5">
      <c r="C638" t="s">
        <v>13311</v>
      </c>
      <c r="D638" s="2" t="s">
        <v>9108</v>
      </c>
      <c r="E638" s="4">
        <v>4387.6319894754679</v>
      </c>
    </row>
    <row r="639" spans="3:5">
      <c r="C639" t="s">
        <v>13311</v>
      </c>
      <c r="D639" s="2" t="s">
        <v>9114</v>
      </c>
      <c r="E639" s="4">
        <v>2981.5961519637776</v>
      </c>
    </row>
    <row r="640" spans="3:5">
      <c r="C640" t="s">
        <v>13311</v>
      </c>
      <c r="D640" s="2" t="s">
        <v>9117</v>
      </c>
      <c r="E640" s="4">
        <v>38865.040713584051</v>
      </c>
    </row>
    <row r="641" spans="3:5">
      <c r="C641" t="s">
        <v>13311</v>
      </c>
      <c r="D641" s="2" t="s">
        <v>9119</v>
      </c>
      <c r="E641" s="4">
        <v>1550.5064029650168</v>
      </c>
    </row>
    <row r="642" spans="3:5">
      <c r="C642" t="s">
        <v>13311</v>
      </c>
      <c r="D642" s="2" t="s">
        <v>9122</v>
      </c>
      <c r="E642" s="4">
        <v>2415.8552770050555</v>
      </c>
    </row>
    <row r="643" spans="3:5">
      <c r="C643" t="s">
        <v>13311</v>
      </c>
      <c r="D643" s="2" t="s">
        <v>9124</v>
      </c>
      <c r="E643" s="4">
        <v>7258.8328315190747</v>
      </c>
    </row>
    <row r="644" spans="3:5">
      <c r="C644" t="s">
        <v>13311</v>
      </c>
      <c r="D644" s="2" t="s">
        <v>9126</v>
      </c>
      <c r="E644" s="4">
        <v>1822.5502596337062</v>
      </c>
    </row>
    <row r="645" spans="3:5">
      <c r="C645" t="s">
        <v>13311</v>
      </c>
      <c r="D645" s="2" t="s">
        <v>11617</v>
      </c>
      <c r="E645" s="4">
        <v>22144.57965649477</v>
      </c>
    </row>
    <row r="646" spans="3:5">
      <c r="C646" t="s">
        <v>13311</v>
      </c>
      <c r="D646" s="2" t="s">
        <v>9133</v>
      </c>
      <c r="E646" s="4">
        <v>18028.084872158324</v>
      </c>
    </row>
    <row r="647" spans="3:5">
      <c r="C647" t="s">
        <v>13311</v>
      </c>
      <c r="D647" s="2" t="s">
        <v>9135</v>
      </c>
      <c r="E647" s="4">
        <v>19058.118446290002</v>
      </c>
    </row>
    <row r="648" spans="3:5">
      <c r="C648" t="s">
        <v>13311</v>
      </c>
      <c r="D648" s="2" t="s">
        <v>9137</v>
      </c>
      <c r="E648" s="4">
        <v>1098.4422066299232</v>
      </c>
    </row>
    <row r="649" spans="3:5">
      <c r="C649" t="s">
        <v>13311</v>
      </c>
      <c r="D649" s="2" t="s">
        <v>9139</v>
      </c>
      <c r="E649" s="4">
        <v>4712.0970824520055</v>
      </c>
    </row>
    <row r="650" spans="3:5">
      <c r="C650" t="s">
        <v>13311</v>
      </c>
      <c r="D650" s="2" t="s">
        <v>9141</v>
      </c>
      <c r="E650" s="4">
        <v>4647.8183928647004</v>
      </c>
    </row>
    <row r="651" spans="3:5">
      <c r="C651" t="s">
        <v>13311</v>
      </c>
      <c r="D651" s="2" t="s">
        <v>5174</v>
      </c>
      <c r="E651" s="4">
        <v>6207.5365044318532</v>
      </c>
    </row>
    <row r="652" spans="3:5">
      <c r="C652" t="s">
        <v>13311</v>
      </c>
      <c r="D652" s="2" t="s">
        <v>12707</v>
      </c>
      <c r="E652" s="4">
        <v>20487.217433744976</v>
      </c>
    </row>
    <row r="653" spans="3:5">
      <c r="C653" t="s">
        <v>13311</v>
      </c>
      <c r="D653" s="2" t="s">
        <v>12742</v>
      </c>
      <c r="E653" s="4">
        <v>15487.298822097329</v>
      </c>
    </row>
    <row r="654" spans="3:5">
      <c r="C654" t="s">
        <v>13311</v>
      </c>
      <c r="D654" s="2" t="s">
        <v>13004</v>
      </c>
      <c r="E654" s="4">
        <v>25311.377935871024</v>
      </c>
    </row>
    <row r="655" spans="3:5">
      <c r="C655" t="s">
        <v>13311</v>
      </c>
      <c r="D655" s="2" t="s">
        <v>13037</v>
      </c>
      <c r="E655" s="4">
        <v>6938.5880239546541</v>
      </c>
    </row>
    <row r="656" spans="3:5">
      <c r="C656" t="s">
        <v>13311</v>
      </c>
      <c r="D656" s="2" t="s">
        <v>13168</v>
      </c>
      <c r="E656" s="4">
        <v>13704.260500656881</v>
      </c>
    </row>
    <row r="657" spans="3:5">
      <c r="C657" t="s">
        <v>13311</v>
      </c>
      <c r="D657" s="2" t="s">
        <v>12748</v>
      </c>
      <c r="E657" s="4">
        <v>23824.730775166419</v>
      </c>
    </row>
    <row r="658" spans="3:5">
      <c r="C658" t="s">
        <v>13311</v>
      </c>
      <c r="D658" s="2" t="s">
        <v>7703</v>
      </c>
      <c r="E658" s="4">
        <v>7314.2192377762622</v>
      </c>
    </row>
    <row r="659" spans="3:5">
      <c r="C659" t="s">
        <v>13311</v>
      </c>
      <c r="D659" s="2" t="s">
        <v>19779</v>
      </c>
      <c r="E659" s="4">
        <v>3385.6336293696954</v>
      </c>
    </row>
    <row r="660" spans="3:5">
      <c r="C660" t="s">
        <v>13311</v>
      </c>
      <c r="D660" s="2" t="s">
        <v>5966</v>
      </c>
      <c r="E660" s="4">
        <v>16379.895639795874</v>
      </c>
    </row>
    <row r="661" spans="3:5">
      <c r="C661" t="s">
        <v>13311</v>
      </c>
      <c r="D661" s="2" t="s">
        <v>19772</v>
      </c>
      <c r="E661" s="4">
        <v>6168.3343119569126</v>
      </c>
    </row>
    <row r="662" spans="3:5">
      <c r="C662" t="s">
        <v>13311</v>
      </c>
      <c r="D662" s="2" t="s">
        <v>19742</v>
      </c>
      <c r="E662" s="4">
        <v>52311.625041777254</v>
      </c>
    </row>
    <row r="663" spans="3:5">
      <c r="C663" t="s">
        <v>13311</v>
      </c>
      <c r="D663" s="2" t="s">
        <v>19746</v>
      </c>
      <c r="E663" s="4">
        <v>42894.354984284866</v>
      </c>
    </row>
    <row r="664" spans="3:5">
      <c r="C664" t="s">
        <v>13311</v>
      </c>
      <c r="D664" s="2" t="s">
        <v>19757</v>
      </c>
      <c r="E664" s="4">
        <v>3850.2941515831571</v>
      </c>
    </row>
    <row r="665" spans="3:5">
      <c r="C665" t="s">
        <v>13311</v>
      </c>
      <c r="D665" s="2" t="s">
        <v>20143</v>
      </c>
      <c r="E665" s="4">
        <v>9174.3810165606155</v>
      </c>
    </row>
    <row r="666" spans="3:5">
      <c r="C666" t="s">
        <v>13311</v>
      </c>
      <c r="D666" s="2" t="s">
        <v>20144</v>
      </c>
      <c r="E666" s="4">
        <v>7936.566142758059</v>
      </c>
    </row>
    <row r="667" spans="3:5">
      <c r="C667" t="s">
        <v>13311</v>
      </c>
      <c r="D667" s="2" t="s">
        <v>19753</v>
      </c>
      <c r="E667" s="4">
        <v>9266.4497048134908</v>
      </c>
    </row>
    <row r="668" spans="3:5">
      <c r="C668" t="s">
        <v>13311</v>
      </c>
      <c r="D668" s="2" t="s">
        <v>20146</v>
      </c>
      <c r="E668" s="4">
        <v>4769.0418968544927</v>
      </c>
    </row>
    <row r="669" spans="3:5">
      <c r="C669" t="s">
        <v>13311</v>
      </c>
      <c r="D669" s="2" t="s">
        <v>20147</v>
      </c>
      <c r="E669" s="4">
        <v>1639.0710927793898</v>
      </c>
    </row>
    <row r="670" spans="3:5">
      <c r="C670" t="s">
        <v>13311</v>
      </c>
      <c r="D670" s="2" t="s">
        <v>8356</v>
      </c>
      <c r="E670" s="4">
        <v>870.59841866199145</v>
      </c>
    </row>
    <row r="671" spans="3:5">
      <c r="C671" t="s">
        <v>13311</v>
      </c>
      <c r="D671" s="2" t="s">
        <v>8403</v>
      </c>
      <c r="E671" s="4">
        <v>448.87317013281245</v>
      </c>
    </row>
    <row r="672" spans="3:5">
      <c r="C672" t="s">
        <v>13311</v>
      </c>
      <c r="D672" s="2" t="s">
        <v>19761</v>
      </c>
      <c r="E672" s="4">
        <v>7594.5487924100262</v>
      </c>
    </row>
    <row r="673" spans="3:5">
      <c r="C673" t="s">
        <v>13311</v>
      </c>
      <c r="D673" s="2" t="s">
        <v>20153</v>
      </c>
      <c r="E673" s="4">
        <v>24803.233631930423</v>
      </c>
    </row>
    <row r="674" spans="3:5">
      <c r="C674" t="s">
        <v>13311</v>
      </c>
      <c r="D674" s="2" t="s">
        <v>20154</v>
      </c>
      <c r="E674" s="4">
        <v>2933.946935628805</v>
      </c>
    </row>
    <row r="675" spans="3:5">
      <c r="C675" t="s">
        <v>13311</v>
      </c>
      <c r="D675" s="2" t="s">
        <v>20165</v>
      </c>
      <c r="E675" s="4">
        <v>5002.7160026662277</v>
      </c>
    </row>
    <row r="676" spans="3:5">
      <c r="C676" t="s">
        <v>13311</v>
      </c>
      <c r="D676" s="2" t="s">
        <v>20166</v>
      </c>
      <c r="E676" s="4">
        <v>6862.5551296606673</v>
      </c>
    </row>
    <row r="677" spans="3:5">
      <c r="C677" t="s">
        <v>13311</v>
      </c>
      <c r="D677" s="2" t="s">
        <v>3754</v>
      </c>
      <c r="E677" s="4">
        <v>8193.4711774438329</v>
      </c>
    </row>
    <row r="678" spans="3:5">
      <c r="C678" t="s">
        <v>13311</v>
      </c>
      <c r="D678" s="2" t="s">
        <v>3814</v>
      </c>
      <c r="E678" s="4">
        <v>25813.340231516813</v>
      </c>
    </row>
    <row r="679" spans="3:5">
      <c r="C679" t="s">
        <v>13311</v>
      </c>
      <c r="D679" s="2" t="s">
        <v>20192</v>
      </c>
      <c r="E679" s="4">
        <v>32675.130676435376</v>
      </c>
    </row>
    <row r="680" spans="3:5">
      <c r="C680" t="s">
        <v>13311</v>
      </c>
      <c r="D680" s="2" t="s">
        <v>20193</v>
      </c>
      <c r="E680" s="4">
        <v>20394.022690745289</v>
      </c>
    </row>
    <row r="681" spans="3:5">
      <c r="C681" t="s">
        <v>13311</v>
      </c>
      <c r="D681" s="2" t="s">
        <v>20194</v>
      </c>
      <c r="E681" s="4">
        <v>12144.316532836787</v>
      </c>
    </row>
    <row r="682" spans="3:5">
      <c r="C682" t="s">
        <v>13311</v>
      </c>
      <c r="D682" s="2" t="s">
        <v>20195</v>
      </c>
      <c r="E682" s="4">
        <v>16102.899078151957</v>
      </c>
    </row>
    <row r="683" spans="3:5">
      <c r="C683" t="s">
        <v>13311</v>
      </c>
      <c r="D683" s="2" t="s">
        <v>20196</v>
      </c>
      <c r="E683" s="4">
        <v>25806.341914193505</v>
      </c>
    </row>
    <row r="684" spans="3:5">
      <c r="C684" t="s">
        <v>13311</v>
      </c>
      <c r="D684" s="2" t="s">
        <v>20197</v>
      </c>
      <c r="E684" s="4">
        <v>30716.918245213081</v>
      </c>
    </row>
    <row r="685" spans="3:5">
      <c r="C685" t="s">
        <v>13311</v>
      </c>
      <c r="D685" s="2" t="s">
        <v>20199</v>
      </c>
      <c r="E685" s="4">
        <v>6038.1669003506158</v>
      </c>
    </row>
    <row r="686" spans="3:5">
      <c r="C686" t="s">
        <v>13311</v>
      </c>
      <c r="D686" s="2" t="s">
        <v>7429</v>
      </c>
      <c r="E686" s="4">
        <v>3582.0188678207001</v>
      </c>
    </row>
    <row r="687" spans="3:5">
      <c r="C687" t="s">
        <v>13311</v>
      </c>
      <c r="D687" s="2" t="s">
        <v>20209</v>
      </c>
      <c r="E687" s="4">
        <v>26858.564251917793</v>
      </c>
    </row>
    <row r="688" spans="3:5">
      <c r="C688" t="s">
        <v>13311</v>
      </c>
      <c r="D688" s="2" t="s">
        <v>20210</v>
      </c>
      <c r="E688" s="4">
        <v>36223.403393548637</v>
      </c>
    </row>
    <row r="689" spans="3:5">
      <c r="C689" t="s">
        <v>13311</v>
      </c>
      <c r="D689" s="2" t="s">
        <v>7774</v>
      </c>
      <c r="E689" s="4">
        <v>9083.8933220783365</v>
      </c>
    </row>
    <row r="690" spans="3:5">
      <c r="C690" t="s">
        <v>13311</v>
      </c>
      <c r="D690" s="2" t="s">
        <v>20230</v>
      </c>
      <c r="E690" s="4">
        <v>14332.324795356013</v>
      </c>
    </row>
    <row r="691" spans="3:5">
      <c r="C691" t="s">
        <v>13311</v>
      </c>
      <c r="D691" s="2" t="s">
        <v>20233</v>
      </c>
      <c r="E691" s="4">
        <v>15941.811945517893</v>
      </c>
    </row>
    <row r="692" spans="3:5">
      <c r="C692" t="s">
        <v>13311</v>
      </c>
      <c r="D692" s="2" t="s">
        <v>20234</v>
      </c>
      <c r="E692" s="4">
        <v>9281.7627587629613</v>
      </c>
    </row>
    <row r="693" spans="3:5">
      <c r="C693" t="s">
        <v>13311</v>
      </c>
      <c r="D693" s="2" t="s">
        <v>20235</v>
      </c>
      <c r="E693" s="4">
        <v>5667.75619248987</v>
      </c>
    </row>
    <row r="694" spans="3:5">
      <c r="C694" t="s">
        <v>13311</v>
      </c>
      <c r="D694" s="2" t="s">
        <v>20246</v>
      </c>
      <c r="E694" s="4">
        <v>5826.9525856350174</v>
      </c>
    </row>
    <row r="695" spans="3:5">
      <c r="C695" t="s">
        <v>13311</v>
      </c>
      <c r="D695" s="2" t="s">
        <v>20254</v>
      </c>
      <c r="E695" s="4">
        <v>3412.6653963289591</v>
      </c>
    </row>
    <row r="696" spans="3:5">
      <c r="C696" t="s">
        <v>13311</v>
      </c>
      <c r="D696" s="2" t="s">
        <v>8172</v>
      </c>
      <c r="E696" s="4">
        <v>3481.1030674882973</v>
      </c>
    </row>
    <row r="697" spans="3:5">
      <c r="C697" t="s">
        <v>13311</v>
      </c>
      <c r="D697" s="2" t="s">
        <v>9111</v>
      </c>
      <c r="E697" s="4">
        <v>2818.9118929696251</v>
      </c>
    </row>
    <row r="698" spans="3:5">
      <c r="C698" t="s">
        <v>13311</v>
      </c>
      <c r="D698" s="2" t="s">
        <v>20260</v>
      </c>
      <c r="E698" s="4">
        <v>11459.471976148028</v>
      </c>
    </row>
    <row r="699" spans="3:5">
      <c r="C699" t="s">
        <v>13311</v>
      </c>
      <c r="D699" s="2" t="s">
        <v>20262</v>
      </c>
      <c r="E699" s="4">
        <v>4106.0666784863215</v>
      </c>
    </row>
    <row r="700" spans="3:5">
      <c r="C700" t="s">
        <v>13311</v>
      </c>
      <c r="D700" s="2" t="s">
        <v>20263</v>
      </c>
      <c r="E700" s="4">
        <v>5284.8685399130236</v>
      </c>
    </row>
    <row r="701" spans="3:5">
      <c r="C701" t="s">
        <v>13311</v>
      </c>
      <c r="D701" s="2" t="s">
        <v>20264</v>
      </c>
      <c r="E701" s="4">
        <v>12543.498100804451</v>
      </c>
    </row>
    <row r="702" spans="3:5">
      <c r="C702" t="s">
        <v>13311</v>
      </c>
      <c r="D702" s="2" t="s">
        <v>20265</v>
      </c>
      <c r="E702" s="4">
        <v>4380.5207440256927</v>
      </c>
    </row>
    <row r="703" spans="3:5">
      <c r="C703" t="s">
        <v>13311</v>
      </c>
      <c r="D703" s="2" t="s">
        <v>20266</v>
      </c>
      <c r="E703" s="4">
        <v>8653.0499339660983</v>
      </c>
    </row>
    <row r="704" spans="3:5">
      <c r="C704" t="s">
        <v>13311</v>
      </c>
      <c r="D704" s="2" t="s">
        <v>20267</v>
      </c>
      <c r="E704" s="4">
        <v>5995.8027203344873</v>
      </c>
    </row>
    <row r="705" spans="3:5">
      <c r="C705" t="s">
        <v>13311</v>
      </c>
      <c r="D705" s="2" t="s">
        <v>20268</v>
      </c>
      <c r="E705" s="4">
        <v>1402.1156182641962</v>
      </c>
    </row>
    <row r="706" spans="3:5">
      <c r="C706" t="s">
        <v>13311</v>
      </c>
      <c r="D706" s="2" t="s">
        <v>20269</v>
      </c>
      <c r="E706" s="4">
        <v>1939.3243954405405</v>
      </c>
    </row>
    <row r="707" spans="3:5">
      <c r="C707" t="s">
        <v>13311</v>
      </c>
      <c r="D707" s="2" t="s">
        <v>20270</v>
      </c>
      <c r="E707" s="4">
        <v>1178.9212425889712</v>
      </c>
    </row>
    <row r="708" spans="3:5">
      <c r="C708" t="s">
        <v>13311</v>
      </c>
      <c r="D708" s="2" t="s">
        <v>8495</v>
      </c>
      <c r="E708" s="4">
        <v>1762.0498225063316</v>
      </c>
    </row>
    <row r="709" spans="3:5">
      <c r="C709" t="s">
        <v>13311</v>
      </c>
      <c r="D709" s="2" t="s">
        <v>6373</v>
      </c>
      <c r="E709" s="4">
        <v>1054.8229111510168</v>
      </c>
    </row>
    <row r="710" spans="3:5">
      <c r="D710" s="2"/>
    </row>
    <row r="711" spans="3:5">
      <c r="D711" s="2"/>
    </row>
    <row r="712" spans="3:5">
      <c r="D712" s="2"/>
    </row>
  </sheetData>
  <autoFilter ref="C3:E709" xr:uid="{DFBD9FFC-07BF-4A33-BF41-1152748653F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2B84D-7624-4861-A1E2-6D63E4D677D4}">
  <dimension ref="A2:U761"/>
  <sheetViews>
    <sheetView tabSelected="1" topLeftCell="A2" workbookViewId="0">
      <pane ySplit="10" topLeftCell="A12" activePane="bottomLeft" state="frozen"/>
      <selection activeCell="A2" sqref="A2"/>
      <selection pane="bottomLeft" activeCell="D8" sqref="D8"/>
    </sheetView>
  </sheetViews>
  <sheetFormatPr defaultRowHeight="12.75"/>
  <cols>
    <col min="1" max="1" width="14" bestFit="1" customWidth="1"/>
    <col min="2" max="2" width="15" bestFit="1" customWidth="1"/>
    <col min="3" max="3" width="12.85546875" bestFit="1" customWidth="1"/>
    <col min="4" max="4" width="11.140625" bestFit="1" customWidth="1"/>
    <col min="5" max="5" width="16.5703125" bestFit="1" customWidth="1"/>
    <col min="6" max="6" width="10.28515625" bestFit="1" customWidth="1"/>
    <col min="7" max="7" width="6.5703125" customWidth="1"/>
    <col min="8" max="8" width="14" bestFit="1" customWidth="1"/>
    <col min="9" max="9" width="15" bestFit="1" customWidth="1"/>
    <col min="10" max="10" width="10.28515625" bestFit="1" customWidth="1"/>
    <col min="11" max="11" width="11.140625" style="13" bestFit="1" customWidth="1"/>
    <col min="12" max="12" width="15" style="4" bestFit="1" customWidth="1"/>
    <col min="13" max="13" width="10.28515625" bestFit="1" customWidth="1"/>
    <col min="14" max="14" width="6.5703125" customWidth="1"/>
    <col min="15" max="15" width="14" bestFit="1" customWidth="1"/>
    <col min="16" max="16" width="15" bestFit="1" customWidth="1"/>
    <col min="17" max="17" width="10.28515625" bestFit="1" customWidth="1"/>
    <col min="18" max="18" width="11.140625" style="13" bestFit="1" customWidth="1"/>
    <col min="19" max="19" width="16.5703125" style="4" bestFit="1" customWidth="1"/>
    <col min="20" max="20" width="11.5703125" customWidth="1"/>
    <col min="21" max="21" width="33.42578125" customWidth="1"/>
  </cols>
  <sheetData>
    <row r="2" spans="1:21" ht="38.25">
      <c r="A2" s="1" t="s">
        <v>1897</v>
      </c>
      <c r="B2" t="s">
        <v>1898</v>
      </c>
      <c r="C2" s="11" t="s">
        <v>1899</v>
      </c>
      <c r="D2" s="3" t="s">
        <v>1900</v>
      </c>
      <c r="E2" s="3" t="s">
        <v>1901</v>
      </c>
      <c r="F2" s="3"/>
      <c r="G2" s="3"/>
      <c r="H2" s="3"/>
      <c r="I2" s="3"/>
      <c r="J2" s="3"/>
      <c r="K2" s="15"/>
      <c r="L2" s="16"/>
      <c r="M2" s="3"/>
      <c r="N2" s="3"/>
      <c r="O2" s="3"/>
      <c r="P2" s="3"/>
      <c r="Q2" s="3"/>
      <c r="R2" s="15"/>
      <c r="S2" s="16"/>
      <c r="T2" s="3"/>
    </row>
    <row r="3" spans="1:21">
      <c r="A3" s="2" t="s">
        <v>708</v>
      </c>
      <c r="B3" s="10">
        <v>2421</v>
      </c>
      <c r="C3" s="12"/>
      <c r="E3" s="25">
        <f>B3*$D$6</f>
        <v>2059754.0997616944</v>
      </c>
      <c r="F3" s="51">
        <f>GETPIVOTDATA("FTE",$A$2,"Segment","Corporate")/GETPIVOTDATA("FTE",$A$2)</f>
        <v>0.23742277140335394</v>
      </c>
      <c r="G3" s="4"/>
      <c r="H3" s="4"/>
      <c r="I3" s="4"/>
      <c r="J3" s="4"/>
      <c r="M3" s="4"/>
      <c r="N3" s="4"/>
      <c r="O3" s="4"/>
      <c r="P3" s="4"/>
      <c r="Q3" s="4"/>
      <c r="T3" s="4"/>
    </row>
    <row r="4" spans="1:21">
      <c r="A4" s="2" t="s">
        <v>766</v>
      </c>
      <c r="B4" s="10">
        <v>4318</v>
      </c>
      <c r="C4" s="12"/>
      <c r="E4" s="25">
        <f t="shared" ref="E4:E5" si="0">B4*$D$6</f>
        <v>3673696.0771462191</v>
      </c>
      <c r="F4" s="51">
        <f>GETPIVOTDATA("FTE",$A$2,"Segment","Housing")/GETPIVOTDATA("FTE",$A$2)</f>
        <v>0.42345787976855936</v>
      </c>
      <c r="G4" s="4"/>
      <c r="H4" s="4"/>
      <c r="I4" s="4"/>
      <c r="J4" s="4"/>
      <c r="M4" s="4"/>
      <c r="N4" s="4"/>
      <c r="O4" s="4"/>
      <c r="P4" s="4"/>
      <c r="Q4" s="4"/>
      <c r="T4" s="4"/>
    </row>
    <row r="5" spans="1:21">
      <c r="A5" s="2" t="s">
        <v>685</v>
      </c>
      <c r="B5" s="10">
        <v>3458</v>
      </c>
      <c r="C5" s="12"/>
      <c r="E5" s="25">
        <f t="shared" si="0"/>
        <v>2942019.6930920854</v>
      </c>
      <c r="F5" s="51">
        <f>GETPIVOTDATA("FTE",$A$2,"Segment","Lifestyle")/GETPIVOTDATA("FTE",$A$2)</f>
        <v>0.3391193488280867</v>
      </c>
      <c r="G5" s="4"/>
      <c r="H5" s="4"/>
      <c r="I5" s="4"/>
      <c r="J5" s="4"/>
      <c r="M5" s="4"/>
      <c r="N5" s="4"/>
      <c r="O5" s="4"/>
      <c r="P5" s="4"/>
      <c r="Q5" s="4"/>
      <c r="T5" s="4"/>
    </row>
    <row r="6" spans="1:21">
      <c r="A6" s="2" t="s">
        <v>3</v>
      </c>
      <c r="B6" s="10">
        <v>10197</v>
      </c>
      <c r="C6" s="17">
        <f>'GFS Cube'!C14</f>
        <v>8675469.8699999992</v>
      </c>
      <c r="D6" s="24">
        <f>C6/GETPIVOTDATA("FTE",$A$2)</f>
        <v>850.78649308620174</v>
      </c>
      <c r="E6" s="25">
        <f>SUM(E3:E5)</f>
        <v>8675469.8699999992</v>
      </c>
      <c r="F6" s="4"/>
      <c r="G6" s="4"/>
      <c r="H6" s="4"/>
      <c r="I6" s="4"/>
      <c r="J6" s="4"/>
      <c r="M6" s="4"/>
      <c r="N6" s="4"/>
      <c r="O6" s="4"/>
      <c r="P6" s="4"/>
      <c r="Q6" s="4"/>
      <c r="T6" s="4"/>
    </row>
    <row r="7" spans="1:21">
      <c r="D7" s="9"/>
    </row>
    <row r="8" spans="1:21">
      <c r="A8" s="1" t="s">
        <v>684</v>
      </c>
      <c r="B8" t="s">
        <v>708</v>
      </c>
      <c r="H8" s="1" t="s">
        <v>684</v>
      </c>
      <c r="I8" t="s">
        <v>766</v>
      </c>
      <c r="O8" s="1" t="s">
        <v>684</v>
      </c>
      <c r="P8" t="s">
        <v>685</v>
      </c>
    </row>
    <row r="10" spans="1:21">
      <c r="A10" s="1" t="s">
        <v>1902</v>
      </c>
      <c r="D10" s="3"/>
      <c r="F10" s="3"/>
      <c r="G10" s="3"/>
      <c r="H10" s="1" t="s">
        <v>1902</v>
      </c>
      <c r="K10" s="15"/>
      <c r="L10" s="16"/>
      <c r="M10" s="3"/>
      <c r="N10" s="3"/>
      <c r="O10" s="1" t="s">
        <v>1902</v>
      </c>
      <c r="R10" s="15"/>
      <c r="S10" s="16"/>
      <c r="T10" s="3"/>
    </row>
    <row r="11" spans="1:21">
      <c r="A11" s="1" t="s">
        <v>18167</v>
      </c>
      <c r="B11" s="1" t="s">
        <v>18168</v>
      </c>
      <c r="C11" t="s">
        <v>1905</v>
      </c>
      <c r="D11" s="21" t="s">
        <v>1921</v>
      </c>
      <c r="E11" s="22" t="s">
        <v>1903</v>
      </c>
      <c r="F11" s="21" t="s">
        <v>1904</v>
      </c>
      <c r="G11" s="13"/>
      <c r="H11" s="1" t="s">
        <v>18167</v>
      </c>
      <c r="I11" s="1" t="s">
        <v>18168</v>
      </c>
      <c r="J11" t="s">
        <v>1905</v>
      </c>
      <c r="K11" s="21" t="s">
        <v>1921</v>
      </c>
      <c r="L11" s="22" t="s">
        <v>1903</v>
      </c>
      <c r="M11" s="21" t="s">
        <v>1904</v>
      </c>
      <c r="N11" s="13"/>
      <c r="O11" s="1" t="s">
        <v>18167</v>
      </c>
      <c r="P11" s="1" t="s">
        <v>18168</v>
      </c>
      <c r="Q11" t="s">
        <v>1905</v>
      </c>
      <c r="R11" s="21" t="s">
        <v>1921</v>
      </c>
      <c r="S11" s="22" t="s">
        <v>1903</v>
      </c>
      <c r="T11" s="21" t="s">
        <v>1904</v>
      </c>
      <c r="U11" s="23"/>
    </row>
    <row r="12" spans="1:21">
      <c r="A12" t="s">
        <v>13282</v>
      </c>
      <c r="B12" t="s">
        <v>18171</v>
      </c>
      <c r="C12" s="10">
        <v>1676</v>
      </c>
      <c r="D12" s="14">
        <f>C12/$C$282</f>
        <v>1.3843671986086615E-4</v>
      </c>
      <c r="E12" s="9">
        <f>D12*$E$3</f>
        <v>285.14560129098021</v>
      </c>
      <c r="F12" s="13">
        <f>E12/C12</f>
        <v>0.17013460697552518</v>
      </c>
      <c r="G12" s="13"/>
      <c r="H12" t="s">
        <v>13282</v>
      </c>
      <c r="I12" t="s">
        <v>6634</v>
      </c>
      <c r="J12" s="10">
        <v>3576.92</v>
      </c>
      <c r="K12" s="13">
        <f>J12/$J$216</f>
        <v>3.7666482058165105E-4</v>
      </c>
      <c r="L12" s="4">
        <f>K12*$E$4</f>
        <v>1383.752073769796</v>
      </c>
      <c r="M12" s="13">
        <f>L12/J12</f>
        <v>0.38685575125241717</v>
      </c>
      <c r="N12" s="13"/>
      <c r="O12" t="s">
        <v>13311</v>
      </c>
      <c r="P12" t="s">
        <v>5076</v>
      </c>
      <c r="Q12" s="10">
        <v>25526.54</v>
      </c>
      <c r="R12" s="13">
        <f>Q12/$Q$244</f>
        <v>2.7994998948279574E-3</v>
      </c>
      <c r="S12" s="4">
        <f>R12*$E$5</f>
        <v>8236.1838213930732</v>
      </c>
      <c r="T12" s="13">
        <f>S12/Q12</f>
        <v>0.32265178991720278</v>
      </c>
    </row>
    <row r="13" spans="1:21">
      <c r="A13" t="s">
        <v>13311</v>
      </c>
      <c r="B13" t="s">
        <v>3601</v>
      </c>
      <c r="C13" s="10">
        <v>32448.880000000001</v>
      </c>
      <c r="D13" s="14">
        <f t="shared" ref="D13:D76" si="1">C13/$C$282</f>
        <v>2.6802604477081516E-3</v>
      </c>
      <c r="E13" s="9">
        <f t="shared" ref="E13:E76" si="2">D13*$E$3</f>
        <v>5520.6774455959803</v>
      </c>
      <c r="F13" s="13">
        <f t="shared" ref="F13:F76" si="3">E13/C13</f>
        <v>0.17013460697552521</v>
      </c>
      <c r="H13" t="s">
        <v>13282</v>
      </c>
      <c r="I13" t="s">
        <v>6637</v>
      </c>
      <c r="J13" s="10">
        <v>4769.2299999999996</v>
      </c>
      <c r="K13" s="13">
        <f t="shared" ref="K13:K76" si="4">J13/$J$216</f>
        <v>5.022201117896479E-4</v>
      </c>
      <c r="L13" s="4">
        <f t="shared" ref="L13:L76" si="5">K13*$E$4</f>
        <v>1845.0040545455652</v>
      </c>
      <c r="M13" s="13">
        <f t="shared" ref="M13:M76" si="6">L13/J13</f>
        <v>0.38685575125241711</v>
      </c>
      <c r="O13" t="s">
        <v>13311</v>
      </c>
      <c r="P13" t="s">
        <v>3656</v>
      </c>
      <c r="Q13" s="10">
        <v>49363.46</v>
      </c>
      <c r="R13" s="13">
        <f t="shared" ref="R13:R76" si="7">Q13/$Q$244</f>
        <v>5.413698882744942E-3</v>
      </c>
      <c r="S13" s="4">
        <f t="shared" ref="S13:S76" si="8">R13*$E$5</f>
        <v>15927.20872550624</v>
      </c>
      <c r="T13" s="13">
        <f t="shared" ref="T13:T76" si="9">S13/Q13</f>
        <v>0.32265178991720272</v>
      </c>
    </row>
    <row r="14" spans="1:21">
      <c r="A14" t="s">
        <v>13311</v>
      </c>
      <c r="B14" t="s">
        <v>8609</v>
      </c>
      <c r="C14" s="10">
        <v>4719.58</v>
      </c>
      <c r="D14" s="14">
        <f t="shared" si="1"/>
        <v>3.8983482954710417E-4</v>
      </c>
      <c r="E14" s="9">
        <f t="shared" si="2"/>
        <v>802.9638883895492</v>
      </c>
      <c r="F14" s="13">
        <f t="shared" si="3"/>
        <v>0.17013460697552521</v>
      </c>
      <c r="H14" t="s">
        <v>13282</v>
      </c>
      <c r="I14" t="s">
        <v>5389</v>
      </c>
      <c r="J14" s="10">
        <v>4876.6499999999996</v>
      </c>
      <c r="K14" s="13">
        <f t="shared" si="4"/>
        <v>5.1353189260299598E-4</v>
      </c>
      <c r="L14" s="4">
        <f t="shared" si="5"/>
        <v>1886.5600993450998</v>
      </c>
      <c r="M14" s="13">
        <f t="shared" si="6"/>
        <v>0.38685575125241711</v>
      </c>
      <c r="O14" t="s">
        <v>13311</v>
      </c>
      <c r="P14" t="s">
        <v>3664</v>
      </c>
      <c r="Q14" s="10">
        <v>92640.3</v>
      </c>
      <c r="R14" s="13">
        <f t="shared" si="7"/>
        <v>1.0159877135985936E-2</v>
      </c>
      <c r="S14" s="4">
        <f t="shared" si="8"/>
        <v>29890.558613466637</v>
      </c>
      <c r="T14" s="13">
        <f t="shared" si="9"/>
        <v>0.32265178991720272</v>
      </c>
    </row>
    <row r="15" spans="1:21">
      <c r="A15" t="s">
        <v>13311</v>
      </c>
      <c r="B15" t="s">
        <v>3610</v>
      </c>
      <c r="C15" s="10">
        <v>61580.7</v>
      </c>
      <c r="D15" s="14">
        <f t="shared" si="1"/>
        <v>5.0865334813460852E-3</v>
      </c>
      <c r="E15" s="9">
        <f t="shared" si="2"/>
        <v>10477.008191777722</v>
      </c>
      <c r="F15" s="13">
        <f t="shared" si="3"/>
        <v>0.17013460697552518</v>
      </c>
      <c r="H15" t="s">
        <v>13282</v>
      </c>
      <c r="I15" t="s">
        <v>5398</v>
      </c>
      <c r="J15" s="10">
        <v>7224.19</v>
      </c>
      <c r="K15" s="13">
        <f t="shared" si="4"/>
        <v>7.6073779402328185E-4</v>
      </c>
      <c r="L15" s="4">
        <f t="shared" si="5"/>
        <v>2794.7194496401989</v>
      </c>
      <c r="M15" s="13">
        <f t="shared" si="6"/>
        <v>0.38685575125241711</v>
      </c>
      <c r="O15" t="s">
        <v>13311</v>
      </c>
      <c r="P15" t="s">
        <v>3672</v>
      </c>
      <c r="Q15" s="10">
        <v>47526.69</v>
      </c>
      <c r="R15" s="13">
        <f t="shared" si="7"/>
        <v>5.2122600108170138E-3</v>
      </c>
      <c r="S15" s="4">
        <f t="shared" si="8"/>
        <v>15334.57159734002</v>
      </c>
      <c r="T15" s="13">
        <f t="shared" si="9"/>
        <v>0.32265178991720272</v>
      </c>
    </row>
    <row r="16" spans="1:21">
      <c r="A16" t="s">
        <v>13311</v>
      </c>
      <c r="B16" t="s">
        <v>3619</v>
      </c>
      <c r="C16" s="10">
        <v>48577.03</v>
      </c>
      <c r="D16" s="14">
        <f t="shared" si="1"/>
        <v>4.012437168128216E-3</v>
      </c>
      <c r="E16" s="9">
        <f t="shared" si="2"/>
        <v>8264.6339070882968</v>
      </c>
      <c r="F16" s="13">
        <f t="shared" si="3"/>
        <v>0.17013460697552521</v>
      </c>
      <c r="H16" t="s">
        <v>13282</v>
      </c>
      <c r="I16" t="s">
        <v>6844</v>
      </c>
      <c r="J16" s="10">
        <v>3556.88</v>
      </c>
      <c r="K16" s="13">
        <f t="shared" si="4"/>
        <v>3.74554523732838E-4</v>
      </c>
      <c r="L16" s="4">
        <f t="shared" si="5"/>
        <v>1375.9994845146973</v>
      </c>
      <c r="M16" s="13">
        <f t="shared" si="6"/>
        <v>0.38685575125241706</v>
      </c>
      <c r="O16" t="s">
        <v>13311</v>
      </c>
      <c r="P16" t="s">
        <v>3681</v>
      </c>
      <c r="Q16" s="10">
        <v>179021.21</v>
      </c>
      <c r="R16" s="13">
        <f t="shared" si="7"/>
        <v>1.9633285927782365E-2</v>
      </c>
      <c r="S16" s="4">
        <f t="shared" si="8"/>
        <v>57761.513839643434</v>
      </c>
      <c r="T16" s="13">
        <f t="shared" si="9"/>
        <v>0.32265178991720278</v>
      </c>
    </row>
    <row r="17" spans="1:20">
      <c r="A17" t="s">
        <v>13311</v>
      </c>
      <c r="B17" t="s">
        <v>3622</v>
      </c>
      <c r="C17" s="10">
        <v>15946.04</v>
      </c>
      <c r="D17" s="14">
        <f t="shared" si="1"/>
        <v>1.3171345300537983E-3</v>
      </c>
      <c r="E17" s="9">
        <f t="shared" si="2"/>
        <v>2712.9732482160039</v>
      </c>
      <c r="F17" s="13">
        <f t="shared" si="3"/>
        <v>0.17013460697552518</v>
      </c>
      <c r="H17" t="s">
        <v>13282</v>
      </c>
      <c r="I17" t="s">
        <v>5983</v>
      </c>
      <c r="J17" s="10">
        <v>10415.43</v>
      </c>
      <c r="K17" s="13">
        <f t="shared" si="4"/>
        <v>1.0967888776463397E-3</v>
      </c>
      <c r="L17" s="4">
        <f t="shared" si="5"/>
        <v>4029.2689972669627</v>
      </c>
      <c r="M17" s="13">
        <f t="shared" si="6"/>
        <v>0.38685575125241711</v>
      </c>
      <c r="O17" t="s">
        <v>13311</v>
      </c>
      <c r="P17" t="s">
        <v>5189</v>
      </c>
      <c r="Q17" s="10">
        <v>34692.519999999997</v>
      </c>
      <c r="R17" s="13">
        <f t="shared" si="7"/>
        <v>3.8047344485902432E-3</v>
      </c>
      <c r="S17" s="4">
        <f t="shared" si="8"/>
        <v>11193.603674738351</v>
      </c>
      <c r="T17" s="13">
        <f t="shared" si="9"/>
        <v>0.32265178991720267</v>
      </c>
    </row>
    <row r="18" spans="1:20">
      <c r="A18" t="s">
        <v>13311</v>
      </c>
      <c r="B18" t="s">
        <v>7845</v>
      </c>
      <c r="C18" s="10">
        <v>33425.129999999997</v>
      </c>
      <c r="D18" s="14">
        <f t="shared" si="1"/>
        <v>2.7608981850376088E-3</v>
      </c>
      <c r="E18" s="9">
        <f>D18*$E$3</f>
        <v>5686.7713556558365</v>
      </c>
      <c r="F18" s="13">
        <f t="shared" si="3"/>
        <v>0.17013460697552521</v>
      </c>
      <c r="H18" t="s">
        <v>13282</v>
      </c>
      <c r="I18" t="s">
        <v>6913</v>
      </c>
      <c r="J18" s="10">
        <v>2178.7199999999998</v>
      </c>
      <c r="K18" s="13">
        <f t="shared" si="4"/>
        <v>2.2942844064101369E-4</v>
      </c>
      <c r="L18" s="4">
        <f t="shared" si="5"/>
        <v>842.8503623686662</v>
      </c>
      <c r="M18" s="13">
        <f t="shared" si="6"/>
        <v>0.38685575125241717</v>
      </c>
      <c r="O18" t="s">
        <v>13311</v>
      </c>
      <c r="P18" t="s">
        <v>5033</v>
      </c>
      <c r="Q18" s="10">
        <v>58345.65</v>
      </c>
      <c r="R18" s="13">
        <f t="shared" si="7"/>
        <v>6.3987771565856087E-3</v>
      </c>
      <c r="S18" s="4">
        <f t="shared" si="8"/>
        <v>18825.32840638264</v>
      </c>
      <c r="T18" s="13">
        <f t="shared" si="9"/>
        <v>0.32265178991720272</v>
      </c>
    </row>
    <row r="19" spans="1:20">
      <c r="A19" t="s">
        <v>13311</v>
      </c>
      <c r="B19" t="s">
        <v>7039</v>
      </c>
      <c r="C19" s="10">
        <v>33871.96</v>
      </c>
      <c r="D19" s="14">
        <f t="shared" si="1"/>
        <v>2.7978061083881048E-3</v>
      </c>
      <c r="E19" s="9">
        <f t="shared" si="2"/>
        <v>5762.7926020907107</v>
      </c>
      <c r="F19" s="13">
        <f t="shared" si="3"/>
        <v>0.17013460697552521</v>
      </c>
      <c r="H19" t="s">
        <v>13282</v>
      </c>
      <c r="I19" t="s">
        <v>5672</v>
      </c>
      <c r="J19" s="10">
        <v>1920.9</v>
      </c>
      <c r="K19" s="13">
        <f t="shared" si="4"/>
        <v>2.0227890303817068E-4</v>
      </c>
      <c r="L19" s="4">
        <f t="shared" si="5"/>
        <v>743.1112125807681</v>
      </c>
      <c r="M19" s="13">
        <f t="shared" si="6"/>
        <v>0.38685575125241711</v>
      </c>
      <c r="O19" t="s">
        <v>13311</v>
      </c>
      <c r="P19" t="s">
        <v>3751</v>
      </c>
      <c r="Q19" s="10">
        <v>49717.2</v>
      </c>
      <c r="R19" s="13">
        <f t="shared" si="7"/>
        <v>5.4524936074822712E-3</v>
      </c>
      <c r="S19" s="4">
        <f t="shared" si="8"/>
        <v>16041.34356967155</v>
      </c>
      <c r="T19" s="13">
        <f t="shared" si="9"/>
        <v>0.32265178991720272</v>
      </c>
    </row>
    <row r="20" spans="1:20">
      <c r="A20" t="s">
        <v>13311</v>
      </c>
      <c r="B20" t="s">
        <v>3632</v>
      </c>
      <c r="C20" s="10">
        <v>28323.759999999998</v>
      </c>
      <c r="D20" s="14">
        <f t="shared" si="1"/>
        <v>2.3395277019847291E-3</v>
      </c>
      <c r="E20" s="9">
        <f t="shared" si="2"/>
        <v>4818.8517756691017</v>
      </c>
      <c r="F20" s="13">
        <f t="shared" si="3"/>
        <v>0.17013460697552521</v>
      </c>
      <c r="H20" t="s">
        <v>13282</v>
      </c>
      <c r="I20" t="s">
        <v>5735</v>
      </c>
      <c r="J20" s="10">
        <v>1838.16</v>
      </c>
      <c r="K20" s="13">
        <f t="shared" si="4"/>
        <v>1.93566030719269E-4</v>
      </c>
      <c r="L20" s="4">
        <f t="shared" si="5"/>
        <v>711.10276772214308</v>
      </c>
      <c r="M20" s="13">
        <f t="shared" si="6"/>
        <v>0.38685575125241711</v>
      </c>
      <c r="O20" t="s">
        <v>13311</v>
      </c>
      <c r="P20" t="s">
        <v>12838</v>
      </c>
      <c r="Q20" s="10">
        <v>87773.73</v>
      </c>
      <c r="R20" s="13">
        <f t="shared" si="7"/>
        <v>9.6261595932569596E-3</v>
      </c>
      <c r="S20" s="4">
        <f t="shared" si="8"/>
        <v>28320.351092209276</v>
      </c>
      <c r="T20" s="13">
        <f t="shared" si="9"/>
        <v>0.32265178991720278</v>
      </c>
    </row>
    <row r="21" spans="1:20">
      <c r="A21" t="s">
        <v>13311</v>
      </c>
      <c r="B21" t="s">
        <v>7015</v>
      </c>
      <c r="C21" s="10">
        <v>98889.38</v>
      </c>
      <c r="D21" s="14">
        <f t="shared" si="1"/>
        <v>8.1682108569658355E-3</v>
      </c>
      <c r="E21" s="9">
        <f t="shared" si="2"/>
        <v>16824.505800353363</v>
      </c>
      <c r="F21" s="13">
        <f t="shared" si="3"/>
        <v>0.17013460697552521</v>
      </c>
      <c r="H21" t="s">
        <v>13282</v>
      </c>
      <c r="I21" t="s">
        <v>5778</v>
      </c>
      <c r="J21" s="10">
        <v>5145.18</v>
      </c>
      <c r="K21" s="13">
        <f t="shared" si="4"/>
        <v>5.4180923855168673E-4</v>
      </c>
      <c r="L21" s="4">
        <f>K21*$E$4</f>
        <v>1990.4424742289116</v>
      </c>
      <c r="M21" s="13">
        <f t="shared" si="6"/>
        <v>0.38685575125241711</v>
      </c>
      <c r="O21" t="s">
        <v>13311</v>
      </c>
      <c r="P21" t="s">
        <v>3757</v>
      </c>
      <c r="Q21" s="10">
        <v>10748.96</v>
      </c>
      <c r="R21" s="13">
        <f t="shared" si="7"/>
        <v>1.178840234105755E-3</v>
      </c>
      <c r="S21" s="4">
        <f t="shared" si="8"/>
        <v>3468.1711837484154</v>
      </c>
      <c r="T21" s="13">
        <f t="shared" si="9"/>
        <v>0.32265178991720272</v>
      </c>
    </row>
    <row r="22" spans="1:20">
      <c r="A22" t="s">
        <v>13311</v>
      </c>
      <c r="B22" t="s">
        <v>7012</v>
      </c>
      <c r="C22" s="10">
        <v>37712.379999999997</v>
      </c>
      <c r="D22" s="14">
        <f t="shared" si="1"/>
        <v>3.1150227836196482E-3</v>
      </c>
      <c r="E22" s="9">
        <f t="shared" si="2"/>
        <v>6416.180949411656</v>
      </c>
      <c r="F22" s="13">
        <f t="shared" si="3"/>
        <v>0.17013460697552518</v>
      </c>
      <c r="H22" t="s">
        <v>13282</v>
      </c>
      <c r="I22" t="s">
        <v>7033</v>
      </c>
      <c r="J22" s="10">
        <v>4440.7700000000004</v>
      </c>
      <c r="K22" s="13">
        <f t="shared" si="4"/>
        <v>4.6763188309897305E-4</v>
      </c>
      <c r="L22" s="4">
        <f t="shared" si="5"/>
        <v>1717.9374144891967</v>
      </c>
      <c r="M22" s="13">
        <f t="shared" si="6"/>
        <v>0.38685575125241717</v>
      </c>
      <c r="O22" t="s">
        <v>13311</v>
      </c>
      <c r="P22" t="s">
        <v>18184</v>
      </c>
      <c r="Q22" s="10">
        <v>13673.24</v>
      </c>
      <c r="R22" s="13">
        <f t="shared" si="7"/>
        <v>1.499546508925903E-3</v>
      </c>
      <c r="S22" s="4">
        <f t="shared" si="8"/>
        <v>4411.6953599674935</v>
      </c>
      <c r="T22" s="13">
        <f t="shared" si="9"/>
        <v>0.32265178991720278</v>
      </c>
    </row>
    <row r="23" spans="1:20">
      <c r="A23" t="s">
        <v>13311</v>
      </c>
      <c r="B23" t="s">
        <v>7018</v>
      </c>
      <c r="C23" s="10">
        <v>36909.279999999999</v>
      </c>
      <c r="D23" s="14">
        <f t="shared" si="1"/>
        <v>3.0486871453617357E-3</v>
      </c>
      <c r="E23" s="9">
        <f t="shared" si="2"/>
        <v>6279.5458465496122</v>
      </c>
      <c r="F23" s="13">
        <f t="shared" si="3"/>
        <v>0.17013460697552518</v>
      </c>
      <c r="H23" t="s">
        <v>13282</v>
      </c>
      <c r="I23" t="s">
        <v>7044</v>
      </c>
      <c r="J23" s="10">
        <v>2737.6</v>
      </c>
      <c r="K23" s="13">
        <f t="shared" si="4"/>
        <v>2.8828087092367955E-4</v>
      </c>
      <c r="L23" s="4">
        <f t="shared" si="5"/>
        <v>1059.056304628617</v>
      </c>
      <c r="M23" s="13">
        <f t="shared" si="6"/>
        <v>0.38685575125241711</v>
      </c>
      <c r="O23" t="s">
        <v>13311</v>
      </c>
      <c r="P23" t="s">
        <v>7388</v>
      </c>
      <c r="Q23" s="10">
        <v>110052.64</v>
      </c>
      <c r="R23" s="13">
        <f t="shared" si="7"/>
        <v>1.2069491364890777E-2</v>
      </c>
      <c r="S23" s="4">
        <f t="shared" si="8"/>
        <v>35508.681281113539</v>
      </c>
      <c r="T23" s="13">
        <f t="shared" si="9"/>
        <v>0.32265178991720272</v>
      </c>
    </row>
    <row r="24" spans="1:20">
      <c r="A24" t="s">
        <v>13311</v>
      </c>
      <c r="B24" t="s">
        <v>7055</v>
      </c>
      <c r="C24" s="10">
        <v>26486.99</v>
      </c>
      <c r="D24" s="14">
        <f t="shared" si="1"/>
        <v>2.1878114645510521E-3</v>
      </c>
      <c r="E24" s="9">
        <f t="shared" si="2"/>
        <v>4506.3536336146663</v>
      </c>
      <c r="F24" s="13">
        <f t="shared" si="3"/>
        <v>0.17013460697552518</v>
      </c>
      <c r="H24" t="s">
        <v>13282</v>
      </c>
      <c r="I24" t="s">
        <v>6382</v>
      </c>
      <c r="J24" s="10">
        <v>3377.77</v>
      </c>
      <c r="K24" s="13">
        <f t="shared" si="4"/>
        <v>3.5569348238598665E-4</v>
      </c>
      <c r="L24" s="4">
        <f t="shared" si="5"/>
        <v>1306.7097509078769</v>
      </c>
      <c r="M24" s="13">
        <f t="shared" si="6"/>
        <v>0.38685575125241711</v>
      </c>
      <c r="O24" t="s">
        <v>13311</v>
      </c>
      <c r="P24" t="s">
        <v>7391</v>
      </c>
      <c r="Q24" s="10">
        <v>23712.880000000001</v>
      </c>
      <c r="R24" s="13">
        <f t="shared" si="7"/>
        <v>2.6005955004504322E-3</v>
      </c>
      <c r="S24" s="4">
        <f t="shared" si="8"/>
        <v>7651.0031760918391</v>
      </c>
      <c r="T24" s="13">
        <f t="shared" si="9"/>
        <v>0.32265178991720272</v>
      </c>
    </row>
    <row r="25" spans="1:20">
      <c r="A25" t="s">
        <v>13311</v>
      </c>
      <c r="B25" t="s">
        <v>6397</v>
      </c>
      <c r="C25" s="10">
        <v>17797.400000000001</v>
      </c>
      <c r="D25" s="14">
        <f t="shared" si="1"/>
        <v>1.470055893825644E-3</v>
      </c>
      <c r="E25" s="9">
        <f t="shared" si="2"/>
        <v>3027.9536541862126</v>
      </c>
      <c r="F25" s="13">
        <f t="shared" si="3"/>
        <v>0.17013460697552521</v>
      </c>
      <c r="H25" t="s">
        <v>13282</v>
      </c>
      <c r="I25" t="s">
        <v>7148</v>
      </c>
      <c r="J25" s="10">
        <v>2823.98</v>
      </c>
      <c r="K25" s="13">
        <f t="shared" si="4"/>
        <v>2.973770506542419E-4</v>
      </c>
      <c r="L25" s="4">
        <f t="shared" si="5"/>
        <v>1092.4729044218009</v>
      </c>
      <c r="M25" s="13">
        <f t="shared" si="6"/>
        <v>0.38685575125241711</v>
      </c>
      <c r="O25" t="s">
        <v>13311</v>
      </c>
      <c r="P25" t="s">
        <v>7394</v>
      </c>
      <c r="Q25" s="10">
        <v>41325.14</v>
      </c>
      <c r="R25" s="13">
        <f t="shared" si="7"/>
        <v>4.5321349890643462E-3</v>
      </c>
      <c r="S25" s="4">
        <f t="shared" si="8"/>
        <v>13333.63038957899</v>
      </c>
      <c r="T25" s="13">
        <f t="shared" si="9"/>
        <v>0.32265178991720272</v>
      </c>
    </row>
    <row r="26" spans="1:20">
      <c r="A26" t="s">
        <v>13311</v>
      </c>
      <c r="B26" t="s">
        <v>3698</v>
      </c>
      <c r="C26" s="10">
        <v>74971.570000000007</v>
      </c>
      <c r="D26" s="14">
        <f t="shared" si="1"/>
        <v>6.1926123112287096E-3</v>
      </c>
      <c r="E26" s="9">
        <f t="shared" si="2"/>
        <v>12755.258596288077</v>
      </c>
      <c r="F26" s="13">
        <f t="shared" si="3"/>
        <v>0.17013460697552518</v>
      </c>
      <c r="H26" t="s">
        <v>13282</v>
      </c>
      <c r="I26" t="s">
        <v>7151</v>
      </c>
      <c r="J26" s="10">
        <v>1522.4</v>
      </c>
      <c r="K26" s="13">
        <f t="shared" si="4"/>
        <v>1.603151658000474E-4</v>
      </c>
      <c r="L26" s="4">
        <f t="shared" si="5"/>
        <v>588.9491957066798</v>
      </c>
      <c r="M26" s="13">
        <f t="shared" si="6"/>
        <v>0.38685575125241706</v>
      </c>
      <c r="O26" t="s">
        <v>13311</v>
      </c>
      <c r="P26" t="s">
        <v>7397</v>
      </c>
      <c r="Q26" s="10">
        <v>109994.37</v>
      </c>
      <c r="R26" s="13">
        <f t="shared" si="7"/>
        <v>1.2063100884282295E-2</v>
      </c>
      <c r="S26" s="4">
        <f t="shared" si="8"/>
        <v>35489.880361315059</v>
      </c>
      <c r="T26" s="13">
        <f t="shared" si="9"/>
        <v>0.32265178991720267</v>
      </c>
    </row>
    <row r="27" spans="1:20">
      <c r="A27" t="s">
        <v>13311</v>
      </c>
      <c r="B27" t="s">
        <v>3701</v>
      </c>
      <c r="C27" s="10">
        <v>80833.679999999993</v>
      </c>
      <c r="D27" s="14">
        <f t="shared" si="1"/>
        <v>6.6768195187845445E-3</v>
      </c>
      <c r="E27" s="9">
        <f t="shared" si="2"/>
        <v>13752.60637718537</v>
      </c>
      <c r="F27" s="13">
        <f t="shared" si="3"/>
        <v>0.17013460697552518</v>
      </c>
      <c r="H27" t="s">
        <v>13282</v>
      </c>
      <c r="I27" t="s">
        <v>7160</v>
      </c>
      <c r="J27" s="10">
        <v>1646.82</v>
      </c>
      <c r="K27" s="13">
        <f t="shared" si="4"/>
        <v>1.7341711859093144E-4</v>
      </c>
      <c r="L27" s="4">
        <f t="shared" si="5"/>
        <v>637.08178827750544</v>
      </c>
      <c r="M27" s="13">
        <f t="shared" si="6"/>
        <v>0.38685575125241706</v>
      </c>
      <c r="O27" t="s">
        <v>13311</v>
      </c>
      <c r="P27" t="s">
        <v>7400</v>
      </c>
      <c r="Q27" s="10">
        <v>36683.26</v>
      </c>
      <c r="R27" s="13">
        <f t="shared" si="7"/>
        <v>4.0230592360714227E-3</v>
      </c>
      <c r="S27" s="4">
        <f t="shared" si="8"/>
        <v>11835.919498998126</v>
      </c>
      <c r="T27" s="13">
        <f t="shared" si="9"/>
        <v>0.32265178991720272</v>
      </c>
    </row>
    <row r="28" spans="1:20">
      <c r="A28" t="s">
        <v>13311</v>
      </c>
      <c r="B28" t="s">
        <v>3704</v>
      </c>
      <c r="C28" s="10">
        <v>87165.96</v>
      </c>
      <c r="D28" s="14">
        <f t="shared" si="1"/>
        <v>7.1998625214340483E-3</v>
      </c>
      <c r="E28" s="9">
        <f t="shared" si="2"/>
        <v>14829.946346244351</v>
      </c>
      <c r="F28" s="13">
        <f t="shared" si="3"/>
        <v>0.17013460697552518</v>
      </c>
      <c r="H28" t="s">
        <v>13282</v>
      </c>
      <c r="I28" t="s">
        <v>7193</v>
      </c>
      <c r="J28" s="10">
        <v>2519.37</v>
      </c>
      <c r="K28" s="13">
        <f t="shared" si="4"/>
        <v>2.6530032794381593E-4</v>
      </c>
      <c r="L28" s="4">
        <f t="shared" si="5"/>
        <v>974.63277403280199</v>
      </c>
      <c r="M28" s="13">
        <f t="shared" si="6"/>
        <v>0.38685575125241711</v>
      </c>
      <c r="O28" t="s">
        <v>13311</v>
      </c>
      <c r="P28" t="s">
        <v>7403</v>
      </c>
      <c r="Q28" s="10">
        <v>43367.45</v>
      </c>
      <c r="R28" s="13">
        <f t="shared" si="7"/>
        <v>4.7561154670377062E-3</v>
      </c>
      <c r="S28" s="4">
        <f t="shared" si="8"/>
        <v>13992.585366644793</v>
      </c>
      <c r="T28" s="13">
        <f t="shared" si="9"/>
        <v>0.32265178991720272</v>
      </c>
    </row>
    <row r="29" spans="1:20">
      <c r="A29" t="s">
        <v>13311</v>
      </c>
      <c r="B29" t="s">
        <v>5015</v>
      </c>
      <c r="C29" s="10">
        <v>86747.08</v>
      </c>
      <c r="D29" s="14">
        <f t="shared" si="1"/>
        <v>7.1652632534058135E-3</v>
      </c>
      <c r="E29" s="9">
        <f t="shared" si="2"/>
        <v>14758.680362074441</v>
      </c>
      <c r="F29" s="13">
        <f t="shared" si="3"/>
        <v>0.17013460697552518</v>
      </c>
      <c r="H29" t="s">
        <v>13282</v>
      </c>
      <c r="I29" t="s">
        <v>7196</v>
      </c>
      <c r="J29" s="10">
        <v>2159.1999999999998</v>
      </c>
      <c r="K29" s="13">
        <f t="shared" si="4"/>
        <v>2.2737290199386647E-4</v>
      </c>
      <c r="L29" s="4">
        <f t="shared" si="5"/>
        <v>835.29893810421902</v>
      </c>
      <c r="M29" s="13">
        <f t="shared" si="6"/>
        <v>0.38685575125241711</v>
      </c>
      <c r="O29" t="s">
        <v>13311</v>
      </c>
      <c r="P29" t="s">
        <v>3768</v>
      </c>
      <c r="Q29" s="10">
        <v>69850.98</v>
      </c>
      <c r="R29" s="13">
        <f t="shared" si="7"/>
        <v>7.660568614611684E-3</v>
      </c>
      <c r="S29" s="4">
        <f t="shared" si="8"/>
        <v>22537.543724470728</v>
      </c>
      <c r="T29" s="13">
        <f t="shared" si="9"/>
        <v>0.32265178991720272</v>
      </c>
    </row>
    <row r="30" spans="1:20">
      <c r="A30" t="s">
        <v>13311</v>
      </c>
      <c r="B30" t="s">
        <v>7107</v>
      </c>
      <c r="C30" s="10">
        <v>57611.69</v>
      </c>
      <c r="D30" s="14">
        <f t="shared" si="1"/>
        <v>4.758695339642639E-3</v>
      </c>
      <c r="E30" s="9">
        <f t="shared" si="2"/>
        <v>9801.7422353457951</v>
      </c>
      <c r="F30" s="13">
        <f t="shared" si="3"/>
        <v>0.17013460697552518</v>
      </c>
      <c r="H30" t="s">
        <v>13282</v>
      </c>
      <c r="I30" t="s">
        <v>7235</v>
      </c>
      <c r="J30" s="10">
        <v>6536.54</v>
      </c>
      <c r="K30" s="13">
        <f t="shared" si="4"/>
        <v>6.8832533753195068E-4</v>
      </c>
      <c r="L30" s="4">
        <f t="shared" si="5"/>
        <v>2528.6980922914745</v>
      </c>
      <c r="M30" s="13">
        <f t="shared" si="6"/>
        <v>0.38685575125241711</v>
      </c>
      <c r="O30" t="s">
        <v>13311</v>
      </c>
      <c r="P30" t="s">
        <v>7432</v>
      </c>
      <c r="Q30" s="10">
        <v>21784.46</v>
      </c>
      <c r="R30" s="13">
        <f t="shared" si="7"/>
        <v>2.3891053577525133E-3</v>
      </c>
      <c r="S30" s="4">
        <f t="shared" si="8"/>
        <v>7028.795011379706</v>
      </c>
      <c r="T30" s="13">
        <f t="shared" si="9"/>
        <v>0.32265178991720272</v>
      </c>
    </row>
    <row r="31" spans="1:20">
      <c r="A31" t="s">
        <v>13311</v>
      </c>
      <c r="B31" t="s">
        <v>7113</v>
      </c>
      <c r="C31" s="10">
        <v>71189.679999999993</v>
      </c>
      <c r="D31" s="14">
        <f t="shared" si="1"/>
        <v>5.8802301832605632E-3</v>
      </c>
      <c r="E31" s="9">
        <f t="shared" si="2"/>
        <v>12111.828227513404</v>
      </c>
      <c r="F31" s="13">
        <f t="shared" si="3"/>
        <v>0.17013460697552518</v>
      </c>
      <c r="H31" t="s">
        <v>13311</v>
      </c>
      <c r="I31" t="s">
        <v>5183</v>
      </c>
      <c r="J31" s="10">
        <v>28492.93</v>
      </c>
      <c r="K31" s="13">
        <f t="shared" si="4"/>
        <v>3.0004261672879301E-3</v>
      </c>
      <c r="L31" s="4">
        <f t="shared" si="5"/>
        <v>11022.653840532534</v>
      </c>
      <c r="M31" s="13">
        <f t="shared" si="6"/>
        <v>0.38685575125241711</v>
      </c>
      <c r="O31" t="s">
        <v>13311</v>
      </c>
      <c r="P31" t="s">
        <v>7435</v>
      </c>
      <c r="Q31" s="10">
        <v>3577.42</v>
      </c>
      <c r="R31" s="13">
        <f t="shared" si="7"/>
        <v>3.9233624744111151E-4</v>
      </c>
      <c r="S31" s="4">
        <f t="shared" si="8"/>
        <v>1154.2609662855994</v>
      </c>
      <c r="T31" s="13">
        <f t="shared" si="9"/>
        <v>0.32265178991720272</v>
      </c>
    </row>
    <row r="32" spans="1:20">
      <c r="A32" t="s">
        <v>13311</v>
      </c>
      <c r="B32" t="s">
        <v>7110</v>
      </c>
      <c r="C32" s="10">
        <v>64713.11</v>
      </c>
      <c r="D32" s="14">
        <f t="shared" si="1"/>
        <v>5.3452689023838996E-3</v>
      </c>
      <c r="E32" s="9">
        <f t="shared" si="2"/>
        <v>11009.93953601393</v>
      </c>
      <c r="F32" s="13">
        <f t="shared" si="3"/>
        <v>0.17013460697552521</v>
      </c>
      <c r="H32" t="s">
        <v>13311</v>
      </c>
      <c r="I32" t="s">
        <v>3733</v>
      </c>
      <c r="J32" s="10">
        <v>26809.81</v>
      </c>
      <c r="K32" s="13">
        <f t="shared" si="4"/>
        <v>2.8231865050037893E-3</v>
      </c>
      <c r="L32" s="4">
        <f t="shared" si="5"/>
        <v>10371.529188484565</v>
      </c>
      <c r="M32" s="13">
        <f t="shared" si="6"/>
        <v>0.38685575125241711</v>
      </c>
      <c r="O32" t="s">
        <v>13311</v>
      </c>
      <c r="P32" t="s">
        <v>7438</v>
      </c>
      <c r="Q32" s="10">
        <v>3254.4</v>
      </c>
      <c r="R32" s="13">
        <f t="shared" si="7"/>
        <v>3.5691059022210231E-4</v>
      </c>
      <c r="S32" s="4">
        <f t="shared" si="8"/>
        <v>1050.0379851065445</v>
      </c>
      <c r="T32" s="13">
        <f t="shared" si="9"/>
        <v>0.32265178991720272</v>
      </c>
    </row>
    <row r="33" spans="1:20">
      <c r="A33" t="s">
        <v>13311</v>
      </c>
      <c r="B33" t="s">
        <v>3721</v>
      </c>
      <c r="C33" s="10">
        <v>21569.54</v>
      </c>
      <c r="D33" s="14">
        <f t="shared" si="1"/>
        <v>1.7816326769139301E-3</v>
      </c>
      <c r="E33" s="9">
        <f t="shared" si="2"/>
        <v>3669.7252105428697</v>
      </c>
      <c r="F33" s="13">
        <f t="shared" si="3"/>
        <v>0.17013460697552518</v>
      </c>
      <c r="H33" t="s">
        <v>13311</v>
      </c>
      <c r="I33" t="s">
        <v>3736</v>
      </c>
      <c r="J33" s="10">
        <v>22717.46</v>
      </c>
      <c r="K33" s="13">
        <f t="shared" si="4"/>
        <v>2.3922447231055862E-3</v>
      </c>
      <c r="L33" s="4">
        <f t="shared" si="5"/>
        <v>8788.3800548467352</v>
      </c>
      <c r="M33" s="13">
        <f t="shared" si="6"/>
        <v>0.38685575125241711</v>
      </c>
      <c r="O33" t="s">
        <v>13311</v>
      </c>
      <c r="P33" t="s">
        <v>7441</v>
      </c>
      <c r="Q33" s="10">
        <v>3846.15</v>
      </c>
      <c r="R33" s="13">
        <f t="shared" si="7"/>
        <v>4.2180791131475506E-4</v>
      </c>
      <c r="S33" s="4">
        <f t="shared" si="8"/>
        <v>1240.9671817900492</v>
      </c>
      <c r="T33" s="13">
        <f t="shared" si="9"/>
        <v>0.32265178991720267</v>
      </c>
    </row>
    <row r="34" spans="1:20">
      <c r="A34" t="s">
        <v>13311</v>
      </c>
      <c r="B34" t="s">
        <v>3727</v>
      </c>
      <c r="C34" s="10">
        <v>35403.01</v>
      </c>
      <c r="D34" s="14">
        <f t="shared" si="1"/>
        <v>2.9242700343684027E-3</v>
      </c>
      <c r="E34" s="9">
        <f t="shared" si="2"/>
        <v>6023.2771921005888</v>
      </c>
      <c r="F34" s="13">
        <f t="shared" si="3"/>
        <v>0.17013460697552521</v>
      </c>
      <c r="H34" t="s">
        <v>13311</v>
      </c>
      <c r="I34" t="s">
        <v>3739</v>
      </c>
      <c r="J34" s="10">
        <v>26208.66</v>
      </c>
      <c r="K34" s="13">
        <f t="shared" si="4"/>
        <v>2.7598828647510971E-3</v>
      </c>
      <c r="L34" s="4">
        <f t="shared" si="5"/>
        <v>10138.970853619174</v>
      </c>
      <c r="M34" s="13">
        <f t="shared" si="6"/>
        <v>0.38685575125241711</v>
      </c>
      <c r="O34" t="s">
        <v>13311</v>
      </c>
      <c r="P34" t="s">
        <v>7444</v>
      </c>
      <c r="Q34" s="10">
        <v>47336.160000000003</v>
      </c>
      <c r="R34" s="13">
        <f t="shared" si="7"/>
        <v>5.1913645539724291E-3</v>
      </c>
      <c r="S34" s="4">
        <f t="shared" si="8"/>
        <v>15273.096751807097</v>
      </c>
      <c r="T34" s="13">
        <f t="shared" si="9"/>
        <v>0.32265178991720278</v>
      </c>
    </row>
    <row r="35" spans="1:20">
      <c r="A35" t="s">
        <v>13311</v>
      </c>
      <c r="B35" t="s">
        <v>3762</v>
      </c>
      <c r="C35" s="10">
        <v>73870.62</v>
      </c>
      <c r="D35" s="14">
        <f t="shared" si="1"/>
        <v>6.1016744193845432E-3</v>
      </c>
      <c r="E35" s="9">
        <f t="shared" si="2"/>
        <v>12567.948900738369</v>
      </c>
      <c r="F35" s="13">
        <f t="shared" si="3"/>
        <v>0.17013460697552518</v>
      </c>
      <c r="H35" t="s">
        <v>13311</v>
      </c>
      <c r="I35" t="s">
        <v>3742</v>
      </c>
      <c r="J35" s="10">
        <v>12970.92</v>
      </c>
      <c r="K35" s="13">
        <f t="shared" si="4"/>
        <v>1.3658927945212499E-3</v>
      </c>
      <c r="L35" s="4">
        <f t="shared" si="5"/>
        <v>5017.8750010350022</v>
      </c>
      <c r="M35" s="13">
        <f t="shared" si="6"/>
        <v>0.38685575125241711</v>
      </c>
      <c r="O35" t="s">
        <v>13311</v>
      </c>
      <c r="P35" t="s">
        <v>7447</v>
      </c>
      <c r="Q35" s="10">
        <v>9621.6200000000008</v>
      </c>
      <c r="R35" s="13">
        <f t="shared" si="7"/>
        <v>1.0552046684773797E-3</v>
      </c>
      <c r="S35" s="4">
        <f t="shared" si="8"/>
        <v>3104.4329149031564</v>
      </c>
      <c r="T35" s="13">
        <f t="shared" si="9"/>
        <v>0.32265178991720272</v>
      </c>
    </row>
    <row r="36" spans="1:20">
      <c r="A36" t="s">
        <v>13311</v>
      </c>
      <c r="B36" t="s">
        <v>7419</v>
      </c>
      <c r="C36" s="10">
        <v>103810.08</v>
      </c>
      <c r="D36" s="14">
        <f t="shared" si="1"/>
        <v>8.5746580928962434E-3</v>
      </c>
      <c r="E36" s="9">
        <f t="shared" si="2"/>
        <v>17661.687160897829</v>
      </c>
      <c r="F36" s="13">
        <f t="shared" si="3"/>
        <v>0.17013460697552521</v>
      </c>
      <c r="H36" t="s">
        <v>13311</v>
      </c>
      <c r="I36" t="s">
        <v>6523</v>
      </c>
      <c r="J36" s="10">
        <v>31547.73</v>
      </c>
      <c r="K36" s="13">
        <f t="shared" si="4"/>
        <v>3.3221095412277516E-3</v>
      </c>
      <c r="L36" s="4">
        <f t="shared" si="5"/>
        <v>12204.420789458416</v>
      </c>
      <c r="M36" s="13">
        <f t="shared" si="6"/>
        <v>0.38685575125241711</v>
      </c>
      <c r="O36" t="s">
        <v>13311</v>
      </c>
      <c r="P36" t="s">
        <v>11966</v>
      </c>
      <c r="Q36" s="10">
        <v>63449.26</v>
      </c>
      <c r="R36" s="13">
        <f t="shared" si="7"/>
        <v>6.9584909156082926E-3</v>
      </c>
      <c r="S36" s="4">
        <f t="shared" si="8"/>
        <v>20472.017307921975</v>
      </c>
      <c r="T36" s="13">
        <f t="shared" si="9"/>
        <v>0.32265178991720272</v>
      </c>
    </row>
    <row r="37" spans="1:20">
      <c r="A37" t="s">
        <v>13311</v>
      </c>
      <c r="B37" t="s">
        <v>3797</v>
      </c>
      <c r="C37" s="10">
        <v>66905.850000000006</v>
      </c>
      <c r="D37" s="14">
        <f t="shared" si="1"/>
        <v>5.5263880748825369E-3</v>
      </c>
      <c r="E37" s="9">
        <f t="shared" si="2"/>
        <v>11383.000494113443</v>
      </c>
      <c r="F37" s="13">
        <f t="shared" si="3"/>
        <v>0.17013460697552518</v>
      </c>
      <c r="H37" t="s">
        <v>13311</v>
      </c>
      <c r="I37" t="s">
        <v>6595</v>
      </c>
      <c r="J37" s="10">
        <v>26625.119999999999</v>
      </c>
      <c r="K37" s="13">
        <f t="shared" si="4"/>
        <v>2.80373786603137E-3</v>
      </c>
      <c r="L37" s="4">
        <f t="shared" si="5"/>
        <v>10300.080799785756</v>
      </c>
      <c r="M37" s="13">
        <f t="shared" si="6"/>
        <v>0.38685575125241711</v>
      </c>
      <c r="O37" t="s">
        <v>13311</v>
      </c>
      <c r="P37" t="s">
        <v>7456</v>
      </c>
      <c r="Q37" s="10">
        <v>25287.91</v>
      </c>
      <c r="R37" s="13">
        <f t="shared" si="7"/>
        <v>2.7733293029693351E-3</v>
      </c>
      <c r="S37" s="4">
        <f t="shared" si="8"/>
        <v>8159.1894247651308</v>
      </c>
      <c r="T37" s="13">
        <f t="shared" si="9"/>
        <v>0.32265178991720278</v>
      </c>
    </row>
    <row r="38" spans="1:20">
      <c r="A38" t="s">
        <v>13311</v>
      </c>
      <c r="B38" t="s">
        <v>3811</v>
      </c>
      <c r="C38" s="10">
        <v>40576.51</v>
      </c>
      <c r="D38" s="14">
        <f t="shared" si="1"/>
        <v>3.3515984175427412E-3</v>
      </c>
      <c r="E38" s="9">
        <f t="shared" si="2"/>
        <v>6903.4685812884682</v>
      </c>
      <c r="F38" s="13">
        <f t="shared" si="3"/>
        <v>0.17013460697552518</v>
      </c>
      <c r="H38" t="s">
        <v>13311</v>
      </c>
      <c r="I38" t="s">
        <v>6598</v>
      </c>
      <c r="J38" s="10">
        <v>13865.38</v>
      </c>
      <c r="K38" s="13">
        <f t="shared" si="4"/>
        <v>1.4600832196404762E-3</v>
      </c>
      <c r="L38" s="4">
        <f t="shared" si="5"/>
        <v>5363.9019963002393</v>
      </c>
      <c r="M38" s="13">
        <f t="shared" si="6"/>
        <v>0.38685575125241717</v>
      </c>
      <c r="O38" t="s">
        <v>13311</v>
      </c>
      <c r="P38" t="s">
        <v>7459</v>
      </c>
      <c r="Q38" s="10">
        <v>88351.58</v>
      </c>
      <c r="R38" s="13">
        <f t="shared" si="7"/>
        <v>9.6895324990337057E-3</v>
      </c>
      <c r="S38" s="4">
        <f t="shared" si="8"/>
        <v>28506.795429012931</v>
      </c>
      <c r="T38" s="13">
        <f t="shared" si="9"/>
        <v>0.32265178991720272</v>
      </c>
    </row>
    <row r="39" spans="1:20">
      <c r="A39" t="s">
        <v>13311</v>
      </c>
      <c r="B39" t="s">
        <v>7058</v>
      </c>
      <c r="C39" s="10">
        <v>110762.31</v>
      </c>
      <c r="D39" s="14">
        <f t="shared" si="1"/>
        <v>9.1489086399835391E-3</v>
      </c>
      <c r="E39" s="9">
        <f t="shared" si="2"/>
        <v>18844.502079551283</v>
      </c>
      <c r="F39" s="13">
        <f t="shared" si="3"/>
        <v>0.17013460697552518</v>
      </c>
      <c r="H39" t="s">
        <v>13311</v>
      </c>
      <c r="I39" t="s">
        <v>6604</v>
      </c>
      <c r="J39" s="10">
        <v>50033.5</v>
      </c>
      <c r="K39" s="13">
        <f t="shared" si="4"/>
        <v>5.2687393904733782E-3</v>
      </c>
      <c r="L39" s="4">
        <f t="shared" si="5"/>
        <v>19355.747230287812</v>
      </c>
      <c r="M39" s="13">
        <f t="shared" si="6"/>
        <v>0.38685575125241711</v>
      </c>
      <c r="O39" t="s">
        <v>13311</v>
      </c>
      <c r="P39" t="s">
        <v>3748</v>
      </c>
      <c r="Q39" s="10">
        <v>126451.5</v>
      </c>
      <c r="R39" s="13">
        <f t="shared" si="7"/>
        <v>1.3867957073337689E-2</v>
      </c>
      <c r="S39" s="4">
        <f t="shared" si="8"/>
        <v>40799.802812715163</v>
      </c>
      <c r="T39" s="13">
        <f t="shared" si="9"/>
        <v>0.32265178991720272</v>
      </c>
    </row>
    <row r="40" spans="1:20">
      <c r="A40" t="s">
        <v>13311</v>
      </c>
      <c r="B40" t="s">
        <v>7061</v>
      </c>
      <c r="C40" s="10">
        <v>66926.27</v>
      </c>
      <c r="D40" s="14">
        <f t="shared" si="1"/>
        <v>5.5280747561591232E-3</v>
      </c>
      <c r="E40" s="9">
        <f t="shared" si="2"/>
        <v>11386.474642787884</v>
      </c>
      <c r="F40" s="13">
        <f t="shared" si="3"/>
        <v>0.17013460697552521</v>
      </c>
      <c r="H40" t="s">
        <v>13311</v>
      </c>
      <c r="I40" t="s">
        <v>6613</v>
      </c>
      <c r="J40" s="10">
        <v>16246.5</v>
      </c>
      <c r="K40" s="13">
        <f t="shared" si="4"/>
        <v>1.7108252372375658E-3</v>
      </c>
      <c r="L40" s="4">
        <f t="shared" si="5"/>
        <v>6285.0519627223948</v>
      </c>
      <c r="M40" s="13">
        <f t="shared" si="6"/>
        <v>0.38685575125241711</v>
      </c>
      <c r="O40" t="s">
        <v>13311</v>
      </c>
      <c r="P40" t="s">
        <v>7592</v>
      </c>
      <c r="Q40" s="10">
        <v>9224.15</v>
      </c>
      <c r="R40" s="13">
        <f t="shared" si="7"/>
        <v>1.0116140673541068E-3</v>
      </c>
      <c r="S40" s="4">
        <f t="shared" si="8"/>
        <v>2976.1885079647654</v>
      </c>
      <c r="T40" s="13">
        <f t="shared" si="9"/>
        <v>0.32265178991720272</v>
      </c>
    </row>
    <row r="41" spans="1:20">
      <c r="A41" t="s">
        <v>13311</v>
      </c>
      <c r="B41" t="s">
        <v>7064</v>
      </c>
      <c r="C41" s="10">
        <v>126911.59</v>
      </c>
      <c r="D41" s="14">
        <f t="shared" si="1"/>
        <v>1.048283068730734E-2</v>
      </c>
      <c r="E41" s="9">
        <f t="shared" si="2"/>
        <v>21592.053485288994</v>
      </c>
      <c r="F41" s="13">
        <f t="shared" si="3"/>
        <v>0.17013460697552521</v>
      </c>
      <c r="H41" t="s">
        <v>13311</v>
      </c>
      <c r="I41" t="s">
        <v>6823</v>
      </c>
      <c r="J41" s="10">
        <v>54890.83</v>
      </c>
      <c r="K41" s="13">
        <f t="shared" si="4"/>
        <v>5.7802368052760223E-3</v>
      </c>
      <c r="L41" s="4">
        <f t="shared" si="5"/>
        <v>21234.833276518719</v>
      </c>
      <c r="M41" s="13">
        <f t="shared" si="6"/>
        <v>0.38685575125241717</v>
      </c>
      <c r="O41" t="s">
        <v>13311</v>
      </c>
      <c r="P41" t="s">
        <v>12050</v>
      </c>
      <c r="Q41" s="10">
        <v>81643.19</v>
      </c>
      <c r="R41" s="13">
        <f t="shared" si="7"/>
        <v>8.9538222500354109E-3</v>
      </c>
      <c r="S41" s="4">
        <f t="shared" si="8"/>
        <v>26342.321388050266</v>
      </c>
      <c r="T41" s="13">
        <f t="shared" si="9"/>
        <v>0.32265178991720272</v>
      </c>
    </row>
    <row r="42" spans="1:20">
      <c r="A42" t="s">
        <v>13311</v>
      </c>
      <c r="B42" t="s">
        <v>3832</v>
      </c>
      <c r="C42" s="10">
        <v>35015.58</v>
      </c>
      <c r="D42" s="14">
        <f t="shared" si="1"/>
        <v>2.8922685198244317E-3</v>
      </c>
      <c r="E42" s="9">
        <f t="shared" si="2"/>
        <v>5957.3619413200604</v>
      </c>
      <c r="F42" s="13">
        <f t="shared" si="3"/>
        <v>0.17013460697552518</v>
      </c>
      <c r="H42" t="s">
        <v>13311</v>
      </c>
      <c r="I42" t="s">
        <v>6622</v>
      </c>
      <c r="J42" s="10">
        <v>11133.92</v>
      </c>
      <c r="K42" s="13">
        <f t="shared" si="4"/>
        <v>1.1724489167133892E-3</v>
      </c>
      <c r="L42" s="4">
        <f t="shared" si="5"/>
        <v>4307.2209859843124</v>
      </c>
      <c r="M42" s="13">
        <f t="shared" si="6"/>
        <v>0.38685575125241717</v>
      </c>
      <c r="O42" t="s">
        <v>13311</v>
      </c>
      <c r="P42" t="s">
        <v>12014</v>
      </c>
      <c r="Q42" s="10">
        <v>18891</v>
      </c>
      <c r="R42" s="13">
        <f t="shared" si="7"/>
        <v>2.0717791174673472E-3</v>
      </c>
      <c r="S42" s="4">
        <f t="shared" si="8"/>
        <v>6095.2149633258769</v>
      </c>
      <c r="T42" s="13">
        <f t="shared" si="9"/>
        <v>0.32265178991720272</v>
      </c>
    </row>
    <row r="43" spans="1:20">
      <c r="A43" t="s">
        <v>13311</v>
      </c>
      <c r="B43" t="s">
        <v>3835</v>
      </c>
      <c r="C43" s="10">
        <v>42506.65</v>
      </c>
      <c r="D43" s="14">
        <f t="shared" si="1"/>
        <v>3.5110269679438462E-3</v>
      </c>
      <c r="E43" s="9">
        <f t="shared" si="2"/>
        <v>7231.8521915962083</v>
      </c>
      <c r="F43" s="13">
        <f t="shared" si="3"/>
        <v>0.17013460697552518</v>
      </c>
      <c r="H43" t="s">
        <v>13311</v>
      </c>
      <c r="I43" t="s">
        <v>6625</v>
      </c>
      <c r="J43" s="10">
        <v>76246.320000000007</v>
      </c>
      <c r="K43" s="13">
        <f t="shared" si="4"/>
        <v>8.0290603208378018E-3</v>
      </c>
      <c r="L43" s="4">
        <f t="shared" si="5"/>
        <v>29496.327403832194</v>
      </c>
      <c r="M43" s="13">
        <f t="shared" si="6"/>
        <v>0.38685575125241706</v>
      </c>
      <c r="O43" t="s">
        <v>13311</v>
      </c>
      <c r="P43" t="s">
        <v>7621</v>
      </c>
      <c r="Q43" s="10">
        <v>54664.160000000003</v>
      </c>
      <c r="R43" s="13">
        <f t="shared" si="7"/>
        <v>5.9950275349051861E-3</v>
      </c>
      <c r="S43" s="4">
        <f t="shared" si="8"/>
        <v>17637.489068320356</v>
      </c>
      <c r="T43" s="13">
        <f t="shared" si="9"/>
        <v>0.32265178991720267</v>
      </c>
    </row>
    <row r="44" spans="1:20">
      <c r="A44" t="s">
        <v>13311</v>
      </c>
      <c r="B44" t="s">
        <v>6071</v>
      </c>
      <c r="C44" s="10">
        <v>38933.81</v>
      </c>
      <c r="D44" s="14">
        <f t="shared" si="1"/>
        <v>3.2159122601946232E-3</v>
      </c>
      <c r="E44" s="9">
        <f t="shared" si="2"/>
        <v>6623.9884624097722</v>
      </c>
      <c r="F44" s="13">
        <f t="shared" si="3"/>
        <v>0.17013460697552518</v>
      </c>
      <c r="H44" t="s">
        <v>13311</v>
      </c>
      <c r="I44" t="s">
        <v>6628</v>
      </c>
      <c r="J44" s="10">
        <v>34115.379999999997</v>
      </c>
      <c r="K44" s="13">
        <f t="shared" si="4"/>
        <v>3.5924939575877695E-3</v>
      </c>
      <c r="L44" s="4">
        <f t="shared" si="5"/>
        <v>13197.730959161685</v>
      </c>
      <c r="M44" s="13">
        <f t="shared" si="6"/>
        <v>0.38685575125241711</v>
      </c>
      <c r="O44" t="s">
        <v>13311</v>
      </c>
      <c r="P44" t="s">
        <v>7624</v>
      </c>
      <c r="Q44" s="10">
        <v>42462.080000000002</v>
      </c>
      <c r="R44" s="13">
        <f t="shared" si="7"/>
        <v>4.656823388292197E-3</v>
      </c>
      <c r="S44" s="4">
        <f t="shared" si="8"/>
        <v>13700.466115607454</v>
      </c>
      <c r="T44" s="13">
        <f t="shared" si="9"/>
        <v>0.32265178991720267</v>
      </c>
    </row>
    <row r="45" spans="1:20">
      <c r="A45" t="s">
        <v>13311</v>
      </c>
      <c r="B45" t="s">
        <v>3841</v>
      </c>
      <c r="C45" s="10">
        <v>97658.29</v>
      </c>
      <c r="D45" s="14">
        <f t="shared" si="1"/>
        <v>8.0665234694637378E-3</v>
      </c>
      <c r="E45" s="9">
        <f t="shared" si="2"/>
        <v>16615.05478705186</v>
      </c>
      <c r="F45" s="13">
        <f t="shared" si="3"/>
        <v>0.17013460697552518</v>
      </c>
      <c r="H45" t="s">
        <v>13311</v>
      </c>
      <c r="I45" t="s">
        <v>6634</v>
      </c>
      <c r="J45" s="10">
        <v>20111.54</v>
      </c>
      <c r="K45" s="13">
        <f t="shared" si="4"/>
        <v>2.1178303137114329E-3</v>
      </c>
      <c r="L45" s="4">
        <f t="shared" si="5"/>
        <v>7780.2649155430381</v>
      </c>
      <c r="M45" s="13">
        <f t="shared" si="6"/>
        <v>0.38685575125241717</v>
      </c>
      <c r="O45" t="s">
        <v>13311</v>
      </c>
      <c r="P45" t="s">
        <v>7627</v>
      </c>
      <c r="Q45" s="10">
        <v>33757.07</v>
      </c>
      <c r="R45" s="13">
        <f t="shared" si="7"/>
        <v>3.7021434912330457E-3</v>
      </c>
      <c r="S45" s="4">
        <f t="shared" si="8"/>
        <v>10891.779057860307</v>
      </c>
      <c r="T45" s="13">
        <f t="shared" si="9"/>
        <v>0.32265178991720272</v>
      </c>
    </row>
    <row r="46" spans="1:20">
      <c r="A46" t="s">
        <v>13311</v>
      </c>
      <c r="B46" t="s">
        <v>3848</v>
      </c>
      <c r="C46" s="10">
        <v>59142.77</v>
      </c>
      <c r="D46" s="14">
        <f t="shared" si="1"/>
        <v>4.8851617436071826E-3</v>
      </c>
      <c r="E46" s="9">
        <f t="shared" si="2"/>
        <v>10062.231929393882</v>
      </c>
      <c r="F46" s="13">
        <f t="shared" si="3"/>
        <v>0.17013460697552518</v>
      </c>
      <c r="H46" t="s">
        <v>13311</v>
      </c>
      <c r="I46" t="s">
        <v>6637</v>
      </c>
      <c r="J46" s="10">
        <v>184758.94</v>
      </c>
      <c r="K46" s="13">
        <f t="shared" si="4"/>
        <v>1.9455898646309124E-2</v>
      </c>
      <c r="L46" s="4">
        <f t="shared" si="5"/>
        <v>71475.05853430026</v>
      </c>
      <c r="M46" s="13">
        <f t="shared" si="6"/>
        <v>0.38685575125241711</v>
      </c>
      <c r="O46" t="s">
        <v>13311</v>
      </c>
      <c r="P46" t="s">
        <v>3607</v>
      </c>
      <c r="Q46" s="10">
        <v>69872.44</v>
      </c>
      <c r="R46" s="13">
        <f t="shared" si="7"/>
        <v>7.6629221363871784E-3</v>
      </c>
      <c r="S46" s="4">
        <f t="shared" si="8"/>
        <v>22544.467831882353</v>
      </c>
      <c r="T46" s="13">
        <f t="shared" si="9"/>
        <v>0.32265178991720272</v>
      </c>
    </row>
    <row r="47" spans="1:20">
      <c r="A47" t="s">
        <v>13311</v>
      </c>
      <c r="B47" t="s">
        <v>3851</v>
      </c>
      <c r="C47" s="10">
        <v>38354.93</v>
      </c>
      <c r="D47" s="14">
        <f t="shared" si="1"/>
        <v>3.1680970761892189E-3</v>
      </c>
      <c r="E47" s="9">
        <f t="shared" si="2"/>
        <v>6525.5009411237806</v>
      </c>
      <c r="F47" s="13">
        <f t="shared" si="3"/>
        <v>0.17013460697552518</v>
      </c>
      <c r="H47" t="s">
        <v>13311</v>
      </c>
      <c r="I47" t="s">
        <v>6640</v>
      </c>
      <c r="J47" s="10">
        <v>7577.42</v>
      </c>
      <c r="K47" s="13">
        <f t="shared" si="4"/>
        <v>7.979344085894608E-4</v>
      </c>
      <c r="L47" s="4">
        <f t="shared" si="5"/>
        <v>2931.3685066550906</v>
      </c>
      <c r="M47" s="13">
        <f t="shared" si="6"/>
        <v>0.38685575125241711</v>
      </c>
      <c r="O47" t="s">
        <v>13311</v>
      </c>
      <c r="P47" t="s">
        <v>7682</v>
      </c>
      <c r="Q47" s="10">
        <v>47920.92</v>
      </c>
      <c r="R47" s="13">
        <f t="shared" si="7"/>
        <v>5.2554952806004628E-3</v>
      </c>
      <c r="S47" s="4">
        <f t="shared" si="8"/>
        <v>15461.770612479077</v>
      </c>
      <c r="T47" s="13">
        <f t="shared" si="9"/>
        <v>0.32265178991720272</v>
      </c>
    </row>
    <row r="48" spans="1:20">
      <c r="A48" t="s">
        <v>13311</v>
      </c>
      <c r="B48" t="s">
        <v>3854</v>
      </c>
      <c r="C48" s="10">
        <v>18384.61</v>
      </c>
      <c r="D48" s="14">
        <f t="shared" si="1"/>
        <v>1.51855913145661E-3</v>
      </c>
      <c r="E48" s="9">
        <f t="shared" si="2"/>
        <v>3127.8583967483105</v>
      </c>
      <c r="F48" s="13">
        <f t="shared" si="3"/>
        <v>0.17013460697552521</v>
      </c>
      <c r="H48" t="s">
        <v>13311</v>
      </c>
      <c r="I48" t="s">
        <v>6652</v>
      </c>
      <c r="J48" s="10">
        <v>31275.31</v>
      </c>
      <c r="K48" s="13">
        <f t="shared" si="4"/>
        <v>3.2934225618089074E-3</v>
      </c>
      <c r="L48" s="4">
        <f t="shared" si="5"/>
        <v>12099.033545702234</v>
      </c>
      <c r="M48" s="13">
        <f t="shared" si="6"/>
        <v>0.38685575125241711</v>
      </c>
      <c r="O48" t="s">
        <v>13311</v>
      </c>
      <c r="P48" t="s">
        <v>7685</v>
      </c>
      <c r="Q48" s="10">
        <v>16615.400000000001</v>
      </c>
      <c r="R48" s="13">
        <f t="shared" si="7"/>
        <v>1.8222136863250736E-3</v>
      </c>
      <c r="S48" s="4">
        <f t="shared" si="8"/>
        <v>5360.9885501902909</v>
      </c>
      <c r="T48" s="13">
        <f t="shared" si="9"/>
        <v>0.32265178991720272</v>
      </c>
    </row>
    <row r="49" spans="1:20">
      <c r="A49" t="s">
        <v>13311</v>
      </c>
      <c r="B49" t="s">
        <v>3860</v>
      </c>
      <c r="C49" s="10">
        <v>44355.76</v>
      </c>
      <c r="D49" s="14">
        <f t="shared" si="1"/>
        <v>3.6637624828972626E-3</v>
      </c>
      <c r="E49" s="9">
        <f t="shared" si="2"/>
        <v>7546.4497947007212</v>
      </c>
      <c r="F49" s="13">
        <f t="shared" si="3"/>
        <v>0.17013460697552518</v>
      </c>
      <c r="H49" t="s">
        <v>13311</v>
      </c>
      <c r="I49" t="s">
        <v>6679</v>
      </c>
      <c r="J49" s="10">
        <v>23040.7</v>
      </c>
      <c r="K49" s="13">
        <f t="shared" si="4"/>
        <v>2.426283263694924E-3</v>
      </c>
      <c r="L49" s="4">
        <f t="shared" si="5"/>
        <v>8913.4273078815677</v>
      </c>
      <c r="M49" s="13">
        <f t="shared" si="6"/>
        <v>0.38685575125241711</v>
      </c>
      <c r="O49" t="s">
        <v>13311</v>
      </c>
      <c r="P49" t="s">
        <v>7691</v>
      </c>
      <c r="Q49" s="10">
        <v>56734.6</v>
      </c>
      <c r="R49" s="13">
        <f t="shared" si="7"/>
        <v>6.2220930346653415E-3</v>
      </c>
      <c r="S49" s="4">
        <f t="shared" si="8"/>
        <v>18305.520240236532</v>
      </c>
      <c r="T49" s="13">
        <f t="shared" si="9"/>
        <v>0.32265178991720278</v>
      </c>
    </row>
    <row r="50" spans="1:20">
      <c r="A50" t="s">
        <v>13311</v>
      </c>
      <c r="B50" t="s">
        <v>5333</v>
      </c>
      <c r="C50" s="10">
        <v>19205.04</v>
      </c>
      <c r="D50" s="14">
        <f t="shared" si="1"/>
        <v>1.5863262186137999E-3</v>
      </c>
      <c r="E50" s="9">
        <f t="shared" si="2"/>
        <v>3267.4419323492402</v>
      </c>
      <c r="F50" s="13">
        <f t="shared" si="3"/>
        <v>0.17013460697552518</v>
      </c>
      <c r="H50" t="s">
        <v>13311</v>
      </c>
      <c r="I50" t="s">
        <v>6682</v>
      </c>
      <c r="J50" s="10">
        <v>109253.87</v>
      </c>
      <c r="K50" s="13">
        <f t="shared" si="4"/>
        <v>1.1504895088903589E-2</v>
      </c>
      <c r="L50" s="4">
        <f t="shared" si="5"/>
        <v>42265.487956083918</v>
      </c>
      <c r="M50" s="13">
        <f t="shared" si="6"/>
        <v>0.38685575125241717</v>
      </c>
      <c r="O50" t="s">
        <v>13311</v>
      </c>
      <c r="P50" t="s">
        <v>7694</v>
      </c>
      <c r="Q50" s="10">
        <v>11859.81</v>
      </c>
      <c r="R50" s="13">
        <f t="shared" si="7"/>
        <v>1.3006673386866984E-3</v>
      </c>
      <c r="S50" s="4">
        <f t="shared" si="8"/>
        <v>3826.5889245779399</v>
      </c>
      <c r="T50" s="13">
        <f t="shared" si="9"/>
        <v>0.32265178991720272</v>
      </c>
    </row>
    <row r="51" spans="1:20">
      <c r="A51" t="s">
        <v>13311</v>
      </c>
      <c r="B51" t="s">
        <v>3888</v>
      </c>
      <c r="C51" s="10">
        <v>68846.17</v>
      </c>
      <c r="D51" s="14">
        <f t="shared" si="1"/>
        <v>5.6866574879376889E-3</v>
      </c>
      <c r="E51" s="9">
        <f t="shared" si="2"/>
        <v>11713.116074720194</v>
      </c>
      <c r="F51" s="13">
        <f t="shared" si="3"/>
        <v>0.17013460697552521</v>
      </c>
      <c r="H51" t="s">
        <v>13311</v>
      </c>
      <c r="I51" t="s">
        <v>6021</v>
      </c>
      <c r="J51" s="10">
        <v>149722.9</v>
      </c>
      <c r="K51" s="13">
        <f t="shared" si="4"/>
        <v>1.5766455292672042E-2</v>
      </c>
      <c r="L51" s="4">
        <f t="shared" si="5"/>
        <v>57921.164959190522</v>
      </c>
      <c r="M51" s="13">
        <f t="shared" si="6"/>
        <v>0.38685575125241711</v>
      </c>
      <c r="O51" t="s">
        <v>13311</v>
      </c>
      <c r="P51" t="s">
        <v>7697</v>
      </c>
      <c r="Q51" s="10">
        <v>40562.949999999997</v>
      </c>
      <c r="R51" s="13">
        <f t="shared" si="7"/>
        <v>4.4485454847743439E-3</v>
      </c>
      <c r="S51" s="4">
        <f t="shared" si="8"/>
        <v>13087.708421821997</v>
      </c>
      <c r="T51" s="13">
        <f t="shared" si="9"/>
        <v>0.32265178991720272</v>
      </c>
    </row>
    <row r="52" spans="1:20">
      <c r="A52" t="s">
        <v>13311</v>
      </c>
      <c r="B52" t="s">
        <v>3896</v>
      </c>
      <c r="C52" s="10">
        <v>101116.54000000001</v>
      </c>
      <c r="D52" s="14">
        <f t="shared" si="1"/>
        <v>8.3521731033890604E-3</v>
      </c>
      <c r="E52" s="9">
        <f t="shared" si="2"/>
        <v>17203.422791624973</v>
      </c>
      <c r="F52" s="13">
        <f t="shared" si="3"/>
        <v>0.17013460697552518</v>
      </c>
      <c r="H52" t="s">
        <v>13311</v>
      </c>
      <c r="I52" t="s">
        <v>6688</v>
      </c>
      <c r="J52" s="10">
        <v>22692.84</v>
      </c>
      <c r="K52" s="13">
        <f t="shared" si="4"/>
        <v>2.3896521328651784E-3</v>
      </c>
      <c r="L52" s="4">
        <f t="shared" si="5"/>
        <v>8778.8556662509018</v>
      </c>
      <c r="M52" s="13">
        <f t="shared" si="6"/>
        <v>0.38685575125241711</v>
      </c>
      <c r="O52" t="s">
        <v>13311</v>
      </c>
      <c r="P52" t="s">
        <v>7700</v>
      </c>
      <c r="Q52" s="10">
        <v>45085.3</v>
      </c>
      <c r="R52" s="13">
        <f t="shared" si="7"/>
        <v>4.9445123627521355E-3</v>
      </c>
      <c r="S52" s="4">
        <f t="shared" si="8"/>
        <v>14546.852743954059</v>
      </c>
      <c r="T52" s="13">
        <f t="shared" si="9"/>
        <v>0.32265178991720267</v>
      </c>
    </row>
    <row r="53" spans="1:20">
      <c r="A53" t="s">
        <v>13311</v>
      </c>
      <c r="B53" t="s">
        <v>7073</v>
      </c>
      <c r="C53" s="10">
        <v>48846.15</v>
      </c>
      <c r="D53" s="14">
        <f t="shared" si="1"/>
        <v>4.0346663388018183E-3</v>
      </c>
      <c r="E53" s="9">
        <f t="shared" si="2"/>
        <v>8310.4205325175517</v>
      </c>
      <c r="F53" s="13">
        <f t="shared" si="3"/>
        <v>0.17013460697552524</v>
      </c>
      <c r="H53" t="s">
        <v>13311</v>
      </c>
      <c r="I53" t="s">
        <v>6691</v>
      </c>
      <c r="J53" s="10">
        <v>150308.29999999999</v>
      </c>
      <c r="K53" s="13">
        <f t="shared" si="4"/>
        <v>1.5828100391239663E-2</v>
      </c>
      <c r="L53" s="4">
        <f t="shared" si="5"/>
        <v>58147.630315973685</v>
      </c>
      <c r="M53" s="13">
        <f t="shared" si="6"/>
        <v>0.38685575125241711</v>
      </c>
      <c r="O53" t="s">
        <v>13311</v>
      </c>
      <c r="P53" t="s">
        <v>7705</v>
      </c>
      <c r="Q53" s="10">
        <v>54922.879999999997</v>
      </c>
      <c r="R53" s="13">
        <f t="shared" si="7"/>
        <v>6.0234014004110431E-3</v>
      </c>
      <c r="S53" s="4">
        <f t="shared" si="8"/>
        <v>17720.965539407734</v>
      </c>
      <c r="T53" s="13">
        <f t="shared" si="9"/>
        <v>0.32265178991720272</v>
      </c>
    </row>
    <row r="54" spans="1:20">
      <c r="A54" t="s">
        <v>13311</v>
      </c>
      <c r="B54" t="s">
        <v>3905</v>
      </c>
      <c r="C54" s="10">
        <v>26410.42</v>
      </c>
      <c r="D54" s="14">
        <f t="shared" si="1"/>
        <v>2.1814868227612266E-3</v>
      </c>
      <c r="E54" s="9">
        <f t="shared" si="2"/>
        <v>4493.3264267585491</v>
      </c>
      <c r="F54" s="13">
        <f t="shared" si="3"/>
        <v>0.17013460697552518</v>
      </c>
      <c r="H54" t="s">
        <v>13311</v>
      </c>
      <c r="I54" t="s">
        <v>6697</v>
      </c>
      <c r="J54" s="10">
        <v>23382.16</v>
      </c>
      <c r="K54" s="13">
        <f t="shared" si="4"/>
        <v>2.4622404474272438E-3</v>
      </c>
      <c r="L54" s="4">
        <f t="shared" si="5"/>
        <v>9045.5230727042162</v>
      </c>
      <c r="M54" s="13">
        <f t="shared" si="6"/>
        <v>0.38685575125241706</v>
      </c>
      <c r="O54" t="s">
        <v>13311</v>
      </c>
      <c r="P54" t="s">
        <v>7708</v>
      </c>
      <c r="Q54" s="10">
        <v>43846.19</v>
      </c>
      <c r="R54" s="13">
        <f t="shared" si="7"/>
        <v>4.8086189626015373E-3</v>
      </c>
      <c r="S54" s="4">
        <f t="shared" si="8"/>
        <v>14147.051684549757</v>
      </c>
      <c r="T54" s="13">
        <f t="shared" si="9"/>
        <v>0.32265178991720272</v>
      </c>
    </row>
    <row r="55" spans="1:20">
      <c r="A55" t="s">
        <v>13311</v>
      </c>
      <c r="B55" t="s">
        <v>3910</v>
      </c>
      <c r="C55" s="10">
        <v>11453.84</v>
      </c>
      <c r="D55" s="14">
        <f t="shared" si="1"/>
        <v>9.4608116909975122E-4</v>
      </c>
      <c r="E55" s="9">
        <f t="shared" si="2"/>
        <v>1948.6945667605494</v>
      </c>
      <c r="F55" s="13">
        <f t="shared" si="3"/>
        <v>0.17013460697552518</v>
      </c>
      <c r="H55" t="s">
        <v>13311</v>
      </c>
      <c r="I55" t="s">
        <v>6700</v>
      </c>
      <c r="J55" s="10">
        <v>16165.24</v>
      </c>
      <c r="K55" s="13">
        <f t="shared" si="4"/>
        <v>1.7022682151849435E-3</v>
      </c>
      <c r="L55" s="4">
        <f t="shared" si="5"/>
        <v>6253.616064375623</v>
      </c>
      <c r="M55" s="13">
        <f t="shared" si="6"/>
        <v>0.38685575125241711</v>
      </c>
      <c r="O55" t="s">
        <v>13311</v>
      </c>
      <c r="P55" t="s">
        <v>7711</v>
      </c>
      <c r="Q55" s="10">
        <v>35538.49</v>
      </c>
      <c r="R55" s="13">
        <f t="shared" si="7"/>
        <v>3.8975121194389996E-3</v>
      </c>
      <c r="S55" s="4">
        <f t="shared" si="8"/>
        <v>11466.557409454608</v>
      </c>
      <c r="T55" s="13">
        <f t="shared" si="9"/>
        <v>0.32265178991720267</v>
      </c>
    </row>
    <row r="56" spans="1:20">
      <c r="A56" t="s">
        <v>13311</v>
      </c>
      <c r="B56" t="s">
        <v>5018</v>
      </c>
      <c r="C56" s="10">
        <v>53845.34</v>
      </c>
      <c r="D56" s="14">
        <f t="shared" si="1"/>
        <v>4.4475968075137762E-3</v>
      </c>
      <c r="E56" s="9">
        <f t="shared" si="2"/>
        <v>9160.9557583635251</v>
      </c>
      <c r="F56" s="13">
        <f t="shared" si="3"/>
        <v>0.17013460697552518</v>
      </c>
      <c r="H56" t="s">
        <v>13311</v>
      </c>
      <c r="I56" t="s">
        <v>6703</v>
      </c>
      <c r="J56" s="10">
        <v>16711.57</v>
      </c>
      <c r="K56" s="13">
        <f t="shared" si="4"/>
        <v>1.7597990773312519E-3</v>
      </c>
      <c r="L56" s="4">
        <f t="shared" si="5"/>
        <v>6464.9669669573559</v>
      </c>
      <c r="M56" s="13">
        <f t="shared" si="6"/>
        <v>0.38685575125241711</v>
      </c>
      <c r="O56" t="s">
        <v>13311</v>
      </c>
      <c r="P56" t="s">
        <v>7714</v>
      </c>
      <c r="Q56" s="10">
        <v>39692.339999999997</v>
      </c>
      <c r="R56" s="13">
        <f t="shared" si="7"/>
        <v>4.3530655410202682E-3</v>
      </c>
      <c r="S56" s="4">
        <f t="shared" si="8"/>
        <v>12806.804547002183</v>
      </c>
      <c r="T56" s="13">
        <f t="shared" si="9"/>
        <v>0.32265178991720278</v>
      </c>
    </row>
    <row r="57" spans="1:20">
      <c r="A57" t="s">
        <v>13311</v>
      </c>
      <c r="B57" t="s">
        <v>3967</v>
      </c>
      <c r="C57" s="10">
        <v>2271</v>
      </c>
      <c r="D57" s="14">
        <f t="shared" si="1"/>
        <v>1.8758340740097077E-4</v>
      </c>
      <c r="E57" s="9">
        <f t="shared" si="2"/>
        <v>386.3756924414177</v>
      </c>
      <c r="F57" s="13">
        <f t="shared" si="3"/>
        <v>0.17013460697552518</v>
      </c>
      <c r="H57" t="s">
        <v>13311</v>
      </c>
      <c r="I57" t="s">
        <v>18183</v>
      </c>
      <c r="J57" s="10">
        <v>43145.56</v>
      </c>
      <c r="K57" s="13">
        <f t="shared" si="4"/>
        <v>4.5434101451234188E-3</v>
      </c>
      <c r="L57" s="4">
        <f t="shared" si="5"/>
        <v>16691.108027006238</v>
      </c>
      <c r="M57" s="13">
        <f t="shared" si="6"/>
        <v>0.38685575125241711</v>
      </c>
      <c r="O57" t="s">
        <v>13311</v>
      </c>
      <c r="P57" t="s">
        <v>7717</v>
      </c>
      <c r="Q57" s="10">
        <v>48000.04</v>
      </c>
      <c r="R57" s="13">
        <f t="shared" si="7"/>
        <v>5.2641723841828055E-3</v>
      </c>
      <c r="S57" s="4">
        <f t="shared" si="8"/>
        <v>15487.298822097329</v>
      </c>
      <c r="T57" s="13">
        <f t="shared" si="9"/>
        <v>0.32265178991720278</v>
      </c>
    </row>
    <row r="58" spans="1:20">
      <c r="A58" t="s">
        <v>13311</v>
      </c>
      <c r="B58" t="s">
        <v>5024</v>
      </c>
      <c r="C58" s="10">
        <v>47326.63</v>
      </c>
      <c r="D58" s="14">
        <f t="shared" si="1"/>
        <v>3.9091547847666247E-3</v>
      </c>
      <c r="E58" s="9">
        <f t="shared" si="2"/>
        <v>8051.8975945260991</v>
      </c>
      <c r="F58" s="13">
        <f t="shared" si="3"/>
        <v>0.17013460697552518</v>
      </c>
      <c r="H58" t="s">
        <v>13311</v>
      </c>
      <c r="I58" t="s">
        <v>6721</v>
      </c>
      <c r="J58" s="10">
        <v>93847.65</v>
      </c>
      <c r="K58" s="13">
        <f t="shared" si="4"/>
        <v>9.8825548933886079E-3</v>
      </c>
      <c r="L58" s="4">
        <f t="shared" si="5"/>
        <v>36305.503144023904</v>
      </c>
      <c r="M58" s="13">
        <f t="shared" si="6"/>
        <v>0.38685575125241717</v>
      </c>
      <c r="O58" t="s">
        <v>13311</v>
      </c>
      <c r="P58" t="s">
        <v>11611</v>
      </c>
      <c r="Q58" s="10">
        <v>39692.339999999997</v>
      </c>
      <c r="R58" s="13">
        <f t="shared" si="7"/>
        <v>4.3530655410202682E-3</v>
      </c>
      <c r="S58" s="4">
        <f t="shared" si="8"/>
        <v>12806.804547002183</v>
      </c>
      <c r="T58" s="13">
        <f t="shared" si="9"/>
        <v>0.32265178991720278</v>
      </c>
    </row>
    <row r="59" spans="1:20">
      <c r="A59" t="s">
        <v>13311</v>
      </c>
      <c r="B59" t="s">
        <v>3979</v>
      </c>
      <c r="C59" s="10">
        <v>23719.54</v>
      </c>
      <c r="D59" s="14">
        <f t="shared" si="1"/>
        <v>1.9592215478571652E-3</v>
      </c>
      <c r="E59" s="9">
        <f t="shared" si="2"/>
        <v>4035.5146155402485</v>
      </c>
      <c r="F59" s="13">
        <f t="shared" si="3"/>
        <v>0.17013460697552518</v>
      </c>
      <c r="H59" t="s">
        <v>13311</v>
      </c>
      <c r="I59" t="s">
        <v>6724</v>
      </c>
      <c r="J59" s="10">
        <v>39022.82</v>
      </c>
      <c r="K59" s="13">
        <f t="shared" si="4"/>
        <v>4.1092681675547853E-3</v>
      </c>
      <c r="L59" s="4">
        <f t="shared" si="5"/>
        <v>15096.202347087847</v>
      </c>
      <c r="M59" s="13">
        <f t="shared" si="6"/>
        <v>0.38685575125241711</v>
      </c>
      <c r="O59" t="s">
        <v>13311</v>
      </c>
      <c r="P59" t="s">
        <v>7729</v>
      </c>
      <c r="Q59" s="10">
        <v>43846.19</v>
      </c>
      <c r="R59" s="13">
        <f t="shared" si="7"/>
        <v>4.8086189626015373E-3</v>
      </c>
      <c r="S59" s="4">
        <f t="shared" si="8"/>
        <v>14147.051684549757</v>
      </c>
      <c r="T59" s="13">
        <f t="shared" si="9"/>
        <v>0.32265178991720272</v>
      </c>
    </row>
    <row r="60" spans="1:20">
      <c r="A60" t="s">
        <v>13311</v>
      </c>
      <c r="B60" t="s">
        <v>3982</v>
      </c>
      <c r="C60" s="10">
        <v>42780.160000000003</v>
      </c>
      <c r="D60" s="14">
        <f t="shared" si="1"/>
        <v>3.5336187503120712E-3</v>
      </c>
      <c r="E60" s="9">
        <f t="shared" si="2"/>
        <v>7278.385707950084</v>
      </c>
      <c r="F60" s="13">
        <f t="shared" si="3"/>
        <v>0.17013460697552518</v>
      </c>
      <c r="H60" t="s">
        <v>13311</v>
      </c>
      <c r="I60" t="s">
        <v>6094</v>
      </c>
      <c r="J60" s="10">
        <v>8713.11</v>
      </c>
      <c r="K60" s="13">
        <f t="shared" si="4"/>
        <v>9.1752737406992316E-4</v>
      </c>
      <c r="L60" s="4">
        <f t="shared" si="5"/>
        <v>3370.7167147949481</v>
      </c>
      <c r="M60" s="13">
        <f t="shared" si="6"/>
        <v>0.38685575125241711</v>
      </c>
      <c r="O60" t="s">
        <v>13311</v>
      </c>
      <c r="P60" t="s">
        <v>7777</v>
      </c>
      <c r="Q60" s="10">
        <v>54331.34</v>
      </c>
      <c r="R60" s="13">
        <f t="shared" si="7"/>
        <v>5.9585271100533787E-3</v>
      </c>
      <c r="S60" s="4">
        <f t="shared" si="8"/>
        <v>17530.10409960011</v>
      </c>
      <c r="T60" s="13">
        <f t="shared" si="9"/>
        <v>0.32265178991720267</v>
      </c>
    </row>
    <row r="61" spans="1:20">
      <c r="A61" t="s">
        <v>13311</v>
      </c>
      <c r="B61" t="s">
        <v>3985</v>
      </c>
      <c r="C61" s="10">
        <v>5028.96</v>
      </c>
      <c r="D61" s="14">
        <f t="shared" si="1"/>
        <v>4.1538945507846146E-4</v>
      </c>
      <c r="E61" s="9">
        <f t="shared" si="2"/>
        <v>855.60013309563715</v>
      </c>
      <c r="F61" s="13">
        <f t="shared" si="3"/>
        <v>0.17013460697552518</v>
      </c>
      <c r="H61" t="s">
        <v>13311</v>
      </c>
      <c r="I61" t="s">
        <v>6736</v>
      </c>
      <c r="J61" s="10">
        <v>62160.26</v>
      </c>
      <c r="K61" s="13">
        <f t="shared" si="4"/>
        <v>6.5457385628442293E-3</v>
      </c>
      <c r="L61" s="4">
        <f t="shared" si="5"/>
        <v>24047.054080345573</v>
      </c>
      <c r="M61" s="13">
        <f t="shared" si="6"/>
        <v>0.38685575125241711</v>
      </c>
      <c r="O61" t="s">
        <v>13311</v>
      </c>
      <c r="P61" t="s">
        <v>5285</v>
      </c>
      <c r="Q61" s="10">
        <v>8749.15</v>
      </c>
      <c r="R61" s="13">
        <f t="shared" si="7"/>
        <v>9.5952073821340539E-4</v>
      </c>
      <c r="S61" s="4">
        <f t="shared" si="8"/>
        <v>2822.9289077540943</v>
      </c>
      <c r="T61" s="13">
        <f t="shared" si="9"/>
        <v>0.32265178991720272</v>
      </c>
    </row>
    <row r="62" spans="1:20">
      <c r="A62" t="s">
        <v>13311</v>
      </c>
      <c r="B62" t="s">
        <v>3991</v>
      </c>
      <c r="C62" s="10">
        <v>17134.23</v>
      </c>
      <c r="D62" s="14">
        <f t="shared" si="1"/>
        <v>1.4152784000845157E-3</v>
      </c>
      <c r="E62" s="9">
        <f t="shared" si="2"/>
        <v>2915.125486878253</v>
      </c>
      <c r="F62" s="13">
        <f t="shared" si="3"/>
        <v>0.17013460697552521</v>
      </c>
      <c r="H62" t="s">
        <v>13311</v>
      </c>
      <c r="I62" t="s">
        <v>6358</v>
      </c>
      <c r="J62" s="10">
        <v>20598.97</v>
      </c>
      <c r="K62" s="13">
        <f t="shared" si="4"/>
        <v>2.1691587564767489E-3</v>
      </c>
      <c r="L62" s="4">
        <f t="shared" si="5"/>
        <v>7968.8300143760034</v>
      </c>
      <c r="M62" s="13">
        <f t="shared" si="6"/>
        <v>0.38685575125241711</v>
      </c>
      <c r="O62" t="s">
        <v>13311</v>
      </c>
      <c r="P62" t="s">
        <v>7883</v>
      </c>
      <c r="Q62" s="10">
        <v>27579.42</v>
      </c>
      <c r="R62" s="13">
        <f t="shared" si="7"/>
        <v>3.0246395864624055E-3</v>
      </c>
      <c r="S62" s="4">
        <f t="shared" si="8"/>
        <v>8898.5492278782986</v>
      </c>
      <c r="T62" s="13">
        <f t="shared" si="9"/>
        <v>0.32265178991720272</v>
      </c>
    </row>
    <row r="63" spans="1:20">
      <c r="A63" t="s">
        <v>13311</v>
      </c>
      <c r="B63" t="s">
        <v>3997</v>
      </c>
      <c r="C63" s="10">
        <v>279296.5</v>
      </c>
      <c r="D63" s="14">
        <f t="shared" si="1"/>
        <v>2.3069744229487113E-2</v>
      </c>
      <c r="E63" s="9">
        <f t="shared" si="2"/>
        <v>47518.000257139771</v>
      </c>
      <c r="F63" s="13">
        <f t="shared" si="3"/>
        <v>0.17013460697552518</v>
      </c>
      <c r="H63" t="s">
        <v>13311</v>
      </c>
      <c r="I63" t="s">
        <v>6631</v>
      </c>
      <c r="J63" s="10">
        <v>13367.19</v>
      </c>
      <c r="K63" s="13">
        <f t="shared" si="4"/>
        <v>1.407621703317614E-3</v>
      </c>
      <c r="L63" s="4">
        <f t="shared" si="5"/>
        <v>5171.1743295837978</v>
      </c>
      <c r="M63" s="13">
        <f t="shared" si="6"/>
        <v>0.38685575125241711</v>
      </c>
      <c r="O63" t="s">
        <v>13311</v>
      </c>
      <c r="P63" t="s">
        <v>7888</v>
      </c>
      <c r="Q63" s="10">
        <v>27590.23</v>
      </c>
      <c r="R63" s="13">
        <f t="shared" si="7"/>
        <v>3.0258251209634816E-3</v>
      </c>
      <c r="S63" s="4">
        <f t="shared" si="8"/>
        <v>8902.0370937273037</v>
      </c>
      <c r="T63" s="13">
        <f t="shared" si="9"/>
        <v>0.32265178991720272</v>
      </c>
    </row>
    <row r="64" spans="1:20">
      <c r="A64" t="s">
        <v>13311</v>
      </c>
      <c r="B64" t="s">
        <v>5027</v>
      </c>
      <c r="C64" s="10">
        <v>65476.93</v>
      </c>
      <c r="D64" s="14">
        <f t="shared" si="1"/>
        <v>5.4083600332694168E-3</v>
      </c>
      <c r="E64" s="9">
        <f t="shared" si="2"/>
        <v>11139.891751513975</v>
      </c>
      <c r="F64" s="13">
        <f t="shared" si="3"/>
        <v>0.17013460697552518</v>
      </c>
      <c r="H64" t="s">
        <v>13311</v>
      </c>
      <c r="I64" t="s">
        <v>6709</v>
      </c>
      <c r="J64" s="10">
        <v>19059.12</v>
      </c>
      <c r="K64" s="13">
        <f t="shared" si="4"/>
        <v>2.0070060317938774E-3</v>
      </c>
      <c r="L64" s="4">
        <f t="shared" si="5"/>
        <v>7373.1301858099669</v>
      </c>
      <c r="M64" s="13">
        <f t="shared" si="6"/>
        <v>0.38685575125241706</v>
      </c>
      <c r="O64" t="s">
        <v>13311</v>
      </c>
      <c r="P64" t="s">
        <v>7891</v>
      </c>
      <c r="Q64" s="10">
        <v>64518.75</v>
      </c>
      <c r="R64" s="13">
        <f t="shared" si="7"/>
        <v>7.0757820620981635E-3</v>
      </c>
      <c r="S64" s="4">
        <f t="shared" si="8"/>
        <v>20817.090170720523</v>
      </c>
      <c r="T64" s="13">
        <f t="shared" si="9"/>
        <v>0.32265178991720272</v>
      </c>
    </row>
    <row r="65" spans="1:20">
      <c r="A65" t="s">
        <v>13311</v>
      </c>
      <c r="B65" t="s">
        <v>4012</v>
      </c>
      <c r="C65" s="10">
        <v>10072.34</v>
      </c>
      <c r="D65" s="14">
        <f t="shared" si="1"/>
        <v>8.3196999458436539E-4</v>
      </c>
      <c r="E65" s="9">
        <f t="shared" si="2"/>
        <v>1713.6536072238614</v>
      </c>
      <c r="F65" s="13">
        <f t="shared" si="3"/>
        <v>0.17013460697552518</v>
      </c>
      <c r="H65" t="s">
        <v>13311</v>
      </c>
      <c r="I65" t="s">
        <v>6727</v>
      </c>
      <c r="J65" s="10">
        <v>16893.689999999999</v>
      </c>
      <c r="K65" s="13">
        <f t="shared" si="4"/>
        <v>1.778977084422361E-3</v>
      </c>
      <c r="L65" s="4">
        <f t="shared" si="5"/>
        <v>6535.4211363754457</v>
      </c>
      <c r="M65" s="13">
        <f t="shared" si="6"/>
        <v>0.38685575125241711</v>
      </c>
      <c r="O65" t="s">
        <v>13311</v>
      </c>
      <c r="P65" t="s">
        <v>13098</v>
      </c>
      <c r="Q65" s="10">
        <v>85179.89</v>
      </c>
      <c r="R65" s="13">
        <f t="shared" si="7"/>
        <v>9.3416927282920816E-3</v>
      </c>
      <c r="S65" s="4">
        <f t="shared" si="8"/>
        <v>27483.443973450438</v>
      </c>
      <c r="T65" s="13">
        <f t="shared" si="9"/>
        <v>0.32265178991720272</v>
      </c>
    </row>
    <row r="66" spans="1:20">
      <c r="A66" t="s">
        <v>13311</v>
      </c>
      <c r="B66" t="s">
        <v>5021</v>
      </c>
      <c r="C66" s="10">
        <v>8519.73</v>
      </c>
      <c r="D66" s="14">
        <f t="shared" si="1"/>
        <v>7.0372522392614378E-4</v>
      </c>
      <c r="E66" s="9">
        <f t="shared" si="2"/>
        <v>1449.500915087591</v>
      </c>
      <c r="F66" s="13">
        <f t="shared" si="3"/>
        <v>0.17013460697552518</v>
      </c>
      <c r="H66" t="s">
        <v>13311</v>
      </c>
      <c r="I66" t="s">
        <v>6739</v>
      </c>
      <c r="J66" s="10">
        <v>25697.040000000001</v>
      </c>
      <c r="K66" s="13">
        <f t="shared" si="4"/>
        <v>2.7060071125659816E-3</v>
      </c>
      <c r="L66" s="4">
        <f t="shared" si="5"/>
        <v>9941.0477141634146</v>
      </c>
      <c r="M66" s="13">
        <f t="shared" si="6"/>
        <v>0.38685575125241717</v>
      </c>
      <c r="O66" t="s">
        <v>13311</v>
      </c>
      <c r="P66" t="s">
        <v>8033</v>
      </c>
      <c r="Q66" s="10">
        <v>6724.47</v>
      </c>
      <c r="R66" s="13">
        <f t="shared" si="7"/>
        <v>7.374737452774154E-4</v>
      </c>
      <c r="S66" s="4">
        <f t="shared" si="8"/>
        <v>2169.6622817445323</v>
      </c>
      <c r="T66" s="13">
        <f t="shared" si="9"/>
        <v>0.32265178991720272</v>
      </c>
    </row>
    <row r="67" spans="1:20">
      <c r="A67" t="s">
        <v>13311</v>
      </c>
      <c r="B67" t="s">
        <v>4021</v>
      </c>
      <c r="C67" s="10">
        <v>152383.28</v>
      </c>
      <c r="D67" s="14">
        <f t="shared" si="1"/>
        <v>1.2586778905035755E-2</v>
      </c>
      <c r="E67" s="9">
        <f t="shared" si="2"/>
        <v>25925.669452441405</v>
      </c>
      <c r="F67" s="13">
        <f t="shared" si="3"/>
        <v>0.17013460697552518</v>
      </c>
      <c r="H67" t="s">
        <v>13311</v>
      </c>
      <c r="I67" t="s">
        <v>6118</v>
      </c>
      <c r="J67" s="10">
        <v>13627.96</v>
      </c>
      <c r="K67" s="13">
        <f t="shared" si="4"/>
        <v>1.4350818884106763E-3</v>
      </c>
      <c r="L67" s="4">
        <f t="shared" si="5"/>
        <v>5272.05470383789</v>
      </c>
      <c r="M67" s="13">
        <f t="shared" si="6"/>
        <v>0.38685575125241711</v>
      </c>
      <c r="O67" t="s">
        <v>13311</v>
      </c>
      <c r="P67" t="s">
        <v>18186</v>
      </c>
      <c r="Q67" s="10">
        <v>7492.31</v>
      </c>
      <c r="R67" s="13">
        <f t="shared" si="7"/>
        <v>8.2168288600877569E-4</v>
      </c>
      <c r="S67" s="4">
        <f t="shared" si="8"/>
        <v>2417.4072321145572</v>
      </c>
      <c r="T67" s="13">
        <f t="shared" si="9"/>
        <v>0.32265178991720272</v>
      </c>
    </row>
    <row r="68" spans="1:20">
      <c r="A68" t="s">
        <v>13311</v>
      </c>
      <c r="B68" t="s">
        <v>6012</v>
      </c>
      <c r="C68" s="10">
        <v>45536.91</v>
      </c>
      <c r="D68" s="14">
        <f t="shared" si="1"/>
        <v>3.7613248526249849E-3</v>
      </c>
      <c r="E68" s="9">
        <f t="shared" si="2"/>
        <v>7747.4042857298637</v>
      </c>
      <c r="F68" s="13">
        <f t="shared" si="3"/>
        <v>0.17013460697552521</v>
      </c>
      <c r="H68" t="s">
        <v>13311</v>
      </c>
      <c r="I68" t="s">
        <v>6754</v>
      </c>
      <c r="J68" s="10">
        <v>25517.96</v>
      </c>
      <c r="K68" s="13">
        <f t="shared" si="4"/>
        <v>2.6871492303461491E-3</v>
      </c>
      <c r="L68" s="4">
        <f t="shared" si="5"/>
        <v>9871.7695862291293</v>
      </c>
      <c r="M68" s="13">
        <f t="shared" si="6"/>
        <v>0.38685575125241711</v>
      </c>
      <c r="O68" t="s">
        <v>13311</v>
      </c>
      <c r="P68" t="s">
        <v>18187</v>
      </c>
      <c r="Q68" s="10">
        <v>8128.06</v>
      </c>
      <c r="R68" s="13">
        <f t="shared" si="7"/>
        <v>8.9140569443235652E-4</v>
      </c>
      <c r="S68" s="4">
        <f t="shared" si="8"/>
        <v>2622.5331075544186</v>
      </c>
      <c r="T68" s="13">
        <f t="shared" si="9"/>
        <v>0.32265178991720267</v>
      </c>
    </row>
    <row r="69" spans="1:20">
      <c r="A69" t="s">
        <v>13311</v>
      </c>
      <c r="B69" t="s">
        <v>5968</v>
      </c>
      <c r="C69" s="10">
        <v>8877.16</v>
      </c>
      <c r="D69" s="14">
        <f t="shared" si="1"/>
        <v>7.3324875422439522E-4</v>
      </c>
      <c r="E69" s="9">
        <f t="shared" si="2"/>
        <v>1510.3121276588531</v>
      </c>
      <c r="F69" s="13">
        <f t="shared" si="3"/>
        <v>0.17013460697552518</v>
      </c>
      <c r="H69" t="s">
        <v>13311</v>
      </c>
      <c r="I69" t="s">
        <v>6775</v>
      </c>
      <c r="J69" s="10">
        <v>69909.61</v>
      </c>
      <c r="K69" s="13">
        <f t="shared" si="4"/>
        <v>7.3617779283806171E-3</v>
      </c>
      <c r="L69" s="4">
        <f t="shared" si="5"/>
        <v>27044.934696313492</v>
      </c>
      <c r="M69" s="13">
        <f t="shared" si="6"/>
        <v>0.38685575125241711</v>
      </c>
      <c r="O69" t="s">
        <v>13311</v>
      </c>
      <c r="P69" t="s">
        <v>18188</v>
      </c>
      <c r="Q69" s="10">
        <v>2314.83</v>
      </c>
      <c r="R69" s="13">
        <f t="shared" si="7"/>
        <v>2.5386779177846274E-4</v>
      </c>
      <c r="S69" s="4">
        <f t="shared" si="8"/>
        <v>746.8840428540384</v>
      </c>
      <c r="T69" s="13">
        <f t="shared" si="9"/>
        <v>0.32265178991720272</v>
      </c>
    </row>
    <row r="70" spans="1:20">
      <c r="A70" t="s">
        <v>13311</v>
      </c>
      <c r="B70" t="s">
        <v>4030</v>
      </c>
      <c r="C70" s="10">
        <v>91713.600000000006</v>
      </c>
      <c r="D70" s="14">
        <f t="shared" si="1"/>
        <v>7.5754951972741846E-3</v>
      </c>
      <c r="E70" s="9">
        <f t="shared" si="2"/>
        <v>15603.657290310528</v>
      </c>
      <c r="F70" s="13">
        <f t="shared" si="3"/>
        <v>0.17013460697552518</v>
      </c>
      <c r="H70" t="s">
        <v>13311</v>
      </c>
      <c r="I70" t="s">
        <v>5374</v>
      </c>
      <c r="J70" s="10">
        <v>12705.11</v>
      </c>
      <c r="K70" s="13">
        <f t="shared" si="4"/>
        <v>1.3379018760889649E-3</v>
      </c>
      <c r="L70" s="4">
        <f t="shared" si="5"/>
        <v>4915.0448737945972</v>
      </c>
      <c r="M70" s="13">
        <f t="shared" si="6"/>
        <v>0.38685575125241711</v>
      </c>
      <c r="O70" t="s">
        <v>13311</v>
      </c>
      <c r="P70" t="s">
        <v>8137</v>
      </c>
      <c r="Q70" s="10">
        <v>6178.89</v>
      </c>
      <c r="R70" s="13">
        <f t="shared" si="7"/>
        <v>6.776398957772388E-4</v>
      </c>
      <c r="S70" s="4">
        <f t="shared" si="8"/>
        <v>1993.6299182015048</v>
      </c>
      <c r="T70" s="13">
        <f t="shared" si="9"/>
        <v>0.32265178991720272</v>
      </c>
    </row>
    <row r="71" spans="1:20">
      <c r="A71" t="s">
        <v>13311</v>
      </c>
      <c r="B71" t="s">
        <v>7076</v>
      </c>
      <c r="C71" s="10">
        <v>98286.45</v>
      </c>
      <c r="D71" s="14">
        <f t="shared" si="1"/>
        <v>8.118409155590112E-3</v>
      </c>
      <c r="E71" s="9">
        <f t="shared" si="2"/>
        <v>16721.926541769608</v>
      </c>
      <c r="F71" s="13">
        <f t="shared" si="3"/>
        <v>0.17013460697552518</v>
      </c>
      <c r="H71" t="s">
        <v>13311</v>
      </c>
      <c r="I71" t="s">
        <v>5389</v>
      </c>
      <c r="J71" s="10">
        <v>11914.05</v>
      </c>
      <c r="K71" s="13">
        <f t="shared" si="4"/>
        <v>1.2545999087625161E-3</v>
      </c>
      <c r="L71" s="4">
        <f t="shared" si="5"/>
        <v>4609.01876320886</v>
      </c>
      <c r="M71" s="13">
        <f t="shared" si="6"/>
        <v>0.38685575125241711</v>
      </c>
      <c r="O71" t="s">
        <v>13311</v>
      </c>
      <c r="P71" t="s">
        <v>8143</v>
      </c>
      <c r="Q71" s="10">
        <v>5862.57</v>
      </c>
      <c r="R71" s="13">
        <f t="shared" si="7"/>
        <v>6.4294902867452995E-4</v>
      </c>
      <c r="S71" s="4">
        <f t="shared" si="8"/>
        <v>1891.568704014895</v>
      </c>
      <c r="T71" s="13">
        <f t="shared" si="9"/>
        <v>0.32265178991720272</v>
      </c>
    </row>
    <row r="72" spans="1:20">
      <c r="A72" t="s">
        <v>13311</v>
      </c>
      <c r="B72" t="s">
        <v>18169</v>
      </c>
      <c r="C72" s="10">
        <v>21688.04</v>
      </c>
      <c r="D72" s="14">
        <f t="shared" si="1"/>
        <v>1.7914207146845222E-3</v>
      </c>
      <c r="E72" s="9">
        <f t="shared" si="2"/>
        <v>3689.8861614694692</v>
      </c>
      <c r="F72" s="13">
        <f t="shared" si="3"/>
        <v>0.17013460697552518</v>
      </c>
      <c r="H72" t="s">
        <v>13311</v>
      </c>
      <c r="I72" t="s">
        <v>5398</v>
      </c>
      <c r="J72" s="10">
        <v>245951.05</v>
      </c>
      <c r="K72" s="13">
        <f t="shared" si="4"/>
        <v>2.5899686915032676E-2</v>
      </c>
      <c r="L72" s="4">
        <f t="shared" si="5"/>
        <v>95147.578219070798</v>
      </c>
      <c r="M72" s="13">
        <f t="shared" si="6"/>
        <v>0.38685575125241711</v>
      </c>
      <c r="O72" t="s">
        <v>13311</v>
      </c>
      <c r="P72" t="s">
        <v>8149</v>
      </c>
      <c r="Q72" s="10">
        <v>4425.5200000000004</v>
      </c>
      <c r="R72" s="13">
        <f t="shared" si="7"/>
        <v>4.8534751574475123E-4</v>
      </c>
      <c r="S72" s="4">
        <f t="shared" si="8"/>
        <v>1427.9019493143792</v>
      </c>
      <c r="T72" s="13">
        <f t="shared" si="9"/>
        <v>0.32265178991720272</v>
      </c>
    </row>
    <row r="73" spans="1:20">
      <c r="A73" t="s">
        <v>13311</v>
      </c>
      <c r="B73" t="s">
        <v>18173</v>
      </c>
      <c r="C73" s="10">
        <v>25836.76</v>
      </c>
      <c r="D73" s="14">
        <f t="shared" si="1"/>
        <v>2.1341028080145773E-3</v>
      </c>
      <c r="E73" s="9">
        <f t="shared" si="2"/>
        <v>4395.7270081209699</v>
      </c>
      <c r="F73" s="13">
        <f t="shared" si="3"/>
        <v>0.17013460697552518</v>
      </c>
      <c r="H73" t="s">
        <v>13311</v>
      </c>
      <c r="I73" t="s">
        <v>5407</v>
      </c>
      <c r="J73" s="10">
        <v>14040.68</v>
      </c>
      <c r="K73" s="13">
        <f t="shared" si="4"/>
        <v>1.4785430518558917E-3</v>
      </c>
      <c r="L73" s="4">
        <f t="shared" si="5"/>
        <v>5431.7178094947876</v>
      </c>
      <c r="M73" s="13">
        <f t="shared" si="6"/>
        <v>0.38685575125241706</v>
      </c>
      <c r="O73" t="s">
        <v>13311</v>
      </c>
      <c r="P73" t="s">
        <v>12991</v>
      </c>
      <c r="Q73" s="10">
        <v>47941.81</v>
      </c>
      <c r="R73" s="13">
        <f t="shared" si="7"/>
        <v>5.2577862903809879E-3</v>
      </c>
      <c r="S73" s="4">
        <f t="shared" si="8"/>
        <v>15468.510808370449</v>
      </c>
      <c r="T73" s="13">
        <f t="shared" si="9"/>
        <v>0.32265178991720272</v>
      </c>
    </row>
    <row r="74" spans="1:20">
      <c r="A74" t="s">
        <v>13311</v>
      </c>
      <c r="B74" t="s">
        <v>18171</v>
      </c>
      <c r="C74" s="10">
        <v>74125.62</v>
      </c>
      <c r="D74" s="14">
        <f t="shared" si="1"/>
        <v>6.1227372854731595E-3</v>
      </c>
      <c r="E74" s="9">
        <f t="shared" si="2"/>
        <v>12611.333225517128</v>
      </c>
      <c r="F74" s="13">
        <f t="shared" si="3"/>
        <v>0.17013460697552518</v>
      </c>
      <c r="H74" t="s">
        <v>13311</v>
      </c>
      <c r="I74" t="s">
        <v>6844</v>
      </c>
      <c r="J74" s="10">
        <v>51027.03</v>
      </c>
      <c r="K74" s="13">
        <f t="shared" si="4"/>
        <v>5.3733623060522803E-3</v>
      </c>
      <c r="L74" s="4">
        <f t="shared" si="5"/>
        <v>19740.100024829622</v>
      </c>
      <c r="M74" s="13">
        <f t="shared" si="6"/>
        <v>0.38685575125241706</v>
      </c>
      <c r="O74" t="s">
        <v>13311</v>
      </c>
      <c r="P74" t="s">
        <v>8158</v>
      </c>
      <c r="Q74" s="10">
        <v>15381.94</v>
      </c>
      <c r="R74" s="13">
        <f t="shared" si="7"/>
        <v>1.6869399226158324E-3</v>
      </c>
      <c r="S74" s="4">
        <f t="shared" si="8"/>
        <v>4963.0104733990174</v>
      </c>
      <c r="T74" s="13">
        <f t="shared" si="9"/>
        <v>0.32265178991720272</v>
      </c>
    </row>
    <row r="75" spans="1:20">
      <c r="A75" t="s">
        <v>13311</v>
      </c>
      <c r="B75" t="s">
        <v>18174</v>
      </c>
      <c r="C75" s="10">
        <v>18000.88</v>
      </c>
      <c r="D75" s="14">
        <f t="shared" si="1"/>
        <v>1.4868632349696112E-3</v>
      </c>
      <c r="E75" s="9">
        <f t="shared" si="2"/>
        <v>3062.5726440135923</v>
      </c>
      <c r="F75" s="13">
        <f t="shared" si="3"/>
        <v>0.17013460697552521</v>
      </c>
      <c r="H75" t="s">
        <v>13311</v>
      </c>
      <c r="I75" t="s">
        <v>5971</v>
      </c>
      <c r="J75" s="10">
        <v>80505.429999999993</v>
      </c>
      <c r="K75" s="13">
        <f t="shared" si="4"/>
        <v>8.4775626367932927E-3</v>
      </c>
      <c r="L75" s="4">
        <f t="shared" si="5"/>
        <v>31143.988602548878</v>
      </c>
      <c r="M75" s="13">
        <f t="shared" si="6"/>
        <v>0.38685575125241711</v>
      </c>
      <c r="O75" t="s">
        <v>13311</v>
      </c>
      <c r="P75" t="s">
        <v>8161</v>
      </c>
      <c r="Q75" s="10">
        <v>17083.98</v>
      </c>
      <c r="R75" s="13">
        <f t="shared" si="7"/>
        <v>1.8736029329961257E-3</v>
      </c>
      <c r="S75" s="4">
        <f t="shared" si="8"/>
        <v>5512.1767259096932</v>
      </c>
      <c r="T75" s="13">
        <f t="shared" si="9"/>
        <v>0.32265178991720272</v>
      </c>
    </row>
    <row r="76" spans="1:20">
      <c r="A76" t="s">
        <v>13311</v>
      </c>
      <c r="B76" t="s">
        <v>18176</v>
      </c>
      <c r="C76" s="10">
        <v>28547.200000000001</v>
      </c>
      <c r="D76" s="14">
        <f t="shared" si="1"/>
        <v>2.3579837286468483E-3</v>
      </c>
      <c r="E76" s="9">
        <f t="shared" si="2"/>
        <v>4856.8666522517124</v>
      </c>
      <c r="F76" s="13">
        <f t="shared" si="3"/>
        <v>0.17013460697552518</v>
      </c>
      <c r="H76" t="s">
        <v>13311</v>
      </c>
      <c r="I76" t="s">
        <v>5977</v>
      </c>
      <c r="J76" s="10">
        <v>31547.37</v>
      </c>
      <c r="K76" s="13">
        <f t="shared" si="4"/>
        <v>3.3220716317035213E-3</v>
      </c>
      <c r="L76" s="4">
        <f t="shared" si="5"/>
        <v>12204.281521387966</v>
      </c>
      <c r="M76" s="13">
        <f t="shared" si="6"/>
        <v>0.38685575125241711</v>
      </c>
      <c r="O76" t="s">
        <v>13311</v>
      </c>
      <c r="P76" t="s">
        <v>8164</v>
      </c>
      <c r="Q76" s="10">
        <v>2870.46</v>
      </c>
      <c r="R76" s="13">
        <f t="shared" si="7"/>
        <v>3.1480382645308994E-4</v>
      </c>
      <c r="S76" s="4">
        <f t="shared" si="8"/>
        <v>926.15905688573378</v>
      </c>
      <c r="T76" s="13">
        <f t="shared" si="9"/>
        <v>0.32265178991720272</v>
      </c>
    </row>
    <row r="77" spans="1:20">
      <c r="A77" t="s">
        <v>13311</v>
      </c>
      <c r="B77" t="s">
        <v>18178</v>
      </c>
      <c r="C77" s="10">
        <v>79997.440000000002</v>
      </c>
      <c r="D77" s="14">
        <f t="shared" ref="D77:D140" si="10">C77/$C$282</f>
        <v>6.6077465339298615E-3</v>
      </c>
      <c r="E77" s="9">
        <f t="shared" ref="E77:E140" si="11">D77*$E$3</f>
        <v>13610.333013448158</v>
      </c>
      <c r="F77" s="13">
        <f t="shared" ref="F77:F140" si="12">E77/C77</f>
        <v>0.17013460697552518</v>
      </c>
      <c r="H77" t="s">
        <v>13311</v>
      </c>
      <c r="I77" t="s">
        <v>5980</v>
      </c>
      <c r="J77" s="10">
        <v>22123.18</v>
      </c>
      <c r="K77" s="13">
        <f t="shared" ref="K77:K140" si="13">J77/$J$216</f>
        <v>2.3296645229402869E-3</v>
      </c>
      <c r="L77" s="4">
        <f t="shared" ref="L77:L140" si="14">K77*$E$4</f>
        <v>8558.4794189924505</v>
      </c>
      <c r="M77" s="13">
        <f t="shared" ref="M77:M140" si="15">L77/J77</f>
        <v>0.38685575125241717</v>
      </c>
      <c r="O77" t="s">
        <v>13311</v>
      </c>
      <c r="P77" t="s">
        <v>8169</v>
      </c>
      <c r="Q77" s="10">
        <v>172837.15</v>
      </c>
      <c r="R77" s="13">
        <f t="shared" ref="R77:R140" si="16">Q77/$Q$244</f>
        <v>1.8955079037243742E-2</v>
      </c>
      <c r="S77" s="4">
        <f t="shared" ref="S77:S140" si="17">R77*$E$5</f>
        <v>55766.21581168806</v>
      </c>
      <c r="T77" s="13">
        <f t="shared" ref="T77:T140" si="18">S77/Q77</f>
        <v>0.32265178991720278</v>
      </c>
    </row>
    <row r="78" spans="1:20">
      <c r="A78" t="s">
        <v>13311</v>
      </c>
      <c r="B78" t="s">
        <v>4036</v>
      </c>
      <c r="C78" s="10">
        <v>19012.939999999999</v>
      </c>
      <c r="D78" s="14">
        <f t="shared" si="10"/>
        <v>1.5704588594937089E-3</v>
      </c>
      <c r="E78" s="9">
        <f t="shared" si="11"/>
        <v>3234.7590743492419</v>
      </c>
      <c r="F78" s="13">
        <f t="shared" si="12"/>
        <v>0.17013460697552521</v>
      </c>
      <c r="H78" t="s">
        <v>13311</v>
      </c>
      <c r="I78" t="s">
        <v>5983</v>
      </c>
      <c r="J78" s="10">
        <v>29303.03</v>
      </c>
      <c r="K78" s="13">
        <f t="shared" si="13"/>
        <v>3.0857331272292187E-3</v>
      </c>
      <c r="L78" s="4">
        <f t="shared" si="14"/>
        <v>11336.045684622115</v>
      </c>
      <c r="M78" s="13">
        <f t="shared" si="15"/>
        <v>0.38685575125241711</v>
      </c>
      <c r="O78" t="s">
        <v>13311</v>
      </c>
      <c r="P78" t="s">
        <v>8175</v>
      </c>
      <c r="Q78" s="10">
        <v>5000</v>
      </c>
      <c r="R78" s="13">
        <f t="shared" si="16"/>
        <v>5.483508330600146E-4</v>
      </c>
      <c r="S78" s="4">
        <f t="shared" si="17"/>
        <v>1613.2589495860136</v>
      </c>
      <c r="T78" s="13">
        <f t="shared" si="18"/>
        <v>0.32265178991720272</v>
      </c>
    </row>
    <row r="79" spans="1:20">
      <c r="A79" t="s">
        <v>13311</v>
      </c>
      <c r="B79" t="s">
        <v>4047</v>
      </c>
      <c r="C79" s="10">
        <v>47236.43</v>
      </c>
      <c r="D79" s="14">
        <f t="shared" si="10"/>
        <v>3.9017043121344947E-3</v>
      </c>
      <c r="E79" s="9">
        <f t="shared" si="11"/>
        <v>8036.5514529769071</v>
      </c>
      <c r="F79" s="13">
        <f t="shared" si="12"/>
        <v>0.17013460697552518</v>
      </c>
      <c r="H79" t="s">
        <v>13311</v>
      </c>
      <c r="I79" t="s">
        <v>5989</v>
      </c>
      <c r="J79" s="10">
        <v>41104.449999999997</v>
      </c>
      <c r="K79" s="13">
        <f t="shared" si="13"/>
        <v>4.3284726201193889E-3</v>
      </c>
      <c r="L79" s="4">
        <f t="shared" si="14"/>
        <v>15901.492884567415</v>
      </c>
      <c r="M79" s="13">
        <f t="shared" si="15"/>
        <v>0.38685575125241711</v>
      </c>
      <c r="O79" t="s">
        <v>13311</v>
      </c>
      <c r="P79" t="s">
        <v>13137</v>
      </c>
      <c r="Q79" s="10">
        <v>10640.08</v>
      </c>
      <c r="R79" s="13">
        <f t="shared" si="16"/>
        <v>1.1668993463650401E-3</v>
      </c>
      <c r="S79" s="4">
        <f t="shared" si="17"/>
        <v>3433.0408568622302</v>
      </c>
      <c r="T79" s="13">
        <f t="shared" si="18"/>
        <v>0.32265178991720272</v>
      </c>
    </row>
    <row r="80" spans="1:20">
      <c r="A80" t="s">
        <v>13311</v>
      </c>
      <c r="B80" t="s">
        <v>4050</v>
      </c>
      <c r="C80" s="10">
        <v>24065.040000000001</v>
      </c>
      <c r="D80" s="14">
        <f t="shared" si="10"/>
        <v>1.9877596664203689E-3</v>
      </c>
      <c r="E80" s="9">
        <f t="shared" si="11"/>
        <v>4094.2961222502931</v>
      </c>
      <c r="F80" s="13">
        <f t="shared" si="12"/>
        <v>0.17013460697552521</v>
      </c>
      <c r="H80" t="s">
        <v>13311</v>
      </c>
      <c r="I80" t="s">
        <v>5992</v>
      </c>
      <c r="J80" s="10">
        <v>41399.1</v>
      </c>
      <c r="K80" s="13">
        <f t="shared" si="13"/>
        <v>4.3595005126594467E-3</v>
      </c>
      <c r="L80" s="4">
        <f t="shared" si="14"/>
        <v>16015.479931673941</v>
      </c>
      <c r="M80" s="13">
        <f t="shared" si="15"/>
        <v>0.38685575125241711</v>
      </c>
      <c r="O80" t="s">
        <v>13311</v>
      </c>
      <c r="P80" t="s">
        <v>13151</v>
      </c>
      <c r="Q80" s="10">
        <v>67848.92</v>
      </c>
      <c r="R80" s="13">
        <f t="shared" si="16"/>
        <v>7.4410023608444571E-3</v>
      </c>
      <c r="S80" s="4">
        <f t="shared" si="17"/>
        <v>21891.575481949094</v>
      </c>
      <c r="T80" s="13">
        <f t="shared" si="18"/>
        <v>0.32265178991720272</v>
      </c>
    </row>
    <row r="81" spans="1:20">
      <c r="A81" t="s">
        <v>13311</v>
      </c>
      <c r="B81" t="s">
        <v>4053</v>
      </c>
      <c r="C81" s="10">
        <v>47142.34</v>
      </c>
      <c r="D81" s="14">
        <f t="shared" si="10"/>
        <v>3.8939325275451691E-3</v>
      </c>
      <c r="E81" s="9">
        <f t="shared" si="11"/>
        <v>8020.5434878065789</v>
      </c>
      <c r="F81" s="13">
        <f t="shared" si="12"/>
        <v>0.17013460697552518</v>
      </c>
      <c r="H81" t="s">
        <v>13311</v>
      </c>
      <c r="I81" t="s">
        <v>5995</v>
      </c>
      <c r="J81" s="10">
        <v>225084.79999999999</v>
      </c>
      <c r="K81" s="13">
        <f t="shared" si="13"/>
        <v>2.3702382442899701E-2</v>
      </c>
      <c r="L81" s="4">
        <f t="shared" si="14"/>
        <v>87075.349399500046</v>
      </c>
      <c r="M81" s="13">
        <f t="shared" si="15"/>
        <v>0.38685575125241711</v>
      </c>
      <c r="O81" t="s">
        <v>13311</v>
      </c>
      <c r="P81" t="s">
        <v>8191</v>
      </c>
      <c r="Q81" s="10">
        <v>7309.92</v>
      </c>
      <c r="R81" s="13">
        <f t="shared" si="16"/>
        <v>8.0168014432041243E-4</v>
      </c>
      <c r="S81" s="4">
        <f t="shared" si="17"/>
        <v>2358.5587721515585</v>
      </c>
      <c r="T81" s="13">
        <f t="shared" si="18"/>
        <v>0.32265178991720272</v>
      </c>
    </row>
    <row r="82" spans="1:20">
      <c r="A82" t="s">
        <v>13311</v>
      </c>
      <c r="B82" t="s">
        <v>4056</v>
      </c>
      <c r="C82" s="10">
        <v>23908</v>
      </c>
      <c r="D82" s="14">
        <f t="shared" si="10"/>
        <v>1.9747882448887754E-3</v>
      </c>
      <c r="E82" s="9">
        <f t="shared" si="11"/>
        <v>4067.5781835708563</v>
      </c>
      <c r="F82" s="13">
        <f t="shared" si="12"/>
        <v>0.17013460697552518</v>
      </c>
      <c r="H82" t="s">
        <v>13311</v>
      </c>
      <c r="I82" t="s">
        <v>6004</v>
      </c>
      <c r="J82" s="10">
        <v>45162.48</v>
      </c>
      <c r="K82" s="13">
        <f t="shared" si="13"/>
        <v>4.7558003607076488E-3</v>
      </c>
      <c r="L82" s="4">
        <f t="shared" si="14"/>
        <v>17471.365128822265</v>
      </c>
      <c r="M82" s="13">
        <f t="shared" si="15"/>
        <v>0.38685575125241711</v>
      </c>
      <c r="O82" t="s">
        <v>13311</v>
      </c>
      <c r="P82" t="s">
        <v>8194</v>
      </c>
      <c r="Q82" s="10">
        <v>90591.66</v>
      </c>
      <c r="R82" s="13">
        <f t="shared" si="16"/>
        <v>9.9352024458579206E-3</v>
      </c>
      <c r="S82" s="4">
        <f t="shared" si="17"/>
        <v>29229.561250570656</v>
      </c>
      <c r="T82" s="13">
        <f t="shared" si="18"/>
        <v>0.32265178991720267</v>
      </c>
    </row>
    <row r="83" spans="1:20">
      <c r="A83" t="s">
        <v>13311</v>
      </c>
      <c r="B83" t="s">
        <v>7082</v>
      </c>
      <c r="C83" s="10">
        <v>69390.03</v>
      </c>
      <c r="D83" s="14">
        <f t="shared" si="10"/>
        <v>5.7315800383335898E-3</v>
      </c>
      <c r="E83" s="9">
        <f t="shared" si="11"/>
        <v>11805.645482069902</v>
      </c>
      <c r="F83" s="13">
        <f t="shared" si="12"/>
        <v>0.17013460697552518</v>
      </c>
      <c r="H83" t="s">
        <v>13311</v>
      </c>
      <c r="I83" t="s">
        <v>6001</v>
      </c>
      <c r="J83" s="10">
        <v>41198.230000000003</v>
      </c>
      <c r="K83" s="13">
        <f t="shared" si="13"/>
        <v>4.3383480511813496E-3</v>
      </c>
      <c r="L83" s="4">
        <f t="shared" si="14"/>
        <v>15937.772216919868</v>
      </c>
      <c r="M83" s="13">
        <f t="shared" si="15"/>
        <v>0.38685575125241706</v>
      </c>
      <c r="O83" t="s">
        <v>13311</v>
      </c>
      <c r="P83" t="s">
        <v>8200</v>
      </c>
      <c r="Q83" s="10">
        <v>11168.88</v>
      </c>
      <c r="R83" s="13">
        <f t="shared" si="16"/>
        <v>1.2248929304694671E-3</v>
      </c>
      <c r="S83" s="4">
        <f t="shared" si="17"/>
        <v>3603.6591233704467</v>
      </c>
      <c r="T83" s="13">
        <f t="shared" si="18"/>
        <v>0.32265178991720272</v>
      </c>
    </row>
    <row r="84" spans="1:20">
      <c r="A84" t="s">
        <v>13311</v>
      </c>
      <c r="B84" t="s">
        <v>4066</v>
      </c>
      <c r="C84" s="10">
        <v>9722.73</v>
      </c>
      <c r="D84" s="14">
        <f t="shared" si="10"/>
        <v>8.0309239217949823E-4</v>
      </c>
      <c r="E84" s="9">
        <f t="shared" si="11"/>
        <v>1654.1728472791481</v>
      </c>
      <c r="F84" s="13">
        <f t="shared" si="12"/>
        <v>0.17013460697552521</v>
      </c>
      <c r="H84" t="s">
        <v>13311</v>
      </c>
      <c r="I84" t="s">
        <v>6877</v>
      </c>
      <c r="J84" s="10">
        <v>5774.59</v>
      </c>
      <c r="K84" s="13">
        <f t="shared" si="13"/>
        <v>6.0808877645644754E-4</v>
      </c>
      <c r="L84" s="4">
        <f t="shared" si="14"/>
        <v>2233.9333526246955</v>
      </c>
      <c r="M84" s="13">
        <f t="shared" si="15"/>
        <v>0.38685575125241711</v>
      </c>
      <c r="O84" t="s">
        <v>13311</v>
      </c>
      <c r="P84" t="s">
        <v>13113</v>
      </c>
      <c r="Q84" s="10">
        <v>1290</v>
      </c>
      <c r="R84" s="13">
        <f t="shared" si="16"/>
        <v>1.4147451492948379E-4</v>
      </c>
      <c r="S84" s="4">
        <f t="shared" si="17"/>
        <v>416.22080899319155</v>
      </c>
      <c r="T84" s="13">
        <f t="shared" si="18"/>
        <v>0.32265178991720278</v>
      </c>
    </row>
    <row r="85" spans="1:20">
      <c r="A85" t="s">
        <v>13311</v>
      </c>
      <c r="B85" t="s">
        <v>4073</v>
      </c>
      <c r="C85" s="10">
        <v>56564.61</v>
      </c>
      <c r="D85" s="14">
        <f t="shared" si="10"/>
        <v>4.6722070815090376E-3</v>
      </c>
      <c r="E85" s="9">
        <f t="shared" si="11"/>
        <v>9623.5976910738609</v>
      </c>
      <c r="F85" s="13">
        <f t="shared" si="12"/>
        <v>0.17013460697552518</v>
      </c>
      <c r="H85" t="s">
        <v>13311</v>
      </c>
      <c r="I85" t="s">
        <v>5186</v>
      </c>
      <c r="J85" s="10">
        <v>21515.47</v>
      </c>
      <c r="K85" s="13">
        <f t="shared" si="13"/>
        <v>2.265670086912734E-3</v>
      </c>
      <c r="L85" s="4">
        <f t="shared" si="14"/>
        <v>8323.3833103988436</v>
      </c>
      <c r="M85" s="13">
        <f t="shared" si="15"/>
        <v>0.38685575125241711</v>
      </c>
      <c r="O85" t="s">
        <v>13311</v>
      </c>
      <c r="P85" t="s">
        <v>8249</v>
      </c>
      <c r="Q85" s="10">
        <v>8680.08</v>
      </c>
      <c r="R85" s="13">
        <f t="shared" si="16"/>
        <v>9.5194581980551432E-4</v>
      </c>
      <c r="S85" s="4">
        <f t="shared" si="17"/>
        <v>2800.6433486245128</v>
      </c>
      <c r="T85" s="13">
        <f t="shared" si="18"/>
        <v>0.32265178991720272</v>
      </c>
    </row>
    <row r="86" spans="1:20">
      <c r="A86" t="s">
        <v>13311</v>
      </c>
      <c r="B86" t="s">
        <v>7079</v>
      </c>
      <c r="C86" s="10">
        <v>15554.62</v>
      </c>
      <c r="D86" s="14">
        <f t="shared" si="10"/>
        <v>1.2848034436051467E-3</v>
      </c>
      <c r="E86" s="9">
        <f t="shared" si="11"/>
        <v>2646.3791603536438</v>
      </c>
      <c r="F86" s="13">
        <f t="shared" si="12"/>
        <v>0.17013460697552518</v>
      </c>
      <c r="H86" t="s">
        <v>13311</v>
      </c>
      <c r="I86" t="s">
        <v>6895</v>
      </c>
      <c r="J86" s="10">
        <v>62878.11</v>
      </c>
      <c r="K86" s="13">
        <f t="shared" si="13"/>
        <v>6.6213312072015357E-3</v>
      </c>
      <c r="L86" s="4">
        <f t="shared" si="14"/>
        <v>24324.758481382119</v>
      </c>
      <c r="M86" s="13">
        <f t="shared" si="15"/>
        <v>0.38685575125241711</v>
      </c>
      <c r="O86" t="s">
        <v>13311</v>
      </c>
      <c r="P86" t="s">
        <v>8255</v>
      </c>
      <c r="Q86" s="10">
        <v>53905.34</v>
      </c>
      <c r="R86" s="13">
        <f t="shared" si="16"/>
        <v>5.9118076190766656E-3</v>
      </c>
      <c r="S86" s="4">
        <f t="shared" si="17"/>
        <v>17392.654437095385</v>
      </c>
      <c r="T86" s="13">
        <f t="shared" si="18"/>
        <v>0.32265178991720278</v>
      </c>
    </row>
    <row r="87" spans="1:20">
      <c r="A87" t="s">
        <v>13311</v>
      </c>
      <c r="B87" t="s">
        <v>4079</v>
      </c>
      <c r="C87" s="10">
        <v>12983.66</v>
      </c>
      <c r="D87" s="14">
        <f t="shared" si="10"/>
        <v>1.0724434977259745E-3</v>
      </c>
      <c r="E87" s="9">
        <f t="shared" si="11"/>
        <v>2208.9698912038475</v>
      </c>
      <c r="F87" s="13">
        <f t="shared" si="12"/>
        <v>0.17013460697552521</v>
      </c>
      <c r="H87" t="s">
        <v>13311</v>
      </c>
      <c r="I87" t="s">
        <v>5558</v>
      </c>
      <c r="J87" s="10">
        <v>55538.39</v>
      </c>
      <c r="K87" s="13">
        <f t="shared" si="13"/>
        <v>5.8484276150273873E-3</v>
      </c>
      <c r="L87" s="4">
        <f t="shared" si="14"/>
        <v>21485.345586799729</v>
      </c>
      <c r="M87" s="13">
        <f t="shared" si="15"/>
        <v>0.38685575125241711</v>
      </c>
      <c r="O87" t="s">
        <v>13311</v>
      </c>
      <c r="P87" t="s">
        <v>18189</v>
      </c>
      <c r="Q87" s="10">
        <v>29272.12</v>
      </c>
      <c r="R87" s="13">
        <f t="shared" si="16"/>
        <v>3.2102782774865429E-3</v>
      </c>
      <c r="S87" s="4">
        <f t="shared" si="17"/>
        <v>9444.7019126711475</v>
      </c>
      <c r="T87" s="13">
        <f t="shared" si="18"/>
        <v>0.32265178991720272</v>
      </c>
    </row>
    <row r="88" spans="1:20">
      <c r="A88" t="s">
        <v>13311</v>
      </c>
      <c r="B88" t="s">
        <v>4082</v>
      </c>
      <c r="C88" s="10">
        <v>24018.28</v>
      </c>
      <c r="D88" s="14">
        <f t="shared" si="10"/>
        <v>1.9838973149760406E-3</v>
      </c>
      <c r="E88" s="9">
        <f t="shared" si="11"/>
        <v>4086.3406280281174</v>
      </c>
      <c r="F88" s="13">
        <f t="shared" si="12"/>
        <v>0.17013460697552521</v>
      </c>
      <c r="H88" t="s">
        <v>13311</v>
      </c>
      <c r="I88" t="s">
        <v>5642</v>
      </c>
      <c r="J88" s="10">
        <v>50440.37</v>
      </c>
      <c r="K88" s="13">
        <f t="shared" si="13"/>
        <v>5.3115845241498531E-3</v>
      </c>
      <c r="L88" s="4">
        <f t="shared" si="14"/>
        <v>19513.147229799881</v>
      </c>
      <c r="M88" s="13">
        <f t="shared" si="15"/>
        <v>0.38685575125241706</v>
      </c>
      <c r="O88" t="s">
        <v>13311</v>
      </c>
      <c r="P88" t="s">
        <v>8279</v>
      </c>
      <c r="Q88" s="10">
        <v>10980.86</v>
      </c>
      <c r="R88" s="13">
        <f t="shared" si="16"/>
        <v>1.2042727457430786E-3</v>
      </c>
      <c r="S88" s="4">
        <f t="shared" si="17"/>
        <v>3542.9941338302151</v>
      </c>
      <c r="T88" s="13">
        <f t="shared" si="18"/>
        <v>0.32265178991720272</v>
      </c>
    </row>
    <row r="89" spans="1:20">
      <c r="A89" t="s">
        <v>13311</v>
      </c>
      <c r="B89" t="s">
        <v>4085</v>
      </c>
      <c r="C89" s="10">
        <v>48982.73</v>
      </c>
      <c r="D89" s="14">
        <f t="shared" si="10"/>
        <v>4.0459477750778303E-3</v>
      </c>
      <c r="E89" s="9">
        <f t="shared" si="11"/>
        <v>8333.6575171382665</v>
      </c>
      <c r="F89" s="13">
        <f t="shared" si="12"/>
        <v>0.17013460697552518</v>
      </c>
      <c r="H89" t="s">
        <v>13311</v>
      </c>
      <c r="I89" t="s">
        <v>6910</v>
      </c>
      <c r="J89" s="10">
        <v>13422.02</v>
      </c>
      <c r="K89" s="13">
        <f t="shared" si="13"/>
        <v>1.4133955344663375E-3</v>
      </c>
      <c r="L89" s="4">
        <f t="shared" si="14"/>
        <v>5192.3856304249675</v>
      </c>
      <c r="M89" s="13">
        <f t="shared" si="15"/>
        <v>0.38685575125241711</v>
      </c>
      <c r="O89" t="s">
        <v>13311</v>
      </c>
      <c r="P89" t="s">
        <v>12646</v>
      </c>
      <c r="Q89" s="10">
        <v>72536.27</v>
      </c>
      <c r="R89" s="13">
        <f t="shared" si="16"/>
        <v>7.9550648163132301E-3</v>
      </c>
      <c r="S89" s="4">
        <f t="shared" si="17"/>
        <v>23403.957349417495</v>
      </c>
      <c r="T89" s="13">
        <f t="shared" si="18"/>
        <v>0.32265178991720272</v>
      </c>
    </row>
    <row r="90" spans="1:20">
      <c r="A90" t="s">
        <v>13311</v>
      </c>
      <c r="B90" t="s">
        <v>4090</v>
      </c>
      <c r="C90" s="10">
        <v>31801.200000000001</v>
      </c>
      <c r="D90" s="14">
        <f t="shared" si="10"/>
        <v>2.6267624198325636E-3</v>
      </c>
      <c r="E90" s="9">
        <f t="shared" si="11"/>
        <v>5410.484663350072</v>
      </c>
      <c r="F90" s="13">
        <f t="shared" si="12"/>
        <v>0.17013460697552518</v>
      </c>
      <c r="H90" t="s">
        <v>13311</v>
      </c>
      <c r="I90" t="s">
        <v>6913</v>
      </c>
      <c r="J90" s="10">
        <v>41898.639999999999</v>
      </c>
      <c r="K90" s="13">
        <f t="shared" si="13"/>
        <v>4.4121041896981721E-3</v>
      </c>
      <c r="L90" s="4">
        <f t="shared" si="14"/>
        <v>16208.729853654573</v>
      </c>
      <c r="M90" s="13">
        <f t="shared" si="15"/>
        <v>0.38685575125241711</v>
      </c>
      <c r="O90" t="s">
        <v>13311</v>
      </c>
      <c r="P90" t="s">
        <v>8295</v>
      </c>
      <c r="Q90" s="10">
        <v>55794.73</v>
      </c>
      <c r="R90" s="13">
        <f t="shared" si="16"/>
        <v>6.1190173351717185E-3</v>
      </c>
      <c r="S90" s="4">
        <f t="shared" si="17"/>
        <v>18002.269502447049</v>
      </c>
      <c r="T90" s="13">
        <f t="shared" si="18"/>
        <v>0.32265178991720272</v>
      </c>
    </row>
    <row r="91" spans="1:20">
      <c r="A91" t="s">
        <v>13311</v>
      </c>
      <c r="B91" t="s">
        <v>5249</v>
      </c>
      <c r="C91" s="10">
        <v>32849.24</v>
      </c>
      <c r="D91" s="14">
        <f t="shared" si="10"/>
        <v>2.7133299734620276E-3</v>
      </c>
      <c r="E91" s="9">
        <f t="shared" si="11"/>
        <v>5588.7925368447004</v>
      </c>
      <c r="F91" s="13">
        <f t="shared" si="12"/>
        <v>0.17013460697552518</v>
      </c>
      <c r="H91" t="s">
        <v>13311</v>
      </c>
      <c r="I91" t="s">
        <v>6916</v>
      </c>
      <c r="J91" s="10">
        <v>34453.94</v>
      </c>
      <c r="K91" s="13">
        <f t="shared" si="13"/>
        <v>3.6281457590415693E-3</v>
      </c>
      <c r="L91" s="4">
        <f t="shared" si="14"/>
        <v>13328.704842305704</v>
      </c>
      <c r="M91" s="13">
        <f t="shared" si="15"/>
        <v>0.38685575125241711</v>
      </c>
      <c r="O91" t="s">
        <v>13311</v>
      </c>
      <c r="P91" t="s">
        <v>8304</v>
      </c>
      <c r="Q91" s="10">
        <v>11046.36</v>
      </c>
      <c r="R91" s="13">
        <f t="shared" si="16"/>
        <v>1.2114561416561647E-3</v>
      </c>
      <c r="S91" s="4">
        <f t="shared" si="17"/>
        <v>3564.1278260697918</v>
      </c>
      <c r="T91" s="13">
        <f t="shared" si="18"/>
        <v>0.32265178991720272</v>
      </c>
    </row>
    <row r="92" spans="1:20">
      <c r="A92" t="s">
        <v>13311</v>
      </c>
      <c r="B92" t="s">
        <v>7085</v>
      </c>
      <c r="C92" s="10">
        <v>9554.68</v>
      </c>
      <c r="D92" s="14">
        <f t="shared" si="10"/>
        <v>7.8921155042972584E-4</v>
      </c>
      <c r="E92" s="9">
        <f t="shared" si="11"/>
        <v>1625.581726576911</v>
      </c>
      <c r="F92" s="13">
        <f t="shared" si="12"/>
        <v>0.17013460697552518</v>
      </c>
      <c r="H92" t="s">
        <v>13311</v>
      </c>
      <c r="I92" t="s">
        <v>6919</v>
      </c>
      <c r="J92" s="10">
        <v>60452.02</v>
      </c>
      <c r="K92" s="13">
        <f t="shared" si="13"/>
        <v>6.3658536582026932E-3</v>
      </c>
      <c r="L92" s="4">
        <f t="shared" si="14"/>
        <v>23386.211611826144</v>
      </c>
      <c r="M92" s="13">
        <f t="shared" si="15"/>
        <v>0.38685575125241711</v>
      </c>
      <c r="O92" t="s">
        <v>13311</v>
      </c>
      <c r="P92" t="s">
        <v>8307</v>
      </c>
      <c r="Q92" s="10">
        <v>2133.73</v>
      </c>
      <c r="R92" s="13">
        <f t="shared" si="16"/>
        <v>2.34006524605029E-4</v>
      </c>
      <c r="S92" s="4">
        <f t="shared" si="17"/>
        <v>688.451803700033</v>
      </c>
      <c r="T92" s="13">
        <f t="shared" si="18"/>
        <v>0.32265178991720272</v>
      </c>
    </row>
    <row r="93" spans="1:20">
      <c r="A93" t="s">
        <v>13311</v>
      </c>
      <c r="B93" t="s">
        <v>5255</v>
      </c>
      <c r="C93" s="10">
        <v>100656.04</v>
      </c>
      <c r="D93" s="14">
        <f t="shared" si="10"/>
        <v>8.3141360452172654E-3</v>
      </c>
      <c r="E93" s="9">
        <f t="shared" si="11"/>
        <v>17125.075805112741</v>
      </c>
      <c r="F93" s="13">
        <f t="shared" si="12"/>
        <v>0.17013460697552518</v>
      </c>
      <c r="H93" t="s">
        <v>13311</v>
      </c>
      <c r="I93" t="s">
        <v>5647</v>
      </c>
      <c r="J93" s="10">
        <v>61579.509999999995</v>
      </c>
      <c r="K93" s="13">
        <f t="shared" si="13"/>
        <v>6.4845831289645798E-3</v>
      </c>
      <c r="L93" s="4">
        <f t="shared" si="14"/>
        <v>23822.387602805731</v>
      </c>
      <c r="M93" s="13">
        <f t="shared" si="15"/>
        <v>0.38685575125241711</v>
      </c>
      <c r="O93" t="s">
        <v>13311</v>
      </c>
      <c r="P93" t="s">
        <v>8313</v>
      </c>
      <c r="Q93" s="10">
        <v>1614.73</v>
      </c>
      <c r="R93" s="13">
        <f t="shared" si="16"/>
        <v>1.770877081333995E-4</v>
      </c>
      <c r="S93" s="4">
        <f t="shared" si="17"/>
        <v>520.9955247330048</v>
      </c>
      <c r="T93" s="13">
        <f t="shared" si="18"/>
        <v>0.32265178991720272</v>
      </c>
    </row>
    <row r="94" spans="1:20">
      <c r="A94" t="s">
        <v>13311</v>
      </c>
      <c r="B94" t="s">
        <v>5258</v>
      </c>
      <c r="C94" s="10">
        <v>27116.71</v>
      </c>
      <c r="D94" s="14">
        <f t="shared" si="10"/>
        <v>2.2398260058582027E-3</v>
      </c>
      <c r="E94" s="9">
        <f t="shared" si="11"/>
        <v>4613.4907983192943</v>
      </c>
      <c r="F94" s="13">
        <f t="shared" si="12"/>
        <v>0.17013460697552521</v>
      </c>
      <c r="H94" t="s">
        <v>13311</v>
      </c>
      <c r="I94" t="s">
        <v>6928</v>
      </c>
      <c r="J94" s="10">
        <v>6764.48</v>
      </c>
      <c r="K94" s="13">
        <f t="shared" si="13"/>
        <v>7.1232838462368926E-4</v>
      </c>
      <c r="L94" s="4">
        <f t="shared" si="14"/>
        <v>2616.8779922319504</v>
      </c>
      <c r="M94" s="13">
        <f t="shared" si="15"/>
        <v>0.38685575125241711</v>
      </c>
      <c r="O94" t="s">
        <v>13311</v>
      </c>
      <c r="P94" t="s">
        <v>8316</v>
      </c>
      <c r="Q94" s="10">
        <v>93405.53</v>
      </c>
      <c r="R94" s="13">
        <f t="shared" si="16"/>
        <v>1.0243800037582438E-2</v>
      </c>
      <c r="S94" s="4">
        <f t="shared" si="17"/>
        <v>30137.461442664979</v>
      </c>
      <c r="T94" s="13">
        <f t="shared" si="18"/>
        <v>0.32265178991720272</v>
      </c>
    </row>
    <row r="95" spans="1:20">
      <c r="A95" t="s">
        <v>13311</v>
      </c>
      <c r="B95" t="s">
        <v>5261</v>
      </c>
      <c r="C95" s="10">
        <v>46555.839999999997</v>
      </c>
      <c r="D95" s="14">
        <f t="shared" si="10"/>
        <v>3.8454879355413517E-3</v>
      </c>
      <c r="E95" s="9">
        <f t="shared" si="11"/>
        <v>7920.7595408154339</v>
      </c>
      <c r="F95" s="13">
        <f t="shared" si="12"/>
        <v>0.17013460697552518</v>
      </c>
      <c r="H95" t="s">
        <v>13311</v>
      </c>
      <c r="I95" t="s">
        <v>6931</v>
      </c>
      <c r="J95" s="10">
        <v>20102.54</v>
      </c>
      <c r="K95" s="13">
        <f t="shared" si="13"/>
        <v>2.1168825756056786E-3</v>
      </c>
      <c r="L95" s="4">
        <f t="shared" si="14"/>
        <v>7776.7832137817659</v>
      </c>
      <c r="M95" s="13">
        <f t="shared" si="15"/>
        <v>0.38685575125241711</v>
      </c>
      <c r="O95" t="s">
        <v>13311</v>
      </c>
      <c r="P95" t="s">
        <v>8319</v>
      </c>
      <c r="Q95" s="10">
        <v>32178.42</v>
      </c>
      <c r="R95" s="13">
        <f t="shared" si="16"/>
        <v>3.5290126827110069E-3</v>
      </c>
      <c r="S95" s="4">
        <f t="shared" si="17"/>
        <v>10382.424809707514</v>
      </c>
      <c r="T95" s="13">
        <f t="shared" si="18"/>
        <v>0.32265178991720272</v>
      </c>
    </row>
    <row r="96" spans="1:20">
      <c r="A96" t="s">
        <v>13311</v>
      </c>
      <c r="B96" t="s">
        <v>5264</v>
      </c>
      <c r="C96" s="10">
        <v>32426.48</v>
      </c>
      <c r="D96" s="14">
        <f t="shared" si="10"/>
        <v>2.6784102194713478E-3</v>
      </c>
      <c r="E96" s="9">
        <f t="shared" si="11"/>
        <v>5516.8664303997284</v>
      </c>
      <c r="F96" s="13">
        <f t="shared" si="12"/>
        <v>0.17013460697552521</v>
      </c>
      <c r="H96" t="s">
        <v>13311</v>
      </c>
      <c r="I96" t="s">
        <v>5672</v>
      </c>
      <c r="J96" s="10">
        <v>39592.51</v>
      </c>
      <c r="K96" s="13">
        <f t="shared" si="13"/>
        <v>4.1692589366066962E-3</v>
      </c>
      <c r="L96" s="4">
        <f t="shared" si="14"/>
        <v>15316.590200018836</v>
      </c>
      <c r="M96" s="13">
        <f t="shared" si="15"/>
        <v>0.38685575125241706</v>
      </c>
      <c r="O96" t="s">
        <v>13311</v>
      </c>
      <c r="P96" t="s">
        <v>8322</v>
      </c>
      <c r="Q96" s="10">
        <v>32502.43</v>
      </c>
      <c r="R96" s="13">
        <f t="shared" si="16"/>
        <v>3.5645469133949621E-3</v>
      </c>
      <c r="S96" s="4">
        <f t="shared" si="17"/>
        <v>10486.967216158588</v>
      </c>
      <c r="T96" s="13">
        <f t="shared" si="18"/>
        <v>0.32265178991720272</v>
      </c>
    </row>
    <row r="97" spans="1:20">
      <c r="A97" t="s">
        <v>13311</v>
      </c>
      <c r="B97" t="s">
        <v>5267</v>
      </c>
      <c r="C97" s="10">
        <v>49297.2</v>
      </c>
      <c r="D97" s="14">
        <f t="shared" si="10"/>
        <v>4.0719228319362113E-3</v>
      </c>
      <c r="E97" s="9">
        <f t="shared" si="11"/>
        <v>8387.1597469938606</v>
      </c>
      <c r="F97" s="13">
        <f t="shared" si="12"/>
        <v>0.17013460697552521</v>
      </c>
      <c r="H97" t="s">
        <v>13311</v>
      </c>
      <c r="I97" t="s">
        <v>5715</v>
      </c>
      <c r="J97" s="10">
        <v>26534.82</v>
      </c>
      <c r="K97" s="13">
        <f t="shared" si="13"/>
        <v>2.7942288937036347E-3</v>
      </c>
      <c r="L97" s="4">
        <f t="shared" si="14"/>
        <v>10265.147725447663</v>
      </c>
      <c r="M97" s="13">
        <f t="shared" si="15"/>
        <v>0.38685575125241711</v>
      </c>
      <c r="O97" t="s">
        <v>13311</v>
      </c>
      <c r="P97" t="s">
        <v>12691</v>
      </c>
      <c r="Q97" s="10">
        <v>4545.79</v>
      </c>
      <c r="R97" s="13">
        <f t="shared" si="16"/>
        <v>4.9853754668317677E-4</v>
      </c>
      <c r="S97" s="4">
        <f t="shared" si="17"/>
        <v>1466.7072800877208</v>
      </c>
      <c r="T97" s="13">
        <f t="shared" si="18"/>
        <v>0.32265178991720272</v>
      </c>
    </row>
    <row r="98" spans="1:20">
      <c r="A98" t="s">
        <v>13311</v>
      </c>
      <c r="B98" t="s">
        <v>5276</v>
      </c>
      <c r="C98" s="10">
        <v>22820.7</v>
      </c>
      <c r="D98" s="14">
        <f t="shared" si="10"/>
        <v>1.8849778358764129E-3</v>
      </c>
      <c r="E98" s="9">
        <f t="shared" si="11"/>
        <v>3882.5908254063679</v>
      </c>
      <c r="F98" s="13">
        <f t="shared" si="12"/>
        <v>0.17013460697552518</v>
      </c>
      <c r="H98" t="s">
        <v>13311</v>
      </c>
      <c r="I98" t="s">
        <v>5723</v>
      </c>
      <c r="J98" s="10">
        <v>13297.04</v>
      </c>
      <c r="K98" s="13">
        <f t="shared" si="13"/>
        <v>1.4002346113044287E-3</v>
      </c>
      <c r="L98" s="4">
        <f t="shared" si="14"/>
        <v>5144.0363986334405</v>
      </c>
      <c r="M98" s="13">
        <f t="shared" si="15"/>
        <v>0.38685575125241711</v>
      </c>
      <c r="O98" t="s">
        <v>13311</v>
      </c>
      <c r="P98" t="s">
        <v>8330</v>
      </c>
      <c r="Q98" s="10">
        <v>29499.84</v>
      </c>
      <c r="R98" s="13">
        <f t="shared" si="16"/>
        <v>3.2352523678274283E-3</v>
      </c>
      <c r="S98" s="4">
        <f t="shared" si="17"/>
        <v>9518.1761782710928</v>
      </c>
      <c r="T98" s="13">
        <f t="shared" si="18"/>
        <v>0.32265178991720267</v>
      </c>
    </row>
    <row r="99" spans="1:20">
      <c r="A99" t="s">
        <v>13311</v>
      </c>
      <c r="B99" t="s">
        <v>5279</v>
      </c>
      <c r="C99" s="10">
        <v>74433.42</v>
      </c>
      <c r="D99" s="14">
        <f t="shared" si="10"/>
        <v>6.148161403834243E-3</v>
      </c>
      <c r="E99" s="9">
        <f t="shared" si="11"/>
        <v>12663.700657544197</v>
      </c>
      <c r="F99" s="13">
        <f t="shared" si="12"/>
        <v>0.17013460697552521</v>
      </c>
      <c r="H99" t="s">
        <v>13311</v>
      </c>
      <c r="I99" t="s">
        <v>5729</v>
      </c>
      <c r="J99" s="10">
        <v>27317.96</v>
      </c>
      <c r="K99" s="13">
        <f t="shared" si="13"/>
        <v>2.8766968514970194E-3</v>
      </c>
      <c r="L99" s="4">
        <f t="shared" si="14"/>
        <v>10568.10993848348</v>
      </c>
      <c r="M99" s="13">
        <f t="shared" si="15"/>
        <v>0.38685575125241711</v>
      </c>
      <c r="O99" t="s">
        <v>13311</v>
      </c>
      <c r="P99" t="s">
        <v>8333</v>
      </c>
      <c r="Q99" s="10">
        <v>7059.28</v>
      </c>
      <c r="R99" s="13">
        <f t="shared" si="16"/>
        <v>7.7419241376078002E-4</v>
      </c>
      <c r="S99" s="4">
        <f t="shared" si="17"/>
        <v>2277.6893275267107</v>
      </c>
      <c r="T99" s="13">
        <f t="shared" si="18"/>
        <v>0.32265178991720272</v>
      </c>
    </row>
    <row r="100" spans="1:20">
      <c r="A100" t="s">
        <v>13311</v>
      </c>
      <c r="B100" t="s">
        <v>5148</v>
      </c>
      <c r="C100" s="10">
        <v>10165.030000000001</v>
      </c>
      <c r="D100" s="14">
        <f t="shared" si="10"/>
        <v>8.3962613990889035E-4</v>
      </c>
      <c r="E100" s="9">
        <f t="shared" si="11"/>
        <v>1729.423383944423</v>
      </c>
      <c r="F100" s="13">
        <f t="shared" si="12"/>
        <v>0.17013460697552518</v>
      </c>
      <c r="H100" t="s">
        <v>13311</v>
      </c>
      <c r="I100" t="s">
        <v>5732</v>
      </c>
      <c r="J100" s="10">
        <v>23395.97</v>
      </c>
      <c r="K100" s="13">
        <f t="shared" si="13"/>
        <v>2.4636946988984072E-3</v>
      </c>
      <c r="L100" s="4">
        <f t="shared" si="14"/>
        <v>9050.8655506290143</v>
      </c>
      <c r="M100" s="13">
        <f t="shared" si="15"/>
        <v>0.38685575125241711</v>
      </c>
      <c r="O100" t="s">
        <v>13311</v>
      </c>
      <c r="P100" t="s">
        <v>8336</v>
      </c>
      <c r="Q100" s="10">
        <v>7117.2900000000009</v>
      </c>
      <c r="R100" s="13">
        <f t="shared" si="16"/>
        <v>7.8055438012594237E-4</v>
      </c>
      <c r="S100" s="4">
        <f t="shared" si="17"/>
        <v>2296.4063578598079</v>
      </c>
      <c r="T100" s="13">
        <f t="shared" si="18"/>
        <v>0.32265178991720272</v>
      </c>
    </row>
    <row r="101" spans="1:20">
      <c r="A101" t="s">
        <v>13311</v>
      </c>
      <c r="B101" t="s">
        <v>5159</v>
      </c>
      <c r="C101" s="10">
        <v>60894.66</v>
      </c>
      <c r="D101" s="14">
        <f t="shared" si="10"/>
        <v>5.0298669376149709E-3</v>
      </c>
      <c r="E101" s="9">
        <f t="shared" si="11"/>
        <v>10360.289046008234</v>
      </c>
      <c r="F101" s="13">
        <f t="shared" si="12"/>
        <v>0.17013460697552518</v>
      </c>
      <c r="H101" t="s">
        <v>13311</v>
      </c>
      <c r="I101" t="s">
        <v>5735</v>
      </c>
      <c r="J101" s="10">
        <v>91033.11</v>
      </c>
      <c r="K101" s="13">
        <f t="shared" si="13"/>
        <v>9.5861719147030695E-3</v>
      </c>
      <c r="L101" s="4">
        <f t="shared" si="14"/>
        <v>35216.682157893927</v>
      </c>
      <c r="M101" s="13">
        <f t="shared" si="15"/>
        <v>0.38685575125241711</v>
      </c>
      <c r="O101" t="s">
        <v>13311</v>
      </c>
      <c r="P101" t="s">
        <v>8339</v>
      </c>
      <c r="Q101" s="10">
        <v>78676.61</v>
      </c>
      <c r="R101" s="13">
        <f t="shared" si="16"/>
        <v>8.6284769271675749E-3</v>
      </c>
      <c r="S101" s="4">
        <f t="shared" si="17"/>
        <v>25385.149041117689</v>
      </c>
      <c r="T101" s="13">
        <f t="shared" si="18"/>
        <v>0.32265178991720272</v>
      </c>
    </row>
    <row r="102" spans="1:20">
      <c r="A102" t="s">
        <v>13311</v>
      </c>
      <c r="B102" t="s">
        <v>5291</v>
      </c>
      <c r="C102" s="10">
        <v>70249.350000000006</v>
      </c>
      <c r="D102" s="14">
        <f t="shared" si="10"/>
        <v>5.8025594190679822E-3</v>
      </c>
      <c r="E102" s="9">
        <f t="shared" si="11"/>
        <v>11951.845552536113</v>
      </c>
      <c r="F102" s="13">
        <f t="shared" si="12"/>
        <v>0.17013460697552521</v>
      </c>
      <c r="H102" t="s">
        <v>13311</v>
      </c>
      <c r="I102" t="s">
        <v>5748</v>
      </c>
      <c r="J102" s="10">
        <v>35645.49</v>
      </c>
      <c r="K102" s="13">
        <f t="shared" si="13"/>
        <v>3.7536210190317466E-3</v>
      </c>
      <c r="L102" s="4">
        <f t="shared" si="14"/>
        <v>13789.662812710521</v>
      </c>
      <c r="M102" s="13">
        <f t="shared" si="15"/>
        <v>0.38685575125241711</v>
      </c>
      <c r="O102" t="s">
        <v>13311</v>
      </c>
      <c r="P102" t="s">
        <v>12697</v>
      </c>
      <c r="Q102" s="10">
        <v>2714.9</v>
      </c>
      <c r="R102" s="13">
        <f t="shared" si="16"/>
        <v>2.9774353533492678E-4</v>
      </c>
      <c r="S102" s="4">
        <f t="shared" si="17"/>
        <v>875.96734444621381</v>
      </c>
      <c r="T102" s="13">
        <f t="shared" si="18"/>
        <v>0.32265178991720278</v>
      </c>
    </row>
    <row r="103" spans="1:20">
      <c r="A103" t="s">
        <v>13311</v>
      </c>
      <c r="B103" t="s">
        <v>5297</v>
      </c>
      <c r="C103" s="10">
        <v>29408.15</v>
      </c>
      <c r="D103" s="14">
        <f t="shared" si="10"/>
        <v>2.4290977465252568E-3</v>
      </c>
      <c r="E103" s="9">
        <f t="shared" si="11"/>
        <v>5003.3440421272908</v>
      </c>
      <c r="F103" s="13">
        <f t="shared" si="12"/>
        <v>0.17013460697552518</v>
      </c>
      <c r="H103" t="s">
        <v>13311</v>
      </c>
      <c r="I103" t="s">
        <v>5778</v>
      </c>
      <c r="J103" s="10">
        <v>18012.77</v>
      </c>
      <c r="K103" s="13">
        <f t="shared" si="13"/>
        <v>1.896820946576537E-3</v>
      </c>
      <c r="L103" s="4">
        <f t="shared" si="14"/>
        <v>6968.3436704870019</v>
      </c>
      <c r="M103" s="13">
        <f t="shared" si="15"/>
        <v>0.38685575125241711</v>
      </c>
      <c r="O103" t="s">
        <v>13311</v>
      </c>
      <c r="P103" t="s">
        <v>12704</v>
      </c>
      <c r="Q103" s="10">
        <v>3107.2</v>
      </c>
      <c r="R103" s="13">
        <f t="shared" si="16"/>
        <v>3.4076714169681548E-4</v>
      </c>
      <c r="S103" s="4">
        <f t="shared" si="17"/>
        <v>1002.5436416307323</v>
      </c>
      <c r="T103" s="13">
        <f t="shared" si="18"/>
        <v>0.32265178991720272</v>
      </c>
    </row>
    <row r="104" spans="1:20">
      <c r="A104" t="s">
        <v>13311</v>
      </c>
      <c r="B104" t="s">
        <v>7007</v>
      </c>
      <c r="C104" s="10">
        <v>22852.04</v>
      </c>
      <c r="D104" s="14">
        <f t="shared" si="10"/>
        <v>1.8875665034184413E-3</v>
      </c>
      <c r="E104" s="9">
        <f t="shared" si="11"/>
        <v>3887.9228439889807</v>
      </c>
      <c r="F104" s="13">
        <f t="shared" si="12"/>
        <v>0.17013460697552518</v>
      </c>
      <c r="H104" t="s">
        <v>13311</v>
      </c>
      <c r="I104" t="s">
        <v>6967</v>
      </c>
      <c r="J104" s="10">
        <v>17095.14</v>
      </c>
      <c r="K104" s="13">
        <f t="shared" si="13"/>
        <v>1.8001906223561628E-3</v>
      </c>
      <c r="L104" s="4">
        <f t="shared" si="14"/>
        <v>6613.3532274652462</v>
      </c>
      <c r="M104" s="13">
        <f t="shared" si="15"/>
        <v>0.38685575125241717</v>
      </c>
      <c r="O104" t="s">
        <v>13311</v>
      </c>
      <c r="P104" t="s">
        <v>12726</v>
      </c>
      <c r="Q104" s="10">
        <v>4307.6899999999996</v>
      </c>
      <c r="R104" s="13">
        <f t="shared" si="16"/>
        <v>4.7242508001285886E-4</v>
      </c>
      <c r="S104" s="4">
        <f t="shared" si="17"/>
        <v>1389.883888908435</v>
      </c>
      <c r="T104" s="13">
        <f t="shared" si="18"/>
        <v>0.32265178991720272</v>
      </c>
    </row>
    <row r="105" spans="1:20">
      <c r="A105" t="s">
        <v>13311</v>
      </c>
      <c r="B105" t="s">
        <v>5377</v>
      </c>
      <c r="C105" s="10">
        <v>28185.27</v>
      </c>
      <c r="D105" s="14">
        <f t="shared" si="10"/>
        <v>2.3280885007117389E-3</v>
      </c>
      <c r="E105" s="9">
        <f t="shared" si="11"/>
        <v>4795.2898339490603</v>
      </c>
      <c r="F105" s="13">
        <f t="shared" si="12"/>
        <v>0.17013460697552515</v>
      </c>
      <c r="H105" t="s">
        <v>13311</v>
      </c>
      <c r="I105" t="s">
        <v>6970</v>
      </c>
      <c r="J105" s="10">
        <v>52197.06</v>
      </c>
      <c r="K105" s="13">
        <f t="shared" si="13"/>
        <v>5.4965714189273655E-3</v>
      </c>
      <c r="L105" s="4">
        <f t="shared" si="14"/>
        <v>20192.732859467491</v>
      </c>
      <c r="M105" s="13">
        <f t="shared" si="15"/>
        <v>0.38685575125241711</v>
      </c>
      <c r="O105" t="s">
        <v>13311</v>
      </c>
      <c r="P105" t="s">
        <v>8359</v>
      </c>
      <c r="Q105" s="10">
        <v>24559.3</v>
      </c>
      <c r="R105" s="13">
        <f t="shared" si="16"/>
        <v>2.6934225228741632E-3</v>
      </c>
      <c r="S105" s="4">
        <f t="shared" si="17"/>
        <v>7924.1021041135564</v>
      </c>
      <c r="T105" s="13">
        <f t="shared" si="18"/>
        <v>0.32265178991720272</v>
      </c>
    </row>
    <row r="106" spans="1:20">
      <c r="A106" t="s">
        <v>13311</v>
      </c>
      <c r="B106" t="s">
        <v>5180</v>
      </c>
      <c r="C106" s="10">
        <v>26756</v>
      </c>
      <c r="D106" s="14">
        <f t="shared" si="10"/>
        <v>2.2100315492824189E-3</v>
      </c>
      <c r="E106" s="9">
        <f t="shared" si="11"/>
        <v>4552.1215442371513</v>
      </c>
      <c r="F106" s="13">
        <f t="shared" si="12"/>
        <v>0.17013460697552515</v>
      </c>
      <c r="H106" t="s">
        <v>13311</v>
      </c>
      <c r="I106" t="s">
        <v>6973</v>
      </c>
      <c r="J106" s="10">
        <v>13518.12</v>
      </c>
      <c r="K106" s="13">
        <f t="shared" si="13"/>
        <v>1.4235152713511145E-3</v>
      </c>
      <c r="L106" s="4">
        <f t="shared" si="14"/>
        <v>5229.5624681203253</v>
      </c>
      <c r="M106" s="13">
        <f t="shared" si="15"/>
        <v>0.38685575125241711</v>
      </c>
      <c r="O106" t="s">
        <v>13311</v>
      </c>
      <c r="P106" t="s">
        <v>12729</v>
      </c>
      <c r="Q106" s="10">
        <v>19006.18</v>
      </c>
      <c r="R106" s="13">
        <f t="shared" si="16"/>
        <v>2.0844109272577177E-3</v>
      </c>
      <c r="S106" s="4">
        <f t="shared" si="17"/>
        <v>6132.3779964885398</v>
      </c>
      <c r="T106" s="13">
        <f t="shared" si="18"/>
        <v>0.32265178991720272</v>
      </c>
    </row>
    <row r="107" spans="1:20">
      <c r="A107" t="s">
        <v>13311</v>
      </c>
      <c r="B107" t="s">
        <v>5153</v>
      </c>
      <c r="C107" s="10">
        <v>10337.77</v>
      </c>
      <c r="D107" s="14">
        <f t="shared" si="10"/>
        <v>8.5389437319574352E-4</v>
      </c>
      <c r="E107" s="9">
        <f t="shared" si="11"/>
        <v>1758.8124359533751</v>
      </c>
      <c r="F107" s="13">
        <f t="shared" si="12"/>
        <v>0.17013460697552518</v>
      </c>
      <c r="H107" t="s">
        <v>13311</v>
      </c>
      <c r="I107" t="s">
        <v>6976</v>
      </c>
      <c r="J107" s="10">
        <v>157025.59</v>
      </c>
      <c r="K107" s="13">
        <f t="shared" si="13"/>
        <v>1.653545946906218E-2</v>
      </c>
      <c r="L107" s="4">
        <f t="shared" si="14"/>
        <v>60746.252585304035</v>
      </c>
      <c r="M107" s="13">
        <f t="shared" si="15"/>
        <v>0.38685575125241711</v>
      </c>
      <c r="O107" t="s">
        <v>13311</v>
      </c>
      <c r="P107" t="s">
        <v>8364</v>
      </c>
      <c r="Q107" s="10">
        <v>3732.77</v>
      </c>
      <c r="R107" s="13">
        <f t="shared" si="16"/>
        <v>4.0937350782428619E-4</v>
      </c>
      <c r="S107" s="4">
        <f t="shared" si="17"/>
        <v>1204.3849218492369</v>
      </c>
      <c r="T107" s="13">
        <f t="shared" si="18"/>
        <v>0.32265178991720272</v>
      </c>
    </row>
    <row r="108" spans="1:20">
      <c r="A108" t="s">
        <v>13311</v>
      </c>
      <c r="B108" t="s">
        <v>5410</v>
      </c>
      <c r="C108" s="10">
        <v>37088.51</v>
      </c>
      <c r="D108" s="14">
        <f t="shared" si="10"/>
        <v>3.0634914492404133E-3</v>
      </c>
      <c r="E108" s="9">
        <f t="shared" si="11"/>
        <v>6310.039072157836</v>
      </c>
      <c r="F108" s="13">
        <f t="shared" si="12"/>
        <v>0.17013460697552518</v>
      </c>
      <c r="H108" t="s">
        <v>13311</v>
      </c>
      <c r="I108" t="s">
        <v>6982</v>
      </c>
      <c r="J108" s="10">
        <v>50034.78</v>
      </c>
      <c r="K108" s="13">
        <f t="shared" si="13"/>
        <v>5.2688741798928634E-3</v>
      </c>
      <c r="L108" s="4">
        <f t="shared" si="14"/>
        <v>19356.242405649413</v>
      </c>
      <c r="M108" s="13">
        <f t="shared" si="15"/>
        <v>0.38685575125241706</v>
      </c>
      <c r="O108" t="s">
        <v>13311</v>
      </c>
      <c r="P108" t="s">
        <v>8370</v>
      </c>
      <c r="Q108" s="10">
        <v>1365.6</v>
      </c>
      <c r="R108" s="13">
        <f t="shared" si="16"/>
        <v>1.4976557952535118E-4</v>
      </c>
      <c r="S108" s="4">
        <f t="shared" si="17"/>
        <v>440.61328431093199</v>
      </c>
      <c r="T108" s="13">
        <f t="shared" si="18"/>
        <v>0.32265178991720272</v>
      </c>
    </row>
    <row r="109" spans="1:20">
      <c r="A109" t="s">
        <v>13311</v>
      </c>
      <c r="B109" t="s">
        <v>5413</v>
      </c>
      <c r="C109" s="10">
        <v>121421.73</v>
      </c>
      <c r="D109" s="14">
        <f t="shared" si="10"/>
        <v>1.002937113426714E-2</v>
      </c>
      <c r="E109" s="9">
        <f t="shared" si="11"/>
        <v>20658.038311838336</v>
      </c>
      <c r="F109" s="13">
        <f t="shared" si="12"/>
        <v>0.17013460697552518</v>
      </c>
      <c r="H109" t="s">
        <v>13311</v>
      </c>
      <c r="I109" t="s">
        <v>6985</v>
      </c>
      <c r="J109" s="10">
        <v>223822.05</v>
      </c>
      <c r="K109" s="13">
        <f t="shared" si="13"/>
        <v>2.3569409521450667E-2</v>
      </c>
      <c r="L109" s="4">
        <f t="shared" si="14"/>
        <v>86586.847299606059</v>
      </c>
      <c r="M109" s="13">
        <f t="shared" si="15"/>
        <v>0.38685575125241711</v>
      </c>
      <c r="O109" t="s">
        <v>13311</v>
      </c>
      <c r="P109" t="s">
        <v>8373</v>
      </c>
      <c r="Q109" s="10">
        <v>40139.68</v>
      </c>
      <c r="R109" s="13">
        <f t="shared" si="16"/>
        <v>4.4021253933524815E-3</v>
      </c>
      <c r="S109" s="4">
        <f t="shared" si="17"/>
        <v>12951.139598703743</v>
      </c>
      <c r="T109" s="13">
        <f t="shared" si="18"/>
        <v>0.32265178991720272</v>
      </c>
    </row>
    <row r="110" spans="1:20">
      <c r="A110" t="s">
        <v>13311</v>
      </c>
      <c r="B110" t="s">
        <v>5429</v>
      </c>
      <c r="C110" s="10">
        <v>45608.81</v>
      </c>
      <c r="D110" s="14">
        <f t="shared" si="10"/>
        <v>3.7672637548672254E-3</v>
      </c>
      <c r="E110" s="9">
        <f t="shared" si="11"/>
        <v>7759.636963971403</v>
      </c>
      <c r="F110" s="13">
        <f t="shared" si="12"/>
        <v>0.17013460697552521</v>
      </c>
      <c r="H110" t="s">
        <v>13311</v>
      </c>
      <c r="I110" t="s">
        <v>6988</v>
      </c>
      <c r="J110" s="10">
        <v>91360.83</v>
      </c>
      <c r="K110" s="13">
        <f t="shared" si="13"/>
        <v>9.6206822182606042E-3</v>
      </c>
      <c r="L110" s="4">
        <f t="shared" si="14"/>
        <v>35343.462524694369</v>
      </c>
      <c r="M110" s="13">
        <f t="shared" si="15"/>
        <v>0.38685575125241711</v>
      </c>
      <c r="O110" t="s">
        <v>13311</v>
      </c>
      <c r="P110" t="s">
        <v>8376</v>
      </c>
      <c r="Q110" s="10">
        <v>20156.7</v>
      </c>
      <c r="R110" s="13">
        <f t="shared" si="16"/>
        <v>2.2105886473481593E-3</v>
      </c>
      <c r="S110" s="4">
        <f t="shared" si="17"/>
        <v>6503.5953338240797</v>
      </c>
      <c r="T110" s="13">
        <f t="shared" si="18"/>
        <v>0.32265178991720267</v>
      </c>
    </row>
    <row r="111" spans="1:20">
      <c r="A111" t="s">
        <v>13311</v>
      </c>
      <c r="B111" t="s">
        <v>5432</v>
      </c>
      <c r="C111" s="10">
        <v>35547.040000000001</v>
      </c>
      <c r="D111" s="14">
        <f t="shared" si="10"/>
        <v>2.936166836732102E-3</v>
      </c>
      <c r="E111" s="9">
        <f t="shared" si="11"/>
        <v>6047.7816795432727</v>
      </c>
      <c r="F111" s="13">
        <f t="shared" si="12"/>
        <v>0.17013460697552518</v>
      </c>
      <c r="H111" t="s">
        <v>13311</v>
      </c>
      <c r="I111" t="s">
        <v>6991</v>
      </c>
      <c r="J111" s="10">
        <v>20676.03</v>
      </c>
      <c r="K111" s="13">
        <f t="shared" si="13"/>
        <v>2.1772735007466854E-3</v>
      </c>
      <c r="L111" s="4">
        <f t="shared" si="14"/>
        <v>7998.6411185675133</v>
      </c>
      <c r="M111" s="13">
        <f t="shared" si="15"/>
        <v>0.38685575125241711</v>
      </c>
      <c r="O111" t="s">
        <v>13311</v>
      </c>
      <c r="P111" t="s">
        <v>8420</v>
      </c>
      <c r="Q111" s="10">
        <v>10568.56</v>
      </c>
      <c r="R111" s="13">
        <f t="shared" si="16"/>
        <v>1.1590557360489496E-3</v>
      </c>
      <c r="S111" s="4">
        <f t="shared" si="17"/>
        <v>3409.9648008473519</v>
      </c>
      <c r="T111" s="13">
        <f t="shared" si="18"/>
        <v>0.32265178991720272</v>
      </c>
    </row>
    <row r="112" spans="1:20">
      <c r="A112" t="s">
        <v>13311</v>
      </c>
      <c r="B112" t="s">
        <v>5435</v>
      </c>
      <c r="C112" s="10">
        <v>83345.59</v>
      </c>
      <c r="D112" s="14">
        <f t="shared" si="10"/>
        <v>6.8843019656733926E-3</v>
      </c>
      <c r="E112" s="9">
        <f t="shared" si="11"/>
        <v>14179.969197793262</v>
      </c>
      <c r="F112" s="13">
        <f t="shared" si="12"/>
        <v>0.17013460697552518</v>
      </c>
      <c r="H112" t="s">
        <v>13311</v>
      </c>
      <c r="I112" t="s">
        <v>6999</v>
      </c>
      <c r="J112" s="10">
        <v>51825.26</v>
      </c>
      <c r="K112" s="13">
        <f t="shared" si="13"/>
        <v>5.4574193047363141E-3</v>
      </c>
      <c r="L112" s="4">
        <f t="shared" si="14"/>
        <v>20048.899891151843</v>
      </c>
      <c r="M112" s="13">
        <f t="shared" si="15"/>
        <v>0.38685575125241711</v>
      </c>
      <c r="O112" t="s">
        <v>13311</v>
      </c>
      <c r="P112" t="s">
        <v>8431</v>
      </c>
      <c r="Q112" s="10">
        <v>17757.669999999998</v>
      </c>
      <c r="R112" s="13">
        <f t="shared" si="16"/>
        <v>1.9474866275409658E-3</v>
      </c>
      <c r="S112" s="4">
        <f t="shared" si="17"/>
        <v>5729.5440102590128</v>
      </c>
      <c r="T112" s="13">
        <f t="shared" si="18"/>
        <v>0.32265178991720272</v>
      </c>
    </row>
    <row r="113" spans="1:20">
      <c r="A113" t="s">
        <v>13311</v>
      </c>
      <c r="B113" t="s">
        <v>5438</v>
      </c>
      <c r="C113" s="10">
        <v>32079.3</v>
      </c>
      <c r="D113" s="14">
        <f t="shared" si="10"/>
        <v>2.6497333337903838E-3</v>
      </c>
      <c r="E113" s="9">
        <f t="shared" si="11"/>
        <v>5457.7990975499652</v>
      </c>
      <c r="F113" s="13">
        <f t="shared" si="12"/>
        <v>0.17013460697552518</v>
      </c>
      <c r="H113" t="s">
        <v>13311</v>
      </c>
      <c r="I113" t="s">
        <v>7002</v>
      </c>
      <c r="J113" s="10">
        <v>49350.17</v>
      </c>
      <c r="K113" s="13">
        <f t="shared" si="13"/>
        <v>5.1967818482728089E-3</v>
      </c>
      <c r="L113" s="4">
        <f t="shared" si="14"/>
        <v>19091.397089784496</v>
      </c>
      <c r="M113" s="13">
        <f t="shared" si="15"/>
        <v>0.38685575125241711</v>
      </c>
      <c r="O113" t="s">
        <v>13311</v>
      </c>
      <c r="P113" t="s">
        <v>8441</v>
      </c>
      <c r="Q113" s="10">
        <v>7495.2</v>
      </c>
      <c r="R113" s="13">
        <f t="shared" si="16"/>
        <v>8.2199983279028434E-4</v>
      </c>
      <c r="S113" s="4">
        <f t="shared" si="17"/>
        <v>2418.3396957874179</v>
      </c>
      <c r="T113" s="13">
        <f t="shared" si="18"/>
        <v>0.32265178991720272</v>
      </c>
    </row>
    <row r="114" spans="1:20">
      <c r="A114" t="s">
        <v>13311</v>
      </c>
      <c r="B114" t="s">
        <v>7088</v>
      </c>
      <c r="C114" s="10">
        <v>37795.839999999997</v>
      </c>
      <c r="D114" s="14">
        <f t="shared" si="10"/>
        <v>3.1219165357912401E-3</v>
      </c>
      <c r="E114" s="9">
        <f t="shared" si="11"/>
        <v>6430.3803837098339</v>
      </c>
      <c r="F114" s="13">
        <f t="shared" si="12"/>
        <v>0.17013460697552521</v>
      </c>
      <c r="H114" t="s">
        <v>13311</v>
      </c>
      <c r="I114" t="s">
        <v>7005</v>
      </c>
      <c r="J114" s="10">
        <v>33267.370000000003</v>
      </c>
      <c r="K114" s="13">
        <f t="shared" si="13"/>
        <v>3.5031949141365757E-3</v>
      </c>
      <c r="L114" s="4">
        <f t="shared" si="14"/>
        <v>12869.673413542125</v>
      </c>
      <c r="M114" s="13">
        <f t="shared" si="15"/>
        <v>0.38685575125241711</v>
      </c>
      <c r="O114" t="s">
        <v>13311</v>
      </c>
      <c r="P114" t="s">
        <v>8448</v>
      </c>
      <c r="Q114" s="10">
        <v>294785.08</v>
      </c>
      <c r="R114" s="13">
        <f t="shared" si="16"/>
        <v>3.232912883833261E-2</v>
      </c>
      <c r="S114" s="4">
        <f t="shared" si="17"/>
        <v>95112.933702885799</v>
      </c>
      <c r="T114" s="13">
        <f t="shared" si="18"/>
        <v>0.32265178991720272</v>
      </c>
    </row>
    <row r="115" spans="1:20">
      <c r="A115" t="s">
        <v>13311</v>
      </c>
      <c r="B115" t="s">
        <v>5450</v>
      </c>
      <c r="C115" s="10">
        <v>113040.01</v>
      </c>
      <c r="D115" s="14">
        <f t="shared" si="10"/>
        <v>9.3370454638660536E-3</v>
      </c>
      <c r="E115" s="9">
        <f t="shared" si="11"/>
        <v>19232.017673859435</v>
      </c>
      <c r="F115" s="13">
        <f t="shared" si="12"/>
        <v>0.17013460697552518</v>
      </c>
      <c r="H115" t="s">
        <v>13311</v>
      </c>
      <c r="I115" t="s">
        <v>5827</v>
      </c>
      <c r="J115" s="10">
        <v>33581.11</v>
      </c>
      <c r="K115" s="13">
        <f t="shared" si="13"/>
        <v>3.5362330645031725E-3</v>
      </c>
      <c r="L115" s="4">
        <f t="shared" si="14"/>
        <v>12991.045536940057</v>
      </c>
      <c r="M115" s="13">
        <f t="shared" si="15"/>
        <v>0.38685575125241711</v>
      </c>
      <c r="O115" t="s">
        <v>13311</v>
      </c>
      <c r="P115" t="s">
        <v>12736</v>
      </c>
      <c r="Q115" s="10">
        <v>160280.44</v>
      </c>
      <c r="R115" s="13">
        <f t="shared" si="16"/>
        <v>1.7577982559445138E-2</v>
      </c>
      <c r="S115" s="4">
        <f t="shared" si="17"/>
        <v>51714.770854716815</v>
      </c>
      <c r="T115" s="13">
        <f t="shared" si="18"/>
        <v>0.32265178991720272</v>
      </c>
    </row>
    <row r="116" spans="1:20">
      <c r="A116" t="s">
        <v>13311</v>
      </c>
      <c r="B116" t="s">
        <v>5839</v>
      </c>
      <c r="C116" s="10">
        <v>56939.61</v>
      </c>
      <c r="D116" s="14">
        <f t="shared" si="10"/>
        <v>4.7031818845805328E-3</v>
      </c>
      <c r="E116" s="9">
        <f t="shared" si="11"/>
        <v>9687.3981686896841</v>
      </c>
      <c r="F116" s="13">
        <f t="shared" si="12"/>
        <v>0.17013460697552518</v>
      </c>
      <c r="H116" t="s">
        <v>13311</v>
      </c>
      <c r="I116" t="s">
        <v>7021</v>
      </c>
      <c r="J116" s="10">
        <v>20206.330000000002</v>
      </c>
      <c r="K116" s="13">
        <f t="shared" si="13"/>
        <v>2.1278121020497057E-3</v>
      </c>
      <c r="L116" s="4">
        <f t="shared" si="14"/>
        <v>7816.9349722042543</v>
      </c>
      <c r="M116" s="13">
        <f t="shared" si="15"/>
        <v>0.38685575125241711</v>
      </c>
      <c r="O116" t="s">
        <v>13311</v>
      </c>
      <c r="P116" t="s">
        <v>8455</v>
      </c>
      <c r="Q116" s="10">
        <v>79744.36</v>
      </c>
      <c r="R116" s="13">
        <f t="shared" si="16"/>
        <v>8.745577247567542E-3</v>
      </c>
      <c r="S116" s="4">
        <f t="shared" si="17"/>
        <v>25729.660489801787</v>
      </c>
      <c r="T116" s="13">
        <f t="shared" si="18"/>
        <v>0.32265178991720278</v>
      </c>
    </row>
    <row r="117" spans="1:20">
      <c r="A117" t="s">
        <v>13311</v>
      </c>
      <c r="B117" t="s">
        <v>5459</v>
      </c>
      <c r="C117" s="10">
        <v>144851.43</v>
      </c>
      <c r="D117" s="14">
        <f t="shared" si="10"/>
        <v>1.1964652050331658E-2</v>
      </c>
      <c r="E117" s="9">
        <f t="shared" si="11"/>
        <v>24644.241112892796</v>
      </c>
      <c r="F117" s="13">
        <f t="shared" si="12"/>
        <v>0.17013460697552518</v>
      </c>
      <c r="H117" t="s">
        <v>13311</v>
      </c>
      <c r="I117" t="s">
        <v>7024</v>
      </c>
      <c r="J117" s="10">
        <v>13940.76</v>
      </c>
      <c r="K117" s="13">
        <f t="shared" si="13"/>
        <v>1.4680210527973389E-3</v>
      </c>
      <c r="L117" s="4">
        <f t="shared" si="14"/>
        <v>5393.0631828296464</v>
      </c>
      <c r="M117" s="13">
        <f t="shared" si="15"/>
        <v>0.38685575125241711</v>
      </c>
      <c r="O117" t="s">
        <v>13311</v>
      </c>
      <c r="P117" t="s">
        <v>8458</v>
      </c>
      <c r="Q117" s="10">
        <v>109246.66</v>
      </c>
      <c r="R117" s="13">
        <f t="shared" si="16"/>
        <v>1.1981099404004837E-2</v>
      </c>
      <c r="S117" s="4">
        <f t="shared" si="17"/>
        <v>35248.630391476079</v>
      </c>
      <c r="T117" s="13">
        <f t="shared" si="18"/>
        <v>0.32265178991720278</v>
      </c>
    </row>
    <row r="118" spans="1:20">
      <c r="A118" t="s">
        <v>13311</v>
      </c>
      <c r="B118" t="s">
        <v>7100</v>
      </c>
      <c r="C118" s="10">
        <v>64870.81</v>
      </c>
      <c r="D118" s="14">
        <f t="shared" si="10"/>
        <v>5.3582948395688983E-3</v>
      </c>
      <c r="E118" s="9">
        <f t="shared" si="11"/>
        <v>11036.769763533968</v>
      </c>
      <c r="F118" s="13">
        <f t="shared" si="12"/>
        <v>0.17013460697552518</v>
      </c>
      <c r="H118" t="s">
        <v>13311</v>
      </c>
      <c r="I118" t="s">
        <v>7027</v>
      </c>
      <c r="J118" s="10">
        <v>18815.419999999998</v>
      </c>
      <c r="K118" s="13">
        <f t="shared" si="13"/>
        <v>1.9813433899747292E-3</v>
      </c>
      <c r="L118" s="4">
        <f t="shared" si="14"/>
        <v>7278.8534392297543</v>
      </c>
      <c r="M118" s="13">
        <f t="shared" si="15"/>
        <v>0.38685575125241717</v>
      </c>
      <c r="O118" t="s">
        <v>13311</v>
      </c>
      <c r="P118" t="s">
        <v>8461</v>
      </c>
      <c r="Q118" s="10">
        <v>22988.89</v>
      </c>
      <c r="R118" s="13">
        <f t="shared" si="16"/>
        <v>2.5211953965250081E-3</v>
      </c>
      <c r="S118" s="4">
        <f t="shared" si="17"/>
        <v>7417.4065067096826</v>
      </c>
      <c r="T118" s="13">
        <f t="shared" si="18"/>
        <v>0.32265178991720272</v>
      </c>
    </row>
    <row r="119" spans="1:20">
      <c r="A119" t="s">
        <v>13311</v>
      </c>
      <c r="B119" t="s">
        <v>5462</v>
      </c>
      <c r="C119" s="10">
        <v>41517.19</v>
      </c>
      <c r="D119" s="14">
        <f t="shared" si="10"/>
        <v>3.4292980915515236E-3</v>
      </c>
      <c r="E119" s="9">
        <f t="shared" si="11"/>
        <v>7063.5108033782053</v>
      </c>
      <c r="F119" s="13">
        <f t="shared" si="12"/>
        <v>0.17013460697552518</v>
      </c>
      <c r="H119" t="s">
        <v>13311</v>
      </c>
      <c r="I119" t="s">
        <v>7033</v>
      </c>
      <c r="J119" s="10">
        <v>42562.22</v>
      </c>
      <c r="K119" s="13">
        <f t="shared" si="13"/>
        <v>4.4819819732777808E-3</v>
      </c>
      <c r="L119" s="4">
        <f t="shared" si="14"/>
        <v>16465.439593070652</v>
      </c>
      <c r="M119" s="13">
        <f t="shared" si="15"/>
        <v>0.38685575125241711</v>
      </c>
      <c r="O119" t="s">
        <v>13311</v>
      </c>
      <c r="P119" t="s">
        <v>8464</v>
      </c>
      <c r="Q119" s="10">
        <v>25438.39</v>
      </c>
      <c r="R119" s="13">
        <f t="shared" si="16"/>
        <v>2.7898324696411089E-3</v>
      </c>
      <c r="S119" s="4">
        <f t="shared" si="17"/>
        <v>8207.7420661118704</v>
      </c>
      <c r="T119" s="13">
        <f t="shared" si="18"/>
        <v>0.32265178991720272</v>
      </c>
    </row>
    <row r="120" spans="1:20">
      <c r="A120" t="s">
        <v>13311</v>
      </c>
      <c r="B120" t="s">
        <v>5538</v>
      </c>
      <c r="C120" s="10">
        <v>22084.15</v>
      </c>
      <c r="D120" s="14">
        <f t="shared" si="10"/>
        <v>1.824139192670255E-3</v>
      </c>
      <c r="E120" s="9">
        <f t="shared" si="11"/>
        <v>3757.2781806385451</v>
      </c>
      <c r="F120" s="13">
        <f t="shared" si="12"/>
        <v>0.17013460697552521</v>
      </c>
      <c r="H120" t="s">
        <v>13311</v>
      </c>
      <c r="I120" t="s">
        <v>5851</v>
      </c>
      <c r="J120" s="10">
        <v>43371.3</v>
      </c>
      <c r="K120" s="13">
        <f t="shared" si="13"/>
        <v>4.5671815229004174E-3</v>
      </c>
      <c r="L120" s="4">
        <f t="shared" si="14"/>
        <v>16778.436844293959</v>
      </c>
      <c r="M120" s="13">
        <f t="shared" si="15"/>
        <v>0.38685575125241711</v>
      </c>
      <c r="O120" t="s">
        <v>13311</v>
      </c>
      <c r="P120" t="s">
        <v>8470</v>
      </c>
      <c r="Q120" s="10">
        <v>5070.7299999999996</v>
      </c>
      <c r="R120" s="13">
        <f t="shared" si="16"/>
        <v>5.5610780394448154E-4</v>
      </c>
      <c r="S120" s="4">
        <f t="shared" si="17"/>
        <v>1636.0801106868571</v>
      </c>
      <c r="T120" s="13">
        <f t="shared" si="18"/>
        <v>0.32265178991720272</v>
      </c>
    </row>
    <row r="121" spans="1:20">
      <c r="A121" t="s">
        <v>13311</v>
      </c>
      <c r="B121" t="s">
        <v>5474</v>
      </c>
      <c r="C121" s="10">
        <v>16678.919999999998</v>
      </c>
      <c r="D121" s="14">
        <f t="shared" si="10"/>
        <v>1.3776700331872298E-3</v>
      </c>
      <c r="E121" s="9">
        <f t="shared" si="11"/>
        <v>2837.6614989762261</v>
      </c>
      <c r="F121" s="13">
        <f t="shared" si="12"/>
        <v>0.17013460697552518</v>
      </c>
      <c r="H121" t="s">
        <v>13311</v>
      </c>
      <c r="I121" t="s">
        <v>5859</v>
      </c>
      <c r="J121" s="10">
        <v>57397.279999999999</v>
      </c>
      <c r="K121" s="13">
        <f t="shared" si="13"/>
        <v>6.0441766025169106E-3</v>
      </c>
      <c r="L121" s="4">
        <f t="shared" si="14"/>
        <v>22204.467874245336</v>
      </c>
      <c r="M121" s="13">
        <f t="shared" si="15"/>
        <v>0.38685575125241711</v>
      </c>
      <c r="O121" t="s">
        <v>13311</v>
      </c>
      <c r="P121" t="s">
        <v>12761</v>
      </c>
      <c r="Q121" s="10">
        <v>70094.13</v>
      </c>
      <c r="R121" s="13">
        <f t="shared" si="16"/>
        <v>7.6872349156233933E-3</v>
      </c>
      <c r="S121" s="4">
        <f t="shared" si="17"/>
        <v>22615.996507189098</v>
      </c>
      <c r="T121" s="13">
        <f t="shared" si="18"/>
        <v>0.32265178991720272</v>
      </c>
    </row>
    <row r="122" spans="1:20">
      <c r="A122" t="s">
        <v>13311</v>
      </c>
      <c r="B122" t="s">
        <v>5477</v>
      </c>
      <c r="C122" s="10">
        <v>52546.86</v>
      </c>
      <c r="D122" s="14">
        <f t="shared" si="10"/>
        <v>4.3403430414010458E-3</v>
      </c>
      <c r="E122" s="9">
        <f t="shared" si="11"/>
        <v>8940.0393738979456</v>
      </c>
      <c r="F122" s="13">
        <f t="shared" si="12"/>
        <v>0.17013460697552518</v>
      </c>
      <c r="H122" t="s">
        <v>13311</v>
      </c>
      <c r="I122" t="s">
        <v>7044</v>
      </c>
      <c r="J122" s="10">
        <v>25996.95</v>
      </c>
      <c r="K122" s="13">
        <f t="shared" si="13"/>
        <v>2.7375889053767354E-3</v>
      </c>
      <c r="L122" s="4">
        <f t="shared" si="14"/>
        <v>10057.069622521525</v>
      </c>
      <c r="M122" s="13">
        <f t="shared" si="15"/>
        <v>0.38685575125241711</v>
      </c>
      <c r="O122" t="s">
        <v>13311</v>
      </c>
      <c r="P122" t="s">
        <v>8475</v>
      </c>
      <c r="Q122" s="10">
        <v>65660.67</v>
      </c>
      <c r="R122" s="13">
        <f t="shared" si="16"/>
        <v>7.2010166187557421E-3</v>
      </c>
      <c r="S122" s="4">
        <f t="shared" si="17"/>
        <v>21185.532702662775</v>
      </c>
      <c r="T122" s="13">
        <f t="shared" si="18"/>
        <v>0.32265178991720272</v>
      </c>
    </row>
    <row r="123" spans="1:20">
      <c r="A123" t="s">
        <v>13311</v>
      </c>
      <c r="B123" t="s">
        <v>7091</v>
      </c>
      <c r="C123" s="10">
        <v>22199.57</v>
      </c>
      <c r="D123" s="14">
        <f t="shared" si="10"/>
        <v>1.8336728240582864E-3</v>
      </c>
      <c r="E123" s="9">
        <f t="shared" si="11"/>
        <v>3776.9151169756597</v>
      </c>
      <c r="F123" s="13">
        <f t="shared" si="12"/>
        <v>0.17013460697552518</v>
      </c>
      <c r="H123" t="s">
        <v>13311</v>
      </c>
      <c r="I123" t="s">
        <v>7047</v>
      </c>
      <c r="J123" s="10">
        <v>25999.83</v>
      </c>
      <c r="K123" s="13">
        <f t="shared" si="13"/>
        <v>2.7378921815705772E-3</v>
      </c>
      <c r="L123" s="4">
        <f t="shared" si="14"/>
        <v>10058.183767085133</v>
      </c>
      <c r="M123" s="13">
        <f t="shared" si="15"/>
        <v>0.38685575125241711</v>
      </c>
      <c r="O123" t="s">
        <v>13311</v>
      </c>
      <c r="P123" t="s">
        <v>8478</v>
      </c>
      <c r="Q123" s="10">
        <v>74418.570000000007</v>
      </c>
      <c r="R123" s="13">
        <f t="shared" si="16"/>
        <v>8.1614969709270027E-3</v>
      </c>
      <c r="S123" s="4">
        <f t="shared" si="17"/>
        <v>24011.284813578644</v>
      </c>
      <c r="T123" s="13">
        <f t="shared" si="18"/>
        <v>0.32265178991720267</v>
      </c>
    </row>
    <row r="124" spans="1:20">
      <c r="A124" t="s">
        <v>13311</v>
      </c>
      <c r="B124" t="s">
        <v>5518</v>
      </c>
      <c r="C124" s="10">
        <v>25784.66</v>
      </c>
      <c r="D124" s="14">
        <f t="shared" si="10"/>
        <v>2.1297993753745114E-3</v>
      </c>
      <c r="E124" s="9">
        <f t="shared" si="11"/>
        <v>4386.8629950975455</v>
      </c>
      <c r="F124" s="13">
        <f t="shared" si="12"/>
        <v>0.17013460697552521</v>
      </c>
      <c r="H124" t="s">
        <v>13311</v>
      </c>
      <c r="I124" t="s">
        <v>5919</v>
      </c>
      <c r="J124" s="10">
        <v>4582.08</v>
      </c>
      <c r="K124" s="13">
        <f t="shared" si="13"/>
        <v>4.8251242440165606E-4</v>
      </c>
      <c r="L124" s="4">
        <f t="shared" si="14"/>
        <v>1772.6040006986755</v>
      </c>
      <c r="M124" s="13">
        <f t="shared" si="15"/>
        <v>0.38685575125241711</v>
      </c>
      <c r="O124" t="s">
        <v>13311</v>
      </c>
      <c r="P124" t="s">
        <v>8484</v>
      </c>
      <c r="Q124" s="10">
        <v>24900.07</v>
      </c>
      <c r="R124" s="13">
        <f t="shared" si="16"/>
        <v>2.7307948255505358E-3</v>
      </c>
      <c r="S124" s="4">
        <f t="shared" si="17"/>
        <v>8034.052154563642</v>
      </c>
      <c r="T124" s="13">
        <f t="shared" si="18"/>
        <v>0.32265178991720272</v>
      </c>
    </row>
    <row r="125" spans="1:20">
      <c r="A125" t="s">
        <v>13311</v>
      </c>
      <c r="B125" t="s">
        <v>5527</v>
      </c>
      <c r="C125" s="10">
        <v>23077.919999999998</v>
      </c>
      <c r="D125" s="14">
        <f t="shared" si="10"/>
        <v>1.9062240727992122E-3</v>
      </c>
      <c r="E125" s="9">
        <f t="shared" si="11"/>
        <v>3926.3528490126118</v>
      </c>
      <c r="F125" s="13">
        <f t="shared" si="12"/>
        <v>0.17013460697552518</v>
      </c>
      <c r="H125" t="s">
        <v>13311</v>
      </c>
      <c r="I125" t="s">
        <v>5933</v>
      </c>
      <c r="J125" s="10">
        <v>17555.2</v>
      </c>
      <c r="K125" s="13">
        <f t="shared" si="13"/>
        <v>1.8486368882376458E-3</v>
      </c>
      <c r="L125" s="4">
        <f t="shared" si="14"/>
        <v>6791.3300843864326</v>
      </c>
      <c r="M125" s="13">
        <f t="shared" si="15"/>
        <v>0.38685575125241706</v>
      </c>
      <c r="O125" t="s">
        <v>13311</v>
      </c>
      <c r="P125" t="s">
        <v>8487</v>
      </c>
      <c r="Q125" s="10">
        <v>49112.76</v>
      </c>
      <c r="R125" s="13">
        <f t="shared" si="16"/>
        <v>5.3862045719753129E-3</v>
      </c>
      <c r="S125" s="4">
        <f t="shared" si="17"/>
        <v>15846.319921773997</v>
      </c>
      <c r="T125" s="13">
        <f t="shared" si="18"/>
        <v>0.32265178991720272</v>
      </c>
    </row>
    <row r="126" spans="1:20">
      <c r="A126" t="s">
        <v>13311</v>
      </c>
      <c r="B126" t="s">
        <v>5546</v>
      </c>
      <c r="C126" s="10">
        <v>48754.67</v>
      </c>
      <c r="D126" s="14">
        <f t="shared" si="10"/>
        <v>4.0271101388418698E-3</v>
      </c>
      <c r="E126" s="9">
        <f t="shared" si="11"/>
        <v>8294.8566186714288</v>
      </c>
      <c r="F126" s="13">
        <f t="shared" si="12"/>
        <v>0.17013460697552521</v>
      </c>
      <c r="H126" t="s">
        <v>13311</v>
      </c>
      <c r="I126" t="s">
        <v>6148</v>
      </c>
      <c r="J126" s="10">
        <v>29678.53</v>
      </c>
      <c r="K126" s="13">
        <f t="shared" si="13"/>
        <v>3.1252748670859698E-3</v>
      </c>
      <c r="L126" s="4">
        <f t="shared" si="14"/>
        <v>11481.310019217399</v>
      </c>
      <c r="M126" s="13">
        <f t="shared" si="15"/>
        <v>0.38685575125241711</v>
      </c>
      <c r="O126" t="s">
        <v>13311</v>
      </c>
      <c r="P126" t="s">
        <v>8492</v>
      </c>
      <c r="Q126" s="10">
        <v>35291.5</v>
      </c>
      <c r="R126" s="13">
        <f t="shared" si="16"/>
        <v>3.8704246849875011E-3</v>
      </c>
      <c r="S126" s="4">
        <f t="shared" si="17"/>
        <v>11386.865643862959</v>
      </c>
      <c r="T126" s="13">
        <f t="shared" si="18"/>
        <v>0.32265178991720267</v>
      </c>
    </row>
    <row r="127" spans="1:20">
      <c r="A127" t="s">
        <v>13311</v>
      </c>
      <c r="B127" t="s">
        <v>5549</v>
      </c>
      <c r="C127" s="10">
        <v>53479.56</v>
      </c>
      <c r="D127" s="14">
        <f t="shared" si="10"/>
        <v>4.417383571600467E-3</v>
      </c>
      <c r="E127" s="9">
        <f t="shared" si="11"/>
        <v>9098.7239218240193</v>
      </c>
      <c r="F127" s="13">
        <f t="shared" si="12"/>
        <v>0.17013460697552521</v>
      </c>
      <c r="H127" t="s">
        <v>13311</v>
      </c>
      <c r="I127" t="s">
        <v>6164</v>
      </c>
      <c r="J127" s="10">
        <v>9172.7000000000007</v>
      </c>
      <c r="K127" s="13">
        <f t="shared" si="13"/>
        <v>9.6592414696143906E-4</v>
      </c>
      <c r="L127" s="4">
        <f t="shared" si="14"/>
        <v>3548.5117495130467</v>
      </c>
      <c r="M127" s="13">
        <f t="shared" si="15"/>
        <v>0.38685575125241711</v>
      </c>
      <c r="O127" t="s">
        <v>13311</v>
      </c>
      <c r="P127" t="s">
        <v>12825</v>
      </c>
      <c r="Q127" s="10">
        <v>4986.8100000000004</v>
      </c>
      <c r="R127" s="13">
        <f t="shared" si="16"/>
        <v>5.4690428356240237E-4</v>
      </c>
      <c r="S127" s="4">
        <f t="shared" si="17"/>
        <v>1609.0031724770058</v>
      </c>
      <c r="T127" s="13">
        <f t="shared" si="18"/>
        <v>0.32265178991720272</v>
      </c>
    </row>
    <row r="128" spans="1:20">
      <c r="A128" t="s">
        <v>13311</v>
      </c>
      <c r="B128" t="s">
        <v>6949</v>
      </c>
      <c r="C128" s="10">
        <v>30261.19</v>
      </c>
      <c r="D128" s="14">
        <f t="shared" si="10"/>
        <v>2.499558402557544E-3</v>
      </c>
      <c r="E128" s="9">
        <f t="shared" si="11"/>
        <v>5148.4756672616932</v>
      </c>
      <c r="F128" s="13">
        <f t="shared" si="12"/>
        <v>0.17013460697552521</v>
      </c>
      <c r="H128" t="s">
        <v>13311</v>
      </c>
      <c r="I128" t="s">
        <v>6184</v>
      </c>
      <c r="J128" s="10">
        <v>15031.15</v>
      </c>
      <c r="K128" s="13">
        <f t="shared" si="13"/>
        <v>1.5828437364788376E-3</v>
      </c>
      <c r="L128" s="4">
        <f t="shared" si="14"/>
        <v>5814.8868254377694</v>
      </c>
      <c r="M128" s="13">
        <f t="shared" si="15"/>
        <v>0.38685575125241711</v>
      </c>
      <c r="O128" t="s">
        <v>13311</v>
      </c>
      <c r="P128" t="s">
        <v>12828</v>
      </c>
      <c r="Q128" s="10">
        <v>96300.73000000001</v>
      </c>
      <c r="R128" s="13">
        <f t="shared" si="16"/>
        <v>1.056131710395751E-2</v>
      </c>
      <c r="S128" s="4">
        <f t="shared" si="17"/>
        <v>31071.602904833264</v>
      </c>
      <c r="T128" s="13">
        <f t="shared" si="18"/>
        <v>0.32265178991720272</v>
      </c>
    </row>
    <row r="129" spans="1:20">
      <c r="A129" t="s">
        <v>13311</v>
      </c>
      <c r="B129" t="s">
        <v>7968</v>
      </c>
      <c r="C129" s="10">
        <v>39109.81</v>
      </c>
      <c r="D129" s="14">
        <f t="shared" si="10"/>
        <v>3.2304497677695114E-3</v>
      </c>
      <c r="E129" s="9">
        <f t="shared" si="11"/>
        <v>6653.9321532374652</v>
      </c>
      <c r="F129" s="13">
        <f t="shared" si="12"/>
        <v>0.17013460697552521</v>
      </c>
      <c r="H129" t="s">
        <v>13311</v>
      </c>
      <c r="I129" t="s">
        <v>6189</v>
      </c>
      <c r="J129" s="10">
        <v>20567.03</v>
      </c>
      <c r="K129" s="13">
        <f t="shared" si="13"/>
        <v>2.1657953392436604E-3</v>
      </c>
      <c r="L129" s="4">
        <f t="shared" si="14"/>
        <v>7956.4738416809996</v>
      </c>
      <c r="M129" s="13">
        <f t="shared" si="15"/>
        <v>0.38685575125241711</v>
      </c>
      <c r="O129" t="s">
        <v>13311</v>
      </c>
      <c r="P129" t="s">
        <v>12831</v>
      </c>
      <c r="Q129" s="10">
        <v>104035.52</v>
      </c>
      <c r="R129" s="13">
        <f t="shared" si="16"/>
        <v>1.1409592811966364E-2</v>
      </c>
      <c r="S129" s="4">
        <f t="shared" si="17"/>
        <v>33567.246742966941</v>
      </c>
      <c r="T129" s="13">
        <f t="shared" si="18"/>
        <v>0.32265178991720272</v>
      </c>
    </row>
    <row r="130" spans="1:20">
      <c r="A130" t="s">
        <v>13311</v>
      </c>
      <c r="B130" t="s">
        <v>8041</v>
      </c>
      <c r="C130" s="10">
        <v>24707.72</v>
      </c>
      <c r="D130" s="14">
        <f t="shared" si="10"/>
        <v>2.0408446969216705E-3</v>
      </c>
      <c r="E130" s="9">
        <f t="shared" si="11"/>
        <v>4203.6382314613238</v>
      </c>
      <c r="F130" s="13">
        <f t="shared" si="12"/>
        <v>0.17013460697552521</v>
      </c>
      <c r="H130" t="s">
        <v>13311</v>
      </c>
      <c r="I130" t="s">
        <v>6273</v>
      </c>
      <c r="J130" s="10">
        <v>6617.23</v>
      </c>
      <c r="K130" s="13">
        <f t="shared" si="13"/>
        <v>6.9682233617120832E-4</v>
      </c>
      <c r="L130" s="4">
        <f t="shared" si="14"/>
        <v>2559.9134828600318</v>
      </c>
      <c r="M130" s="13">
        <f t="shared" si="15"/>
        <v>0.38685575125241711</v>
      </c>
      <c r="O130" t="s">
        <v>13311</v>
      </c>
      <c r="P130" t="s">
        <v>12857</v>
      </c>
      <c r="Q130" s="10">
        <v>105395.47</v>
      </c>
      <c r="R130" s="13">
        <f t="shared" si="16"/>
        <v>1.1558738755050356E-2</v>
      </c>
      <c r="S130" s="4">
        <f t="shared" si="17"/>
        <v>34006.037044664845</v>
      </c>
      <c r="T130" s="13">
        <f t="shared" si="18"/>
        <v>0.32265178991720272</v>
      </c>
    </row>
    <row r="131" spans="1:20">
      <c r="A131" t="s">
        <v>13311</v>
      </c>
      <c r="B131" t="s">
        <v>5564</v>
      </c>
      <c r="C131" s="10">
        <v>45341.22</v>
      </c>
      <c r="D131" s="14">
        <f t="shared" si="10"/>
        <v>3.7451609613901558E-3</v>
      </c>
      <c r="E131" s="9">
        <f t="shared" si="11"/>
        <v>7714.1106444908228</v>
      </c>
      <c r="F131" s="13">
        <f t="shared" si="12"/>
        <v>0.17013460697552521</v>
      </c>
      <c r="H131" t="s">
        <v>13311</v>
      </c>
      <c r="I131" t="s">
        <v>6276</v>
      </c>
      <c r="J131" s="10">
        <v>13324.5</v>
      </c>
      <c r="K131" s="13">
        <f t="shared" si="13"/>
        <v>1.4031262655693191E-3</v>
      </c>
      <c r="L131" s="4">
        <f t="shared" si="14"/>
        <v>5154.6594575628314</v>
      </c>
      <c r="M131" s="13">
        <f t="shared" si="15"/>
        <v>0.38685575125241711</v>
      </c>
      <c r="O131" t="s">
        <v>13311</v>
      </c>
      <c r="P131" t="s">
        <v>8515</v>
      </c>
      <c r="Q131" s="10">
        <v>5712.54</v>
      </c>
      <c r="R131" s="13">
        <f t="shared" si="16"/>
        <v>6.2649521357773116E-4</v>
      </c>
      <c r="S131" s="4">
        <f t="shared" si="17"/>
        <v>1843.161255973617</v>
      </c>
      <c r="T131" s="13">
        <f t="shared" si="18"/>
        <v>0.32265178991720267</v>
      </c>
    </row>
    <row r="132" spans="1:20">
      <c r="A132" t="s">
        <v>13311</v>
      </c>
      <c r="B132" t="s">
        <v>5567</v>
      </c>
      <c r="C132" s="10">
        <v>12580.04</v>
      </c>
      <c r="D132" s="14">
        <f t="shared" si="10"/>
        <v>1.0391046976840636E-3</v>
      </c>
      <c r="E132" s="9">
        <f t="shared" si="11"/>
        <v>2140.3001611363861</v>
      </c>
      <c r="F132" s="13">
        <f t="shared" si="12"/>
        <v>0.17013460697552518</v>
      </c>
      <c r="H132" t="s">
        <v>13311</v>
      </c>
      <c r="I132" t="s">
        <v>6279</v>
      </c>
      <c r="J132" s="10">
        <v>67646.83</v>
      </c>
      <c r="K132" s="13">
        <f t="shared" si="13"/>
        <v>7.1234976138318581E-3</v>
      </c>
      <c r="L132" s="4">
        <f t="shared" si="14"/>
        <v>26169.56523949455</v>
      </c>
      <c r="M132" s="13">
        <f t="shared" si="15"/>
        <v>0.38685575125241711</v>
      </c>
      <c r="O132" t="s">
        <v>13311</v>
      </c>
      <c r="P132" t="s">
        <v>8518</v>
      </c>
      <c r="Q132" s="10">
        <v>10582.88</v>
      </c>
      <c r="R132" s="13">
        <f t="shared" si="16"/>
        <v>1.1606262128348334E-3</v>
      </c>
      <c r="S132" s="4">
        <f t="shared" si="17"/>
        <v>3414.5851744789661</v>
      </c>
      <c r="T132" s="13">
        <f t="shared" si="18"/>
        <v>0.32265178991720272</v>
      </c>
    </row>
    <row r="133" spans="1:20">
      <c r="A133" t="s">
        <v>13311</v>
      </c>
      <c r="B133" t="s">
        <v>5570</v>
      </c>
      <c r="C133" s="10">
        <v>31388.35</v>
      </c>
      <c r="D133" s="14">
        <f t="shared" si="10"/>
        <v>2.5926612266377195E-3</v>
      </c>
      <c r="E133" s="9">
        <f t="shared" si="11"/>
        <v>5340.2445908602267</v>
      </c>
      <c r="F133" s="13">
        <f t="shared" si="12"/>
        <v>0.17013460697552521</v>
      </c>
      <c r="H133" t="s">
        <v>13311</v>
      </c>
      <c r="I133" t="s">
        <v>6282</v>
      </c>
      <c r="J133" s="10">
        <v>19481.990000000002</v>
      </c>
      <c r="K133" s="13">
        <f t="shared" si="13"/>
        <v>2.0515360332139161E-3</v>
      </c>
      <c r="L133" s="4">
        <f t="shared" si="14"/>
        <v>7536.7198773420787</v>
      </c>
      <c r="M133" s="13">
        <f t="shared" si="15"/>
        <v>0.38685575125241711</v>
      </c>
      <c r="O133" t="s">
        <v>13311</v>
      </c>
      <c r="P133" t="s">
        <v>12810</v>
      </c>
      <c r="Q133" s="10">
        <v>3726</v>
      </c>
      <c r="R133" s="13">
        <f t="shared" si="16"/>
        <v>4.0863104079632293E-4</v>
      </c>
      <c r="S133" s="4">
        <f t="shared" si="17"/>
        <v>1202.2005692314974</v>
      </c>
      <c r="T133" s="13">
        <f t="shared" si="18"/>
        <v>0.32265178991720272</v>
      </c>
    </row>
    <row r="134" spans="1:20">
      <c r="A134" t="s">
        <v>13311</v>
      </c>
      <c r="B134" t="s">
        <v>5575</v>
      </c>
      <c r="C134" s="10">
        <v>65709.81</v>
      </c>
      <c r="D134" s="14">
        <f t="shared" si="10"/>
        <v>5.4275957989741884E-3</v>
      </c>
      <c r="E134" s="9">
        <f t="shared" si="11"/>
        <v>11179.512698786433</v>
      </c>
      <c r="F134" s="13">
        <f t="shared" si="12"/>
        <v>0.17013460697552518</v>
      </c>
      <c r="H134" t="s">
        <v>13311</v>
      </c>
      <c r="I134" t="s">
        <v>6343</v>
      </c>
      <c r="J134" s="10">
        <v>16071</v>
      </c>
      <c r="K134" s="13">
        <f t="shared" si="13"/>
        <v>1.6923443441753559E-3</v>
      </c>
      <c r="L134" s="4">
        <f t="shared" si="14"/>
        <v>6217.1587783775958</v>
      </c>
      <c r="M134" s="13">
        <f t="shared" si="15"/>
        <v>0.38685575125241711</v>
      </c>
      <c r="O134" t="s">
        <v>13311</v>
      </c>
      <c r="P134" t="s">
        <v>12863</v>
      </c>
      <c r="Q134" s="10">
        <v>100461</v>
      </c>
      <c r="R134" s="13">
        <f t="shared" si="16"/>
        <v>1.1017574608008425E-2</v>
      </c>
      <c r="S134" s="4">
        <f t="shared" si="17"/>
        <v>32413.9214668721</v>
      </c>
      <c r="T134" s="13">
        <f t="shared" si="18"/>
        <v>0.32265178991720267</v>
      </c>
    </row>
    <row r="135" spans="1:20">
      <c r="A135" t="s">
        <v>13311</v>
      </c>
      <c r="B135" t="s">
        <v>5578</v>
      </c>
      <c r="C135" s="10">
        <v>94680.87</v>
      </c>
      <c r="D135" s="14">
        <f t="shared" si="10"/>
        <v>7.82059014103406E-3</v>
      </c>
      <c r="E135" s="9">
        <f t="shared" si="11"/>
        <v>16108.492605550793</v>
      </c>
      <c r="F135" s="13">
        <f t="shared" si="12"/>
        <v>0.17013460697552518</v>
      </c>
      <c r="H135" t="s">
        <v>13311</v>
      </c>
      <c r="I135" t="s">
        <v>6346</v>
      </c>
      <c r="J135" s="10">
        <v>14352.34</v>
      </c>
      <c r="K135" s="13">
        <f t="shared" si="13"/>
        <v>1.5113621694158252E-3</v>
      </c>
      <c r="L135" s="4">
        <f t="shared" si="14"/>
        <v>5552.2852729301167</v>
      </c>
      <c r="M135" s="13">
        <f t="shared" si="15"/>
        <v>0.38685575125241711</v>
      </c>
      <c r="O135" t="s">
        <v>13311</v>
      </c>
      <c r="P135" t="s">
        <v>12952</v>
      </c>
      <c r="Q135" s="10">
        <v>5570.08</v>
      </c>
      <c r="R135" s="13">
        <f t="shared" si="16"/>
        <v>6.1087160164218521E-4</v>
      </c>
      <c r="S135" s="4">
        <f t="shared" si="17"/>
        <v>1797.1962819820124</v>
      </c>
      <c r="T135" s="13">
        <f t="shared" si="18"/>
        <v>0.32265178991720267</v>
      </c>
    </row>
    <row r="136" spans="1:20">
      <c r="A136" t="s">
        <v>13311</v>
      </c>
      <c r="B136" t="s">
        <v>5583</v>
      </c>
      <c r="C136" s="10">
        <v>66307.649999999994</v>
      </c>
      <c r="D136" s="14">
        <f t="shared" si="10"/>
        <v>5.4769770690228882E-3</v>
      </c>
      <c r="E136" s="9">
        <f t="shared" si="11"/>
        <v>11281.225972220684</v>
      </c>
      <c r="F136" s="13">
        <f t="shared" si="12"/>
        <v>0.17013460697552521</v>
      </c>
      <c r="H136" t="s">
        <v>13311</v>
      </c>
      <c r="I136" t="s">
        <v>6352</v>
      </c>
      <c r="J136" s="10">
        <v>24784.89</v>
      </c>
      <c r="K136" s="13">
        <f t="shared" si="13"/>
        <v>2.6099538555477775E-3</v>
      </c>
      <c r="L136" s="4">
        <f t="shared" si="14"/>
        <v>9588.1772406585205</v>
      </c>
      <c r="M136" s="13">
        <f t="shared" si="15"/>
        <v>0.38685575125241711</v>
      </c>
      <c r="O136" t="s">
        <v>13311</v>
      </c>
      <c r="P136" t="s">
        <v>5012</v>
      </c>
      <c r="Q136" s="10">
        <v>33650</v>
      </c>
      <c r="R136" s="13">
        <f t="shared" si="16"/>
        <v>3.6904011064938986E-3</v>
      </c>
      <c r="S136" s="4">
        <f t="shared" si="17"/>
        <v>10857.232730713871</v>
      </c>
      <c r="T136" s="13">
        <f t="shared" si="18"/>
        <v>0.32265178991720272</v>
      </c>
    </row>
    <row r="137" spans="1:20">
      <c r="A137" t="s">
        <v>13311</v>
      </c>
      <c r="B137" t="s">
        <v>5604</v>
      </c>
      <c r="C137" s="10">
        <v>102809.49</v>
      </c>
      <c r="D137" s="14">
        <f t="shared" si="10"/>
        <v>8.4920098843487592E-3</v>
      </c>
      <c r="E137" s="9">
        <f t="shared" si="11"/>
        <v>17491.452174504189</v>
      </c>
      <c r="F137" s="13">
        <f t="shared" si="12"/>
        <v>0.17013460697552521</v>
      </c>
      <c r="H137" t="s">
        <v>13311</v>
      </c>
      <c r="I137" t="s">
        <v>6355</v>
      </c>
      <c r="J137" s="10">
        <v>44550.75</v>
      </c>
      <c r="K137" s="13">
        <f t="shared" si="13"/>
        <v>4.6913826016595252E-3</v>
      </c>
      <c r="L137" s="4">
        <f t="shared" si="14"/>
        <v>17234.713860108623</v>
      </c>
      <c r="M137" s="13">
        <f t="shared" si="15"/>
        <v>0.38685575125241711</v>
      </c>
      <c r="O137" t="s">
        <v>13311</v>
      </c>
      <c r="P137" t="s">
        <v>3730</v>
      </c>
      <c r="Q137" s="10">
        <v>20150.12</v>
      </c>
      <c r="R137" s="13">
        <f t="shared" si="16"/>
        <v>2.2098670176518521E-3</v>
      </c>
      <c r="S137" s="4">
        <f t="shared" si="17"/>
        <v>6501.4722850464241</v>
      </c>
      <c r="T137" s="13">
        <f t="shared" si="18"/>
        <v>0.32265178991720267</v>
      </c>
    </row>
    <row r="138" spans="1:20">
      <c r="A138" t="s">
        <v>13311</v>
      </c>
      <c r="B138" t="s">
        <v>5609</v>
      </c>
      <c r="C138" s="10">
        <v>4242.3100000000004</v>
      </c>
      <c r="D138" s="14">
        <f t="shared" si="10"/>
        <v>3.5041257818195173E-4</v>
      </c>
      <c r="E138" s="9">
        <f t="shared" si="11"/>
        <v>721.76374451834033</v>
      </c>
      <c r="F138" s="13">
        <f t="shared" si="12"/>
        <v>0.17013460697552518</v>
      </c>
      <c r="H138" t="s">
        <v>13311</v>
      </c>
      <c r="I138" t="s">
        <v>6364</v>
      </c>
      <c r="J138" s="10">
        <v>34968.36</v>
      </c>
      <c r="K138" s="13">
        <f t="shared" si="13"/>
        <v>3.6823163630818087E-3</v>
      </c>
      <c r="L138" s="4">
        <f t="shared" si="14"/>
        <v>13527.711177864972</v>
      </c>
      <c r="M138" s="13">
        <f t="shared" si="15"/>
        <v>0.38685575125241711</v>
      </c>
      <c r="O138" t="s">
        <v>13311</v>
      </c>
      <c r="P138" t="s">
        <v>5218</v>
      </c>
      <c r="Q138" s="10">
        <v>110510.03</v>
      </c>
      <c r="R138" s="13">
        <f t="shared" si="16"/>
        <v>1.2119653402397441E-2</v>
      </c>
      <c r="S138" s="4">
        <f t="shared" si="17"/>
        <v>35656.258983303771</v>
      </c>
      <c r="T138" s="13">
        <f t="shared" si="18"/>
        <v>0.32265178991720272</v>
      </c>
    </row>
    <row r="139" spans="1:20">
      <c r="A139" t="s">
        <v>13311</v>
      </c>
      <c r="B139" t="s">
        <v>5618</v>
      </c>
      <c r="C139" s="10">
        <v>84219.07</v>
      </c>
      <c r="D139" s="14">
        <f>C139/$C$282</f>
        <v>6.9564509549717643E-3</v>
      </c>
      <c r="E139" s="9">
        <f>D139*$E$3</f>
        <v>14328.578374294246</v>
      </c>
      <c r="F139" s="13">
        <f t="shared" si="12"/>
        <v>0.17013460697552518</v>
      </c>
      <c r="H139" t="s">
        <v>13311</v>
      </c>
      <c r="I139" t="s">
        <v>6382</v>
      </c>
      <c r="J139" s="10">
        <v>37072.71</v>
      </c>
      <c r="K139" s="13">
        <f t="shared" si="13"/>
        <v>3.9039133278422722E-3</v>
      </c>
      <c r="L139" s="4">
        <f t="shared" si="14"/>
        <v>14341.791078012997</v>
      </c>
      <c r="M139" s="13">
        <f t="shared" si="15"/>
        <v>0.38685575125241711</v>
      </c>
      <c r="O139" t="s">
        <v>13311</v>
      </c>
      <c r="P139" t="s">
        <v>8616</v>
      </c>
      <c r="Q139" s="10">
        <v>14169.27</v>
      </c>
      <c r="R139" s="13">
        <f t="shared" si="16"/>
        <v>1.5539462016704547E-3</v>
      </c>
      <c r="S139" s="4">
        <f t="shared" si="17"/>
        <v>4571.7403273201235</v>
      </c>
      <c r="T139" s="13">
        <f t="shared" si="18"/>
        <v>0.32265178991720272</v>
      </c>
    </row>
    <row r="140" spans="1:20">
      <c r="A140" t="s">
        <v>13311</v>
      </c>
      <c r="B140" t="s">
        <v>8140</v>
      </c>
      <c r="C140" s="10">
        <v>52356.15</v>
      </c>
      <c r="D140" s="14">
        <f t="shared" si="10"/>
        <v>4.3245904955510062E-3</v>
      </c>
      <c r="E140" s="9">
        <f t="shared" si="11"/>
        <v>8907.5930030016425</v>
      </c>
      <c r="F140" s="13">
        <f t="shared" si="12"/>
        <v>0.17013460697552518</v>
      </c>
      <c r="H140" t="s">
        <v>13311</v>
      </c>
      <c r="I140" t="s">
        <v>6552</v>
      </c>
      <c r="J140" s="10">
        <v>156355.66</v>
      </c>
      <c r="K140" s="13">
        <f t="shared" si="13"/>
        <v>1.6464913003596846E-2</v>
      </c>
      <c r="L140" s="4">
        <f t="shared" si="14"/>
        <v>60487.086311867504</v>
      </c>
      <c r="M140" s="13">
        <f t="shared" si="15"/>
        <v>0.38685575125241711</v>
      </c>
      <c r="O140" t="s">
        <v>13311</v>
      </c>
      <c r="P140" t="s">
        <v>3745</v>
      </c>
      <c r="Q140" s="10">
        <v>10780.31</v>
      </c>
      <c r="R140" s="13">
        <f t="shared" si="16"/>
        <v>1.1822783938290411E-3</v>
      </c>
      <c r="S140" s="4">
        <f t="shared" si="17"/>
        <v>3478.2863173623191</v>
      </c>
      <c r="T140" s="13">
        <f t="shared" si="18"/>
        <v>0.32265178991720267</v>
      </c>
    </row>
    <row r="141" spans="1:20">
      <c r="A141" t="s">
        <v>13311</v>
      </c>
      <c r="B141" t="s">
        <v>6121</v>
      </c>
      <c r="C141" s="10">
        <v>10585.31</v>
      </c>
      <c r="D141" s="14">
        <f t="shared" ref="D141:D204" si="19">C141/$C$282</f>
        <v>8.7434104720192417E-4</v>
      </c>
      <c r="E141" s="9">
        <f t="shared" ref="E141:E204" si="20">D141*$E$3</f>
        <v>1800.9275565640964</v>
      </c>
      <c r="F141" s="13">
        <f t="shared" ref="F141:F204" si="21">E141/C141</f>
        <v>0.17013460697552518</v>
      </c>
      <c r="H141" t="s">
        <v>13311</v>
      </c>
      <c r="I141" t="s">
        <v>6742</v>
      </c>
      <c r="J141" s="10">
        <v>89837.21</v>
      </c>
      <c r="K141" s="13">
        <f t="shared" ref="K141:K204" si="22">J141/$J$216</f>
        <v>9.4602385812951103E-3</v>
      </c>
      <c r="L141" s="4">
        <f t="shared" ref="L141:L193" si="23">K141*$E$4</f>
        <v>34754.041364971163</v>
      </c>
      <c r="M141" s="13">
        <f t="shared" ref="M141:M204" si="24">L141/J141</f>
        <v>0.38685575125241711</v>
      </c>
      <c r="O141" t="s">
        <v>13311</v>
      </c>
      <c r="P141" t="s">
        <v>8631</v>
      </c>
      <c r="Q141" s="10">
        <v>43664.800000000003</v>
      </c>
      <c r="R141" s="13">
        <f t="shared" ref="R141:R204" si="25">Q141/$Q$244</f>
        <v>4.7887258910797861E-3</v>
      </c>
      <c r="S141" s="4">
        <f t="shared" ref="S141:S204" si="26">R141*$E$5</f>
        <v>14088.525876376676</v>
      </c>
      <c r="T141" s="13">
        <f t="shared" ref="T141:T204" si="27">S141/Q141</f>
        <v>0.32265178991720278</v>
      </c>
    </row>
    <row r="142" spans="1:20">
      <c r="A142" t="s">
        <v>13311</v>
      </c>
      <c r="B142" t="s">
        <v>5627</v>
      </c>
      <c r="C142" s="10">
        <v>48159.97</v>
      </c>
      <c r="D142" s="14">
        <f t="shared" si="19"/>
        <v>3.9779882311442227E-3</v>
      </c>
      <c r="E142" s="9">
        <f t="shared" si="20"/>
        <v>8193.6775679030834</v>
      </c>
      <c r="F142" s="13">
        <f t="shared" si="21"/>
        <v>0.17013460697552518</v>
      </c>
      <c r="H142" t="s">
        <v>13311</v>
      </c>
      <c r="I142" t="s">
        <v>6781</v>
      </c>
      <c r="J142" s="10">
        <v>71632.460000000006</v>
      </c>
      <c r="K142" s="13">
        <f t="shared" si="22"/>
        <v>7.5432013278804938E-3</v>
      </c>
      <c r="L142" s="4">
        <f t="shared" si="23"/>
        <v>27711.429127358722</v>
      </c>
      <c r="M142" s="13">
        <f t="shared" si="24"/>
        <v>0.38685575125241711</v>
      </c>
      <c r="O142" t="s">
        <v>13311</v>
      </c>
      <c r="P142" t="s">
        <v>8634</v>
      </c>
      <c r="Q142" s="10">
        <v>24516.2</v>
      </c>
      <c r="R142" s="13">
        <f t="shared" si="25"/>
        <v>2.6886957386931861E-3</v>
      </c>
      <c r="S142" s="4">
        <f t="shared" si="26"/>
        <v>7910.1958119681249</v>
      </c>
      <c r="T142" s="13">
        <f t="shared" si="27"/>
        <v>0.32265178991720267</v>
      </c>
    </row>
    <row r="143" spans="1:20">
      <c r="A143" t="s">
        <v>13311</v>
      </c>
      <c r="B143" t="s">
        <v>5630</v>
      </c>
      <c r="C143" s="10">
        <v>28564.34</v>
      </c>
      <c r="D143" s="14">
        <f t="shared" si="19"/>
        <v>2.3593994836459027E-3</v>
      </c>
      <c r="E143" s="9">
        <f t="shared" si="20"/>
        <v>4859.7827594152732</v>
      </c>
      <c r="F143" s="13">
        <f t="shared" si="21"/>
        <v>0.17013460697552518</v>
      </c>
      <c r="H143" t="s">
        <v>13311</v>
      </c>
      <c r="I143" t="s">
        <v>7118</v>
      </c>
      <c r="J143" s="10">
        <v>80369.279999999999</v>
      </c>
      <c r="K143" s="13">
        <f t="shared" si="22"/>
        <v>8.4632254653379084E-3</v>
      </c>
      <c r="L143" s="4">
        <f t="shared" si="23"/>
        <v>31091.31819201586</v>
      </c>
      <c r="M143" s="13">
        <f t="shared" si="24"/>
        <v>0.38685575125241711</v>
      </c>
      <c r="O143" t="s">
        <v>13311</v>
      </c>
      <c r="P143" t="s">
        <v>12330</v>
      </c>
      <c r="Q143" s="10">
        <v>60029.97</v>
      </c>
      <c r="R143" s="13">
        <f t="shared" si="25"/>
        <v>6.5834968116135371E-3</v>
      </c>
      <c r="S143" s="4">
        <f t="shared" si="26"/>
        <v>19368.777269175982</v>
      </c>
      <c r="T143" s="13">
        <f t="shared" si="27"/>
        <v>0.32265178991720272</v>
      </c>
    </row>
    <row r="144" spans="1:20">
      <c r="A144" t="s">
        <v>13311</v>
      </c>
      <c r="B144" t="s">
        <v>5633</v>
      </c>
      <c r="C144" s="10">
        <v>37140.269999999997</v>
      </c>
      <c r="D144" s="14">
        <f t="shared" si="19"/>
        <v>3.0677667980590277E-3</v>
      </c>
      <c r="E144" s="9">
        <f t="shared" si="20"/>
        <v>6318.8452394148881</v>
      </c>
      <c r="F144" s="13">
        <f t="shared" si="21"/>
        <v>0.17013460697552518</v>
      </c>
      <c r="H144" t="s">
        <v>13311</v>
      </c>
      <c r="I144" t="s">
        <v>7121</v>
      </c>
      <c r="J144" s="10">
        <v>4262.72</v>
      </c>
      <c r="K144" s="13">
        <f t="shared" si="22"/>
        <v>4.4888246424013272E-4</v>
      </c>
      <c r="L144" s="4">
        <f t="shared" si="23"/>
        <v>1649.0577479787034</v>
      </c>
      <c r="M144" s="13">
        <f t="shared" si="24"/>
        <v>0.38685575125241706</v>
      </c>
      <c r="O144" t="s">
        <v>13311</v>
      </c>
      <c r="P144" t="s">
        <v>12353</v>
      </c>
      <c r="Q144" s="10">
        <v>29416.78</v>
      </c>
      <c r="R144" s="13">
        <f t="shared" si="25"/>
        <v>3.2261431637886353E-3</v>
      </c>
      <c r="S144" s="4">
        <f t="shared" si="26"/>
        <v>9491.3767206005705</v>
      </c>
      <c r="T144" s="13">
        <f t="shared" si="27"/>
        <v>0.32265178991720272</v>
      </c>
    </row>
    <row r="145" spans="1:20">
      <c r="A145" t="s">
        <v>13311</v>
      </c>
      <c r="B145" t="s">
        <v>5636</v>
      </c>
      <c r="C145" s="10">
        <v>67515.97</v>
      </c>
      <c r="D145" s="14">
        <f t="shared" si="19"/>
        <v>5.5767836664824839E-3</v>
      </c>
      <c r="E145" s="9">
        <f t="shared" si="20"/>
        <v>11486.803020521351</v>
      </c>
      <c r="F145" s="13">
        <f t="shared" si="21"/>
        <v>0.17013460697552521</v>
      </c>
      <c r="H145" t="s">
        <v>13311</v>
      </c>
      <c r="I145" t="s">
        <v>7124</v>
      </c>
      <c r="J145" s="10">
        <v>30747.27</v>
      </c>
      <c r="K145" s="13">
        <f t="shared" si="22"/>
        <v>3.2378177141019595E-3</v>
      </c>
      <c r="L145" s="4">
        <f t="shared" si="23"/>
        <v>11894.758234810906</v>
      </c>
      <c r="M145" s="13">
        <f t="shared" si="24"/>
        <v>0.38685575125241706</v>
      </c>
      <c r="O145" t="s">
        <v>13311</v>
      </c>
      <c r="P145" t="s">
        <v>8657</v>
      </c>
      <c r="Q145" s="10">
        <v>58916.79</v>
      </c>
      <c r="R145" s="13">
        <f t="shared" si="25"/>
        <v>6.4614141755443884E-3</v>
      </c>
      <c r="S145" s="4">
        <f t="shared" si="26"/>
        <v>19009.607749675954</v>
      </c>
      <c r="T145" s="13">
        <f t="shared" si="27"/>
        <v>0.32265178991720278</v>
      </c>
    </row>
    <row r="146" spans="1:20">
      <c r="A146" t="s">
        <v>13311</v>
      </c>
      <c r="B146" t="s">
        <v>5639</v>
      </c>
      <c r="C146" s="10">
        <v>54685.93</v>
      </c>
      <c r="D146" s="14">
        <f t="shared" si="19"/>
        <v>4.5170291000840909E-3</v>
      </c>
      <c r="E146" s="9">
        <f t="shared" si="20"/>
        <v>9303.9692076410829</v>
      </c>
      <c r="F146" s="13">
        <f t="shared" si="21"/>
        <v>0.17013460697552521</v>
      </c>
      <c r="H146" t="s">
        <v>13311</v>
      </c>
      <c r="I146" t="s">
        <v>7127</v>
      </c>
      <c r="J146" s="10">
        <v>30096.89</v>
      </c>
      <c r="K146" s="13">
        <f t="shared" si="22"/>
        <v>3.1693299464107911E-3</v>
      </c>
      <c r="L146" s="4">
        <f t="shared" si="23"/>
        <v>11643.154991311359</v>
      </c>
      <c r="M146" s="13">
        <f t="shared" si="24"/>
        <v>0.38685575125241711</v>
      </c>
      <c r="O146" t="s">
        <v>13311</v>
      </c>
      <c r="P146" t="s">
        <v>8660</v>
      </c>
      <c r="Q146" s="10">
        <v>59446.44</v>
      </c>
      <c r="R146" s="13">
        <f t="shared" si="25"/>
        <v>6.5195009792904353E-3</v>
      </c>
      <c r="S146" s="4">
        <f t="shared" si="26"/>
        <v>19180.500270205597</v>
      </c>
      <c r="T146" s="13">
        <f t="shared" si="27"/>
        <v>0.32265178991720272</v>
      </c>
    </row>
    <row r="147" spans="1:20">
      <c r="A147" t="s">
        <v>13311</v>
      </c>
      <c r="B147" t="s">
        <v>5049</v>
      </c>
      <c r="C147" s="10">
        <v>50220.7</v>
      </c>
      <c r="D147" s="14">
        <f t="shared" si="19"/>
        <v>4.1482034469669448E-3</v>
      </c>
      <c r="E147" s="9">
        <f t="shared" si="20"/>
        <v>8544.2790565357573</v>
      </c>
      <c r="F147" s="13">
        <f t="shared" si="21"/>
        <v>0.17013460697552518</v>
      </c>
      <c r="H147" t="s">
        <v>13311</v>
      </c>
      <c r="I147" t="s">
        <v>7130</v>
      </c>
      <c r="J147" s="10">
        <v>4482.3500000000004</v>
      </c>
      <c r="K147" s="13">
        <f t="shared" si="22"/>
        <v>4.7201043314755811E-4</v>
      </c>
      <c r="L147" s="4">
        <f t="shared" si="23"/>
        <v>1734.0228766262719</v>
      </c>
      <c r="M147" s="13">
        <f t="shared" si="24"/>
        <v>0.38685575125241711</v>
      </c>
      <c r="O147" t="s">
        <v>13311</v>
      </c>
      <c r="P147" t="s">
        <v>6865</v>
      </c>
      <c r="Q147" s="10">
        <v>20570.34</v>
      </c>
      <c r="R147" s="13">
        <f t="shared" si="25"/>
        <v>2.2559526150655483E-3</v>
      </c>
      <c r="S147" s="4">
        <f t="shared" si="26"/>
        <v>6637.0570202054323</v>
      </c>
      <c r="T147" s="13">
        <f t="shared" si="27"/>
        <v>0.32265178991720272</v>
      </c>
    </row>
    <row r="148" spans="1:20">
      <c r="A148" t="s">
        <v>13311</v>
      </c>
      <c r="B148" t="s">
        <v>7822</v>
      </c>
      <c r="C148" s="10">
        <v>11946.15</v>
      </c>
      <c r="D148" s="14">
        <f t="shared" si="19"/>
        <v>9.8674571656675778E-4</v>
      </c>
      <c r="E148" s="9">
        <f t="shared" si="20"/>
        <v>2032.4535351206703</v>
      </c>
      <c r="F148" s="13">
        <f t="shared" si="21"/>
        <v>0.17013460697552521</v>
      </c>
      <c r="H148" t="s">
        <v>13311</v>
      </c>
      <c r="I148" t="s">
        <v>6799</v>
      </c>
      <c r="J148" s="10">
        <v>108971.56</v>
      </c>
      <c r="K148" s="13">
        <f t="shared" si="22"/>
        <v>1.1475166650610755E-2</v>
      </c>
      <c r="L148" s="4">
        <f t="shared" si="23"/>
        <v>42156.274708947851</v>
      </c>
      <c r="M148" s="13">
        <f t="shared" si="24"/>
        <v>0.38685575125241717</v>
      </c>
      <c r="O148" t="s">
        <v>13311</v>
      </c>
      <c r="P148" t="s">
        <v>6868</v>
      </c>
      <c r="Q148" s="10">
        <v>16605.080000000002</v>
      </c>
      <c r="R148" s="13">
        <f t="shared" si="25"/>
        <v>1.8210818902056377E-3</v>
      </c>
      <c r="S148" s="4">
        <f t="shared" si="26"/>
        <v>5357.6587837183451</v>
      </c>
      <c r="T148" s="13">
        <f t="shared" si="27"/>
        <v>0.32265178991720272</v>
      </c>
    </row>
    <row r="149" spans="1:20">
      <c r="A149" t="s">
        <v>13311</v>
      </c>
      <c r="B149" t="s">
        <v>5656</v>
      </c>
      <c r="C149" s="10">
        <v>39054.120000000003</v>
      </c>
      <c r="D149" s="14">
        <f t="shared" si="19"/>
        <v>3.2258498030147075E-3</v>
      </c>
      <c r="E149" s="9">
        <f t="shared" si="20"/>
        <v>6644.4573569749982</v>
      </c>
      <c r="F149" s="13">
        <f t="shared" si="21"/>
        <v>0.17013460697552518</v>
      </c>
      <c r="H149" t="s">
        <v>13311</v>
      </c>
      <c r="I149" t="s">
        <v>6802</v>
      </c>
      <c r="J149" s="10">
        <v>90622.5</v>
      </c>
      <c r="K149" s="13">
        <f t="shared" si="22"/>
        <v>9.5429329431915358E-3</v>
      </c>
      <c r="L149" s="4">
        <f t="shared" si="23"/>
        <v>35057.835317872166</v>
      </c>
      <c r="M149" s="13">
        <f t="shared" si="24"/>
        <v>0.38685575125241706</v>
      </c>
      <c r="O149" t="s">
        <v>13311</v>
      </c>
      <c r="P149" t="s">
        <v>3629</v>
      </c>
      <c r="Q149" s="10">
        <v>6801.22</v>
      </c>
      <c r="R149" s="13">
        <f t="shared" si="25"/>
        <v>7.4589093056488657E-4</v>
      </c>
      <c r="S149" s="4">
        <f t="shared" si="26"/>
        <v>2194.4258066206776</v>
      </c>
      <c r="T149" s="13">
        <f t="shared" si="27"/>
        <v>0.32265178991720272</v>
      </c>
    </row>
    <row r="150" spans="1:20">
      <c r="A150" t="s">
        <v>13311</v>
      </c>
      <c r="B150" t="s">
        <v>5659</v>
      </c>
      <c r="C150" s="10">
        <v>29492.5</v>
      </c>
      <c r="D150" s="14">
        <f t="shared" si="19"/>
        <v>2.4360650122294716E-3</v>
      </c>
      <c r="E150" s="9">
        <f t="shared" si="20"/>
        <v>5017.6948962256765</v>
      </c>
      <c r="F150" s="13">
        <f t="shared" si="21"/>
        <v>0.17013460697552518</v>
      </c>
      <c r="H150" t="s">
        <v>13311</v>
      </c>
      <c r="I150" t="s">
        <v>7133</v>
      </c>
      <c r="J150" s="10">
        <v>248621.56</v>
      </c>
      <c r="K150" s="13">
        <f t="shared" si="22"/>
        <v>2.6180902924899128E-2</v>
      </c>
      <c r="L150" s="4">
        <f t="shared" si="23"/>
        <v>96180.680371347902</v>
      </c>
      <c r="M150" s="13">
        <f t="shared" si="24"/>
        <v>0.38685575125241711</v>
      </c>
      <c r="O150" t="s">
        <v>13311</v>
      </c>
      <c r="P150" t="s">
        <v>5236</v>
      </c>
      <c r="Q150" s="10">
        <v>22192.99</v>
      </c>
      <c r="R150" s="13">
        <f t="shared" si="25"/>
        <v>2.4339089109185149E-3</v>
      </c>
      <c r="S150" s="4">
        <f t="shared" si="26"/>
        <v>7160.6079471145813</v>
      </c>
      <c r="T150" s="13">
        <f t="shared" si="27"/>
        <v>0.32265178991720272</v>
      </c>
    </row>
    <row r="151" spans="1:20">
      <c r="A151" t="s">
        <v>13311</v>
      </c>
      <c r="B151" t="s">
        <v>5662</v>
      </c>
      <c r="C151" s="10">
        <v>39382.949999999997</v>
      </c>
      <c r="D151" s="14">
        <f t="shared" si="19"/>
        <v>3.2530109883320392E-3</v>
      </c>
      <c r="E151" s="9">
        <f t="shared" si="20"/>
        <v>6700.402719786759</v>
      </c>
      <c r="F151" s="13">
        <f t="shared" si="21"/>
        <v>0.17013460697552518</v>
      </c>
      <c r="H151" t="s">
        <v>13311</v>
      </c>
      <c r="I151" t="s">
        <v>7139</v>
      </c>
      <c r="J151" s="10">
        <v>90855.45</v>
      </c>
      <c r="K151" s="13">
        <f t="shared" si="22"/>
        <v>9.5674635644954781E-3</v>
      </c>
      <c r="L151" s="4">
        <f t="shared" si="23"/>
        <v>35147.953365126421</v>
      </c>
      <c r="M151" s="13">
        <f t="shared" si="24"/>
        <v>0.38685575125241711</v>
      </c>
      <c r="O151" t="s">
        <v>13311</v>
      </c>
      <c r="P151" t="s">
        <v>5243</v>
      </c>
      <c r="Q151" s="10">
        <v>29435.45</v>
      </c>
      <c r="R151" s="13">
        <f t="shared" si="25"/>
        <v>3.2281907057992816E-3</v>
      </c>
      <c r="S151" s="4">
        <f t="shared" si="26"/>
        <v>9497.4006295183244</v>
      </c>
      <c r="T151" s="13">
        <f t="shared" si="27"/>
        <v>0.32265178991720272</v>
      </c>
    </row>
    <row r="152" spans="1:20">
      <c r="A152" t="s">
        <v>13311</v>
      </c>
      <c r="B152" t="s">
        <v>7936</v>
      </c>
      <c r="C152" s="10">
        <v>24583.49</v>
      </c>
      <c r="D152" s="14">
        <f t="shared" si="19"/>
        <v>2.0305833641601459E-3</v>
      </c>
      <c r="E152" s="9">
        <f t="shared" si="20"/>
        <v>4182.5024092367539</v>
      </c>
      <c r="F152" s="13">
        <f t="shared" si="21"/>
        <v>0.17013460697552518</v>
      </c>
      <c r="H152" t="s">
        <v>13311</v>
      </c>
      <c r="I152" t="s">
        <v>7142</v>
      </c>
      <c r="J152" s="10">
        <v>18507.310000000001</v>
      </c>
      <c r="K152" s="13">
        <f t="shared" si="22"/>
        <v>1.9488981024453989E-3</v>
      </c>
      <c r="L152" s="4">
        <f t="shared" si="23"/>
        <v>7159.6593137113723</v>
      </c>
      <c r="M152" s="13">
        <f t="shared" si="24"/>
        <v>0.38685575125241711</v>
      </c>
      <c r="O152" t="s">
        <v>13311</v>
      </c>
      <c r="P152" t="s">
        <v>8903</v>
      </c>
      <c r="Q152" s="10">
        <v>6799.73</v>
      </c>
      <c r="R152" s="13">
        <f t="shared" si="25"/>
        <v>7.4572752201663463E-4</v>
      </c>
      <c r="S152" s="4">
        <f t="shared" si="26"/>
        <v>2193.9450554537007</v>
      </c>
      <c r="T152" s="13">
        <f t="shared" si="27"/>
        <v>0.32265178991720272</v>
      </c>
    </row>
    <row r="153" spans="1:20">
      <c r="A153" t="s">
        <v>13311</v>
      </c>
      <c r="B153" t="s">
        <v>5675</v>
      </c>
      <c r="C153" s="10">
        <v>74356.97</v>
      </c>
      <c r="D153" s="14">
        <f t="shared" si="19"/>
        <v>6.1418466739814014E-3</v>
      </c>
      <c r="E153" s="9">
        <f t="shared" si="20"/>
        <v>12650.693866840918</v>
      </c>
      <c r="F153" s="13">
        <f t="shared" si="21"/>
        <v>0.17013460697552521</v>
      </c>
      <c r="H153" t="s">
        <v>13311</v>
      </c>
      <c r="I153" t="s">
        <v>7145</v>
      </c>
      <c r="J153" s="10">
        <v>35831.15</v>
      </c>
      <c r="K153" s="13">
        <f t="shared" si="22"/>
        <v>3.7731718031111198E-3</v>
      </c>
      <c r="L153" s="4">
        <f t="shared" si="23"/>
        <v>13861.486451488046</v>
      </c>
      <c r="M153" s="13">
        <f t="shared" si="24"/>
        <v>0.38685575125241711</v>
      </c>
      <c r="O153" t="s">
        <v>13311</v>
      </c>
      <c r="P153" t="s">
        <v>8906</v>
      </c>
      <c r="Q153" s="10">
        <v>43827.41</v>
      </c>
      <c r="R153" s="13">
        <f t="shared" si="25"/>
        <v>4.8065593568725638E-3</v>
      </c>
      <c r="S153" s="4">
        <f t="shared" si="26"/>
        <v>14140.992283935111</v>
      </c>
      <c r="T153" s="13">
        <f t="shared" si="27"/>
        <v>0.32265178991720272</v>
      </c>
    </row>
    <row r="154" spans="1:20">
      <c r="A154" t="s">
        <v>13311</v>
      </c>
      <c r="B154" t="s">
        <v>5687</v>
      </c>
      <c r="C154" s="10">
        <v>21143.73</v>
      </c>
      <c r="D154" s="14">
        <f t="shared" si="19"/>
        <v>1.7464609945249351E-3</v>
      </c>
      <c r="E154" s="9">
        <f t="shared" si="20"/>
        <v>3597.2801935466214</v>
      </c>
      <c r="F154" s="13">
        <f t="shared" si="21"/>
        <v>0.17013460697552521</v>
      </c>
      <c r="H154" t="s">
        <v>13311</v>
      </c>
      <c r="I154" t="s">
        <v>7148</v>
      </c>
      <c r="J154" s="10">
        <v>25893.91</v>
      </c>
      <c r="K154" s="13">
        <f t="shared" si="22"/>
        <v>2.7267383571081879E-3</v>
      </c>
      <c r="L154" s="4">
        <f t="shared" si="23"/>
        <v>10017.208005912476</v>
      </c>
      <c r="M154" s="13">
        <f t="shared" si="24"/>
        <v>0.38685575125241711</v>
      </c>
      <c r="O154" t="s">
        <v>13311</v>
      </c>
      <c r="P154" t="s">
        <v>8909</v>
      </c>
      <c r="Q154" s="10">
        <v>12003.68</v>
      </c>
      <c r="R154" s="13">
        <f t="shared" si="25"/>
        <v>1.3164455855571673E-3</v>
      </c>
      <c r="S154" s="4">
        <f t="shared" si="26"/>
        <v>3873.0088375933278</v>
      </c>
      <c r="T154" s="13">
        <f t="shared" si="27"/>
        <v>0.32265178991720272</v>
      </c>
    </row>
    <row r="155" spans="1:20">
      <c r="A155" t="s">
        <v>13311</v>
      </c>
      <c r="B155" t="s">
        <v>18179</v>
      </c>
      <c r="C155" s="10">
        <v>20843.849999999999</v>
      </c>
      <c r="D155" s="14">
        <f t="shared" si="19"/>
        <v>1.7216910640047223E-3</v>
      </c>
      <c r="E155" s="9">
        <f t="shared" si="20"/>
        <v>3546.2602276068005</v>
      </c>
      <c r="F155" s="13">
        <f t="shared" si="21"/>
        <v>0.17013460697552518</v>
      </c>
      <c r="H155" t="s">
        <v>13311</v>
      </c>
      <c r="I155" t="s">
        <v>7151</v>
      </c>
      <c r="J155" s="10">
        <v>243675.51</v>
      </c>
      <c r="K155" s="13">
        <f t="shared" si="22"/>
        <v>2.5660062918458425E-2</v>
      </c>
      <c r="L155" s="4">
        <f t="shared" si="23"/>
        <v>94267.272482865883</v>
      </c>
      <c r="M155" s="13">
        <f t="shared" si="24"/>
        <v>0.38685575125241711</v>
      </c>
      <c r="O155" t="s">
        <v>13311</v>
      </c>
      <c r="P155" t="s">
        <v>12318</v>
      </c>
      <c r="Q155" s="10">
        <v>19295.64</v>
      </c>
      <c r="R155" s="13">
        <f t="shared" si="25"/>
        <v>2.1161560536852283E-3</v>
      </c>
      <c r="S155" s="4">
        <f t="shared" si="26"/>
        <v>6225.772783597974</v>
      </c>
      <c r="T155" s="13">
        <f t="shared" si="27"/>
        <v>0.32265178991720278</v>
      </c>
    </row>
    <row r="156" spans="1:20">
      <c r="A156" t="s">
        <v>13311</v>
      </c>
      <c r="B156" t="s">
        <v>5712</v>
      </c>
      <c r="C156" s="10">
        <v>101908.3</v>
      </c>
      <c r="D156" s="14">
        <f t="shared" si="19"/>
        <v>8.4175720636020922E-3</v>
      </c>
      <c r="E156" s="9">
        <f t="shared" si="20"/>
        <v>17338.128568043918</v>
      </c>
      <c r="F156" s="13">
        <f t="shared" si="21"/>
        <v>0.17013460697552524</v>
      </c>
      <c r="H156" t="s">
        <v>13311</v>
      </c>
      <c r="I156" t="s">
        <v>7157</v>
      </c>
      <c r="J156" s="10">
        <v>50377.98</v>
      </c>
      <c r="K156" s="13">
        <f t="shared" si="22"/>
        <v>5.3050145929922961E-3</v>
      </c>
      <c r="L156" s="4">
        <f t="shared" si="23"/>
        <v>19489.011299479243</v>
      </c>
      <c r="M156" s="13">
        <f t="shared" si="24"/>
        <v>0.38685575125241706</v>
      </c>
      <c r="O156" t="s">
        <v>13311</v>
      </c>
      <c r="P156" t="s">
        <v>8916</v>
      </c>
      <c r="Q156" s="10">
        <v>12569.47</v>
      </c>
      <c r="R156" s="13">
        <f t="shared" si="25"/>
        <v>1.3784958691245724E-3</v>
      </c>
      <c r="S156" s="4">
        <f t="shared" si="26"/>
        <v>4055.561993810582</v>
      </c>
      <c r="T156" s="13">
        <f t="shared" si="27"/>
        <v>0.32265178991720272</v>
      </c>
    </row>
    <row r="157" spans="1:20">
      <c r="A157" t="s">
        <v>13311</v>
      </c>
      <c r="B157" t="s">
        <v>5094</v>
      </c>
      <c r="C157" s="10">
        <v>38384.800000000003</v>
      </c>
      <c r="D157" s="14">
        <f t="shared" si="19"/>
        <v>3.1705643225032071E-3</v>
      </c>
      <c r="E157" s="9">
        <f t="shared" si="20"/>
        <v>6530.5828618341402</v>
      </c>
      <c r="F157" s="13">
        <f t="shared" si="21"/>
        <v>0.17013460697552521</v>
      </c>
      <c r="H157" t="s">
        <v>13311</v>
      </c>
      <c r="I157" t="s">
        <v>7160</v>
      </c>
      <c r="J157" s="10">
        <v>281827.13</v>
      </c>
      <c r="K157" s="13">
        <f t="shared" si="22"/>
        <v>2.9677590037376189E-2</v>
      </c>
      <c r="L157" s="4">
        <f t="shared" si="23"/>
        <v>109026.44609946261</v>
      </c>
      <c r="M157" s="13">
        <f t="shared" si="24"/>
        <v>0.38685575125241706</v>
      </c>
      <c r="O157" t="s">
        <v>13311</v>
      </c>
      <c r="P157" t="s">
        <v>8919</v>
      </c>
      <c r="Q157" s="10">
        <v>8304.4699999999993</v>
      </c>
      <c r="R157" s="13">
        <f t="shared" si="25"/>
        <v>9.1075260852437989E-4</v>
      </c>
      <c r="S157" s="4">
        <f t="shared" si="26"/>
        <v>2679.4521098137125</v>
      </c>
      <c r="T157" s="13">
        <f t="shared" si="27"/>
        <v>0.32265178991720272</v>
      </c>
    </row>
    <row r="158" spans="1:20">
      <c r="A158" t="s">
        <v>13311</v>
      </c>
      <c r="B158" t="s">
        <v>6937</v>
      </c>
      <c r="C158" s="10">
        <v>44345</v>
      </c>
      <c r="D158" s="14">
        <f t="shared" si="19"/>
        <v>3.6628737125477978E-3</v>
      </c>
      <c r="E158" s="9">
        <f t="shared" si="20"/>
        <v>7544.6191463296645</v>
      </c>
      <c r="F158" s="13">
        <f t="shared" si="21"/>
        <v>0.17013460697552518</v>
      </c>
      <c r="H158" t="s">
        <v>13311</v>
      </c>
      <c r="I158" t="s">
        <v>7163</v>
      </c>
      <c r="J158" s="10">
        <v>142202.38</v>
      </c>
      <c r="K158" s="13">
        <f t="shared" si="22"/>
        <v>1.4974512694995628E-2</v>
      </c>
      <c r="L158" s="4">
        <f t="shared" si="23"/>
        <v>55011.808544781692</v>
      </c>
      <c r="M158" s="13">
        <f t="shared" si="24"/>
        <v>0.38685575125241711</v>
      </c>
      <c r="O158" t="s">
        <v>13311</v>
      </c>
      <c r="P158" t="s">
        <v>5252</v>
      </c>
      <c r="Q158" s="10">
        <v>25829.14</v>
      </c>
      <c r="R158" s="13">
        <f t="shared" si="25"/>
        <v>2.8326860872447492E-3</v>
      </c>
      <c r="S158" s="4">
        <f t="shared" si="26"/>
        <v>8333.8182530220183</v>
      </c>
      <c r="T158" s="13">
        <f t="shared" si="27"/>
        <v>0.32265178991720278</v>
      </c>
    </row>
    <row r="159" spans="1:20">
      <c r="A159" t="s">
        <v>13311</v>
      </c>
      <c r="B159" t="s">
        <v>6898</v>
      </c>
      <c r="C159" s="10">
        <v>61652.39</v>
      </c>
      <c r="D159" s="14">
        <f t="shared" si="19"/>
        <v>5.0924550376986065E-3</v>
      </c>
      <c r="E159" s="9">
        <f t="shared" si="20"/>
        <v>10489.2051417518</v>
      </c>
      <c r="F159" s="13">
        <f t="shared" si="21"/>
        <v>0.17013460697552518</v>
      </c>
      <c r="H159" t="s">
        <v>13311</v>
      </c>
      <c r="I159" t="s">
        <v>6814</v>
      </c>
      <c r="J159" s="10">
        <v>34146.660000000003</v>
      </c>
      <c r="K159" s="13">
        <f t="shared" si="22"/>
        <v>3.5957878740264363E-3</v>
      </c>
      <c r="L159" s="4">
        <f t="shared" si="23"/>
        <v>13209.831807060862</v>
      </c>
      <c r="M159" s="13">
        <f t="shared" si="24"/>
        <v>0.38685575125241711</v>
      </c>
      <c r="O159" t="s">
        <v>13311</v>
      </c>
      <c r="P159" t="s">
        <v>5273</v>
      </c>
      <c r="Q159" s="10">
        <v>48688.36</v>
      </c>
      <c r="R159" s="13">
        <f t="shared" si="25"/>
        <v>5.3396605532651789E-3</v>
      </c>
      <c r="S159" s="4">
        <f t="shared" si="26"/>
        <v>15709.386502133137</v>
      </c>
      <c r="T159" s="13">
        <f t="shared" si="27"/>
        <v>0.32265178991720272</v>
      </c>
    </row>
    <row r="160" spans="1:20">
      <c r="A160" t="s">
        <v>13311</v>
      </c>
      <c r="B160" t="s">
        <v>5726</v>
      </c>
      <c r="C160" s="10">
        <v>25028.81</v>
      </c>
      <c r="D160" s="14">
        <f t="shared" si="19"/>
        <v>2.0673665623036071E-3</v>
      </c>
      <c r="E160" s="9">
        <f t="shared" si="20"/>
        <v>4258.2667524150947</v>
      </c>
      <c r="F160" s="13">
        <f t="shared" si="21"/>
        <v>0.17013460697552518</v>
      </c>
      <c r="H160" t="s">
        <v>13311</v>
      </c>
      <c r="I160" t="s">
        <v>6820</v>
      </c>
      <c r="J160" s="10">
        <v>23792.12</v>
      </c>
      <c r="K160" s="13">
        <f t="shared" si="22"/>
        <v>2.5054109711866944E-3</v>
      </c>
      <c r="L160" s="4">
        <f t="shared" si="23"/>
        <v>9204.1184564876585</v>
      </c>
      <c r="M160" s="13">
        <f t="shared" si="24"/>
        <v>0.38685575125241711</v>
      </c>
      <c r="O160" t="s">
        <v>13311</v>
      </c>
      <c r="P160" t="s">
        <v>9011</v>
      </c>
      <c r="Q160" s="10">
        <v>28448.84</v>
      </c>
      <c r="R160" s="13">
        <f t="shared" si="25"/>
        <v>3.1199890227182133E-3</v>
      </c>
      <c r="S160" s="4">
        <f t="shared" si="26"/>
        <v>9179.069147068114</v>
      </c>
      <c r="T160" s="13">
        <f t="shared" si="27"/>
        <v>0.32265178991720272</v>
      </c>
    </row>
    <row r="161" spans="1:20">
      <c r="A161" t="s">
        <v>13311</v>
      </c>
      <c r="B161" t="s">
        <v>6904</v>
      </c>
      <c r="C161" s="10">
        <v>48712.27</v>
      </c>
      <c r="D161" s="14">
        <f t="shared" si="19"/>
        <v>4.0236079211079193E-3</v>
      </c>
      <c r="E161" s="9">
        <f t="shared" si="20"/>
        <v>8287.6429113356644</v>
      </c>
      <c r="F161" s="13">
        <f t="shared" si="21"/>
        <v>0.17013460697552515</v>
      </c>
      <c r="H161" t="s">
        <v>13311</v>
      </c>
      <c r="I161" t="s">
        <v>7169</v>
      </c>
      <c r="J161" s="10">
        <v>9769.1200000000008</v>
      </c>
      <c r="K161" s="13">
        <f t="shared" si="22"/>
        <v>1.0287296981874403E-3</v>
      </c>
      <c r="L161" s="4">
        <f t="shared" si="23"/>
        <v>3779.2402566750134</v>
      </c>
      <c r="M161" s="13">
        <f t="shared" si="24"/>
        <v>0.38685575125241711</v>
      </c>
      <c r="O161" t="s">
        <v>13311</v>
      </c>
      <c r="P161" t="s">
        <v>9017</v>
      </c>
      <c r="Q161" s="10">
        <v>34858.85</v>
      </c>
      <c r="R161" s="13">
        <f t="shared" si="25"/>
        <v>3.8229758874028181E-3</v>
      </c>
      <c r="S161" s="4">
        <f t="shared" si="26"/>
        <v>11247.270346955282</v>
      </c>
      <c r="T161" s="13">
        <f t="shared" si="27"/>
        <v>0.32265178991720272</v>
      </c>
    </row>
    <row r="162" spans="1:20">
      <c r="A162" t="s">
        <v>13311</v>
      </c>
      <c r="B162" t="s">
        <v>6907</v>
      </c>
      <c r="C162" s="10">
        <v>11804.12</v>
      </c>
      <c r="D162" s="14">
        <f t="shared" si="19"/>
        <v>9.7501411315277292E-4</v>
      </c>
      <c r="E162" s="9">
        <f t="shared" si="20"/>
        <v>2008.2893168919366</v>
      </c>
      <c r="F162" s="13">
        <f t="shared" si="21"/>
        <v>0.17013460697552518</v>
      </c>
      <c r="H162" t="s">
        <v>13311</v>
      </c>
      <c r="I162" t="s">
        <v>7172</v>
      </c>
      <c r="J162" s="10">
        <v>117476.57</v>
      </c>
      <c r="K162" s="13">
        <f t="shared" si="22"/>
        <v>1.2370780213590959E-2</v>
      </c>
      <c r="L162" s="4">
        <f t="shared" si="23"/>
        <v>45446.486741907174</v>
      </c>
      <c r="M162" s="13">
        <f t="shared" si="24"/>
        <v>0.38685575125241717</v>
      </c>
      <c r="O162" t="s">
        <v>13311</v>
      </c>
      <c r="P162" t="s">
        <v>9020</v>
      </c>
      <c r="Q162" s="10">
        <v>22487.31</v>
      </c>
      <c r="R162" s="13">
        <f t="shared" si="25"/>
        <v>2.4661870343557599E-3</v>
      </c>
      <c r="S162" s="4">
        <f t="shared" si="26"/>
        <v>7255.5708219230128</v>
      </c>
      <c r="T162" s="13">
        <f t="shared" si="27"/>
        <v>0.32265178991720272</v>
      </c>
    </row>
    <row r="163" spans="1:20">
      <c r="A163" t="s">
        <v>13311</v>
      </c>
      <c r="B163" t="s">
        <v>5740</v>
      </c>
      <c r="C163" s="10">
        <v>12773.66</v>
      </c>
      <c r="D163" s="14">
        <f t="shared" si="19"/>
        <v>1.0550976080059375E-3</v>
      </c>
      <c r="E163" s="9">
        <f t="shared" si="20"/>
        <v>2173.2416237389871</v>
      </c>
      <c r="F163" s="13">
        <f t="shared" si="21"/>
        <v>0.17013460697552518</v>
      </c>
      <c r="H163" t="s">
        <v>13311</v>
      </c>
      <c r="I163" t="s">
        <v>7175</v>
      </c>
      <c r="J163" s="10">
        <v>12973.31</v>
      </c>
      <c r="K163" s="13">
        <f t="shared" si="22"/>
        <v>1.3661444716404445E-3</v>
      </c>
      <c r="L163" s="4">
        <f t="shared" si="23"/>
        <v>5018.7995862804955</v>
      </c>
      <c r="M163" s="13">
        <f t="shared" si="24"/>
        <v>0.38685575125241711</v>
      </c>
      <c r="O163" t="s">
        <v>13311</v>
      </c>
      <c r="P163" t="s">
        <v>9023</v>
      </c>
      <c r="Q163" s="10">
        <v>159907.87</v>
      </c>
      <c r="R163" s="13">
        <f t="shared" si="25"/>
        <v>1.7537122745470504E-2</v>
      </c>
      <c r="S163" s="4">
        <f t="shared" si="26"/>
        <v>51594.560477347361</v>
      </c>
      <c r="T163" s="13">
        <f t="shared" si="27"/>
        <v>0.32265178991720272</v>
      </c>
    </row>
    <row r="164" spans="1:20">
      <c r="A164" t="s">
        <v>13311</v>
      </c>
      <c r="B164" t="s">
        <v>5745</v>
      </c>
      <c r="C164" s="10">
        <v>5096.42</v>
      </c>
      <c r="D164" s="14">
        <f t="shared" si="19"/>
        <v>4.2096161565233616E-4</v>
      </c>
      <c r="E164" s="9">
        <f t="shared" si="20"/>
        <v>867.07741368220604</v>
      </c>
      <c r="F164" s="13">
        <f t="shared" si="21"/>
        <v>0.17013460697552518</v>
      </c>
      <c r="H164" t="s">
        <v>13311</v>
      </c>
      <c r="I164" t="s">
        <v>7178</v>
      </c>
      <c r="J164" s="10">
        <v>21037.39</v>
      </c>
      <c r="K164" s="13">
        <f t="shared" si="22"/>
        <v>2.2153262387350622E-3</v>
      </c>
      <c r="L164" s="4">
        <f t="shared" si="23"/>
        <v>8138.4353128400862</v>
      </c>
      <c r="M164" s="13">
        <f t="shared" si="24"/>
        <v>0.38685575125241706</v>
      </c>
      <c r="O164" t="s">
        <v>13311</v>
      </c>
      <c r="P164" t="s">
        <v>9026</v>
      </c>
      <c r="Q164" s="10">
        <v>33287.58</v>
      </c>
      <c r="R164" s="13">
        <f t="shared" si="25"/>
        <v>3.6506544447103767E-3</v>
      </c>
      <c r="S164" s="4">
        <f t="shared" si="26"/>
        <v>10740.297269012081</v>
      </c>
      <c r="T164" s="13">
        <f t="shared" si="27"/>
        <v>0.32265178991720272</v>
      </c>
    </row>
    <row r="165" spans="1:20">
      <c r="A165" t="s">
        <v>13311</v>
      </c>
      <c r="B165" t="s">
        <v>5757</v>
      </c>
      <c r="C165" s="10">
        <v>14524.77</v>
      </c>
      <c r="D165" s="14">
        <f t="shared" si="19"/>
        <v>1.1997383744233371E-3</v>
      </c>
      <c r="E165" s="9">
        <f t="shared" si="20"/>
        <v>2471.1660353598995</v>
      </c>
      <c r="F165" s="13">
        <f t="shared" si="21"/>
        <v>0.17013460697552521</v>
      </c>
      <c r="H165" t="s">
        <v>13311</v>
      </c>
      <c r="I165" t="s">
        <v>7181</v>
      </c>
      <c r="J165" s="10">
        <v>30742.080000000002</v>
      </c>
      <c r="K165" s="13">
        <f t="shared" si="22"/>
        <v>3.2372711851276414E-3</v>
      </c>
      <c r="L165" s="4">
        <f t="shared" si="23"/>
        <v>11892.750453461907</v>
      </c>
      <c r="M165" s="13">
        <f t="shared" si="24"/>
        <v>0.38685575125241711</v>
      </c>
      <c r="O165" t="s">
        <v>13311</v>
      </c>
      <c r="P165" t="s">
        <v>12739</v>
      </c>
      <c r="Q165" s="10">
        <v>43598.879999999997</v>
      </c>
      <c r="R165" s="13">
        <f t="shared" si="25"/>
        <v>4.7814964336967223E-3</v>
      </c>
      <c r="S165" s="4">
        <f t="shared" si="26"/>
        <v>14067.256670385332</v>
      </c>
      <c r="T165" s="13">
        <f t="shared" si="27"/>
        <v>0.32265178991720272</v>
      </c>
    </row>
    <row r="166" spans="1:20">
      <c r="A166" t="s">
        <v>13311</v>
      </c>
      <c r="B166" t="s">
        <v>5764</v>
      </c>
      <c r="C166" s="10">
        <v>50167.1</v>
      </c>
      <c r="D166" s="14">
        <f t="shared" si="19"/>
        <v>4.1437761151145924E-3</v>
      </c>
      <c r="E166" s="9">
        <f t="shared" si="20"/>
        <v>8535.1598416018696</v>
      </c>
      <c r="F166" s="13">
        <f t="shared" si="21"/>
        <v>0.17013460697552518</v>
      </c>
      <c r="H166" t="s">
        <v>13311</v>
      </c>
      <c r="I166" t="s">
        <v>6838</v>
      </c>
      <c r="J166" s="10">
        <v>61322.82</v>
      </c>
      <c r="K166" s="13">
        <f t="shared" si="22"/>
        <v>6.4575525851461261E-3</v>
      </c>
      <c r="L166" s="4">
        <f t="shared" si="23"/>
        <v>23723.085600016748</v>
      </c>
      <c r="M166" s="13">
        <f t="shared" si="24"/>
        <v>0.38685575125241711</v>
      </c>
      <c r="O166" t="s">
        <v>13311</v>
      </c>
      <c r="P166" t="s">
        <v>9032</v>
      </c>
      <c r="Q166" s="10">
        <v>93745.58</v>
      </c>
      <c r="R166" s="13">
        <f t="shared" si="25"/>
        <v>1.0281093377738849E-2</v>
      </c>
      <c r="S166" s="4">
        <f t="shared" si="26"/>
        <v>30247.17918382632</v>
      </c>
      <c r="T166" s="13">
        <f t="shared" si="27"/>
        <v>0.32265178991720272</v>
      </c>
    </row>
    <row r="167" spans="1:20">
      <c r="A167" t="s">
        <v>13311</v>
      </c>
      <c r="B167" t="s">
        <v>5770</v>
      </c>
      <c r="C167" s="10">
        <v>12800.88</v>
      </c>
      <c r="D167" s="14">
        <f t="shared" si="19"/>
        <v>1.0573459657115538E-3</v>
      </c>
      <c r="E167" s="9">
        <f t="shared" si="20"/>
        <v>2177.8726877408608</v>
      </c>
      <c r="F167" s="13">
        <f t="shared" si="21"/>
        <v>0.17013460697552518</v>
      </c>
      <c r="H167" t="s">
        <v>13311</v>
      </c>
      <c r="I167" t="s">
        <v>7187</v>
      </c>
      <c r="J167" s="10">
        <v>32236.22</v>
      </c>
      <c r="K167" s="13">
        <f t="shared" si="22"/>
        <v>3.3946104532756199E-3</v>
      </c>
      <c r="L167" s="4">
        <f t="shared" si="23"/>
        <v>12470.767105638193</v>
      </c>
      <c r="M167" s="13">
        <f t="shared" si="24"/>
        <v>0.38685575125241711</v>
      </c>
      <c r="O167" t="s">
        <v>13311</v>
      </c>
      <c r="P167" t="s">
        <v>9039</v>
      </c>
      <c r="Q167" s="10">
        <v>24781.42</v>
      </c>
      <c r="R167" s="13">
        <f t="shared" si="25"/>
        <v>2.7177824602820214E-3</v>
      </c>
      <c r="S167" s="4">
        <f t="shared" si="26"/>
        <v>7995.7695196899658</v>
      </c>
      <c r="T167" s="13">
        <f t="shared" si="27"/>
        <v>0.32265178991720272</v>
      </c>
    </row>
    <row r="168" spans="1:20">
      <c r="A168" t="s">
        <v>13311</v>
      </c>
      <c r="B168" t="s">
        <v>5788</v>
      </c>
      <c r="C168" s="10">
        <v>18276.009999999998</v>
      </c>
      <c r="D168" s="14">
        <f t="shared" si="19"/>
        <v>1.509588828487105E-3</v>
      </c>
      <c r="E168" s="9">
        <f t="shared" si="20"/>
        <v>3109.381778430768</v>
      </c>
      <c r="F168" s="13">
        <f t="shared" si="21"/>
        <v>0.17013460697552521</v>
      </c>
      <c r="H168" t="s">
        <v>13311</v>
      </c>
      <c r="I168" t="s">
        <v>7190</v>
      </c>
      <c r="J168" s="10">
        <v>22211.14</v>
      </c>
      <c r="K168" s="13">
        <f t="shared" si="22"/>
        <v>2.3389270833605257E-3</v>
      </c>
      <c r="L168" s="4">
        <f t="shared" si="23"/>
        <v>8592.5072508726116</v>
      </c>
      <c r="M168" s="13">
        <f t="shared" si="24"/>
        <v>0.38685575125241711</v>
      </c>
      <c r="O168" t="s">
        <v>13311</v>
      </c>
      <c r="P168" t="s">
        <v>9042</v>
      </c>
      <c r="Q168" s="10">
        <v>46193.11</v>
      </c>
      <c r="R168" s="13">
        <f t="shared" si="25"/>
        <v>5.0660060700265788E-3</v>
      </c>
      <c r="S168" s="4">
        <f t="shared" si="26"/>
        <v>14904.289623342238</v>
      </c>
      <c r="T168" s="13">
        <f t="shared" si="27"/>
        <v>0.32265178991720278</v>
      </c>
    </row>
    <row r="169" spans="1:20">
      <c r="A169" t="s">
        <v>13311</v>
      </c>
      <c r="B169" t="s">
        <v>5091</v>
      </c>
      <c r="C169" s="10">
        <v>13459</v>
      </c>
      <c r="D169" s="14">
        <f t="shared" si="19"/>
        <v>1.1117063321046524E-3</v>
      </c>
      <c r="E169" s="9">
        <f t="shared" si="20"/>
        <v>2289.8416752835938</v>
      </c>
      <c r="F169" s="13">
        <f t="shared" si="21"/>
        <v>0.17013460697552521</v>
      </c>
      <c r="H169" t="s">
        <v>13311</v>
      </c>
      <c r="I169" t="s">
        <v>7193</v>
      </c>
      <c r="J169" s="10">
        <v>262448.95</v>
      </c>
      <c r="K169" s="13">
        <f t="shared" si="22"/>
        <v>2.7636985636690981E-2</v>
      </c>
      <c r="L169" s="4">
        <f t="shared" si="23"/>
        <v>101529.88571765806</v>
      </c>
      <c r="M169" s="13">
        <f t="shared" si="24"/>
        <v>0.38685575125241711</v>
      </c>
      <c r="O169" t="s">
        <v>13311</v>
      </c>
      <c r="P169" t="s">
        <v>9045</v>
      </c>
      <c r="Q169" s="10">
        <v>54493.15</v>
      </c>
      <c r="R169" s="13">
        <f t="shared" si="25"/>
        <v>5.9762728397128673E-3</v>
      </c>
      <c r="S169" s="4">
        <f t="shared" si="26"/>
        <v>17582.312385726615</v>
      </c>
      <c r="T169" s="13">
        <f t="shared" si="27"/>
        <v>0.32265178991720267</v>
      </c>
    </row>
    <row r="170" spans="1:20">
      <c r="A170" t="s">
        <v>13311</v>
      </c>
      <c r="B170" t="s">
        <v>5805</v>
      </c>
      <c r="C170" s="10">
        <v>33055.06</v>
      </c>
      <c r="D170" s="14">
        <f t="shared" si="19"/>
        <v>2.7303305973771608E-3</v>
      </c>
      <c r="E170" s="9">
        <f t="shared" si="20"/>
        <v>5623.8096416524031</v>
      </c>
      <c r="F170" s="13">
        <f t="shared" si="21"/>
        <v>0.17013460697552518</v>
      </c>
      <c r="H170" t="s">
        <v>13311</v>
      </c>
      <c r="I170" t="s">
        <v>7196</v>
      </c>
      <c r="J170" s="10">
        <v>303947.92</v>
      </c>
      <c r="K170" s="13">
        <f t="shared" si="22"/>
        <v>3.2007002883197279E-2</v>
      </c>
      <c r="L170" s="4">
        <f t="shared" si="23"/>
        <v>117584.00093320957</v>
      </c>
      <c r="M170" s="13">
        <f t="shared" si="24"/>
        <v>0.38685575125241711</v>
      </c>
      <c r="O170" t="s">
        <v>13311</v>
      </c>
      <c r="P170" t="s">
        <v>9055</v>
      </c>
      <c r="Q170" s="10">
        <v>31190.89</v>
      </c>
      <c r="R170" s="13">
        <f t="shared" si="25"/>
        <v>3.4207101030766557E-3</v>
      </c>
      <c r="S170" s="4">
        <f t="shared" si="26"/>
        <v>10063.796487610578</v>
      </c>
      <c r="T170" s="13">
        <f t="shared" si="27"/>
        <v>0.32265178991720267</v>
      </c>
    </row>
    <row r="171" spans="1:20">
      <c r="A171" t="s">
        <v>13311</v>
      </c>
      <c r="B171" t="s">
        <v>5808</v>
      </c>
      <c r="C171" s="10">
        <v>76526.98</v>
      </c>
      <c r="D171" s="14">
        <f t="shared" si="19"/>
        <v>6.3210883604165307E-3</v>
      </c>
      <c r="E171" s="9">
        <f t="shared" si="20"/>
        <v>13019.887665323877</v>
      </c>
      <c r="F171" s="13">
        <f t="shared" si="21"/>
        <v>0.17013460697552521</v>
      </c>
      <c r="H171" t="s">
        <v>13311</v>
      </c>
      <c r="I171" t="s">
        <v>7199</v>
      </c>
      <c r="J171" s="10">
        <v>70183.61</v>
      </c>
      <c r="K171" s="13">
        <f t="shared" si="22"/>
        <v>7.3906312884891388E-3</v>
      </c>
      <c r="L171" s="4">
        <f t="shared" si="23"/>
        <v>27150.933172156656</v>
      </c>
      <c r="M171" s="13">
        <f t="shared" si="24"/>
        <v>0.38685575125241711</v>
      </c>
      <c r="O171" t="s">
        <v>13311</v>
      </c>
      <c r="P171" t="s">
        <v>9105</v>
      </c>
      <c r="Q171" s="10">
        <v>28182.87</v>
      </c>
      <c r="R171" s="13">
        <f t="shared" si="25"/>
        <v>3.090820048504419E-3</v>
      </c>
      <c r="S171" s="4">
        <f t="shared" si="26"/>
        <v>9093.2534505038348</v>
      </c>
      <c r="T171" s="13">
        <f t="shared" si="27"/>
        <v>0.32265178991720272</v>
      </c>
    </row>
    <row r="172" spans="1:20">
      <c r="A172" t="s">
        <v>13311</v>
      </c>
      <c r="B172" t="s">
        <v>5811</v>
      </c>
      <c r="C172" s="10">
        <v>79466.06</v>
      </c>
      <c r="D172" s="14">
        <f t="shared" si="19"/>
        <v>6.5638548249801788E-3</v>
      </c>
      <c r="E172" s="9">
        <f t="shared" si="20"/>
        <v>13519.926885993502</v>
      </c>
      <c r="F172" s="13">
        <f t="shared" si="21"/>
        <v>0.17013460697552518</v>
      </c>
      <c r="H172" t="s">
        <v>13311</v>
      </c>
      <c r="I172" t="s">
        <v>7202</v>
      </c>
      <c r="J172" s="10">
        <v>92878.79</v>
      </c>
      <c r="K172" s="13">
        <f t="shared" si="22"/>
        <v>9.7805298332618116E-3</v>
      </c>
      <c r="L172" s="4">
        <f t="shared" si="23"/>
        <v>35930.694080865484</v>
      </c>
      <c r="M172" s="13">
        <f t="shared" si="24"/>
        <v>0.38685575125241711</v>
      </c>
      <c r="O172" t="s">
        <v>13311</v>
      </c>
      <c r="P172" t="s">
        <v>9108</v>
      </c>
      <c r="Q172" s="10">
        <v>13598.66</v>
      </c>
      <c r="R172" s="13">
        <f t="shared" si="25"/>
        <v>1.4913673078999798E-3</v>
      </c>
      <c r="S172" s="4">
        <f t="shared" si="26"/>
        <v>4387.6319894754679</v>
      </c>
      <c r="T172" s="13">
        <f t="shared" si="27"/>
        <v>0.32265178991720272</v>
      </c>
    </row>
    <row r="173" spans="1:20">
      <c r="A173" t="s">
        <v>13311</v>
      </c>
      <c r="B173" t="s">
        <v>5814</v>
      </c>
      <c r="C173" s="10">
        <v>26601.61</v>
      </c>
      <c r="D173" s="14">
        <f t="shared" si="19"/>
        <v>2.1972790163591977E-3</v>
      </c>
      <c r="E173" s="9">
        <f t="shared" si="20"/>
        <v>4525.8544622662012</v>
      </c>
      <c r="F173" s="13">
        <f t="shared" si="21"/>
        <v>0.17013460697552521</v>
      </c>
      <c r="H173" t="s">
        <v>13311</v>
      </c>
      <c r="I173" t="s">
        <v>7205</v>
      </c>
      <c r="J173" s="10">
        <v>15374.42</v>
      </c>
      <c r="K173" s="13">
        <f t="shared" si="22"/>
        <v>1.6189915208746483E-3</v>
      </c>
      <c r="L173" s="4">
        <f t="shared" si="23"/>
        <v>5947.6827991701866</v>
      </c>
      <c r="M173" s="13">
        <f t="shared" si="24"/>
        <v>0.38685575125241711</v>
      </c>
      <c r="O173" t="s">
        <v>13311</v>
      </c>
      <c r="P173" t="s">
        <v>9114</v>
      </c>
      <c r="Q173" s="10">
        <v>9240.91</v>
      </c>
      <c r="R173" s="13">
        <f t="shared" si="25"/>
        <v>1.0134521393465239E-3</v>
      </c>
      <c r="S173" s="4">
        <f t="shared" si="26"/>
        <v>2981.5961519637776</v>
      </c>
      <c r="T173" s="13">
        <f t="shared" si="27"/>
        <v>0.32265178991720272</v>
      </c>
    </row>
    <row r="174" spans="1:20">
      <c r="A174" t="s">
        <v>13311</v>
      </c>
      <c r="B174" t="s">
        <v>7880</v>
      </c>
      <c r="C174" s="10">
        <v>430925.88</v>
      </c>
      <c r="D174" s="14">
        <f t="shared" si="19"/>
        <v>3.5594251390427933E-2</v>
      </c>
      <c r="E174" s="9">
        <f t="shared" si="20"/>
        <v>73315.405229382333</v>
      </c>
      <c r="F174" s="13">
        <f t="shared" si="21"/>
        <v>0.17013460697552518</v>
      </c>
      <c r="H174" t="s">
        <v>13311</v>
      </c>
      <c r="I174" t="s">
        <v>7211</v>
      </c>
      <c r="J174" s="10">
        <v>195690.54</v>
      </c>
      <c r="K174" s="13">
        <f t="shared" si="22"/>
        <v>2.0607042410405153E-2</v>
      </c>
      <c r="L174" s="4">
        <f t="shared" si="23"/>
        <v>75704.010864691183</v>
      </c>
      <c r="M174" s="13">
        <f t="shared" si="24"/>
        <v>0.38685575125241711</v>
      </c>
      <c r="O174" t="s">
        <v>13311</v>
      </c>
      <c r="P174" t="s">
        <v>9117</v>
      </c>
      <c r="Q174" s="10">
        <v>120455.06</v>
      </c>
      <c r="R174" s="13">
        <f t="shared" si="25"/>
        <v>1.3210326499458809E-2</v>
      </c>
      <c r="S174" s="4">
        <f t="shared" si="26"/>
        <v>38865.040713584051</v>
      </c>
      <c r="T174" s="13">
        <f t="shared" si="27"/>
        <v>0.32265178991720272</v>
      </c>
    </row>
    <row r="175" spans="1:20">
      <c r="A175" t="s">
        <v>13311</v>
      </c>
      <c r="B175" t="s">
        <v>5122</v>
      </c>
      <c r="C175" s="10">
        <v>22031.87</v>
      </c>
      <c r="D175" s="14">
        <f t="shared" si="19"/>
        <v>1.8198208921247142E-3</v>
      </c>
      <c r="E175" s="9">
        <f t="shared" si="20"/>
        <v>3748.3835433858644</v>
      </c>
      <c r="F175" s="13">
        <f t="shared" si="21"/>
        <v>0.17013460697552521</v>
      </c>
      <c r="H175" t="s">
        <v>13311</v>
      </c>
      <c r="I175" t="s">
        <v>7217</v>
      </c>
      <c r="J175" s="10">
        <v>2596.65</v>
      </c>
      <c r="K175" s="13">
        <f t="shared" si="22"/>
        <v>2.7343823914522666E-4</v>
      </c>
      <c r="L175" s="4">
        <f t="shared" si="23"/>
        <v>1004.5289864895889</v>
      </c>
      <c r="M175" s="13">
        <f t="shared" si="24"/>
        <v>0.38685575125241711</v>
      </c>
      <c r="O175" t="s">
        <v>13311</v>
      </c>
      <c r="P175" t="s">
        <v>9119</v>
      </c>
      <c r="Q175" s="10">
        <v>4805.51</v>
      </c>
      <c r="R175" s="13">
        <f t="shared" si="25"/>
        <v>5.270210823556462E-4</v>
      </c>
      <c r="S175" s="4">
        <f t="shared" si="26"/>
        <v>1550.5064029650168</v>
      </c>
      <c r="T175" s="13">
        <f t="shared" si="27"/>
        <v>0.32265178991720272</v>
      </c>
    </row>
    <row r="176" spans="1:20">
      <c r="A176" t="s">
        <v>13311</v>
      </c>
      <c r="B176" t="s">
        <v>5352</v>
      </c>
      <c r="C176" s="10">
        <v>57604.35</v>
      </c>
      <c r="D176" s="14">
        <f t="shared" si="19"/>
        <v>4.7580890594971859E-3</v>
      </c>
      <c r="E176" s="9">
        <f t="shared" si="20"/>
        <v>9800.493447330593</v>
      </c>
      <c r="F176" s="13">
        <f t="shared" si="21"/>
        <v>0.17013460697552515</v>
      </c>
      <c r="H176" t="s">
        <v>13311</v>
      </c>
      <c r="I176" t="s">
        <v>7220</v>
      </c>
      <c r="J176" s="10">
        <v>78631.72</v>
      </c>
      <c r="K176" s="13">
        <f t="shared" si="22"/>
        <v>8.280253040556294E-3</v>
      </c>
      <c r="L176" s="4">
        <f t="shared" si="23"/>
        <v>30419.133112869709</v>
      </c>
      <c r="M176" s="13">
        <f t="shared" si="24"/>
        <v>0.38685575125241706</v>
      </c>
      <c r="O176" t="s">
        <v>13311</v>
      </c>
      <c r="P176" t="s">
        <v>9122</v>
      </c>
      <c r="Q176" s="10">
        <v>7487.5</v>
      </c>
      <c r="R176" s="13">
        <f t="shared" si="25"/>
        <v>8.2115537250737191E-4</v>
      </c>
      <c r="S176" s="4">
        <f t="shared" si="26"/>
        <v>2415.8552770050555</v>
      </c>
      <c r="T176" s="13">
        <f t="shared" si="27"/>
        <v>0.32265178991720272</v>
      </c>
    </row>
    <row r="177" spans="1:20">
      <c r="A177" t="s">
        <v>13311</v>
      </c>
      <c r="B177" t="s">
        <v>5363</v>
      </c>
      <c r="C177" s="10">
        <v>2398.4</v>
      </c>
      <c r="D177" s="14">
        <f t="shared" si="19"/>
        <v>1.9810658049779318E-4</v>
      </c>
      <c r="E177" s="9">
        <f t="shared" si="20"/>
        <v>408.05084137009965</v>
      </c>
      <c r="F177" s="13">
        <f t="shared" si="21"/>
        <v>0.17013460697552521</v>
      </c>
      <c r="H177" t="s">
        <v>13311</v>
      </c>
      <c r="I177" t="s">
        <v>7223</v>
      </c>
      <c r="J177" s="10">
        <v>4492.42</v>
      </c>
      <c r="K177" s="13">
        <f t="shared" si="22"/>
        <v>4.7307084678366323E-4</v>
      </c>
      <c r="L177" s="4">
        <f t="shared" si="23"/>
        <v>1737.9185140413836</v>
      </c>
      <c r="M177" s="13">
        <f t="shared" si="24"/>
        <v>0.38685575125241706</v>
      </c>
      <c r="O177" t="s">
        <v>13311</v>
      </c>
      <c r="P177" t="s">
        <v>9124</v>
      </c>
      <c r="Q177" s="10">
        <v>22497.42</v>
      </c>
      <c r="R177" s="13">
        <f t="shared" si="25"/>
        <v>2.4672957997402068E-3</v>
      </c>
      <c r="S177" s="4">
        <f t="shared" si="26"/>
        <v>7258.8328315190747</v>
      </c>
      <c r="T177" s="13">
        <f t="shared" si="27"/>
        <v>0.32265178991720272</v>
      </c>
    </row>
    <row r="178" spans="1:20">
      <c r="A178" t="s">
        <v>13311</v>
      </c>
      <c r="B178" t="s">
        <v>5842</v>
      </c>
      <c r="C178" s="10">
        <v>40174.57</v>
      </c>
      <c r="D178" s="14">
        <f t="shared" si="19"/>
        <v>3.3183983846185902E-3</v>
      </c>
      <c r="E178" s="9">
        <f t="shared" si="20"/>
        <v>6835.0846773607254</v>
      </c>
      <c r="F178" s="13">
        <f t="shared" si="21"/>
        <v>0.17013460697552521</v>
      </c>
      <c r="H178" t="s">
        <v>13311</v>
      </c>
      <c r="I178" t="s">
        <v>7226</v>
      </c>
      <c r="J178" s="10">
        <v>28343.11</v>
      </c>
      <c r="K178" s="13">
        <f t="shared" si="22"/>
        <v>2.9846494869541391E-3</v>
      </c>
      <c r="L178" s="4">
        <f t="shared" si="23"/>
        <v>10964.695111879897</v>
      </c>
      <c r="M178" s="13">
        <f t="shared" si="24"/>
        <v>0.38685575125241717</v>
      </c>
      <c r="O178" t="s">
        <v>13311</v>
      </c>
      <c r="P178" t="s">
        <v>9126</v>
      </c>
      <c r="Q178" s="10">
        <v>5648.66</v>
      </c>
      <c r="R178" s="13">
        <f t="shared" si="25"/>
        <v>6.1948948333455638E-4</v>
      </c>
      <c r="S178" s="4">
        <f t="shared" si="26"/>
        <v>1822.5502596337062</v>
      </c>
      <c r="T178" s="13">
        <f t="shared" si="27"/>
        <v>0.32265178991720272</v>
      </c>
    </row>
    <row r="179" spans="1:20">
      <c r="A179" t="s">
        <v>13311</v>
      </c>
      <c r="B179" t="s">
        <v>5856</v>
      </c>
      <c r="C179" s="10">
        <v>169503.86</v>
      </c>
      <c r="D179" s="14">
        <f t="shared" si="19"/>
        <v>1.4000929822288467E-2</v>
      </c>
      <c r="E179" s="9">
        <f t="shared" si="20"/>
        <v>28838.472601934442</v>
      </c>
      <c r="F179" s="13">
        <f t="shared" si="21"/>
        <v>0.17013460697552518</v>
      </c>
      <c r="H179" t="s">
        <v>13311</v>
      </c>
      <c r="I179" t="s">
        <v>7232</v>
      </c>
      <c r="J179" s="10">
        <v>3468.08</v>
      </c>
      <c r="K179" s="13">
        <f t="shared" si="22"/>
        <v>3.6520350775606173E-4</v>
      </c>
      <c r="L179" s="4">
        <f t="shared" si="23"/>
        <v>1341.6466938034828</v>
      </c>
      <c r="M179" s="13">
        <f t="shared" si="24"/>
        <v>0.38685575125241711</v>
      </c>
      <c r="O179" t="s">
        <v>13311</v>
      </c>
      <c r="P179" t="s">
        <v>11617</v>
      </c>
      <c r="Q179" s="10">
        <v>68633.06</v>
      </c>
      <c r="R179" s="13">
        <f t="shared" si="25"/>
        <v>7.5269991252915934E-3</v>
      </c>
      <c r="S179" s="4">
        <f t="shared" si="26"/>
        <v>22144.57965649477</v>
      </c>
      <c r="T179" s="13">
        <f t="shared" si="27"/>
        <v>0.32265178991720272</v>
      </c>
    </row>
    <row r="180" spans="1:20">
      <c r="A180" t="s">
        <v>13311</v>
      </c>
      <c r="B180" t="s">
        <v>7941</v>
      </c>
      <c r="C180" s="10">
        <v>8450.15</v>
      </c>
      <c r="D180" s="14">
        <f t="shared" si="19"/>
        <v>6.979779524655716E-4</v>
      </c>
      <c r="E180" s="9">
        <f t="shared" si="20"/>
        <v>1437.6629491342342</v>
      </c>
      <c r="F180" s="13">
        <f t="shared" si="21"/>
        <v>0.17013460697552518</v>
      </c>
      <c r="H180" t="s">
        <v>13311</v>
      </c>
      <c r="I180" t="s">
        <v>7235</v>
      </c>
      <c r="J180" s="10">
        <v>31557.08</v>
      </c>
      <c r="K180" s="13">
        <f t="shared" si="22"/>
        <v>3.3230941358153967E-3</v>
      </c>
      <c r="L180" s="4">
        <f t="shared" si="23"/>
        <v>12208.037890732629</v>
      </c>
      <c r="M180" s="13">
        <f t="shared" si="24"/>
        <v>0.38685575125241711</v>
      </c>
      <c r="O180" t="s">
        <v>13311</v>
      </c>
      <c r="P180" t="s">
        <v>9133</v>
      </c>
      <c r="Q180" s="10">
        <v>55874.74</v>
      </c>
      <c r="R180" s="13">
        <f t="shared" si="25"/>
        <v>6.1277920452023444E-3</v>
      </c>
      <c r="S180" s="4">
        <f t="shared" si="26"/>
        <v>18028.084872158324</v>
      </c>
      <c r="T180" s="13">
        <f t="shared" si="27"/>
        <v>0.32265178991720272</v>
      </c>
    </row>
    <row r="181" spans="1:20">
      <c r="A181" t="s">
        <v>13311</v>
      </c>
      <c r="B181" t="s">
        <v>5877</v>
      </c>
      <c r="C181" s="10">
        <v>36768.76</v>
      </c>
      <c r="D181" s="14">
        <f t="shared" si="19"/>
        <v>3.0370802671547859E-3</v>
      </c>
      <c r="E181" s="9">
        <f t="shared" si="20"/>
        <v>6255.6385315774123</v>
      </c>
      <c r="F181" s="13">
        <f t="shared" si="21"/>
        <v>0.17013460697552521</v>
      </c>
      <c r="H181" t="s">
        <v>13311</v>
      </c>
      <c r="I181" t="s">
        <v>7241</v>
      </c>
      <c r="J181" s="10">
        <v>52312.97</v>
      </c>
      <c r="K181" s="13">
        <f t="shared" si="22"/>
        <v>5.5087772326871424E-3</v>
      </c>
      <c r="L181" s="4">
        <f t="shared" si="23"/>
        <v>20237.573309595158</v>
      </c>
      <c r="M181" s="13">
        <f t="shared" si="24"/>
        <v>0.38685575125241711</v>
      </c>
      <c r="O181" t="s">
        <v>13311</v>
      </c>
      <c r="P181" t="s">
        <v>9135</v>
      </c>
      <c r="Q181" s="10">
        <v>59067.14</v>
      </c>
      <c r="R181" s="13">
        <f t="shared" si="25"/>
        <v>6.4779030850945028E-3</v>
      </c>
      <c r="S181" s="4">
        <f t="shared" si="26"/>
        <v>19058.118446290002</v>
      </c>
      <c r="T181" s="13">
        <f t="shared" si="27"/>
        <v>0.32265178991720272</v>
      </c>
    </row>
    <row r="182" spans="1:20">
      <c r="A182" t="s">
        <v>13311</v>
      </c>
      <c r="B182" t="s">
        <v>7946</v>
      </c>
      <c r="C182" s="10">
        <v>40453.4</v>
      </c>
      <c r="D182" s="14">
        <f t="shared" si="19"/>
        <v>3.3414295961930562E-3</v>
      </c>
      <c r="E182" s="9">
        <f t="shared" si="20"/>
        <v>6882.5233098237104</v>
      </c>
      <c r="F182" s="13">
        <f t="shared" si="21"/>
        <v>0.17013460697552518</v>
      </c>
      <c r="H182" t="s">
        <v>13311</v>
      </c>
      <c r="I182" t="s">
        <v>7244</v>
      </c>
      <c r="J182" s="10">
        <v>15225.35</v>
      </c>
      <c r="K182" s="13">
        <f t="shared" si="22"/>
        <v>1.6032938187163371E-3</v>
      </c>
      <c r="L182" s="4">
        <f t="shared" si="23"/>
        <v>5890.0142123309888</v>
      </c>
      <c r="M182" s="13">
        <f t="shared" si="24"/>
        <v>0.38685575125241711</v>
      </c>
      <c r="O182" t="s">
        <v>13311</v>
      </c>
      <c r="P182" t="s">
        <v>9137</v>
      </c>
      <c r="Q182" s="10">
        <v>3404.42</v>
      </c>
      <c r="R182" s="13">
        <f t="shared" si="25"/>
        <v>3.7336330861723499E-4</v>
      </c>
      <c r="S182" s="4">
        <f t="shared" si="26"/>
        <v>1098.4422066299232</v>
      </c>
      <c r="T182" s="13">
        <f t="shared" si="27"/>
        <v>0.32265178991720272</v>
      </c>
    </row>
    <row r="183" spans="1:20">
      <c r="A183" t="s">
        <v>13311</v>
      </c>
      <c r="B183" t="s">
        <v>5886</v>
      </c>
      <c r="C183" s="10">
        <v>50144.76</v>
      </c>
      <c r="D183" s="14">
        <f t="shared" si="19"/>
        <v>4.1419308428462809E-3</v>
      </c>
      <c r="E183" s="9">
        <f t="shared" si="20"/>
        <v>8531.3590344820368</v>
      </c>
      <c r="F183" s="13">
        <f t="shared" si="21"/>
        <v>0.17013460697552518</v>
      </c>
      <c r="H183" t="s">
        <v>13311</v>
      </c>
      <c r="I183" t="s">
        <v>7247</v>
      </c>
      <c r="J183" s="10">
        <v>20432.46</v>
      </c>
      <c r="K183" s="13">
        <f t="shared" si="22"/>
        <v>2.1516245484779536E-3</v>
      </c>
      <c r="L183" s="4">
        <f t="shared" si="23"/>
        <v>7904.414663234963</v>
      </c>
      <c r="M183" s="13">
        <f t="shared" si="24"/>
        <v>0.38685575125241717</v>
      </c>
      <c r="O183" t="s">
        <v>13311</v>
      </c>
      <c r="P183" t="s">
        <v>9139</v>
      </c>
      <c r="Q183" s="10">
        <v>14604.28</v>
      </c>
      <c r="R183" s="13">
        <f t="shared" si="25"/>
        <v>1.6016538208483422E-3</v>
      </c>
      <c r="S183" s="4">
        <f t="shared" si="26"/>
        <v>4712.0970824520055</v>
      </c>
      <c r="T183" s="13">
        <f t="shared" si="27"/>
        <v>0.32265178991720272</v>
      </c>
    </row>
    <row r="184" spans="1:20">
      <c r="A184" t="s">
        <v>13311</v>
      </c>
      <c r="B184" t="s">
        <v>5889</v>
      </c>
      <c r="C184" s="10">
        <v>26135.38</v>
      </c>
      <c r="D184" s="14">
        <f t="shared" si="19"/>
        <v>2.1587686631964701E-3</v>
      </c>
      <c r="E184" s="9">
        <f t="shared" si="20"/>
        <v>4446.5326044560015</v>
      </c>
      <c r="F184" s="13">
        <f t="shared" si="21"/>
        <v>0.17013460697552518</v>
      </c>
      <c r="H184" t="s">
        <v>13311</v>
      </c>
      <c r="I184" t="s">
        <v>7250</v>
      </c>
      <c r="J184" s="10">
        <v>22260.84</v>
      </c>
      <c r="K184" s="13">
        <f t="shared" si="22"/>
        <v>2.3441607037889695E-3</v>
      </c>
      <c r="L184" s="4">
        <f t="shared" si="23"/>
        <v>8611.7339817098564</v>
      </c>
      <c r="M184" s="13">
        <f t="shared" si="24"/>
        <v>0.38685575125241706</v>
      </c>
      <c r="O184" t="s">
        <v>13311</v>
      </c>
      <c r="P184" t="s">
        <v>9141</v>
      </c>
      <c r="Q184" s="10">
        <v>14405.06</v>
      </c>
      <c r="R184" s="13">
        <f t="shared" si="25"/>
        <v>1.5798053302558989E-3</v>
      </c>
      <c r="S184" s="4">
        <f t="shared" si="26"/>
        <v>4647.8183928647004</v>
      </c>
      <c r="T184" s="13">
        <f t="shared" si="27"/>
        <v>0.32265178991720272</v>
      </c>
    </row>
    <row r="185" spans="1:20">
      <c r="A185" t="s">
        <v>13311</v>
      </c>
      <c r="B185" t="s">
        <v>5897</v>
      </c>
      <c r="C185" s="10">
        <v>24312.62</v>
      </c>
      <c r="D185" s="14">
        <f t="shared" si="19"/>
        <v>2.0082096444055436E-3</v>
      </c>
      <c r="E185" s="9">
        <f t="shared" si="20"/>
        <v>4136.418048245293</v>
      </c>
      <c r="F185" s="13">
        <f t="shared" si="21"/>
        <v>0.17013460697552518</v>
      </c>
      <c r="H185" t="s">
        <v>13311</v>
      </c>
      <c r="I185" t="s">
        <v>7253</v>
      </c>
      <c r="J185" s="10">
        <v>33792.93</v>
      </c>
      <c r="K185" s="13">
        <f t="shared" si="22"/>
        <v>3.5585386073432707E-3</v>
      </c>
      <c r="L185" s="4">
        <f t="shared" si="23"/>
        <v>13072.989322170344</v>
      </c>
      <c r="M185" s="13">
        <f t="shared" si="24"/>
        <v>0.38685575125241711</v>
      </c>
      <c r="O185" t="s">
        <v>13311</v>
      </c>
      <c r="P185" t="s">
        <v>5174</v>
      </c>
      <c r="Q185" s="10">
        <v>19239.12</v>
      </c>
      <c r="R185" s="13">
        <f t="shared" si="25"/>
        <v>2.1099574958683177E-3</v>
      </c>
      <c r="S185" s="4">
        <f t="shared" si="26"/>
        <v>6207.5365044318532</v>
      </c>
      <c r="T185" s="13">
        <f t="shared" si="27"/>
        <v>0.32265178991720272</v>
      </c>
    </row>
    <row r="186" spans="1:20">
      <c r="A186" t="s">
        <v>13311</v>
      </c>
      <c r="B186" t="s">
        <v>5900</v>
      </c>
      <c r="C186" s="10">
        <v>30568.61</v>
      </c>
      <c r="D186" s="14">
        <f t="shared" si="19"/>
        <v>2.5249511331181811E-3</v>
      </c>
      <c r="E186" s="9">
        <f t="shared" si="20"/>
        <v>5200.7784481381095</v>
      </c>
      <c r="F186" s="13">
        <f t="shared" si="21"/>
        <v>0.17013460697552521</v>
      </c>
      <c r="H186" t="s">
        <v>13311</v>
      </c>
      <c r="I186" t="s">
        <v>7262</v>
      </c>
      <c r="J186" s="10">
        <v>17325.04</v>
      </c>
      <c r="K186" s="13">
        <f t="shared" si="22"/>
        <v>1.824400065746488E-3</v>
      </c>
      <c r="L186" s="4">
        <f t="shared" si="23"/>
        <v>6702.2913646781772</v>
      </c>
      <c r="M186" s="13">
        <f t="shared" si="24"/>
        <v>0.38685575125241711</v>
      </c>
      <c r="O186" t="s">
        <v>13311</v>
      </c>
      <c r="P186" t="s">
        <v>12707</v>
      </c>
      <c r="Q186" s="10">
        <v>63496.37</v>
      </c>
      <c r="R186" s="13">
        <f t="shared" si="25"/>
        <v>6.9636574771573846E-3</v>
      </c>
      <c r="S186" s="4">
        <f t="shared" si="26"/>
        <v>20487.217433744976</v>
      </c>
      <c r="T186" s="13">
        <f t="shared" si="27"/>
        <v>0.32265178991720272</v>
      </c>
    </row>
    <row r="187" spans="1:20">
      <c r="A187" t="s">
        <v>13311</v>
      </c>
      <c r="B187" t="s">
        <v>5903</v>
      </c>
      <c r="C187" s="10">
        <v>9260.41</v>
      </c>
      <c r="D187" s="14">
        <f t="shared" si="19"/>
        <v>7.6490500296346267E-4</v>
      </c>
      <c r="E187" s="9">
        <f t="shared" si="20"/>
        <v>1575.5162157822233</v>
      </c>
      <c r="F187" s="13">
        <f t="shared" si="21"/>
        <v>0.17013460697552521</v>
      </c>
      <c r="H187" t="s">
        <v>13311</v>
      </c>
      <c r="I187" t="s">
        <v>7265</v>
      </c>
      <c r="J187" s="10">
        <v>45344.22</v>
      </c>
      <c r="K187" s="13">
        <f t="shared" si="22"/>
        <v>4.7749383521898487E-3</v>
      </c>
      <c r="L187" s="4">
        <f t="shared" si="23"/>
        <v>17541.672293054879</v>
      </c>
      <c r="M187" s="13">
        <f t="shared" si="24"/>
        <v>0.38685575125241711</v>
      </c>
      <c r="O187" t="s">
        <v>13311</v>
      </c>
      <c r="P187" t="s">
        <v>12742</v>
      </c>
      <c r="Q187" s="10">
        <v>48000.04</v>
      </c>
      <c r="R187" s="13">
        <f t="shared" si="25"/>
        <v>5.2641723841828055E-3</v>
      </c>
      <c r="S187" s="4">
        <f t="shared" si="26"/>
        <v>15487.298822097329</v>
      </c>
      <c r="T187" s="13">
        <f t="shared" si="27"/>
        <v>0.32265178991720278</v>
      </c>
    </row>
    <row r="188" spans="1:20">
      <c r="A188" t="s">
        <v>13311</v>
      </c>
      <c r="B188" t="s">
        <v>5908</v>
      </c>
      <c r="C188" s="10">
        <v>2429.94</v>
      </c>
      <c r="D188" s="14">
        <f t="shared" si="19"/>
        <v>2.00711767934793E-4</v>
      </c>
      <c r="E188" s="9">
        <f t="shared" si="20"/>
        <v>413.41688687410766</v>
      </c>
      <c r="F188" s="13">
        <f t="shared" si="21"/>
        <v>0.17013460697552518</v>
      </c>
      <c r="H188" t="s">
        <v>13311</v>
      </c>
      <c r="I188" t="s">
        <v>6847</v>
      </c>
      <c r="J188" s="10">
        <v>15978.43</v>
      </c>
      <c r="K188" s="13">
        <f t="shared" si="22"/>
        <v>1.6825963312365024E-3</v>
      </c>
      <c r="L188" s="4">
        <f t="shared" si="23"/>
        <v>6181.3475414841587</v>
      </c>
      <c r="M188" s="13">
        <f t="shared" si="24"/>
        <v>0.38685575125241706</v>
      </c>
      <c r="O188" t="s">
        <v>13311</v>
      </c>
      <c r="P188" t="s">
        <v>13004</v>
      </c>
      <c r="Q188" s="10">
        <v>78447.97</v>
      </c>
      <c r="R188" s="13">
        <f t="shared" si="25"/>
        <v>8.6034019402734078E-3</v>
      </c>
      <c r="S188" s="4">
        <f t="shared" si="26"/>
        <v>25311.377935871024</v>
      </c>
      <c r="T188" s="13">
        <f t="shared" si="27"/>
        <v>0.32265178991720272</v>
      </c>
    </row>
    <row r="189" spans="1:20">
      <c r="A189" t="s">
        <v>13311</v>
      </c>
      <c r="B189" t="s">
        <v>5482</v>
      </c>
      <c r="C189" s="10">
        <v>17629.919999999998</v>
      </c>
      <c r="D189" s="14">
        <f t="shared" si="19"/>
        <v>1.45622213377654E-3</v>
      </c>
      <c r="E189" s="9">
        <f t="shared" si="20"/>
        <v>2999.4595102099511</v>
      </c>
      <c r="F189" s="13">
        <f t="shared" si="21"/>
        <v>0.17013460697552521</v>
      </c>
      <c r="H189" t="s">
        <v>13311</v>
      </c>
      <c r="I189" t="s">
        <v>7274</v>
      </c>
      <c r="J189" s="10">
        <v>11040.82</v>
      </c>
      <c r="K189" s="13">
        <f t="shared" si="22"/>
        <v>1.1626450925305302E-3</v>
      </c>
      <c r="L189" s="4">
        <f t="shared" si="23"/>
        <v>4271.2047155427117</v>
      </c>
      <c r="M189" s="13">
        <f t="shared" si="24"/>
        <v>0.38685575125241711</v>
      </c>
      <c r="O189" t="s">
        <v>13311</v>
      </c>
      <c r="P189" t="s">
        <v>13037</v>
      </c>
      <c r="Q189" s="10">
        <v>21504.880000000001</v>
      </c>
      <c r="R189" s="13">
        <f t="shared" si="25"/>
        <v>2.3584437725711295E-3</v>
      </c>
      <c r="S189" s="4">
        <f t="shared" si="26"/>
        <v>6938.5880239546541</v>
      </c>
      <c r="T189" s="13">
        <f t="shared" si="27"/>
        <v>0.32265178991720267</v>
      </c>
    </row>
    <row r="190" spans="1:20">
      <c r="A190" t="s">
        <v>13311</v>
      </c>
      <c r="B190" t="s">
        <v>5489</v>
      </c>
      <c r="C190" s="10">
        <v>4931.21</v>
      </c>
      <c r="D190" s="14">
        <f t="shared" si="19"/>
        <v>4.0731535641115856E-4</v>
      </c>
      <c r="E190" s="9">
        <f t="shared" si="20"/>
        <v>838.9694752637796</v>
      </c>
      <c r="F190" s="13">
        <f t="shared" si="21"/>
        <v>0.17013460697552518</v>
      </c>
      <c r="H190" t="s">
        <v>13311</v>
      </c>
      <c r="I190" t="s">
        <v>5561</v>
      </c>
      <c r="J190" s="10">
        <v>32274.35</v>
      </c>
      <c r="K190" s="13">
        <f t="shared" si="22"/>
        <v>3.3986257037169989E-3</v>
      </c>
      <c r="L190" s="4">
        <f t="shared" si="23"/>
        <v>12485.517915433447</v>
      </c>
      <c r="M190" s="13">
        <f t="shared" si="24"/>
        <v>0.38685575125241711</v>
      </c>
      <c r="O190" t="s">
        <v>13311</v>
      </c>
      <c r="P190" t="s">
        <v>13168</v>
      </c>
      <c r="Q190" s="10">
        <v>42473.84</v>
      </c>
      <c r="R190" s="13">
        <f t="shared" si="25"/>
        <v>4.6581131094515539E-3</v>
      </c>
      <c r="S190" s="4">
        <f t="shared" si="26"/>
        <v>13704.260500656881</v>
      </c>
      <c r="T190" s="13">
        <f t="shared" si="27"/>
        <v>0.32265178991720272</v>
      </c>
    </row>
    <row r="191" spans="1:20">
      <c r="A191" t="s">
        <v>13311</v>
      </c>
      <c r="B191" t="s">
        <v>5914</v>
      </c>
      <c r="C191" s="10">
        <v>14487.3</v>
      </c>
      <c r="D191" s="14">
        <f t="shared" si="19"/>
        <v>1.1966433721004332E-3</v>
      </c>
      <c r="E191" s="9">
        <f t="shared" si="20"/>
        <v>2464.7910916365263</v>
      </c>
      <c r="F191" s="13">
        <f t="shared" si="21"/>
        <v>0.17013460697552521</v>
      </c>
      <c r="H191" t="s">
        <v>13311</v>
      </c>
      <c r="I191" t="s">
        <v>6388</v>
      </c>
      <c r="J191" s="10">
        <v>22752</v>
      </c>
      <c r="K191" s="13">
        <f t="shared" si="22"/>
        <v>2.3958819313470037E-3</v>
      </c>
      <c r="L191" s="4">
        <f t="shared" si="23"/>
        <v>8801.7420524949939</v>
      </c>
      <c r="M191" s="13">
        <f t="shared" si="24"/>
        <v>0.38685575125241711</v>
      </c>
      <c r="O191" t="s">
        <v>13311</v>
      </c>
      <c r="P191" t="s">
        <v>12748</v>
      </c>
      <c r="Q191" s="10">
        <v>73840.38</v>
      </c>
      <c r="R191" s="13">
        <f t="shared" si="25"/>
        <v>8.0980867772936088E-3</v>
      </c>
      <c r="S191" s="4">
        <f t="shared" si="26"/>
        <v>23824.730775166419</v>
      </c>
      <c r="T191" s="13">
        <f t="shared" si="27"/>
        <v>0.32265178991720272</v>
      </c>
    </row>
    <row r="192" spans="1:20">
      <c r="A192" t="s">
        <v>13311</v>
      </c>
      <c r="B192" t="s">
        <v>3930</v>
      </c>
      <c r="C192" s="10">
        <v>16907.849999999999</v>
      </c>
      <c r="D192" s="14">
        <f t="shared" si="19"/>
        <v>1.3965795309663158E-3</v>
      </c>
      <c r="E192" s="9">
        <f t="shared" si="20"/>
        <v>2876.6104145511335</v>
      </c>
      <c r="F192" s="13">
        <f t="shared" si="21"/>
        <v>0.17013460697552521</v>
      </c>
      <c r="H192" t="s">
        <v>13311</v>
      </c>
      <c r="I192" t="s">
        <v>6796</v>
      </c>
      <c r="J192" s="10">
        <v>5271.51</v>
      </c>
      <c r="K192" s="13">
        <f t="shared" si="22"/>
        <v>5.5511232242945864E-4</v>
      </c>
      <c r="L192" s="4">
        <f t="shared" si="23"/>
        <v>2039.3139612846294</v>
      </c>
      <c r="M192" s="13">
        <f t="shared" si="24"/>
        <v>0.38685575125241711</v>
      </c>
      <c r="O192" t="s">
        <v>13311</v>
      </c>
      <c r="P192" t="s">
        <v>7703</v>
      </c>
      <c r="Q192" s="10">
        <v>22669.08</v>
      </c>
      <c r="R192" s="13">
        <f t="shared" si="25"/>
        <v>2.4861217805408234E-3</v>
      </c>
      <c r="S192" s="4">
        <f t="shared" si="26"/>
        <v>7314.2192377762622</v>
      </c>
      <c r="T192" s="13">
        <f t="shared" si="27"/>
        <v>0.32265178991720272</v>
      </c>
    </row>
    <row r="193" spans="1:20">
      <c r="A193" t="s">
        <v>13311</v>
      </c>
      <c r="B193" t="s">
        <v>8012</v>
      </c>
      <c r="C193" s="10">
        <v>9260.73</v>
      </c>
      <c r="D193" s="14">
        <f t="shared" si="19"/>
        <v>7.6493143479541695E-4</v>
      </c>
      <c r="E193" s="9">
        <f t="shared" si="20"/>
        <v>1575.5706588564553</v>
      </c>
      <c r="F193" s="13">
        <f t="shared" si="21"/>
        <v>0.17013460697552518</v>
      </c>
      <c r="H193" t="s">
        <v>13311</v>
      </c>
      <c r="I193" t="s">
        <v>18185</v>
      </c>
      <c r="J193" s="10">
        <v>12807.31</v>
      </c>
      <c r="K193" s="13">
        <f t="shared" si="22"/>
        <v>1.3486639688009754E-3</v>
      </c>
      <c r="L193" s="4">
        <f t="shared" si="23"/>
        <v>4954.581531572594</v>
      </c>
      <c r="M193" s="13">
        <f t="shared" si="24"/>
        <v>0.38685575125241711</v>
      </c>
      <c r="O193" t="s">
        <v>13311</v>
      </c>
      <c r="P193" t="s">
        <v>19779</v>
      </c>
      <c r="Q193" s="10">
        <v>10493.15</v>
      </c>
      <c r="R193" s="13">
        <f t="shared" si="25"/>
        <v>1.1507855087847384E-3</v>
      </c>
      <c r="S193" s="4">
        <f t="shared" si="26"/>
        <v>3385.6336293696954</v>
      </c>
      <c r="T193" s="13">
        <f t="shared" si="27"/>
        <v>0.32265178991720272</v>
      </c>
    </row>
    <row r="194" spans="1:20">
      <c r="A194" t="s">
        <v>13311</v>
      </c>
      <c r="B194" t="s">
        <v>11590</v>
      </c>
      <c r="C194" s="10">
        <v>11622.69</v>
      </c>
      <c r="D194" s="14">
        <f t="shared" si="19"/>
        <v>9.6002809042940954E-4</v>
      </c>
      <c r="E194" s="9">
        <f t="shared" si="20"/>
        <v>1977.421795148367</v>
      </c>
      <c r="F194" s="13">
        <f t="shared" si="21"/>
        <v>0.17013460697552518</v>
      </c>
      <c r="H194" t="s">
        <v>13311</v>
      </c>
      <c r="I194" t="s">
        <v>6018</v>
      </c>
      <c r="J194" s="10">
        <v>87411.9</v>
      </c>
      <c r="K194" s="13">
        <f t="shared" si="22"/>
        <v>9.2048431695987663E-3</v>
      </c>
      <c r="L194" s="4">
        <f t="shared" ref="L194:L206" si="28">K194*$E$4</f>
        <v>33815.79624290116</v>
      </c>
      <c r="M194" s="13">
        <f t="shared" si="24"/>
        <v>0.38685575125241717</v>
      </c>
      <c r="O194" t="s">
        <v>13311</v>
      </c>
      <c r="P194" t="s">
        <v>5966</v>
      </c>
      <c r="Q194" s="10">
        <v>50766.48</v>
      </c>
      <c r="R194" s="13">
        <f t="shared" si="25"/>
        <v>5.5675683199049144E-3</v>
      </c>
      <c r="S194" s="4">
        <f t="shared" si="26"/>
        <v>16379.895639795874</v>
      </c>
      <c r="T194" s="13">
        <f t="shared" si="27"/>
        <v>0.32265178991720272</v>
      </c>
    </row>
    <row r="195" spans="1:20">
      <c r="A195" t="s">
        <v>13311</v>
      </c>
      <c r="B195" t="s">
        <v>6055</v>
      </c>
      <c r="C195" s="10">
        <v>55903.88</v>
      </c>
      <c r="D195" s="14">
        <f t="shared" si="19"/>
        <v>4.6176311304865613E-3</v>
      </c>
      <c r="E195" s="9">
        <f t="shared" si="20"/>
        <v>9511.1846522069227</v>
      </c>
      <c r="F195" s="13">
        <f t="shared" si="21"/>
        <v>0.17013460697552518</v>
      </c>
      <c r="H195" t="s">
        <v>13311</v>
      </c>
      <c r="I195" t="s">
        <v>5282</v>
      </c>
      <c r="J195" s="10">
        <v>7983.67</v>
      </c>
      <c r="K195" s="13">
        <f t="shared" si="22"/>
        <v>8.4071425364087252E-4</v>
      </c>
      <c r="L195" s="4">
        <f t="shared" si="28"/>
        <v>3088.5286556013848</v>
      </c>
      <c r="M195" s="13">
        <f t="shared" si="24"/>
        <v>0.38685575125241711</v>
      </c>
      <c r="O195" t="s">
        <v>13311</v>
      </c>
      <c r="P195" t="s">
        <v>19772</v>
      </c>
      <c r="Q195" s="10">
        <v>19117.62</v>
      </c>
      <c r="R195" s="13">
        <f t="shared" si="25"/>
        <v>2.0966325706249594E-3</v>
      </c>
      <c r="S195" s="4">
        <f t="shared" si="26"/>
        <v>6168.3343119569126</v>
      </c>
      <c r="T195" s="13">
        <f t="shared" si="27"/>
        <v>0.32265178991720272</v>
      </c>
    </row>
    <row r="196" spans="1:20">
      <c r="A196" t="s">
        <v>13311</v>
      </c>
      <c r="B196" t="s">
        <v>7492</v>
      </c>
      <c r="C196" s="10">
        <v>24261.09</v>
      </c>
      <c r="D196" s="14">
        <f t="shared" si="19"/>
        <v>2.0039532934661461E-3</v>
      </c>
      <c r="E196" s="9">
        <f t="shared" si="20"/>
        <v>4127.6510119478444</v>
      </c>
      <c r="F196" s="13">
        <f t="shared" si="21"/>
        <v>0.17013460697552518</v>
      </c>
      <c r="H196" t="s">
        <v>13311</v>
      </c>
      <c r="I196" t="s">
        <v>5192</v>
      </c>
      <c r="J196" s="10">
        <v>27724.54</v>
      </c>
      <c r="K196" s="13">
        <f t="shared" si="22"/>
        <v>2.9195114469456425E-3</v>
      </c>
      <c r="L196" s="4">
        <f t="shared" si="28"/>
        <v>10725.397749827689</v>
      </c>
      <c r="M196" s="13">
        <f t="shared" si="24"/>
        <v>0.38685575125241711</v>
      </c>
      <c r="O196" t="s">
        <v>13311</v>
      </c>
      <c r="P196" t="s">
        <v>19742</v>
      </c>
      <c r="Q196" s="10">
        <v>162130.28</v>
      </c>
      <c r="R196" s="13">
        <f t="shared" si="25"/>
        <v>1.7780854820450685E-2</v>
      </c>
      <c r="S196" s="4">
        <f t="shared" si="26"/>
        <v>52311.625041777254</v>
      </c>
      <c r="T196" s="13">
        <f t="shared" si="27"/>
        <v>0.32265178991720272</v>
      </c>
    </row>
    <row r="197" spans="1:20">
      <c r="A197" t="s">
        <v>13311</v>
      </c>
      <c r="B197" t="s">
        <v>6065</v>
      </c>
      <c r="C197" s="10">
        <v>9735.1200000000008</v>
      </c>
      <c r="D197" s="14">
        <f t="shared" si="19"/>
        <v>8.041157996729805E-4</v>
      </c>
      <c r="E197" s="9">
        <f t="shared" si="20"/>
        <v>1656.2808150595749</v>
      </c>
      <c r="F197" s="13">
        <f t="shared" si="21"/>
        <v>0.17013460697552518</v>
      </c>
      <c r="H197" t="s">
        <v>13311</v>
      </c>
      <c r="I197" t="s">
        <v>19775</v>
      </c>
      <c r="J197" s="10">
        <v>17700.96</v>
      </c>
      <c r="K197" s="13">
        <f t="shared" si="22"/>
        <v>1.8639860333815074E-3</v>
      </c>
      <c r="L197" s="4">
        <f t="shared" si="28"/>
        <v>6847.7181786889851</v>
      </c>
      <c r="M197" s="13">
        <f t="shared" si="24"/>
        <v>0.38685575125241711</v>
      </c>
      <c r="O197" t="s">
        <v>13311</v>
      </c>
      <c r="P197" t="s">
        <v>19746</v>
      </c>
      <c r="Q197" s="10">
        <v>132943.18</v>
      </c>
      <c r="R197" s="13">
        <f t="shared" si="25"/>
        <v>1.4579900700529495E-2</v>
      </c>
      <c r="S197" s="4">
        <f t="shared" si="26"/>
        <v>42894.354984284866</v>
      </c>
      <c r="T197" s="13">
        <f t="shared" si="27"/>
        <v>0.32265178991720272</v>
      </c>
    </row>
    <row r="198" spans="1:20">
      <c r="A198" t="s">
        <v>13311</v>
      </c>
      <c r="B198" t="s">
        <v>7557</v>
      </c>
      <c r="C198" s="10">
        <v>17930.810000000001</v>
      </c>
      <c r="D198" s="14">
        <f t="shared" si="19"/>
        <v>1.4810754897663589E-3</v>
      </c>
      <c r="E198" s="9">
        <f t="shared" si="20"/>
        <v>3050.651312102817</v>
      </c>
      <c r="F198" s="13">
        <f t="shared" si="21"/>
        <v>0.17013460697552518</v>
      </c>
      <c r="H198" t="s">
        <v>13311</v>
      </c>
      <c r="I198" t="s">
        <v>7367</v>
      </c>
      <c r="J198" s="10">
        <v>22010.86</v>
      </c>
      <c r="K198" s="13">
        <f t="shared" si="22"/>
        <v>2.3178367513804724E-3</v>
      </c>
      <c r="L198" s="4">
        <f t="shared" si="28"/>
        <v>8515.0277810117768</v>
      </c>
      <c r="M198" s="13">
        <f>L198/J198</f>
        <v>0.38685575125241706</v>
      </c>
      <c r="O198" t="s">
        <v>13311</v>
      </c>
      <c r="P198" t="s">
        <v>19757</v>
      </c>
      <c r="Q198" s="10">
        <v>11933.28</v>
      </c>
      <c r="R198" s="13">
        <f t="shared" si="25"/>
        <v>1.3087248058276824E-3</v>
      </c>
      <c r="S198" s="4">
        <f t="shared" si="26"/>
        <v>3850.2941515831571</v>
      </c>
      <c r="T198" s="13">
        <f t="shared" si="27"/>
        <v>0.32265178991720272</v>
      </c>
    </row>
    <row r="199" spans="1:20">
      <c r="A199" t="s">
        <v>13311</v>
      </c>
      <c r="B199" t="s">
        <v>6080</v>
      </c>
      <c r="C199" s="10">
        <v>57358.77</v>
      </c>
      <c r="D199" s="14">
        <f t="shared" si="19"/>
        <v>4.7378042804617259E-3</v>
      </c>
      <c r="E199" s="9">
        <f t="shared" si="20"/>
        <v>9758.7117905495452</v>
      </c>
      <c r="F199" s="13">
        <f t="shared" si="21"/>
        <v>0.17013460697552521</v>
      </c>
      <c r="H199" t="s">
        <v>13311</v>
      </c>
      <c r="I199" t="s">
        <v>6979</v>
      </c>
      <c r="J199" s="10">
        <v>70554.740000000005</v>
      </c>
      <c r="K199" s="13">
        <f t="shared" si="22"/>
        <v>7.4297128488434293E-3</v>
      </c>
      <c r="L199" s="4">
        <f t="shared" si="28"/>
        <v>27294.506947118967</v>
      </c>
      <c r="M199" s="13">
        <f t="shared" si="24"/>
        <v>0.38685575125241711</v>
      </c>
      <c r="O199" t="s">
        <v>13311</v>
      </c>
      <c r="P199" t="s">
        <v>20143</v>
      </c>
      <c r="Q199" s="10">
        <v>28434.31</v>
      </c>
      <c r="R199" s="13">
        <f t="shared" si="25"/>
        <v>3.1183955151973409E-3</v>
      </c>
      <c r="S199" s="4">
        <f t="shared" si="26"/>
        <v>9174.3810165606155</v>
      </c>
      <c r="T199" s="13">
        <f t="shared" si="27"/>
        <v>0.32265178991720267</v>
      </c>
    </row>
    <row r="200" spans="1:20">
      <c r="A200" t="s">
        <v>13311</v>
      </c>
      <c r="B200" t="s">
        <v>6083</v>
      </c>
      <c r="C200" s="10">
        <v>6661.68</v>
      </c>
      <c r="D200" s="14">
        <f t="shared" si="19"/>
        <v>5.5025126966750282E-4</v>
      </c>
      <c r="E200" s="9">
        <f t="shared" si="20"/>
        <v>1133.3823085967167</v>
      </c>
      <c r="F200" s="13">
        <f t="shared" si="21"/>
        <v>0.17013460697552518</v>
      </c>
      <c r="H200" t="s">
        <v>13311</v>
      </c>
      <c r="I200" t="s">
        <v>20160</v>
      </c>
      <c r="J200" s="10">
        <v>43143.94</v>
      </c>
      <c r="K200" s="13">
        <f t="shared" si="22"/>
        <v>4.5432395522643837E-3</v>
      </c>
      <c r="L200" s="4">
        <f t="shared" si="28"/>
        <v>16690.48132068921</v>
      </c>
      <c r="M200" s="13">
        <f t="shared" si="24"/>
        <v>0.38685575125241711</v>
      </c>
      <c r="O200" t="s">
        <v>13311</v>
      </c>
      <c r="P200" t="s">
        <v>20144</v>
      </c>
      <c r="Q200" s="10">
        <v>24597.93</v>
      </c>
      <c r="R200" s="13">
        <f t="shared" si="25"/>
        <v>2.6976590814103852E-3</v>
      </c>
      <c r="S200" s="4">
        <f t="shared" si="26"/>
        <v>7936.566142758059</v>
      </c>
      <c r="T200" s="13">
        <f t="shared" si="27"/>
        <v>0.32265178991720272</v>
      </c>
    </row>
    <row r="201" spans="1:20">
      <c r="A201" t="s">
        <v>13311</v>
      </c>
      <c r="B201" t="s">
        <v>6086</v>
      </c>
      <c r="C201" s="10">
        <v>57984.72</v>
      </c>
      <c r="D201" s="14">
        <f t="shared" si="19"/>
        <v>4.7895074217486648E-3</v>
      </c>
      <c r="E201" s="9">
        <f t="shared" si="20"/>
        <v>9865.2075477858743</v>
      </c>
      <c r="F201" s="13">
        <f t="shared" si="21"/>
        <v>0.17013460697552518</v>
      </c>
      <c r="H201" t="s">
        <v>13311</v>
      </c>
      <c r="I201" t="s">
        <v>7268</v>
      </c>
      <c r="J201" s="10">
        <v>88852.28</v>
      </c>
      <c r="K201" s="13">
        <f t="shared" si="22"/>
        <v>9.3565212821283723E-3</v>
      </c>
      <c r="L201" s="4">
        <f t="shared" si="28"/>
        <v>34373.015529890115</v>
      </c>
      <c r="M201" s="13">
        <f t="shared" si="24"/>
        <v>0.38685575125241711</v>
      </c>
      <c r="O201" t="s">
        <v>13311</v>
      </c>
      <c r="P201" t="s">
        <v>19753</v>
      </c>
      <c r="Q201" s="10">
        <v>28719.66</v>
      </c>
      <c r="R201" s="13">
        <f t="shared" si="25"/>
        <v>3.1496898972400759E-3</v>
      </c>
      <c r="S201" s="4">
        <f t="shared" si="26"/>
        <v>9266.4497048134908</v>
      </c>
      <c r="T201" s="13">
        <f t="shared" si="27"/>
        <v>0.32265178991720272</v>
      </c>
    </row>
    <row r="202" spans="1:20">
      <c r="A202" t="s">
        <v>13311</v>
      </c>
      <c r="B202" t="s">
        <v>7586</v>
      </c>
      <c r="C202" s="10">
        <v>64366.71</v>
      </c>
      <c r="D202" s="14">
        <f t="shared" si="19"/>
        <v>5.3166564442933238E-3</v>
      </c>
      <c r="E202" s="9">
        <f t="shared" si="20"/>
        <v>10951.004908157607</v>
      </c>
      <c r="F202" s="13">
        <f t="shared" si="21"/>
        <v>0.17013460697552518</v>
      </c>
      <c r="H202" t="s">
        <v>13311</v>
      </c>
      <c r="I202" t="s">
        <v>20173</v>
      </c>
      <c r="J202" s="10">
        <v>80914.080000000002</v>
      </c>
      <c r="K202" s="13">
        <f t="shared" si="22"/>
        <v>8.5205952120062396E-3</v>
      </c>
      <c r="L202" s="4">
        <f t="shared" si="28"/>
        <v>31302.077205298177</v>
      </c>
      <c r="M202" s="13">
        <f>L202/J202</f>
        <v>0.38685575125241711</v>
      </c>
      <c r="O202" t="s">
        <v>13311</v>
      </c>
      <c r="P202" t="s">
        <v>20146</v>
      </c>
      <c r="Q202" s="10">
        <v>14780.77</v>
      </c>
      <c r="R202" s="13">
        <f t="shared" si="25"/>
        <v>1.6210095085536945E-3</v>
      </c>
      <c r="S202" s="4">
        <f t="shared" si="26"/>
        <v>4769.0418968544927</v>
      </c>
      <c r="T202" s="13">
        <f t="shared" si="27"/>
        <v>0.32265178991720272</v>
      </c>
    </row>
    <row r="203" spans="1:20">
      <c r="A203" t="s">
        <v>13311</v>
      </c>
      <c r="B203" t="s">
        <v>7495</v>
      </c>
      <c r="C203" s="10">
        <v>145844.47</v>
      </c>
      <c r="D203" s="14">
        <f t="shared" si="19"/>
        <v>1.2046676632843971E-2</v>
      </c>
      <c r="E203" s="9">
        <f t="shared" si="20"/>
        <v>24813.191583003772</v>
      </c>
      <c r="F203" s="13">
        <f t="shared" si="21"/>
        <v>0.17013460697552518</v>
      </c>
      <c r="H203" t="s">
        <v>13311</v>
      </c>
      <c r="I203" t="s">
        <v>20174</v>
      </c>
      <c r="J203" s="10">
        <v>106623.66</v>
      </c>
      <c r="K203" s="13">
        <f t="shared" si="22"/>
        <v>1.1227922839666239E-2</v>
      </c>
      <c r="L203" s="4">
        <f t="shared" si="28"/>
        <v>41247.976090582299</v>
      </c>
      <c r="M203" s="13">
        <f t="shared" si="24"/>
        <v>0.38685575125241711</v>
      </c>
      <c r="O203" t="s">
        <v>13311</v>
      </c>
      <c r="P203" t="s">
        <v>20147</v>
      </c>
      <c r="Q203" s="10">
        <v>5080</v>
      </c>
      <c r="R203" s="13">
        <f t="shared" si="25"/>
        <v>5.5712444638897482E-4</v>
      </c>
      <c r="S203" s="4">
        <f t="shared" si="26"/>
        <v>1639.0710927793898</v>
      </c>
      <c r="T203" s="13">
        <f t="shared" si="27"/>
        <v>0.32265178991720272</v>
      </c>
    </row>
    <row r="204" spans="1:20">
      <c r="A204" t="s">
        <v>13311</v>
      </c>
      <c r="B204" t="s">
        <v>7465</v>
      </c>
      <c r="C204" s="10">
        <v>28199.42</v>
      </c>
      <c r="D204" s="14">
        <f t="shared" si="19"/>
        <v>2.3292572832809698E-3</v>
      </c>
      <c r="E204" s="9">
        <f t="shared" si="20"/>
        <v>4797.6972386377638</v>
      </c>
      <c r="F204" s="13">
        <f t="shared" si="21"/>
        <v>0.17013460697552518</v>
      </c>
      <c r="H204" t="s">
        <v>13311</v>
      </c>
      <c r="I204" t="s">
        <v>20189</v>
      </c>
      <c r="J204" s="10">
        <v>10538.47</v>
      </c>
      <c r="K204" s="13">
        <f t="shared" si="22"/>
        <v>1.1097455105943414E-3</v>
      </c>
      <c r="L204" s="4">
        <f t="shared" si="28"/>
        <v>4076.8677289010598</v>
      </c>
      <c r="M204" s="13">
        <f t="shared" si="24"/>
        <v>0.38685575125241711</v>
      </c>
      <c r="O204" t="s">
        <v>13311</v>
      </c>
      <c r="P204" t="s">
        <v>8356</v>
      </c>
      <c r="Q204" s="10">
        <v>2698.26</v>
      </c>
      <c r="R204" s="13">
        <f t="shared" si="25"/>
        <v>2.9591862376250302E-4</v>
      </c>
      <c r="S204" s="4">
        <f t="shared" si="26"/>
        <v>870.59841866199145</v>
      </c>
      <c r="T204" s="13">
        <f t="shared" si="27"/>
        <v>0.32265178991720272</v>
      </c>
    </row>
    <row r="205" spans="1:20">
      <c r="A205" t="s">
        <v>13311</v>
      </c>
      <c r="B205" t="s">
        <v>7512</v>
      </c>
      <c r="C205" s="10">
        <v>19430.5</v>
      </c>
      <c r="D205" s="14">
        <f t="shared" ref="D205:D268" si="29">C205/$C$282</f>
        <v>1.604949096215131E-3</v>
      </c>
      <c r="E205" s="9">
        <f t="shared" ref="E205:E268" si="30">D205*$E$3</f>
        <v>3305.8004808379424</v>
      </c>
      <c r="F205" s="13">
        <f t="shared" ref="F205:F268" si="31">E205/C205</f>
        <v>0.17013460697552521</v>
      </c>
      <c r="H205" t="s">
        <v>13311</v>
      </c>
      <c r="I205" t="s">
        <v>20190</v>
      </c>
      <c r="J205" s="10">
        <v>32138.92</v>
      </c>
      <c r="K205" s="13">
        <f t="shared" ref="K205:K216" si="32">J205/$J$216</f>
        <v>3.3843643513100756E-3</v>
      </c>
      <c r="L205" s="4">
        <f t="shared" si="28"/>
        <v>12433.126041041332</v>
      </c>
      <c r="M205" s="13">
        <f t="shared" ref="M205:M207" si="33">L205/J205</f>
        <v>0.38685575125241711</v>
      </c>
      <c r="O205" t="s">
        <v>13311</v>
      </c>
      <c r="P205" t="s">
        <v>8403</v>
      </c>
      <c r="Q205" s="10">
        <v>1391.2</v>
      </c>
      <c r="R205" s="13">
        <f t="shared" ref="R205:R244" si="34">Q205/$Q$244</f>
        <v>1.5257313579061847E-4</v>
      </c>
      <c r="S205" s="4">
        <f t="shared" ref="S205:S222" si="35">R205*$E$5</f>
        <v>448.87317013281245</v>
      </c>
      <c r="T205" s="13">
        <f t="shared" ref="T205:T222" si="36">S205/Q205</f>
        <v>0.32265178991720272</v>
      </c>
    </row>
    <row r="206" spans="1:20">
      <c r="A206" t="s">
        <v>13311</v>
      </c>
      <c r="B206" t="s">
        <v>6097</v>
      </c>
      <c r="C206" s="10">
        <v>44171.44</v>
      </c>
      <c r="D206" s="14">
        <f t="shared" si="29"/>
        <v>3.6485377476915618E-3</v>
      </c>
      <c r="E206" s="9">
        <f t="shared" si="30"/>
        <v>7515.0905839429934</v>
      </c>
      <c r="F206" s="13">
        <f t="shared" si="31"/>
        <v>0.17013460697552521</v>
      </c>
      <c r="H206" t="s">
        <v>13311</v>
      </c>
      <c r="I206" t="s">
        <v>20191</v>
      </c>
      <c r="J206" s="10">
        <v>4855.7700000000004</v>
      </c>
      <c r="K206" s="13">
        <f t="shared" si="32"/>
        <v>5.1133314019764591E-4</v>
      </c>
      <c r="L206" s="4">
        <f t="shared" si="28"/>
        <v>1878.4825512589493</v>
      </c>
      <c r="M206" s="13">
        <f t="shared" si="33"/>
        <v>0.38685575125241706</v>
      </c>
      <c r="O206" t="s">
        <v>13311</v>
      </c>
      <c r="P206" t="s">
        <v>19761</v>
      </c>
      <c r="Q206" s="10">
        <v>23537.91</v>
      </c>
      <c r="R206" s="13">
        <f t="shared" si="34"/>
        <v>2.58140651139833E-3</v>
      </c>
      <c r="S206" s="4">
        <f t="shared" si="35"/>
        <v>7594.5487924100262</v>
      </c>
      <c r="T206" s="13">
        <f t="shared" si="36"/>
        <v>0.32265178991720278</v>
      </c>
    </row>
    <row r="207" spans="1:20">
      <c r="A207" t="s">
        <v>13311</v>
      </c>
      <c r="B207" t="s">
        <v>6100</v>
      </c>
      <c r="C207" s="10">
        <v>72319.27</v>
      </c>
      <c r="D207" s="14">
        <f t="shared" si="29"/>
        <v>5.9735337240646429E-3</v>
      </c>
      <c r="E207" s="9">
        <f t="shared" si="30"/>
        <v>12304.010578206891</v>
      </c>
      <c r="F207" s="13">
        <f t="shared" si="31"/>
        <v>0.17013460697552521</v>
      </c>
      <c r="H207" t="s">
        <v>13311</v>
      </c>
      <c r="I207" t="s">
        <v>20207</v>
      </c>
      <c r="J207" s="10">
        <v>24937.34</v>
      </c>
      <c r="K207" s="13">
        <f t="shared" si="32"/>
        <v>2.6260074860169165E-3</v>
      </c>
      <c r="L207" s="4">
        <f>K207*$E$4</f>
        <v>9647.1533999369512</v>
      </c>
      <c r="M207" s="13">
        <f t="shared" si="33"/>
        <v>0.38685575125241711</v>
      </c>
      <c r="O207" t="s">
        <v>13311</v>
      </c>
      <c r="P207" t="s">
        <v>20153</v>
      </c>
      <c r="Q207" s="10">
        <v>76873.070000000007</v>
      </c>
      <c r="R207" s="13">
        <f t="shared" si="34"/>
        <v>8.4306823948761649E-3</v>
      </c>
      <c r="S207" s="4">
        <f t="shared" si="35"/>
        <v>24803.233631930423</v>
      </c>
      <c r="T207" s="13">
        <f t="shared" si="36"/>
        <v>0.32265178991720272</v>
      </c>
    </row>
    <row r="208" spans="1:20">
      <c r="A208" t="s">
        <v>13311</v>
      </c>
      <c r="B208" t="s">
        <v>6103</v>
      </c>
      <c r="C208" s="10">
        <v>18595.04</v>
      </c>
      <c r="D208" s="14">
        <f t="shared" si="29"/>
        <v>1.5359405389508355E-3</v>
      </c>
      <c r="E208" s="9">
        <f t="shared" si="30"/>
        <v>3163.6598220941701</v>
      </c>
      <c r="F208" s="13">
        <f t="shared" si="31"/>
        <v>0.17013460697552518</v>
      </c>
      <c r="H208" t="s">
        <v>13311</v>
      </c>
      <c r="I208" t="s">
        <v>20208</v>
      </c>
      <c r="J208" s="10">
        <v>11589.31</v>
      </c>
      <c r="K208" s="13">
        <f t="shared" si="32"/>
        <v>1.2204034118222197E-3</v>
      </c>
      <c r="L208" s="4">
        <f t="shared" ref="L208:L210" si="37">K208*$E$4</f>
        <v>4483.3912265471499</v>
      </c>
      <c r="M208" s="13">
        <f t="shared" ref="M208:M210" si="38">L208/J208</f>
        <v>0.38685575125241711</v>
      </c>
      <c r="O208" t="s">
        <v>13311</v>
      </c>
      <c r="P208" t="s">
        <v>20154</v>
      </c>
      <c r="Q208" s="10">
        <v>9093.23</v>
      </c>
      <c r="R208" s="13">
        <f t="shared" si="34"/>
        <v>9.9725604914126329E-4</v>
      </c>
      <c r="S208" s="4">
        <f t="shared" si="35"/>
        <v>2933.946935628805</v>
      </c>
      <c r="T208" s="13">
        <f t="shared" si="36"/>
        <v>0.32265178991720272</v>
      </c>
    </row>
    <row r="209" spans="1:20">
      <c r="A209" t="s">
        <v>13311</v>
      </c>
      <c r="B209" t="s">
        <v>6106</v>
      </c>
      <c r="C209" s="10">
        <v>31837.85</v>
      </c>
      <c r="D209" s="14">
        <f t="shared" si="29"/>
        <v>2.629789690586084E-3</v>
      </c>
      <c r="E209" s="9">
        <f t="shared" si="30"/>
        <v>5416.7200966957244</v>
      </c>
      <c r="F209" s="13">
        <f t="shared" si="31"/>
        <v>0.17013460697552518</v>
      </c>
      <c r="H209" t="s">
        <v>13311</v>
      </c>
      <c r="I209" t="s">
        <v>20245</v>
      </c>
      <c r="J209" s="10">
        <v>70049.5</v>
      </c>
      <c r="K209" s="13">
        <f t="shared" si="32"/>
        <v>7.3765089376710592E-3</v>
      </c>
      <c r="L209" s="4">
        <f t="shared" si="37"/>
        <v>27099.051947356194</v>
      </c>
      <c r="M209" s="13">
        <f t="shared" si="38"/>
        <v>0.38685575125241711</v>
      </c>
      <c r="O209" t="s">
        <v>13311</v>
      </c>
      <c r="P209" t="s">
        <v>20165</v>
      </c>
      <c r="Q209" s="10">
        <v>15505</v>
      </c>
      <c r="R209" s="13">
        <f t="shared" si="34"/>
        <v>1.7004359333191053E-3</v>
      </c>
      <c r="S209" s="4">
        <f t="shared" si="35"/>
        <v>5002.7160026662277</v>
      </c>
      <c r="T209" s="13">
        <f t="shared" si="36"/>
        <v>0.32265178991720267</v>
      </c>
    </row>
    <row r="210" spans="1:20">
      <c r="A210" t="s">
        <v>13311</v>
      </c>
      <c r="B210" t="s">
        <v>6109</v>
      </c>
      <c r="C210" s="10">
        <v>23831.33</v>
      </c>
      <c r="D210" s="14">
        <f t="shared" si="29"/>
        <v>1.9684553431514652E-3</v>
      </c>
      <c r="E210" s="9">
        <f t="shared" si="30"/>
        <v>4054.5339632540436</v>
      </c>
      <c r="F210" s="13">
        <f t="shared" si="31"/>
        <v>0.17013460697552521</v>
      </c>
      <c r="H210" t="s">
        <v>13311</v>
      </c>
      <c r="I210" t="s">
        <v>20253</v>
      </c>
      <c r="J210" s="10">
        <v>21929.73</v>
      </c>
      <c r="K210" s="13">
        <f t="shared" si="32"/>
        <v>2.3092934188782667E-3</v>
      </c>
      <c r="L210" s="4">
        <f t="shared" si="37"/>
        <v>8483.642173912669</v>
      </c>
      <c r="M210" s="13">
        <f t="shared" si="38"/>
        <v>0.38685575125241711</v>
      </c>
      <c r="O210" t="s">
        <v>13311</v>
      </c>
      <c r="P210" t="s">
        <v>20166</v>
      </c>
      <c r="Q210" s="10">
        <v>21269.230000000003</v>
      </c>
      <c r="R210" s="13">
        <f t="shared" si="34"/>
        <v>2.3325999978090115E-3</v>
      </c>
      <c r="S210" s="4">
        <f t="shared" si="35"/>
        <v>6862.5551296606673</v>
      </c>
      <c r="T210" s="13">
        <f t="shared" si="36"/>
        <v>0.32265178991720272</v>
      </c>
    </row>
    <row r="211" spans="1:20">
      <c r="A211" t="s">
        <v>13311</v>
      </c>
      <c r="B211" t="s">
        <v>7450</v>
      </c>
      <c r="C211" s="10">
        <v>6004.5</v>
      </c>
      <c r="D211" s="14">
        <f t="shared" si="29"/>
        <v>4.9596854678077013E-4</v>
      </c>
      <c r="E211" s="9">
        <f t="shared" si="30"/>
        <v>1021.573247584541</v>
      </c>
      <c r="F211" s="13">
        <f t="shared" si="31"/>
        <v>0.17013460697552518</v>
      </c>
      <c r="H211" t="s">
        <v>13311</v>
      </c>
      <c r="I211" t="s">
        <v>7154</v>
      </c>
      <c r="J211" s="10">
        <v>252246.96</v>
      </c>
      <c r="K211" s="13">
        <f t="shared" si="32"/>
        <v>2.6562672894743775E-2</v>
      </c>
      <c r="L211" s="4">
        <f t="shared" ref="L211" si="39">K211*$E$4</f>
        <v>97583.187211938406</v>
      </c>
      <c r="M211" s="13">
        <f t="shared" ref="M211" si="40">L211/J211</f>
        <v>0.38685575125241711</v>
      </c>
      <c r="O211" t="s">
        <v>13311</v>
      </c>
      <c r="P211" t="s">
        <v>3754</v>
      </c>
      <c r="Q211" s="10">
        <v>25394.16</v>
      </c>
      <c r="R211" s="13">
        <f t="shared" si="34"/>
        <v>2.7849817581718601E-3</v>
      </c>
      <c r="S211" s="4">
        <f t="shared" si="35"/>
        <v>8193.4711774438329</v>
      </c>
      <c r="T211" s="13">
        <f t="shared" si="36"/>
        <v>0.32265178991720272</v>
      </c>
    </row>
    <row r="212" spans="1:20">
      <c r="A212" t="s">
        <v>13311</v>
      </c>
      <c r="B212" t="s">
        <v>18180</v>
      </c>
      <c r="C212" s="10">
        <v>45573.7</v>
      </c>
      <c r="D212" s="14">
        <f t="shared" si="29"/>
        <v>3.7643636873049848E-3</v>
      </c>
      <c r="E212" s="9">
        <f t="shared" si="30"/>
        <v>7753.6635379204918</v>
      </c>
      <c r="F212" s="13">
        <f t="shared" si="31"/>
        <v>0.17013460697552518</v>
      </c>
      <c r="H212" t="s">
        <v>13311</v>
      </c>
      <c r="I212" t="s">
        <v>7208</v>
      </c>
      <c r="J212" s="10">
        <v>170345.57</v>
      </c>
      <c r="K212" s="13">
        <f t="shared" si="32"/>
        <v>1.7938109759493944E-2</v>
      </c>
      <c r="L212" s="4">
        <f t="shared" ref="L212:L213" si="41">K212*$E$4</f>
        <v>65899.163454871217</v>
      </c>
      <c r="M212" s="13">
        <f t="shared" ref="M212:M213" si="42">L212/J212</f>
        <v>0.38685575125241717</v>
      </c>
      <c r="O212" t="s">
        <v>13311</v>
      </c>
      <c r="P212" t="s">
        <v>3814</v>
      </c>
      <c r="Q212" s="10">
        <v>80003.710000000006</v>
      </c>
      <c r="R212" s="13">
        <f t="shared" si="34"/>
        <v>8.7740202052783659E-3</v>
      </c>
      <c r="S212" s="4">
        <f t="shared" si="35"/>
        <v>25813.340231516813</v>
      </c>
      <c r="T212" s="13">
        <f t="shared" si="36"/>
        <v>0.32265178991720272</v>
      </c>
    </row>
    <row r="213" spans="1:20">
      <c r="A213" t="s">
        <v>13311</v>
      </c>
      <c r="B213" t="s">
        <v>7530</v>
      </c>
      <c r="C213" s="10">
        <v>70032.69</v>
      </c>
      <c r="D213" s="14">
        <f t="shared" si="29"/>
        <v>5.7846634168453948E-3</v>
      </c>
      <c r="E213" s="9">
        <f t="shared" si="30"/>
        <v>11914.984188588793</v>
      </c>
      <c r="F213" s="13">
        <f t="shared" si="31"/>
        <v>0.17013460697552518</v>
      </c>
      <c r="H213" t="s">
        <v>13311</v>
      </c>
      <c r="I213" t="s">
        <v>20259</v>
      </c>
      <c r="J213" s="10">
        <v>21906.27</v>
      </c>
      <c r="K213" s="13">
        <f t="shared" si="32"/>
        <v>2.3068229815492673E-3</v>
      </c>
      <c r="L213" s="4">
        <f t="shared" si="41"/>
        <v>8474.5665379882885</v>
      </c>
      <c r="M213" s="13">
        <f t="shared" si="42"/>
        <v>0.38685575125241717</v>
      </c>
      <c r="O213" t="s">
        <v>13311</v>
      </c>
      <c r="P213" t="s">
        <v>20192</v>
      </c>
      <c r="Q213" s="10">
        <v>101270.57</v>
      </c>
      <c r="R213" s="13">
        <f t="shared" si="34"/>
        <v>1.1106360284792506E-2</v>
      </c>
      <c r="S213" s="4">
        <f t="shared" si="35"/>
        <v>32675.130676435376</v>
      </c>
      <c r="T213" s="13">
        <f t="shared" si="36"/>
        <v>0.32265178991720272</v>
      </c>
    </row>
    <row r="214" spans="1:20">
      <c r="A214" t="s">
        <v>13311</v>
      </c>
      <c r="B214" t="s">
        <v>6124</v>
      </c>
      <c r="C214" s="10">
        <v>13816.74</v>
      </c>
      <c r="D214" s="14">
        <f t="shared" si="29"/>
        <v>1.1412554682401095E-3</v>
      </c>
      <c r="E214" s="9">
        <f t="shared" si="30"/>
        <v>2350.705629583018</v>
      </c>
      <c r="F214" s="13">
        <f t="shared" si="31"/>
        <v>0.17013460697552521</v>
      </c>
      <c r="H214" t="s">
        <v>13311</v>
      </c>
      <c r="I214" t="s">
        <v>20261</v>
      </c>
      <c r="J214" s="10">
        <v>18570.48</v>
      </c>
      <c r="K214" s="13">
        <f t="shared" si="32"/>
        <v>1.9555501709054546E-3</v>
      </c>
      <c r="L214" s="4">
        <f t="shared" ref="L214:L215" si="43">K214*$E$4</f>
        <v>7184.0969915179867</v>
      </c>
      <c r="M214" s="13">
        <f t="shared" ref="M214:M215" si="44">L214/J214</f>
        <v>0.38685575125241711</v>
      </c>
      <c r="O214" t="s">
        <v>13311</v>
      </c>
      <c r="P214" t="s">
        <v>20193</v>
      </c>
      <c r="Q214" s="10">
        <v>63207.53</v>
      </c>
      <c r="R214" s="13">
        <f t="shared" si="34"/>
        <v>6.9319803462331731E-3</v>
      </c>
      <c r="S214" s="4">
        <f t="shared" si="35"/>
        <v>20394.022690745289</v>
      </c>
      <c r="T214" s="13">
        <f t="shared" si="36"/>
        <v>0.32265178991720272</v>
      </c>
    </row>
    <row r="215" spans="1:20">
      <c r="A215" t="s">
        <v>13311</v>
      </c>
      <c r="B215" t="s">
        <v>7562</v>
      </c>
      <c r="C215" s="10">
        <v>51350.42</v>
      </c>
      <c r="D215" s="14">
        <f t="shared" si="29"/>
        <v>4.241517725702755E-3</v>
      </c>
      <c r="E215" s="9">
        <f t="shared" si="30"/>
        <v>8736.483524728148</v>
      </c>
      <c r="F215" s="13">
        <f t="shared" si="31"/>
        <v>0.17013460697552518</v>
      </c>
      <c r="H215" t="s">
        <v>13311</v>
      </c>
      <c r="I215" t="s">
        <v>20288</v>
      </c>
      <c r="J215" s="10">
        <v>5006.62</v>
      </c>
      <c r="K215" s="13">
        <f t="shared" si="32"/>
        <v>5.2721828389242853E-4</v>
      </c>
      <c r="L215" s="4">
        <f t="shared" si="43"/>
        <v>1936.8397413353764</v>
      </c>
      <c r="M215" s="13">
        <f t="shared" si="44"/>
        <v>0.38685575125241711</v>
      </c>
      <c r="O215" t="s">
        <v>13311</v>
      </c>
      <c r="P215" t="s">
        <v>20194</v>
      </c>
      <c r="Q215" s="10">
        <v>37639.08</v>
      </c>
      <c r="R215" s="13">
        <f t="shared" si="34"/>
        <v>4.1278841747225074E-3</v>
      </c>
      <c r="S215" s="4">
        <f t="shared" si="35"/>
        <v>12144.316532836787</v>
      </c>
      <c r="T215" s="13">
        <f t="shared" si="36"/>
        <v>0.32265178991720272</v>
      </c>
    </row>
    <row r="216" spans="1:20">
      <c r="A216" t="s">
        <v>13311</v>
      </c>
      <c r="B216" t="s">
        <v>6140</v>
      </c>
      <c r="C216" s="10">
        <v>39442.97</v>
      </c>
      <c r="D216" s="14">
        <f t="shared" si="29"/>
        <v>3.2579686088129757E-3</v>
      </c>
      <c r="E216" s="9">
        <f t="shared" si="30"/>
        <v>6710.6141988974305</v>
      </c>
      <c r="F216" s="13">
        <f t="shared" si="31"/>
        <v>0.17013460697552518</v>
      </c>
      <c r="H216" t="s">
        <v>3</v>
      </c>
      <c r="J216" s="10">
        <v>9496294.3300000001</v>
      </c>
      <c r="K216" s="13">
        <f t="shared" si="32"/>
        <v>1</v>
      </c>
      <c r="L216" s="4">
        <f t="shared" ref="L216" si="45">K216*$E$4</f>
        <v>3673696.0771462191</v>
      </c>
      <c r="M216" s="13">
        <f t="shared" ref="M216" si="46">L216/J216</f>
        <v>0.38685575125241711</v>
      </c>
      <c r="O216" t="s">
        <v>13311</v>
      </c>
      <c r="P216" t="s">
        <v>20195</v>
      </c>
      <c r="Q216" s="10">
        <v>49907.98</v>
      </c>
      <c r="R216" s="13">
        <f t="shared" si="34"/>
        <v>5.4734164818685104E-3</v>
      </c>
      <c r="S216" s="4">
        <f t="shared" si="35"/>
        <v>16102.899078151957</v>
      </c>
      <c r="T216" s="13">
        <f t="shared" si="36"/>
        <v>0.32265178991720272</v>
      </c>
    </row>
    <row r="217" spans="1:20">
      <c r="A217" t="s">
        <v>13311</v>
      </c>
      <c r="B217" t="s">
        <v>7908</v>
      </c>
      <c r="C217" s="10">
        <v>22290.2</v>
      </c>
      <c r="D217" s="14">
        <f t="shared" si="29"/>
        <v>1.8411588144646054E-3</v>
      </c>
      <c r="E217" s="9">
        <f t="shared" si="30"/>
        <v>3792.3344164058522</v>
      </c>
      <c r="F217" s="13">
        <f t="shared" si="31"/>
        <v>0.17013460697552521</v>
      </c>
      <c r="M217" s="13"/>
      <c r="O217" t="s">
        <v>13311</v>
      </c>
      <c r="P217" t="s">
        <v>20196</v>
      </c>
      <c r="Q217" s="10">
        <v>79982.02</v>
      </c>
      <c r="R217" s="13">
        <f t="shared" si="34"/>
        <v>8.77164145936455E-3</v>
      </c>
      <c r="S217" s="4">
        <f t="shared" si="35"/>
        <v>25806.341914193505</v>
      </c>
      <c r="T217" s="13">
        <f t="shared" si="36"/>
        <v>0.32265178991720267</v>
      </c>
    </row>
    <row r="218" spans="1:20">
      <c r="A218" t="s">
        <v>13311</v>
      </c>
      <c r="B218" t="s">
        <v>6153</v>
      </c>
      <c r="C218" s="10">
        <v>12642.24</v>
      </c>
      <c r="D218" s="14">
        <f t="shared" si="29"/>
        <v>1.0442423850201888E-3</v>
      </c>
      <c r="E218" s="9">
        <f t="shared" si="30"/>
        <v>2150.8825336902637</v>
      </c>
      <c r="F218" s="13">
        <f t="shared" si="31"/>
        <v>0.17013460697552521</v>
      </c>
      <c r="M218" s="13"/>
      <c r="O218" t="s">
        <v>13311</v>
      </c>
      <c r="P218" t="s">
        <v>20197</v>
      </c>
      <c r="Q218" s="10">
        <v>95201.45</v>
      </c>
      <c r="R218" s="13">
        <f t="shared" si="34"/>
        <v>1.0440758883204266E-2</v>
      </c>
      <c r="S218" s="4">
        <f t="shared" si="35"/>
        <v>30716.918245213081</v>
      </c>
      <c r="T218" s="13">
        <f t="shared" si="36"/>
        <v>0.32265178991720272</v>
      </c>
    </row>
    <row r="219" spans="1:20">
      <c r="A219" t="s">
        <v>13311</v>
      </c>
      <c r="B219" t="s">
        <v>6158</v>
      </c>
      <c r="C219" s="10">
        <v>58752.46</v>
      </c>
      <c r="D219" s="14">
        <f t="shared" si="29"/>
        <v>4.8529223425756223E-3</v>
      </c>
      <c r="E219" s="9">
        <f t="shared" si="30"/>
        <v>9995.826690945265</v>
      </c>
      <c r="F219" s="13">
        <f t="shared" si="31"/>
        <v>0.17013460697552521</v>
      </c>
      <c r="M219" s="13"/>
      <c r="O219" t="s">
        <v>13311</v>
      </c>
      <c r="P219" t="s">
        <v>20199</v>
      </c>
      <c r="Q219" s="10">
        <v>18714.189999999999</v>
      </c>
      <c r="R219" s="13">
        <f t="shared" si="34"/>
        <v>2.0523883353086789E-3</v>
      </c>
      <c r="S219" s="4">
        <f t="shared" si="35"/>
        <v>6038.1669003506158</v>
      </c>
      <c r="T219" s="13">
        <f t="shared" si="36"/>
        <v>0.32265178991720272</v>
      </c>
    </row>
    <row r="220" spans="1:20">
      <c r="A220" t="s">
        <v>13311</v>
      </c>
      <c r="B220" t="s">
        <v>7618</v>
      </c>
      <c r="C220" s="10">
        <v>8857.5400000000009</v>
      </c>
      <c r="D220" s="14">
        <f t="shared" si="29"/>
        <v>7.3162815252769469E-4</v>
      </c>
      <c r="E220" s="9">
        <f t="shared" si="30"/>
        <v>1506.9740866699935</v>
      </c>
      <c r="F220" s="13">
        <f t="shared" si="31"/>
        <v>0.17013460697552518</v>
      </c>
      <c r="M220" s="13"/>
      <c r="O220" t="s">
        <v>13311</v>
      </c>
      <c r="P220" t="s">
        <v>7429</v>
      </c>
      <c r="Q220" s="10">
        <v>11101.81</v>
      </c>
      <c r="R220" s="13">
        <f t="shared" si="34"/>
        <v>1.2175373523948001E-3</v>
      </c>
      <c r="S220" s="4">
        <f t="shared" si="35"/>
        <v>3582.0188678207001</v>
      </c>
      <c r="T220" s="13">
        <f t="shared" si="36"/>
        <v>0.32265178991720272</v>
      </c>
    </row>
    <row r="221" spans="1:20">
      <c r="A221" t="s">
        <v>13311</v>
      </c>
      <c r="B221" t="s">
        <v>6174</v>
      </c>
      <c r="C221" s="10">
        <v>88144.83</v>
      </c>
      <c r="D221" s="14">
        <f t="shared" si="29"/>
        <v>7.2807166693876308E-3</v>
      </c>
      <c r="E221" s="9">
        <f t="shared" si="30"/>
        <v>14996.486008974482</v>
      </c>
      <c r="F221" s="13">
        <f t="shared" si="31"/>
        <v>0.17013460697552518</v>
      </c>
      <c r="M221" s="13"/>
      <c r="O221" t="s">
        <v>13311</v>
      </c>
      <c r="P221" t="s">
        <v>20209</v>
      </c>
      <c r="Q221" s="10">
        <v>83243.19</v>
      </c>
      <c r="R221" s="13">
        <f t="shared" si="34"/>
        <v>9.129294516614617E-3</v>
      </c>
      <c r="S221" s="4">
        <f t="shared" si="35"/>
        <v>26858.564251917793</v>
      </c>
      <c r="T221" s="13">
        <f t="shared" si="36"/>
        <v>0.32265178991720272</v>
      </c>
    </row>
    <row r="222" spans="1:20">
      <c r="A222" t="s">
        <v>13311</v>
      </c>
      <c r="B222" t="s">
        <v>6181</v>
      </c>
      <c r="C222" s="10">
        <v>31684.85</v>
      </c>
      <c r="D222" s="14">
        <f t="shared" si="29"/>
        <v>2.6171519709329142E-3</v>
      </c>
      <c r="E222" s="9">
        <f t="shared" si="30"/>
        <v>5390.6895018284686</v>
      </c>
      <c r="F222" s="13">
        <f t="shared" si="31"/>
        <v>0.17013460697552518</v>
      </c>
      <c r="M222" s="13"/>
      <c r="O222" t="s">
        <v>13311</v>
      </c>
      <c r="P222" t="s">
        <v>20210</v>
      </c>
      <c r="Q222" s="10">
        <v>112267.79000000001</v>
      </c>
      <c r="R222" s="13">
        <f t="shared" si="34"/>
        <v>1.2312427234461357E-2</v>
      </c>
      <c r="S222" s="4">
        <f t="shared" si="35"/>
        <v>36223.403393548637</v>
      </c>
      <c r="T222" s="13">
        <f t="shared" si="36"/>
        <v>0.32265178991720272</v>
      </c>
    </row>
    <row r="223" spans="1:20">
      <c r="A223" t="s">
        <v>13311</v>
      </c>
      <c r="B223" t="s">
        <v>6192</v>
      </c>
      <c r="C223" s="10">
        <v>27653.93</v>
      </c>
      <c r="D223" s="14">
        <f t="shared" si="29"/>
        <v>2.2842000957410515E-3</v>
      </c>
      <c r="E223" s="9">
        <f t="shared" si="30"/>
        <v>4704.8905118786861</v>
      </c>
      <c r="F223" s="13">
        <f t="shared" si="31"/>
        <v>0.17013460697552521</v>
      </c>
      <c r="M223" s="13"/>
      <c r="O223" t="s">
        <v>13311</v>
      </c>
      <c r="P223" t="s">
        <v>7774</v>
      </c>
      <c r="Q223" s="10">
        <v>28153.86</v>
      </c>
      <c r="R223" s="13">
        <f t="shared" si="34"/>
        <v>3.0876385169710048E-3</v>
      </c>
      <c r="S223" s="4">
        <f t="shared" ref="S223" si="47">R223*$E$5</f>
        <v>9083.8933220783365</v>
      </c>
      <c r="T223" s="13">
        <f t="shared" ref="T223" si="48">S223/Q223</f>
        <v>0.32265178991720267</v>
      </c>
    </row>
    <row r="224" spans="1:20">
      <c r="A224" t="s">
        <v>13311</v>
      </c>
      <c r="B224" t="s">
        <v>6195</v>
      </c>
      <c r="C224" s="10">
        <v>166398.93</v>
      </c>
      <c r="D224" s="14">
        <f t="shared" si="29"/>
        <v>1.3744464234819734E-2</v>
      </c>
      <c r="E224" s="9">
        <f t="shared" si="30"/>
        <v>28310.216556697927</v>
      </c>
      <c r="F224" s="13">
        <f t="shared" si="31"/>
        <v>0.17013460697552518</v>
      </c>
      <c r="M224" s="13"/>
      <c r="O224" t="s">
        <v>13311</v>
      </c>
      <c r="P224" t="s">
        <v>20230</v>
      </c>
      <c r="Q224" s="10">
        <v>44420.41</v>
      </c>
      <c r="R224" s="13">
        <f t="shared" si="34"/>
        <v>4.8715937656734817E-3</v>
      </c>
      <c r="S224" s="4">
        <f t="shared" ref="S224" si="49">R224*$E$5</f>
        <v>14332.324795356013</v>
      </c>
      <c r="T224" s="13">
        <f t="shared" ref="T224" si="50">S224/Q224</f>
        <v>0.32265178991720272</v>
      </c>
    </row>
    <row r="225" spans="1:20">
      <c r="A225" t="s">
        <v>13311</v>
      </c>
      <c r="B225" t="s">
        <v>6198</v>
      </c>
      <c r="C225" s="10">
        <v>54379.05</v>
      </c>
      <c r="D225" s="14">
        <f t="shared" si="29"/>
        <v>4.4916809732398763E-3</v>
      </c>
      <c r="E225" s="9">
        <f t="shared" si="30"/>
        <v>9251.7582994524328</v>
      </c>
      <c r="F225" s="13">
        <f t="shared" si="31"/>
        <v>0.17013460697552518</v>
      </c>
      <c r="M225" s="13"/>
      <c r="O225" t="s">
        <v>13311</v>
      </c>
      <c r="P225" t="s">
        <v>20233</v>
      </c>
      <c r="Q225" s="10">
        <v>49408.72</v>
      </c>
      <c r="R225" s="13">
        <f t="shared" si="34"/>
        <v>5.4186625544858013E-3</v>
      </c>
      <c r="S225" s="4">
        <f t="shared" ref="S225:S230" si="51">R225*$E$5</f>
        <v>15941.811945517893</v>
      </c>
      <c r="T225" s="13">
        <f t="shared" ref="T225:T230" si="52">S225/Q225</f>
        <v>0.32265178991720272</v>
      </c>
    </row>
    <row r="226" spans="1:20">
      <c r="A226" t="s">
        <v>13311</v>
      </c>
      <c r="B226" t="s">
        <v>7642</v>
      </c>
      <c r="C226" s="10">
        <v>19426.669999999998</v>
      </c>
      <c r="D226" s="14">
        <f t="shared" si="29"/>
        <v>1.6046327402264274E-3</v>
      </c>
      <c r="E226" s="9">
        <f t="shared" si="30"/>
        <v>3305.1488652932258</v>
      </c>
      <c r="F226" s="13">
        <f t="shared" si="31"/>
        <v>0.17013460697552518</v>
      </c>
      <c r="M226" s="13"/>
      <c r="O226" t="s">
        <v>13311</v>
      </c>
      <c r="P226" t="s">
        <v>20234</v>
      </c>
      <c r="Q226" s="10">
        <v>28767.120000000003</v>
      </c>
      <c r="R226" s="13">
        <f t="shared" si="34"/>
        <v>3.1548948433474818E-3</v>
      </c>
      <c r="S226" s="4">
        <f t="shared" si="51"/>
        <v>9281.7627587629613</v>
      </c>
      <c r="T226" s="13">
        <f t="shared" si="52"/>
        <v>0.32265178991720272</v>
      </c>
    </row>
    <row r="227" spans="1:20">
      <c r="A227" t="s">
        <v>13311</v>
      </c>
      <c r="B227" t="s">
        <v>6204</v>
      </c>
      <c r="C227" s="10">
        <v>10728.69</v>
      </c>
      <c r="D227" s="14">
        <f t="shared" si="29"/>
        <v>8.8618415990696661E-4</v>
      </c>
      <c r="E227" s="9">
        <f t="shared" si="30"/>
        <v>1825.3214565122476</v>
      </c>
      <c r="F227" s="13">
        <f t="shared" si="31"/>
        <v>0.17013460697552521</v>
      </c>
      <c r="M227" s="13"/>
      <c r="O227" t="s">
        <v>13311</v>
      </c>
      <c r="P227" t="s">
        <v>20235</v>
      </c>
      <c r="Q227" s="10">
        <v>17566.170000000002</v>
      </c>
      <c r="R227" s="13">
        <f t="shared" si="34"/>
        <v>1.9264847906347677E-3</v>
      </c>
      <c r="S227" s="4">
        <f t="shared" si="51"/>
        <v>5667.75619248987</v>
      </c>
      <c r="T227" s="13">
        <f t="shared" si="52"/>
        <v>0.32265178991720272</v>
      </c>
    </row>
    <row r="228" spans="1:20">
      <c r="A228" t="s">
        <v>13311</v>
      </c>
      <c r="B228" t="s">
        <v>6213</v>
      </c>
      <c r="C228" s="10">
        <v>46078.3</v>
      </c>
      <c r="D228" s="14">
        <f t="shared" si="29"/>
        <v>3.8060433823179883E-3</v>
      </c>
      <c r="E228" s="9">
        <f t="shared" si="30"/>
        <v>7839.513460600343</v>
      </c>
      <c r="F228" s="13">
        <f t="shared" si="31"/>
        <v>0.17013460697552518</v>
      </c>
      <c r="M228" s="13"/>
      <c r="O228" t="s">
        <v>13311</v>
      </c>
      <c r="P228" t="s">
        <v>20246</v>
      </c>
      <c r="Q228" s="10">
        <v>18059.57</v>
      </c>
      <c r="R228" s="13">
        <f t="shared" si="34"/>
        <v>1.9805960508411297E-3</v>
      </c>
      <c r="S228" s="4">
        <f t="shared" si="51"/>
        <v>5826.9525856350174</v>
      </c>
      <c r="T228" s="13">
        <f t="shared" si="52"/>
        <v>0.32265178991720278</v>
      </c>
    </row>
    <row r="229" spans="1:20">
      <c r="A229" t="s">
        <v>13311</v>
      </c>
      <c r="B229" t="s">
        <v>6220</v>
      </c>
      <c r="C229" s="10">
        <v>10577.3</v>
      </c>
      <c r="D229" s="14">
        <f t="shared" si="29"/>
        <v>8.7367942540831701E-4</v>
      </c>
      <c r="E229" s="9">
        <f t="shared" si="30"/>
        <v>1799.5647783622226</v>
      </c>
      <c r="F229" s="13">
        <f t="shared" si="31"/>
        <v>0.17013460697552521</v>
      </c>
      <c r="M229" s="13"/>
      <c r="O229" t="s">
        <v>13311</v>
      </c>
      <c r="P229" t="s">
        <v>20254</v>
      </c>
      <c r="Q229" s="10">
        <v>10576.93</v>
      </c>
      <c r="R229" s="13">
        <f t="shared" si="34"/>
        <v>1.1599736753434922E-3</v>
      </c>
      <c r="S229" s="4">
        <f t="shared" si="51"/>
        <v>3412.6653963289591</v>
      </c>
      <c r="T229" s="13">
        <f t="shared" si="52"/>
        <v>0.32265178991720272</v>
      </c>
    </row>
    <row r="230" spans="1:20">
      <c r="A230" t="s">
        <v>13311</v>
      </c>
      <c r="B230" t="s">
        <v>6234</v>
      </c>
      <c r="C230" s="10">
        <v>77988.12</v>
      </c>
      <c r="D230" s="14">
        <f t="shared" si="29"/>
        <v>6.4417777571095531E-3</v>
      </c>
      <c r="E230" s="9">
        <f t="shared" si="30"/>
        <v>13268.478144960094</v>
      </c>
      <c r="F230" s="13">
        <f t="shared" si="31"/>
        <v>0.17013460697552518</v>
      </c>
      <c r="M230" s="13"/>
      <c r="O230" t="s">
        <v>13311</v>
      </c>
      <c r="P230" t="s">
        <v>8172</v>
      </c>
      <c r="Q230" s="10">
        <v>10789.04</v>
      </c>
      <c r="R230" s="13">
        <f t="shared" si="34"/>
        <v>1.1832358143835642E-3</v>
      </c>
      <c r="S230" s="4">
        <f t="shared" si="51"/>
        <v>3481.1030674882973</v>
      </c>
      <c r="T230" s="13">
        <f t="shared" si="52"/>
        <v>0.32265178991720272</v>
      </c>
    </row>
    <row r="231" spans="1:20">
      <c r="A231" t="s">
        <v>13311</v>
      </c>
      <c r="B231" t="s">
        <v>6237</v>
      </c>
      <c r="C231" s="10">
        <v>44179.92</v>
      </c>
      <c r="D231" s="14">
        <f t="shared" si="29"/>
        <v>3.6492381912383515E-3</v>
      </c>
      <c r="E231" s="9">
        <f t="shared" si="30"/>
        <v>7516.5333254101452</v>
      </c>
      <c r="F231" s="13">
        <f t="shared" si="31"/>
        <v>0.17013460697552521</v>
      </c>
      <c r="M231" s="13"/>
      <c r="O231" t="s">
        <v>13311</v>
      </c>
      <c r="P231" t="s">
        <v>9111</v>
      </c>
      <c r="Q231" s="10">
        <v>8736.7000000000007</v>
      </c>
      <c r="R231" s="13">
        <f t="shared" si="34"/>
        <v>9.5815534463908607E-4</v>
      </c>
      <c r="S231" s="4">
        <f t="shared" ref="S231" si="53">R231*$E$5</f>
        <v>2818.9118929696251</v>
      </c>
      <c r="T231" s="13">
        <f t="shared" ref="T231" si="54">S231/Q231</f>
        <v>0.32265178991720272</v>
      </c>
    </row>
    <row r="232" spans="1:20">
      <c r="A232" t="s">
        <v>13311</v>
      </c>
      <c r="B232" t="s">
        <v>6243</v>
      </c>
      <c r="C232" s="10">
        <v>31260.81</v>
      </c>
      <c r="D232" s="14">
        <f t="shared" si="29"/>
        <v>2.5821264896144173E-3</v>
      </c>
      <c r="E232" s="9">
        <f t="shared" si="30"/>
        <v>5318.5456230865684</v>
      </c>
      <c r="F232" s="13">
        <f t="shared" si="31"/>
        <v>0.17013460697552521</v>
      </c>
      <c r="M232" s="13"/>
      <c r="O232" t="s">
        <v>13311</v>
      </c>
      <c r="P232" t="s">
        <v>20260</v>
      </c>
      <c r="Q232" s="10">
        <v>35516.53</v>
      </c>
      <c r="R232" s="13">
        <f t="shared" si="34"/>
        <v>3.8951037625802004E-3</v>
      </c>
      <c r="S232" s="4">
        <f t="shared" ref="S232:S233" si="55">R232*$E$5</f>
        <v>11459.471976148028</v>
      </c>
      <c r="T232" s="13">
        <f t="shared" ref="T232:T233" si="56">S232/Q232</f>
        <v>0.32265178991720272</v>
      </c>
    </row>
    <row r="233" spans="1:20">
      <c r="A233" t="s">
        <v>13311</v>
      </c>
      <c r="B233" t="s">
        <v>6246</v>
      </c>
      <c r="C233" s="10">
        <v>65358.61</v>
      </c>
      <c r="D233" s="14">
        <f t="shared" si="29"/>
        <v>5.3985868634042989E-3</v>
      </c>
      <c r="E233" s="9">
        <f t="shared" si="30"/>
        <v>11119.761424816632</v>
      </c>
      <c r="F233" s="13">
        <f t="shared" si="31"/>
        <v>0.17013460697552521</v>
      </c>
      <c r="M233" s="13"/>
      <c r="O233" t="s">
        <v>13311</v>
      </c>
      <c r="P233" t="s">
        <v>20262</v>
      </c>
      <c r="Q233" s="10">
        <v>12726</v>
      </c>
      <c r="R233" s="13">
        <f t="shared" si="34"/>
        <v>1.3956625403043492E-3</v>
      </c>
      <c r="S233" s="4">
        <f t="shared" si="55"/>
        <v>4106.0666784863215</v>
      </c>
      <c r="T233" s="13">
        <f t="shared" si="56"/>
        <v>0.32265178991720267</v>
      </c>
    </row>
    <row r="234" spans="1:20">
      <c r="A234" t="s">
        <v>13311</v>
      </c>
      <c r="B234" t="s">
        <v>7676</v>
      </c>
      <c r="C234" s="10">
        <v>21883.18</v>
      </c>
      <c r="D234" s="14">
        <f t="shared" si="29"/>
        <v>1.8075391762081795E-3</v>
      </c>
      <c r="E234" s="9">
        <f t="shared" si="30"/>
        <v>3723.0862286746733</v>
      </c>
      <c r="F234" s="13">
        <f t="shared" si="31"/>
        <v>0.17013460697552518</v>
      </c>
      <c r="M234" s="13"/>
      <c r="O234" t="s">
        <v>13311</v>
      </c>
      <c r="P234" t="s">
        <v>20263</v>
      </c>
      <c r="Q234" s="10">
        <v>16379.48</v>
      </c>
      <c r="R234" s="13">
        <f t="shared" si="34"/>
        <v>1.7963403006179698E-3</v>
      </c>
      <c r="S234" s="4">
        <f t="shared" ref="S234:S244" si="57">R234*$E$5</f>
        <v>5284.8685399130236</v>
      </c>
      <c r="T234" s="13">
        <f t="shared" ref="T234:T244" si="58">S234/Q234</f>
        <v>0.32265178991720272</v>
      </c>
    </row>
    <row r="235" spans="1:20">
      <c r="A235" t="s">
        <v>13311</v>
      </c>
      <c r="B235" t="s">
        <v>6270</v>
      </c>
      <c r="C235" s="10">
        <v>4633.8100000000004</v>
      </c>
      <c r="D235" s="14">
        <f t="shared" si="29"/>
        <v>3.82750272588592E-4</v>
      </c>
      <c r="E235" s="9">
        <f t="shared" si="30"/>
        <v>788.37144314925843</v>
      </c>
      <c r="F235" s="13">
        <f t="shared" si="31"/>
        <v>0.17013460697552518</v>
      </c>
      <c r="M235" s="13"/>
      <c r="O235" t="s">
        <v>13311</v>
      </c>
      <c r="P235" t="s">
        <v>20264</v>
      </c>
      <c r="Q235" s="10">
        <v>38876.269999999997</v>
      </c>
      <c r="R235" s="13">
        <f t="shared" si="34"/>
        <v>4.263567008153211E-3</v>
      </c>
      <c r="S235" s="4">
        <f t="shared" si="57"/>
        <v>12543.498100804451</v>
      </c>
      <c r="T235" s="13">
        <f t="shared" si="58"/>
        <v>0.32265178991720272</v>
      </c>
    </row>
    <row r="236" spans="1:20">
      <c r="A236" t="s">
        <v>13311</v>
      </c>
      <c r="B236" t="s">
        <v>7657</v>
      </c>
      <c r="C236" s="10">
        <v>92613.759999999995</v>
      </c>
      <c r="D236" s="14">
        <f t="shared" si="29"/>
        <v>7.6498479405617478E-3</v>
      </c>
      <c r="E236" s="9">
        <f t="shared" si="30"/>
        <v>15756.805658125615</v>
      </c>
      <c r="F236" s="13">
        <f t="shared" si="31"/>
        <v>0.17013460697552518</v>
      </c>
      <c r="M236" s="13"/>
      <c r="O236" t="s">
        <v>13311</v>
      </c>
      <c r="P236" t="s">
        <v>20265</v>
      </c>
      <c r="Q236" s="10">
        <v>13576.62</v>
      </c>
      <c r="R236" s="13">
        <f t="shared" si="34"/>
        <v>1.4889501774278512E-3</v>
      </c>
      <c r="S236" s="4">
        <f t="shared" si="57"/>
        <v>4380.5207440256927</v>
      </c>
      <c r="T236" s="13">
        <f t="shared" si="58"/>
        <v>0.32265178991720267</v>
      </c>
    </row>
    <row r="237" spans="1:20">
      <c r="A237" t="s">
        <v>13311</v>
      </c>
      <c r="B237" t="s">
        <v>6883</v>
      </c>
      <c r="C237" s="10">
        <v>9401.7099999999991</v>
      </c>
      <c r="D237" s="14">
        <f t="shared" si="29"/>
        <v>7.7657630876080172E-4</v>
      </c>
      <c r="E237" s="9">
        <f t="shared" si="30"/>
        <v>1599.5562357478648</v>
      </c>
      <c r="F237" s="13">
        <f t="shared" si="31"/>
        <v>0.17013460697552518</v>
      </c>
      <c r="M237" s="13"/>
      <c r="O237" t="s">
        <v>13311</v>
      </c>
      <c r="P237" t="s">
        <v>20266</v>
      </c>
      <c r="Q237" s="10">
        <v>26818.54</v>
      </c>
      <c r="R237" s="13">
        <f t="shared" si="34"/>
        <v>2.9411937500906649E-3</v>
      </c>
      <c r="S237" s="4">
        <f t="shared" si="57"/>
        <v>8653.0499339660983</v>
      </c>
      <c r="T237" s="13">
        <f t="shared" si="58"/>
        <v>0.32265178991720272</v>
      </c>
    </row>
    <row r="238" spans="1:20">
      <c r="A238" t="s">
        <v>13311</v>
      </c>
      <c r="B238" t="s">
        <v>7789</v>
      </c>
      <c r="C238" s="10">
        <v>15159.5</v>
      </c>
      <c r="D238" s="14">
        <f t="shared" si="29"/>
        <v>1.2521667390995228E-3</v>
      </c>
      <c r="E238" s="9">
        <f t="shared" si="30"/>
        <v>2579.155574445474</v>
      </c>
      <c r="F238" s="13">
        <f t="shared" si="31"/>
        <v>0.17013460697552518</v>
      </c>
      <c r="M238" s="13"/>
      <c r="O238" t="s">
        <v>13311</v>
      </c>
      <c r="P238" t="s">
        <v>20267</v>
      </c>
      <c r="Q238" s="10">
        <v>18582.89</v>
      </c>
      <c r="R238" s="13">
        <f t="shared" si="34"/>
        <v>2.0379886424325231E-3</v>
      </c>
      <c r="S238" s="4">
        <f t="shared" si="57"/>
        <v>5995.8027203344873</v>
      </c>
      <c r="T238" s="13">
        <f t="shared" si="58"/>
        <v>0.32265178991720272</v>
      </c>
    </row>
    <row r="239" spans="1:20">
      <c r="A239" t="s">
        <v>13311</v>
      </c>
      <c r="B239" t="s">
        <v>6287</v>
      </c>
      <c r="C239" s="10">
        <v>19748.54</v>
      </c>
      <c r="D239" s="14">
        <f t="shared" si="29"/>
        <v>1.6312190331987527E-3</v>
      </c>
      <c r="E239" s="9">
        <f t="shared" si="30"/>
        <v>3359.9100912404383</v>
      </c>
      <c r="F239" s="13">
        <f t="shared" si="31"/>
        <v>0.17013460697552518</v>
      </c>
      <c r="M239" s="13"/>
      <c r="O239" t="s">
        <v>13311</v>
      </c>
      <c r="P239" t="s">
        <v>20268</v>
      </c>
      <c r="Q239" s="10">
        <v>4345.6000000000004</v>
      </c>
      <c r="R239" s="13">
        <f t="shared" si="34"/>
        <v>4.7658267602911997E-4</v>
      </c>
      <c r="S239" s="4">
        <f t="shared" si="57"/>
        <v>1402.1156182641962</v>
      </c>
      <c r="T239" s="13">
        <f t="shared" si="58"/>
        <v>0.32265178991720272</v>
      </c>
    </row>
    <row r="240" spans="1:20">
      <c r="A240" t="s">
        <v>13311</v>
      </c>
      <c r="B240" t="s">
        <v>6290</v>
      </c>
      <c r="C240" s="10">
        <v>16489.93</v>
      </c>
      <c r="D240" s="14">
        <f t="shared" si="29"/>
        <v>1.3620595584339455E-3</v>
      </c>
      <c r="E240" s="9">
        <f t="shared" si="30"/>
        <v>2805.5077596039223</v>
      </c>
      <c r="F240" s="13">
        <f t="shared" si="31"/>
        <v>0.17013460697552521</v>
      </c>
      <c r="M240" s="13"/>
      <c r="O240" t="s">
        <v>13311</v>
      </c>
      <c r="P240" t="s">
        <v>20269</v>
      </c>
      <c r="Q240" s="10">
        <v>6010.58</v>
      </c>
      <c r="R240" s="13">
        <f t="shared" si="34"/>
        <v>6.591813100347726E-4</v>
      </c>
      <c r="S240" s="4">
        <f t="shared" si="57"/>
        <v>1939.3243954405405</v>
      </c>
      <c r="T240" s="13">
        <f t="shared" si="58"/>
        <v>0.32265178991720272</v>
      </c>
    </row>
    <row r="241" spans="1:20">
      <c r="A241" t="s">
        <v>13311</v>
      </c>
      <c r="B241" t="s">
        <v>6297</v>
      </c>
      <c r="C241" s="10">
        <v>97949.41</v>
      </c>
      <c r="D241" s="14">
        <f t="shared" si="29"/>
        <v>8.0905698285842018E-3</v>
      </c>
      <c r="E241" s="9">
        <f t="shared" si="30"/>
        <v>16664.584373834579</v>
      </c>
      <c r="F241" s="13">
        <f t="shared" si="31"/>
        <v>0.17013460697552521</v>
      </c>
      <c r="M241" s="13"/>
      <c r="O241" t="s">
        <v>13311</v>
      </c>
      <c r="P241" t="s">
        <v>20270</v>
      </c>
      <c r="Q241" s="10">
        <v>3653.85</v>
      </c>
      <c r="R241" s="13">
        <f t="shared" si="34"/>
        <v>4.007183382752669E-4</v>
      </c>
      <c r="S241" s="4">
        <f t="shared" si="57"/>
        <v>1178.9212425889712</v>
      </c>
      <c r="T241" s="13">
        <f t="shared" si="58"/>
        <v>0.32265178991720272</v>
      </c>
    </row>
    <row r="242" spans="1:20">
      <c r="A242" t="s">
        <v>13311</v>
      </c>
      <c r="B242" t="s">
        <v>6299</v>
      </c>
      <c r="C242" s="10">
        <v>15457.15</v>
      </c>
      <c r="D242" s="14">
        <f t="shared" si="29"/>
        <v>1.2767524727908036E-3</v>
      </c>
      <c r="E242" s="9">
        <f t="shared" si="30"/>
        <v>2629.7961402117389</v>
      </c>
      <c r="F242" s="13">
        <f t="shared" si="31"/>
        <v>0.17013460697552518</v>
      </c>
      <c r="M242" s="13"/>
      <c r="O242" t="s">
        <v>13311</v>
      </c>
      <c r="P242" t="s">
        <v>8495</v>
      </c>
      <c r="Q242" s="10">
        <v>5461.15</v>
      </c>
      <c r="R242" s="13">
        <f t="shared" si="34"/>
        <v>5.9892523039313972E-4</v>
      </c>
      <c r="S242" s="4">
        <f t="shared" si="57"/>
        <v>1762.0498225063316</v>
      </c>
      <c r="T242" s="13">
        <f t="shared" si="58"/>
        <v>0.32265178991720272</v>
      </c>
    </row>
    <row r="243" spans="1:20">
      <c r="A243" t="s">
        <v>13311</v>
      </c>
      <c r="B243" t="s">
        <v>6309</v>
      </c>
      <c r="C243" s="10">
        <v>11514.89</v>
      </c>
      <c r="D243" s="14">
        <f t="shared" si="29"/>
        <v>9.5112386703979045E-4</v>
      </c>
      <c r="E243" s="9">
        <f t="shared" si="30"/>
        <v>1959.081284516405</v>
      </c>
      <c r="F243" s="13">
        <f t="shared" si="31"/>
        <v>0.17013460697552518</v>
      </c>
      <c r="M243" s="13"/>
      <c r="O243" t="s">
        <v>13311</v>
      </c>
      <c r="P243" t="s">
        <v>6373</v>
      </c>
      <c r="Q243" s="10">
        <v>3269.23</v>
      </c>
      <c r="R243" s="13">
        <f t="shared" si="34"/>
        <v>3.5853699879295834E-4</v>
      </c>
      <c r="S243" s="4">
        <f t="shared" si="57"/>
        <v>1054.8229111510168</v>
      </c>
      <c r="T243" s="13">
        <f t="shared" si="58"/>
        <v>0.32265178991720278</v>
      </c>
    </row>
    <row r="244" spans="1:20">
      <c r="A244" t="s">
        <v>13311</v>
      </c>
      <c r="B244" t="s">
        <v>6790</v>
      </c>
      <c r="C244" s="10">
        <v>102379.41</v>
      </c>
      <c r="D244" s="14">
        <f t="shared" si="29"/>
        <v>8.4564855022021233E-3</v>
      </c>
      <c r="E244" s="9">
        <f t="shared" si="30"/>
        <v>17418.280682736156</v>
      </c>
      <c r="F244" s="13">
        <f t="shared" si="31"/>
        <v>0.17013460697552521</v>
      </c>
      <c r="M244" s="13"/>
      <c r="O244" t="s">
        <v>3</v>
      </c>
      <c r="Q244" s="10">
        <v>9118250.0299999937</v>
      </c>
      <c r="R244" s="13">
        <f t="shared" si="34"/>
        <v>1</v>
      </c>
      <c r="S244" s="4">
        <f t="shared" si="57"/>
        <v>2942019.6930920854</v>
      </c>
      <c r="T244" s="13">
        <f t="shared" si="58"/>
        <v>0.32265178991720272</v>
      </c>
    </row>
    <row r="245" spans="1:20">
      <c r="A245" t="s">
        <v>13311</v>
      </c>
      <c r="B245" t="s">
        <v>6315</v>
      </c>
      <c r="C245" s="10">
        <v>82720.13</v>
      </c>
      <c r="D245" s="14">
        <f t="shared" si="29"/>
        <v>6.8326392981291348E-3</v>
      </c>
      <c r="E245" s="9">
        <f t="shared" si="30"/>
        <v>14073.556806514353</v>
      </c>
      <c r="F245" s="13">
        <f t="shared" si="31"/>
        <v>0.17013460697552521</v>
      </c>
      <c r="M245" s="13"/>
      <c r="T245" s="13"/>
    </row>
    <row r="246" spans="1:20">
      <c r="A246" t="s">
        <v>13311</v>
      </c>
      <c r="B246" t="s">
        <v>6321</v>
      </c>
      <c r="C246" s="10">
        <v>53163.87</v>
      </c>
      <c r="D246" s="14">
        <f t="shared" si="29"/>
        <v>4.3913077433827604E-3</v>
      </c>
      <c r="E246" s="9">
        <f t="shared" si="30"/>
        <v>9045.0141277479161</v>
      </c>
      <c r="F246" s="13">
        <f t="shared" si="31"/>
        <v>0.17013460697552521</v>
      </c>
      <c r="M246" s="13"/>
      <c r="T246" s="13"/>
    </row>
    <row r="247" spans="1:20">
      <c r="A247" t="s">
        <v>13311</v>
      </c>
      <c r="B247" t="s">
        <v>6327</v>
      </c>
      <c r="C247" s="10">
        <v>9550.69</v>
      </c>
      <c r="D247" s="14">
        <f t="shared" si="29"/>
        <v>7.8888197852504513E-4</v>
      </c>
      <c r="E247" s="9">
        <f t="shared" si="30"/>
        <v>1624.9028894950786</v>
      </c>
      <c r="F247" s="13">
        <f t="shared" si="31"/>
        <v>0.17013460697552518</v>
      </c>
      <c r="M247" s="13"/>
      <c r="T247" s="13"/>
    </row>
    <row r="248" spans="1:20">
      <c r="A248" t="s">
        <v>13311</v>
      </c>
      <c r="B248" t="s">
        <v>18181</v>
      </c>
      <c r="C248" s="10">
        <v>24218.97</v>
      </c>
      <c r="D248" s="14">
        <f t="shared" si="29"/>
        <v>2.000474203585156E-3</v>
      </c>
      <c r="E248" s="9">
        <f t="shared" si="30"/>
        <v>4120.484942302036</v>
      </c>
      <c r="F248" s="13">
        <f t="shared" si="31"/>
        <v>0.17013460697552521</v>
      </c>
      <c r="T248" s="13"/>
    </row>
    <row r="249" spans="1:20">
      <c r="A249" t="s">
        <v>13311</v>
      </c>
      <c r="B249" t="s">
        <v>18182</v>
      </c>
      <c r="C249" s="10">
        <v>10742.62</v>
      </c>
      <c r="D249" s="14">
        <f t="shared" si="29"/>
        <v>8.8733477059172903E-4</v>
      </c>
      <c r="E249" s="9">
        <f t="shared" si="30"/>
        <v>1827.6914315874164</v>
      </c>
      <c r="F249" s="13">
        <f t="shared" si="31"/>
        <v>0.17013460697552518</v>
      </c>
      <c r="T249" s="13"/>
    </row>
    <row r="250" spans="1:20">
      <c r="A250" t="s">
        <v>13311</v>
      </c>
      <c r="B250" t="s">
        <v>13215</v>
      </c>
      <c r="C250" s="10">
        <v>4916.3500000000004</v>
      </c>
      <c r="D250" s="14">
        <f t="shared" si="29"/>
        <v>4.0608792821477882E-4</v>
      </c>
      <c r="E250" s="9">
        <f t="shared" si="30"/>
        <v>836.44127500412333</v>
      </c>
      <c r="F250" s="13">
        <f t="shared" si="31"/>
        <v>0.17013460697552518</v>
      </c>
      <c r="T250" s="13"/>
    </row>
    <row r="251" spans="1:20">
      <c r="A251" t="s">
        <v>13311</v>
      </c>
      <c r="B251" t="s">
        <v>3667</v>
      </c>
      <c r="C251" s="10">
        <v>244301.23</v>
      </c>
      <c r="D251" s="14">
        <f t="shared" si="29"/>
        <v>2.0179153304997033E-2</v>
      </c>
      <c r="E251" s="9">
        <f t="shared" si="30"/>
        <v>41564.093749687381</v>
      </c>
      <c r="F251" s="13">
        <f t="shared" si="31"/>
        <v>0.17013460697552518</v>
      </c>
      <c r="T251" s="13"/>
    </row>
    <row r="252" spans="1:20">
      <c r="A252" t="s">
        <v>13311</v>
      </c>
      <c r="B252" t="s">
        <v>3712</v>
      </c>
      <c r="C252" s="10">
        <v>7653.85</v>
      </c>
      <c r="D252" s="14">
        <f t="shared" si="29"/>
        <v>6.322039906366888E-4</v>
      </c>
      <c r="E252" s="9">
        <f t="shared" si="30"/>
        <v>1302.1847615996237</v>
      </c>
      <c r="F252" s="13">
        <f t="shared" si="31"/>
        <v>0.17013460697552521</v>
      </c>
      <c r="T252" s="13"/>
    </row>
    <row r="253" spans="1:20">
      <c r="A253" t="s">
        <v>13311</v>
      </c>
      <c r="B253" t="s">
        <v>3639</v>
      </c>
      <c r="C253" s="10">
        <v>2981.88</v>
      </c>
      <c r="D253" s="14">
        <f t="shared" si="29"/>
        <v>2.4630172208754149E-4</v>
      </c>
      <c r="E253" s="9">
        <f t="shared" si="30"/>
        <v>507.32098184817909</v>
      </c>
      <c r="F253" s="13">
        <f t="shared" si="31"/>
        <v>0.17013460697552518</v>
      </c>
      <c r="T253" s="13"/>
    </row>
    <row r="254" spans="1:20">
      <c r="A254" t="s">
        <v>13311</v>
      </c>
      <c r="B254" t="s">
        <v>3678</v>
      </c>
      <c r="C254" s="10">
        <v>42072.9</v>
      </c>
      <c r="D254" s="14">
        <f t="shared" si="29"/>
        <v>3.4751994457244842E-3</v>
      </c>
      <c r="E254" s="9">
        <f t="shared" si="30"/>
        <v>7158.0563058205744</v>
      </c>
      <c r="F254" s="13">
        <f t="shared" si="31"/>
        <v>0.17013460697552521</v>
      </c>
      <c r="T254" s="13"/>
    </row>
    <row r="255" spans="1:20">
      <c r="A255" t="s">
        <v>13311</v>
      </c>
      <c r="B255" t="s">
        <v>3653</v>
      </c>
      <c r="C255" s="10">
        <v>49297.06</v>
      </c>
      <c r="D255" s="14">
        <f t="shared" si="29"/>
        <v>4.0719112680097308E-3</v>
      </c>
      <c r="E255" s="9">
        <f t="shared" si="30"/>
        <v>8387.1359281488822</v>
      </c>
      <c r="F255" s="13">
        <f t="shared" si="31"/>
        <v>0.17013460697552515</v>
      </c>
      <c r="T255" s="13"/>
    </row>
    <row r="256" spans="1:20">
      <c r="A256" t="s">
        <v>13311</v>
      </c>
      <c r="B256" t="s">
        <v>6496</v>
      </c>
      <c r="C256" s="10">
        <v>5000</v>
      </c>
      <c r="D256" s="14">
        <f t="shared" si="29"/>
        <v>4.1299737428659349E-4</v>
      </c>
      <c r="E256" s="9">
        <f t="shared" si="30"/>
        <v>850.67303487762592</v>
      </c>
      <c r="F256" s="13">
        <f t="shared" si="31"/>
        <v>0.17013460697552518</v>
      </c>
      <c r="T256" s="13"/>
    </row>
    <row r="257" spans="1:20">
      <c r="A257" t="s">
        <v>13311</v>
      </c>
      <c r="B257" t="s">
        <v>10510</v>
      </c>
      <c r="C257" s="10">
        <v>8461.77</v>
      </c>
      <c r="D257" s="14">
        <f t="shared" si="29"/>
        <v>6.9893775836341369E-4</v>
      </c>
      <c r="E257" s="9">
        <f t="shared" si="30"/>
        <v>1439.6399132672898</v>
      </c>
      <c r="F257" s="13">
        <f t="shared" si="31"/>
        <v>0.17013460697552518</v>
      </c>
      <c r="T257" s="13"/>
    </row>
    <row r="258" spans="1:20">
      <c r="A258" t="s">
        <v>13311</v>
      </c>
      <c r="B258" t="s">
        <v>18190</v>
      </c>
      <c r="C258" s="10">
        <v>9003.31</v>
      </c>
      <c r="D258" s="14">
        <f t="shared" si="29"/>
        <v>7.4366867797764598E-4</v>
      </c>
      <c r="E258" s="9">
        <f t="shared" si="30"/>
        <v>1531.7746083288157</v>
      </c>
      <c r="F258" s="13">
        <f t="shared" si="31"/>
        <v>0.17013460697552521</v>
      </c>
      <c r="T258" s="13"/>
    </row>
    <row r="259" spans="1:20">
      <c r="A259" t="s">
        <v>13311</v>
      </c>
      <c r="B259" t="s">
        <v>11787</v>
      </c>
      <c r="C259" s="10">
        <v>19555.349999999999</v>
      </c>
      <c r="D259" s="14">
        <f t="shared" si="29"/>
        <v>1.6152616406510671E-3</v>
      </c>
      <c r="E259" s="9">
        <f t="shared" si="30"/>
        <v>3327.0417865188365</v>
      </c>
      <c r="F259" s="13">
        <f t="shared" si="31"/>
        <v>0.17013460697552521</v>
      </c>
      <c r="T259" s="13"/>
    </row>
    <row r="260" spans="1:20">
      <c r="A260" t="s">
        <v>13311</v>
      </c>
      <c r="B260" t="s">
        <v>11846</v>
      </c>
      <c r="C260" s="10">
        <v>27135.54</v>
      </c>
      <c r="D260" s="14">
        <f t="shared" si="29"/>
        <v>2.241381353969766E-3</v>
      </c>
      <c r="E260" s="9">
        <f t="shared" si="30"/>
        <v>4616.694432968643</v>
      </c>
      <c r="F260" s="13">
        <f t="shared" si="31"/>
        <v>0.17013460697552518</v>
      </c>
      <c r="T260" s="13"/>
    </row>
    <row r="261" spans="1:20">
      <c r="A261" t="s">
        <v>13311</v>
      </c>
      <c r="B261" t="s">
        <v>12072</v>
      </c>
      <c r="C261" s="10">
        <v>15442.31</v>
      </c>
      <c r="D261" s="14">
        <f t="shared" si="29"/>
        <v>1.2755266965839211E-3</v>
      </c>
      <c r="E261" s="9">
        <f t="shared" si="30"/>
        <v>2627.2713426442224</v>
      </c>
      <c r="F261" s="13">
        <f t="shared" si="31"/>
        <v>0.17013460697552518</v>
      </c>
      <c r="T261" s="13"/>
    </row>
    <row r="262" spans="1:20">
      <c r="A262" t="s">
        <v>13311</v>
      </c>
      <c r="B262" t="s">
        <v>12075</v>
      </c>
      <c r="C262" s="10">
        <v>13342.88</v>
      </c>
      <c r="D262" s="14">
        <f t="shared" si="29"/>
        <v>1.1021148810842205E-3</v>
      </c>
      <c r="E262" s="9">
        <f t="shared" si="30"/>
        <v>2270.0856447215956</v>
      </c>
      <c r="F262" s="13">
        <f t="shared" si="31"/>
        <v>0.17013460697552521</v>
      </c>
      <c r="T262" s="13"/>
    </row>
    <row r="263" spans="1:20">
      <c r="A263" t="s">
        <v>13311</v>
      </c>
      <c r="B263" t="s">
        <v>7067</v>
      </c>
      <c r="C263" s="10">
        <v>27443.35</v>
      </c>
      <c r="D263" s="14">
        <f t="shared" si="29"/>
        <v>2.266806298325597E-3</v>
      </c>
      <c r="E263" s="9">
        <f t="shared" si="30"/>
        <v>4669.0635663417788</v>
      </c>
      <c r="F263" s="13">
        <f t="shared" si="31"/>
        <v>0.17013460697552518</v>
      </c>
      <c r="T263" s="13"/>
    </row>
    <row r="264" spans="1:20">
      <c r="A264" t="s">
        <v>13311</v>
      </c>
      <c r="B264" t="s">
        <v>12281</v>
      </c>
      <c r="C264" s="10">
        <v>48569.120000000003</v>
      </c>
      <c r="D264" s="14">
        <f t="shared" si="29"/>
        <v>4.0117838062820954E-3</v>
      </c>
      <c r="E264" s="9">
        <f t="shared" si="30"/>
        <v>8263.2881423471208</v>
      </c>
      <c r="F264" s="13">
        <f t="shared" si="31"/>
        <v>0.17013460697552521</v>
      </c>
      <c r="T264" s="13"/>
    </row>
    <row r="265" spans="1:20">
      <c r="A265" t="s">
        <v>13311</v>
      </c>
      <c r="B265" t="s">
        <v>6135</v>
      </c>
      <c r="C265" s="10">
        <v>194019.63</v>
      </c>
      <c r="D265" s="14">
        <f t="shared" si="29"/>
        <v>1.6025919550011276E-2</v>
      </c>
      <c r="E265" s="9">
        <f t="shared" si="30"/>
        <v>33009.453495586815</v>
      </c>
      <c r="F265" s="13">
        <f t="shared" si="31"/>
        <v>0.17013460697552518</v>
      </c>
      <c r="T265" s="13"/>
    </row>
    <row r="266" spans="1:20">
      <c r="A266" t="s">
        <v>13311</v>
      </c>
      <c r="B266" t="s">
        <v>12340</v>
      </c>
      <c r="C266" s="10">
        <v>8128.08</v>
      </c>
      <c r="D266" s="14">
        <f t="shared" si="29"/>
        <v>6.7137513959827499E-4</v>
      </c>
      <c r="E266" s="9">
        <f t="shared" si="30"/>
        <v>1382.8676962656268</v>
      </c>
      <c r="F266" s="13">
        <f t="shared" si="31"/>
        <v>0.17013460697552518</v>
      </c>
      <c r="T266" s="13"/>
    </row>
    <row r="267" spans="1:20">
      <c r="A267" t="s">
        <v>13311</v>
      </c>
      <c r="B267" t="s">
        <v>12343</v>
      </c>
      <c r="C267" s="10">
        <v>21895.47</v>
      </c>
      <c r="D267" s="14">
        <f t="shared" si="29"/>
        <v>1.808554323754176E-3</v>
      </c>
      <c r="E267" s="9">
        <f t="shared" si="30"/>
        <v>3725.1771829944028</v>
      </c>
      <c r="F267" s="13">
        <f t="shared" si="31"/>
        <v>0.17013460697552518</v>
      </c>
      <c r="T267" s="13"/>
    </row>
    <row r="268" spans="1:20">
      <c r="A268" t="s">
        <v>13311</v>
      </c>
      <c r="B268" t="s">
        <v>12932</v>
      </c>
      <c r="C268" s="10">
        <v>165147.5</v>
      </c>
      <c r="D268" s="14">
        <f t="shared" si="29"/>
        <v>1.364109677399904E-2</v>
      </c>
      <c r="E268" s="9">
        <f t="shared" si="30"/>
        <v>28097.305005490547</v>
      </c>
      <c r="F268" s="13">
        <f t="shared" si="31"/>
        <v>0.17013460697552518</v>
      </c>
      <c r="T268" s="13"/>
    </row>
    <row r="269" spans="1:20">
      <c r="A269" t="s">
        <v>13311</v>
      </c>
      <c r="B269" t="s">
        <v>3924</v>
      </c>
      <c r="C269" s="10">
        <v>3060</v>
      </c>
      <c r="D269" s="14">
        <f t="shared" ref="D269:D282" si="59">C269/$C$282</f>
        <v>2.527543930633952E-4</v>
      </c>
      <c r="E269" s="9">
        <f t="shared" ref="E269:E276" si="60">D269*$E$3</f>
        <v>520.61189734510708</v>
      </c>
      <c r="F269" s="13">
        <f t="shared" ref="F269:F276" si="61">E269/C269</f>
        <v>0.17013460697552518</v>
      </c>
      <c r="T269" s="13"/>
    </row>
    <row r="270" spans="1:20">
      <c r="A270" t="s">
        <v>13311</v>
      </c>
      <c r="B270" t="s">
        <v>6176</v>
      </c>
      <c r="C270" s="10">
        <v>17551.27</v>
      </c>
      <c r="D270" s="14">
        <f t="shared" si="59"/>
        <v>1.449725685079012E-3</v>
      </c>
      <c r="E270" s="9">
        <f t="shared" si="60"/>
        <v>2986.0784233713262</v>
      </c>
      <c r="F270" s="13">
        <f t="shared" si="61"/>
        <v>0.17013460697552518</v>
      </c>
      <c r="T270" s="13"/>
    </row>
    <row r="271" spans="1:20">
      <c r="A271" t="s">
        <v>13311</v>
      </c>
      <c r="B271" t="s">
        <v>11840</v>
      </c>
      <c r="C271" s="10">
        <v>6077.19</v>
      </c>
      <c r="D271" s="14">
        <f t="shared" si="59"/>
        <v>5.0197270260814858E-4</v>
      </c>
      <c r="E271" s="9">
        <f t="shared" si="60"/>
        <v>1033.9403321655918</v>
      </c>
      <c r="F271" s="13">
        <f t="shared" si="61"/>
        <v>0.17013460697552518</v>
      </c>
      <c r="T271" s="13"/>
    </row>
    <row r="272" spans="1:20">
      <c r="A272" t="s">
        <v>13311</v>
      </c>
      <c r="B272" t="s">
        <v>5717</v>
      </c>
      <c r="C272" s="10">
        <v>16524.419999999998</v>
      </c>
      <c r="D272" s="14">
        <f t="shared" si="59"/>
        <v>1.3649084143217741E-3</v>
      </c>
      <c r="E272" s="9">
        <f t="shared" si="60"/>
        <v>2811.3757021985075</v>
      </c>
      <c r="F272" s="13">
        <f t="shared" si="61"/>
        <v>0.17013460697552518</v>
      </c>
      <c r="T272" s="13"/>
    </row>
    <row r="273" spans="1:20">
      <c r="A273" t="s">
        <v>13311</v>
      </c>
      <c r="B273" t="s">
        <v>20145</v>
      </c>
      <c r="C273" s="10">
        <v>61438.96</v>
      </c>
      <c r="D273" s="14">
        <f t="shared" si="59"/>
        <v>5.0748258317798089E-3</v>
      </c>
      <c r="E273" s="9">
        <f t="shared" si="60"/>
        <v>10452.893312585013</v>
      </c>
      <c r="F273" s="13">
        <f t="shared" si="61"/>
        <v>0.17013460697552518</v>
      </c>
      <c r="T273" s="13"/>
    </row>
    <row r="274" spans="1:20">
      <c r="A274" t="s">
        <v>13311</v>
      </c>
      <c r="B274" t="s">
        <v>5706</v>
      </c>
      <c r="C274" s="10">
        <v>56065.68</v>
      </c>
      <c r="D274" s="14">
        <f t="shared" si="59"/>
        <v>4.6309957255184758E-3</v>
      </c>
      <c r="E274" s="9">
        <f t="shared" si="60"/>
        <v>9538.7124316155623</v>
      </c>
      <c r="F274" s="13">
        <f t="shared" si="61"/>
        <v>0.17013460697552518</v>
      </c>
      <c r="T274" s="13"/>
    </row>
    <row r="275" spans="1:20">
      <c r="A275" t="s">
        <v>13311</v>
      </c>
      <c r="B275" t="s">
        <v>20152</v>
      </c>
      <c r="C275" s="10">
        <v>8358.65</v>
      </c>
      <c r="D275" s="14">
        <f t="shared" si="59"/>
        <v>6.9042010051612696E-4</v>
      </c>
      <c r="E275" s="9">
        <f t="shared" si="60"/>
        <v>1422.0956325959737</v>
      </c>
      <c r="F275" s="13">
        <f t="shared" si="61"/>
        <v>0.17013460697552521</v>
      </c>
      <c r="T275" s="13"/>
    </row>
    <row r="276" spans="1:20">
      <c r="A276" t="s">
        <v>13311</v>
      </c>
      <c r="B276" t="s">
        <v>20163</v>
      </c>
      <c r="C276" s="10">
        <v>35054.9</v>
      </c>
      <c r="D276" s="14">
        <f t="shared" si="59"/>
        <v>2.8955163311758215E-3</v>
      </c>
      <c r="E276" s="9">
        <f t="shared" si="60"/>
        <v>5964.051634066338</v>
      </c>
      <c r="F276" s="13">
        <f t="shared" si="61"/>
        <v>0.17013460697552518</v>
      </c>
      <c r="T276" s="13"/>
    </row>
    <row r="277" spans="1:20">
      <c r="A277" t="s">
        <v>13311</v>
      </c>
      <c r="B277" t="s">
        <v>20164</v>
      </c>
      <c r="C277" s="10">
        <v>44796.46</v>
      </c>
      <c r="D277" s="14">
        <f t="shared" si="59"/>
        <v>3.7001640714668829E-3</v>
      </c>
      <c r="E277" s="9">
        <f t="shared" ref="E277:E282" si="62">D277*$E$3</f>
        <v>7621.428115994835</v>
      </c>
      <c r="F277" s="13">
        <f t="shared" ref="F277:F282" si="63">E277/C277</f>
        <v>0.17013460697552518</v>
      </c>
      <c r="T277" s="13"/>
    </row>
    <row r="278" spans="1:20">
      <c r="A278" t="s">
        <v>13311</v>
      </c>
      <c r="B278" t="s">
        <v>20171</v>
      </c>
      <c r="C278" s="10">
        <v>8319.23</v>
      </c>
      <c r="D278" s="14">
        <f t="shared" si="59"/>
        <v>6.8716402921725143E-4</v>
      </c>
      <c r="E278" s="9">
        <f t="shared" si="62"/>
        <v>1415.3889263889985</v>
      </c>
      <c r="F278" s="13">
        <f t="shared" si="63"/>
        <v>0.17013460697552521</v>
      </c>
      <c r="T278" s="13"/>
    </row>
    <row r="279" spans="1:20">
      <c r="A279" t="s">
        <v>13311</v>
      </c>
      <c r="B279" t="s">
        <v>20172</v>
      </c>
      <c r="C279" s="10">
        <v>23923.08</v>
      </c>
      <c r="D279" s="14">
        <f t="shared" si="59"/>
        <v>1.9760338449696241E-3</v>
      </c>
      <c r="E279" s="9">
        <f t="shared" si="62"/>
        <v>4070.1438134440477</v>
      </c>
      <c r="F279" s="13">
        <f t="shared" si="63"/>
        <v>0.17013460697552521</v>
      </c>
      <c r="T279" s="13"/>
    </row>
    <row r="280" spans="1:20">
      <c r="A280" t="s">
        <v>13311</v>
      </c>
      <c r="B280" t="s">
        <v>20236</v>
      </c>
      <c r="C280" s="10">
        <v>61516.73</v>
      </c>
      <c r="D280" s="14">
        <f t="shared" si="59"/>
        <v>5.0812495929394635E-3</v>
      </c>
      <c r="E280" s="9">
        <f t="shared" si="62"/>
        <v>10466.1246809695</v>
      </c>
      <c r="F280" s="13">
        <f t="shared" si="63"/>
        <v>0.17013460697552518</v>
      </c>
      <c r="T280" s="13"/>
    </row>
    <row r="281" spans="1:20">
      <c r="A281" t="s">
        <v>13311</v>
      </c>
      <c r="B281" t="s">
        <v>5150</v>
      </c>
      <c r="C281" s="10">
        <v>6219.69</v>
      </c>
      <c r="D281" s="14">
        <f t="shared" si="59"/>
        <v>5.1374312777531647E-4</v>
      </c>
      <c r="E281" s="9">
        <f t="shared" si="62"/>
        <v>1058.1845136596041</v>
      </c>
      <c r="F281" s="13">
        <f t="shared" si="63"/>
        <v>0.17013460697552518</v>
      </c>
      <c r="T281" s="13"/>
    </row>
    <row r="282" spans="1:20">
      <c r="A282" t="s">
        <v>3</v>
      </c>
      <c r="C282" s="10">
        <v>12106614.5</v>
      </c>
      <c r="D282" s="14">
        <f t="shared" si="59"/>
        <v>1</v>
      </c>
      <c r="E282" s="9">
        <f t="shared" si="62"/>
        <v>2059754.0997616944</v>
      </c>
      <c r="F282" s="13">
        <f t="shared" si="63"/>
        <v>0.17013460697552518</v>
      </c>
      <c r="T282" s="13"/>
    </row>
    <row r="283" spans="1:20">
      <c r="D283" s="14"/>
      <c r="E283" s="9"/>
      <c r="F283" s="13"/>
      <c r="T283" s="13"/>
    </row>
    <row r="284" spans="1:20">
      <c r="D284" s="14"/>
      <c r="E284" s="9"/>
      <c r="F284" s="13"/>
      <c r="T284" s="13"/>
    </row>
    <row r="285" spans="1:20">
      <c r="D285" s="14"/>
      <c r="E285" s="9"/>
      <c r="F285" s="13"/>
      <c r="T285" s="13"/>
    </row>
    <row r="286" spans="1:20">
      <c r="D286" s="14"/>
      <c r="E286" s="9"/>
      <c r="F286" s="13"/>
      <c r="T286" s="13"/>
    </row>
    <row r="287" spans="1:20">
      <c r="C287" s="14"/>
      <c r="D287" s="14"/>
      <c r="E287" s="9"/>
      <c r="F287" s="13"/>
      <c r="T287" s="13"/>
    </row>
    <row r="288" spans="1:20">
      <c r="D288" s="14"/>
      <c r="E288" s="9"/>
      <c r="F288" s="13"/>
      <c r="T288" s="13"/>
    </row>
    <row r="289" spans="4:20">
      <c r="D289" s="14"/>
      <c r="E289" s="9"/>
      <c r="F289" s="13"/>
      <c r="T289" s="13"/>
    </row>
    <row r="290" spans="4:20">
      <c r="D290" s="14"/>
      <c r="E290" s="9"/>
      <c r="F290" s="13"/>
      <c r="T290" s="13"/>
    </row>
    <row r="291" spans="4:20">
      <c r="D291" s="14"/>
      <c r="E291" s="9"/>
      <c r="F291" s="13"/>
      <c r="T291" s="13"/>
    </row>
    <row r="292" spans="4:20">
      <c r="D292" s="14"/>
      <c r="E292" s="9"/>
      <c r="F292" s="13"/>
      <c r="T292" s="13"/>
    </row>
    <row r="293" spans="4:20">
      <c r="D293" s="14"/>
      <c r="E293" s="9"/>
      <c r="F293" s="13"/>
      <c r="T293" s="13"/>
    </row>
    <row r="294" spans="4:20">
      <c r="D294" s="14"/>
      <c r="E294" s="9"/>
      <c r="F294" s="13"/>
      <c r="T294" s="13"/>
    </row>
    <row r="295" spans="4:20">
      <c r="D295" s="14"/>
      <c r="E295" s="9"/>
      <c r="F295" s="13"/>
      <c r="T295" s="13"/>
    </row>
    <row r="296" spans="4:20">
      <c r="D296" s="14"/>
      <c r="E296" s="9"/>
      <c r="F296" s="13"/>
      <c r="T296" s="13"/>
    </row>
    <row r="297" spans="4:20">
      <c r="D297" s="14"/>
      <c r="E297" s="9"/>
      <c r="F297" s="13"/>
      <c r="T297" s="13"/>
    </row>
    <row r="298" spans="4:20">
      <c r="D298" s="14"/>
      <c r="E298" s="9"/>
      <c r="F298" s="13"/>
      <c r="T298" s="13"/>
    </row>
    <row r="299" spans="4:20">
      <c r="D299" s="14"/>
      <c r="E299" s="9"/>
      <c r="F299" s="13"/>
      <c r="T299" s="13"/>
    </row>
    <row r="300" spans="4:20">
      <c r="D300" s="14"/>
      <c r="E300" s="9"/>
      <c r="F300" s="13"/>
      <c r="T300" s="13"/>
    </row>
    <row r="301" spans="4:20">
      <c r="D301" s="14"/>
      <c r="E301" s="9"/>
      <c r="F301" s="13"/>
      <c r="T301" s="13"/>
    </row>
    <row r="302" spans="4:20">
      <c r="D302" s="14"/>
      <c r="E302" s="9"/>
      <c r="F302" s="13"/>
      <c r="T302" s="13"/>
    </row>
    <row r="303" spans="4:20">
      <c r="D303" s="14"/>
      <c r="E303" s="9"/>
      <c r="F303" s="13"/>
      <c r="T303" s="13"/>
    </row>
    <row r="304" spans="4:20">
      <c r="D304" s="14"/>
      <c r="E304" s="9"/>
      <c r="F304" s="13"/>
      <c r="T304" s="13"/>
    </row>
    <row r="305" spans="20:20">
      <c r="T305" s="13"/>
    </row>
    <row r="306" spans="20:20">
      <c r="T306" s="13"/>
    </row>
    <row r="307" spans="20:20">
      <c r="T307" s="13"/>
    </row>
    <row r="308" spans="20:20">
      <c r="T308" s="13"/>
    </row>
    <row r="309" spans="20:20">
      <c r="T309" s="13"/>
    </row>
    <row r="310" spans="20:20">
      <c r="T310" s="13"/>
    </row>
    <row r="311" spans="20:20">
      <c r="T311" s="13"/>
    </row>
    <row r="312" spans="20:20">
      <c r="T312" s="13"/>
    </row>
    <row r="313" spans="20:20">
      <c r="T313" s="13"/>
    </row>
    <row r="314" spans="20:20">
      <c r="T314" s="13"/>
    </row>
    <row r="315" spans="20:20">
      <c r="T315" s="13"/>
    </row>
    <row r="316" spans="20:20">
      <c r="T316" s="13"/>
    </row>
    <row r="317" spans="20:20">
      <c r="T317" s="13"/>
    </row>
    <row r="318" spans="20:20">
      <c r="T318" s="13"/>
    </row>
    <row r="319" spans="20:20">
      <c r="T319" s="13"/>
    </row>
    <row r="320" spans="20:20">
      <c r="T320" s="13"/>
    </row>
    <row r="321" spans="20:20">
      <c r="T321" s="13"/>
    </row>
    <row r="322" spans="20:20">
      <c r="T322" s="13"/>
    </row>
    <row r="323" spans="20:20">
      <c r="T323" s="13"/>
    </row>
    <row r="324" spans="20:20">
      <c r="T324" s="13"/>
    </row>
    <row r="325" spans="20:20">
      <c r="T325" s="13"/>
    </row>
    <row r="326" spans="20:20">
      <c r="T326" s="13"/>
    </row>
    <row r="327" spans="20:20">
      <c r="T327" s="13"/>
    </row>
    <row r="328" spans="20:20">
      <c r="T328" s="13"/>
    </row>
    <row r="329" spans="20:20">
      <c r="T329" s="13"/>
    </row>
    <row r="330" spans="20:20">
      <c r="T330" s="13"/>
    </row>
    <row r="331" spans="20:20">
      <c r="T331" s="13"/>
    </row>
    <row r="332" spans="20:20">
      <c r="T332" s="13"/>
    </row>
    <row r="333" spans="20:20">
      <c r="T333" s="13"/>
    </row>
    <row r="334" spans="20:20">
      <c r="T334" s="13"/>
    </row>
    <row r="335" spans="20:20">
      <c r="T335" s="13"/>
    </row>
    <row r="336" spans="20:20">
      <c r="T336" s="13"/>
    </row>
    <row r="337" spans="20:20">
      <c r="T337" s="13"/>
    </row>
    <row r="338" spans="20:20">
      <c r="T338" s="13"/>
    </row>
    <row r="339" spans="20:20">
      <c r="T339" s="13"/>
    </row>
    <row r="340" spans="20:20">
      <c r="T340" s="13"/>
    </row>
    <row r="341" spans="20:20">
      <c r="T341" s="13"/>
    </row>
    <row r="342" spans="20:20">
      <c r="T342" s="13"/>
    </row>
    <row r="343" spans="20:20">
      <c r="T343" s="13"/>
    </row>
    <row r="344" spans="20:20">
      <c r="T344" s="13"/>
    </row>
    <row r="345" spans="20:20">
      <c r="T345" s="13"/>
    </row>
    <row r="346" spans="20:20">
      <c r="T346" s="13"/>
    </row>
    <row r="347" spans="20:20">
      <c r="T347" s="13"/>
    </row>
    <row r="348" spans="20:20">
      <c r="T348" s="13"/>
    </row>
    <row r="349" spans="20:20">
      <c r="T349" s="13"/>
    </row>
    <row r="350" spans="20:20">
      <c r="T350" s="13"/>
    </row>
    <row r="351" spans="20:20">
      <c r="T351" s="13"/>
    </row>
    <row r="352" spans="20:20">
      <c r="T352" s="13"/>
    </row>
    <row r="353" spans="20:20">
      <c r="T353" s="13"/>
    </row>
    <row r="354" spans="20:20">
      <c r="T354" s="13"/>
    </row>
    <row r="355" spans="20:20">
      <c r="T355" s="13"/>
    </row>
    <row r="356" spans="20:20">
      <c r="T356" s="13"/>
    </row>
    <row r="357" spans="20:20">
      <c r="T357" s="13"/>
    </row>
    <row r="358" spans="20:20">
      <c r="T358" s="13"/>
    </row>
    <row r="359" spans="20:20">
      <c r="T359" s="13"/>
    </row>
    <row r="360" spans="20:20">
      <c r="T360" s="13"/>
    </row>
    <row r="361" spans="20:20">
      <c r="T361" s="13"/>
    </row>
    <row r="362" spans="20:20">
      <c r="T362" s="13"/>
    </row>
    <row r="363" spans="20:20">
      <c r="T363" s="13"/>
    </row>
    <row r="364" spans="20:20">
      <c r="T364" s="13"/>
    </row>
    <row r="365" spans="20:20">
      <c r="T365" s="13"/>
    </row>
    <row r="366" spans="20:20">
      <c r="T366" s="13"/>
    </row>
    <row r="367" spans="20:20">
      <c r="T367" s="13"/>
    </row>
    <row r="368" spans="20:20">
      <c r="T368" s="13"/>
    </row>
    <row r="369" spans="20:20">
      <c r="T369" s="13"/>
    </row>
    <row r="370" spans="20:20">
      <c r="T370" s="13"/>
    </row>
    <row r="371" spans="20:20">
      <c r="T371" s="13"/>
    </row>
    <row r="372" spans="20:20">
      <c r="T372" s="13"/>
    </row>
    <row r="373" spans="20:20">
      <c r="T373" s="13"/>
    </row>
    <row r="374" spans="20:20">
      <c r="T374" s="13"/>
    </row>
    <row r="375" spans="20:20">
      <c r="T375" s="13"/>
    </row>
    <row r="376" spans="20:20">
      <c r="T376" s="13"/>
    </row>
    <row r="377" spans="20:20">
      <c r="T377" s="13"/>
    </row>
    <row r="378" spans="20:20">
      <c r="T378" s="13"/>
    </row>
    <row r="379" spans="20:20">
      <c r="T379" s="13"/>
    </row>
    <row r="380" spans="20:20">
      <c r="T380" s="13"/>
    </row>
    <row r="381" spans="20:20">
      <c r="T381" s="13"/>
    </row>
    <row r="382" spans="20:20">
      <c r="T382" s="13"/>
    </row>
    <row r="383" spans="20:20">
      <c r="T383" s="13"/>
    </row>
    <row r="384" spans="20:20">
      <c r="T384" s="13"/>
    </row>
    <row r="385" spans="20:20">
      <c r="T385" s="13"/>
    </row>
    <row r="386" spans="20:20">
      <c r="T386" s="13"/>
    </row>
    <row r="387" spans="20:20">
      <c r="T387" s="13"/>
    </row>
    <row r="388" spans="20:20">
      <c r="T388" s="13"/>
    </row>
    <row r="389" spans="20:20">
      <c r="T389" s="13"/>
    </row>
    <row r="390" spans="20:20">
      <c r="T390" s="13"/>
    </row>
    <row r="391" spans="20:20">
      <c r="T391" s="13"/>
    </row>
    <row r="392" spans="20:20">
      <c r="T392" s="13"/>
    </row>
    <row r="393" spans="20:20">
      <c r="T393" s="13"/>
    </row>
    <row r="394" spans="20:20">
      <c r="T394" s="13"/>
    </row>
    <row r="395" spans="20:20">
      <c r="T395" s="13"/>
    </row>
    <row r="396" spans="20:20">
      <c r="T396" s="13"/>
    </row>
    <row r="397" spans="20:20">
      <c r="T397" s="13"/>
    </row>
    <row r="398" spans="20:20">
      <c r="T398" s="13"/>
    </row>
    <row r="399" spans="20:20">
      <c r="T399" s="13"/>
    </row>
    <row r="400" spans="20:20">
      <c r="T400" s="13"/>
    </row>
    <row r="401" spans="20:20">
      <c r="T401" s="13"/>
    </row>
    <row r="402" spans="20:20">
      <c r="T402" s="13"/>
    </row>
    <row r="403" spans="20:20">
      <c r="T403" s="13"/>
    </row>
    <row r="404" spans="20:20">
      <c r="T404" s="13"/>
    </row>
    <row r="405" spans="20:20">
      <c r="T405" s="13"/>
    </row>
    <row r="406" spans="20:20">
      <c r="T406" s="13"/>
    </row>
    <row r="407" spans="20:20">
      <c r="T407" s="13"/>
    </row>
    <row r="408" spans="20:20">
      <c r="T408" s="13"/>
    </row>
    <row r="409" spans="20:20">
      <c r="T409" s="13"/>
    </row>
    <row r="410" spans="20:20">
      <c r="T410" s="13"/>
    </row>
    <row r="411" spans="20:20">
      <c r="T411" s="13"/>
    </row>
    <row r="412" spans="20:20">
      <c r="T412" s="13"/>
    </row>
    <row r="413" spans="20:20">
      <c r="T413" s="13"/>
    </row>
    <row r="414" spans="20:20">
      <c r="T414" s="13"/>
    </row>
    <row r="415" spans="20:20">
      <c r="T415" s="13"/>
    </row>
    <row r="416" spans="20:20">
      <c r="T416" s="13"/>
    </row>
    <row r="417" spans="20:20">
      <c r="T417" s="13"/>
    </row>
    <row r="418" spans="20:20">
      <c r="T418" s="13"/>
    </row>
    <row r="419" spans="20:20">
      <c r="T419" s="13"/>
    </row>
    <row r="420" spans="20:20">
      <c r="T420" s="13"/>
    </row>
    <row r="421" spans="20:20">
      <c r="T421" s="13"/>
    </row>
    <row r="422" spans="20:20">
      <c r="T422" s="13"/>
    </row>
    <row r="423" spans="20:20">
      <c r="T423" s="13"/>
    </row>
    <row r="424" spans="20:20">
      <c r="T424" s="13"/>
    </row>
    <row r="425" spans="20:20">
      <c r="T425" s="13"/>
    </row>
    <row r="426" spans="20:20">
      <c r="T426" s="13"/>
    </row>
    <row r="427" spans="20:20">
      <c r="T427" s="13"/>
    </row>
    <row r="428" spans="20:20">
      <c r="T428" s="13"/>
    </row>
    <row r="429" spans="20:20">
      <c r="T429" s="13"/>
    </row>
    <row r="430" spans="20:20">
      <c r="T430" s="13"/>
    </row>
    <row r="431" spans="20:20">
      <c r="T431" s="13"/>
    </row>
    <row r="432" spans="20:20">
      <c r="T432" s="13"/>
    </row>
    <row r="433" spans="20:20">
      <c r="T433" s="13"/>
    </row>
    <row r="434" spans="20:20">
      <c r="T434" s="13"/>
    </row>
    <row r="435" spans="20:20">
      <c r="T435" s="13"/>
    </row>
    <row r="436" spans="20:20">
      <c r="T436" s="13"/>
    </row>
    <row r="437" spans="20:20">
      <c r="T437" s="13"/>
    </row>
    <row r="438" spans="20:20">
      <c r="T438" s="13"/>
    </row>
    <row r="439" spans="20:20">
      <c r="T439" s="13"/>
    </row>
    <row r="440" spans="20:20">
      <c r="T440" s="13"/>
    </row>
    <row r="441" spans="20:20">
      <c r="T441" s="13"/>
    </row>
    <row r="442" spans="20:20">
      <c r="T442" s="13"/>
    </row>
    <row r="443" spans="20:20">
      <c r="T443" s="13"/>
    </row>
    <row r="444" spans="20:20">
      <c r="T444" s="13"/>
    </row>
    <row r="445" spans="20:20">
      <c r="T445" s="13"/>
    </row>
    <row r="446" spans="20:20">
      <c r="T446" s="13"/>
    </row>
    <row r="447" spans="20:20">
      <c r="T447" s="13"/>
    </row>
    <row r="448" spans="20:20">
      <c r="T448" s="13"/>
    </row>
    <row r="449" spans="20:20">
      <c r="T449" s="13"/>
    </row>
    <row r="450" spans="20:20">
      <c r="T450" s="13"/>
    </row>
    <row r="451" spans="20:20">
      <c r="T451" s="13"/>
    </row>
    <row r="452" spans="20:20">
      <c r="T452" s="13"/>
    </row>
    <row r="453" spans="20:20">
      <c r="T453" s="13"/>
    </row>
    <row r="454" spans="20:20">
      <c r="T454" s="13"/>
    </row>
    <row r="455" spans="20:20">
      <c r="T455" s="13"/>
    </row>
    <row r="456" spans="20:20">
      <c r="T456" s="13"/>
    </row>
    <row r="457" spans="20:20">
      <c r="T457" s="13"/>
    </row>
    <row r="458" spans="20:20">
      <c r="T458" s="13"/>
    </row>
    <row r="459" spans="20:20">
      <c r="T459" s="13"/>
    </row>
    <row r="460" spans="20:20">
      <c r="T460" s="13"/>
    </row>
    <row r="461" spans="20:20">
      <c r="T461" s="13"/>
    </row>
    <row r="462" spans="20:20">
      <c r="T462" s="13"/>
    </row>
    <row r="463" spans="20:20">
      <c r="T463" s="13"/>
    </row>
    <row r="464" spans="20:20">
      <c r="T464" s="13"/>
    </row>
    <row r="465" spans="20:20">
      <c r="T465" s="13"/>
    </row>
    <row r="466" spans="20:20">
      <c r="T466" s="13"/>
    </row>
    <row r="467" spans="20:20">
      <c r="T467" s="13"/>
    </row>
    <row r="468" spans="20:20">
      <c r="T468" s="13"/>
    </row>
    <row r="469" spans="20:20">
      <c r="T469" s="13"/>
    </row>
    <row r="470" spans="20:20">
      <c r="T470" s="13"/>
    </row>
    <row r="471" spans="20:20">
      <c r="T471" s="13"/>
    </row>
    <row r="472" spans="20:20">
      <c r="T472" s="13"/>
    </row>
    <row r="473" spans="20:20">
      <c r="T473" s="13"/>
    </row>
    <row r="474" spans="20:20">
      <c r="T474" s="13"/>
    </row>
    <row r="475" spans="20:20">
      <c r="T475" s="13"/>
    </row>
    <row r="476" spans="20:20">
      <c r="T476" s="13"/>
    </row>
    <row r="477" spans="20:20">
      <c r="T477" s="13"/>
    </row>
    <row r="478" spans="20:20">
      <c r="T478" s="13"/>
    </row>
    <row r="479" spans="20:20">
      <c r="T479" s="13"/>
    </row>
    <row r="480" spans="20:20">
      <c r="T480" s="13"/>
    </row>
    <row r="481" spans="20:20">
      <c r="T481" s="13"/>
    </row>
    <row r="482" spans="20:20">
      <c r="T482" s="13"/>
    </row>
    <row r="483" spans="20:20">
      <c r="T483" s="13"/>
    </row>
    <row r="484" spans="20:20">
      <c r="T484" s="13"/>
    </row>
    <row r="485" spans="20:20">
      <c r="T485" s="13"/>
    </row>
    <row r="486" spans="20:20">
      <c r="T486" s="13"/>
    </row>
    <row r="487" spans="20:20">
      <c r="T487" s="13"/>
    </row>
    <row r="488" spans="20:20">
      <c r="T488" s="13"/>
    </row>
    <row r="489" spans="20:20">
      <c r="T489" s="13"/>
    </row>
    <row r="490" spans="20:20">
      <c r="T490" s="13"/>
    </row>
    <row r="491" spans="20:20">
      <c r="T491" s="13"/>
    </row>
    <row r="492" spans="20:20">
      <c r="T492" s="13"/>
    </row>
    <row r="493" spans="20:20">
      <c r="T493" s="13"/>
    </row>
    <row r="494" spans="20:20">
      <c r="T494" s="13"/>
    </row>
    <row r="495" spans="20:20">
      <c r="T495" s="13"/>
    </row>
    <row r="496" spans="20:20">
      <c r="T496" s="13"/>
    </row>
    <row r="497" spans="20:20">
      <c r="T497" s="13"/>
    </row>
    <row r="498" spans="20:20">
      <c r="T498" s="13"/>
    </row>
    <row r="499" spans="20:20">
      <c r="T499" s="13"/>
    </row>
    <row r="500" spans="20:20">
      <c r="T500" s="13"/>
    </row>
    <row r="501" spans="20:20">
      <c r="T501" s="13"/>
    </row>
    <row r="502" spans="20:20">
      <c r="T502" s="13"/>
    </row>
    <row r="503" spans="20:20">
      <c r="T503" s="13"/>
    </row>
    <row r="504" spans="20:20">
      <c r="T504" s="13"/>
    </row>
    <row r="505" spans="20:20">
      <c r="T505" s="13"/>
    </row>
    <row r="506" spans="20:20">
      <c r="T506" s="13"/>
    </row>
    <row r="507" spans="20:20">
      <c r="T507" s="13"/>
    </row>
    <row r="508" spans="20:20">
      <c r="T508" s="13"/>
    </row>
    <row r="509" spans="20:20">
      <c r="T509" s="13"/>
    </row>
    <row r="510" spans="20:20">
      <c r="T510" s="13"/>
    </row>
    <row r="511" spans="20:20">
      <c r="T511" s="13"/>
    </row>
    <row r="512" spans="20:20">
      <c r="T512" s="13"/>
    </row>
    <row r="513" spans="20:20">
      <c r="T513" s="13"/>
    </row>
    <row r="514" spans="20:20">
      <c r="T514" s="13"/>
    </row>
    <row r="515" spans="20:20">
      <c r="T515" s="13"/>
    </row>
    <row r="516" spans="20:20">
      <c r="T516" s="13"/>
    </row>
    <row r="517" spans="20:20">
      <c r="T517" s="13"/>
    </row>
    <row r="518" spans="20:20">
      <c r="T518" s="13"/>
    </row>
    <row r="519" spans="20:20">
      <c r="T519" s="13"/>
    </row>
    <row r="520" spans="20:20">
      <c r="T520" s="13"/>
    </row>
    <row r="521" spans="20:20">
      <c r="T521" s="13"/>
    </row>
    <row r="522" spans="20:20">
      <c r="T522" s="13"/>
    </row>
    <row r="523" spans="20:20">
      <c r="T523" s="13"/>
    </row>
    <row r="524" spans="20:20">
      <c r="T524" s="13"/>
    </row>
    <row r="525" spans="20:20">
      <c r="T525" s="13"/>
    </row>
    <row r="526" spans="20:20">
      <c r="T526" s="13"/>
    </row>
    <row r="527" spans="20:20">
      <c r="T527" s="13"/>
    </row>
    <row r="528" spans="20:20">
      <c r="T528" s="13"/>
    </row>
    <row r="529" spans="20:20">
      <c r="T529" s="13"/>
    </row>
    <row r="530" spans="20:20">
      <c r="T530" s="13"/>
    </row>
    <row r="531" spans="20:20">
      <c r="T531" s="13"/>
    </row>
    <row r="532" spans="20:20">
      <c r="T532" s="13"/>
    </row>
    <row r="533" spans="20:20">
      <c r="T533" s="13"/>
    </row>
    <row r="534" spans="20:20">
      <c r="T534" s="13"/>
    </row>
    <row r="535" spans="20:20">
      <c r="T535" s="13"/>
    </row>
    <row r="536" spans="20:20">
      <c r="T536" s="13"/>
    </row>
    <row r="537" spans="20:20">
      <c r="T537" s="13"/>
    </row>
    <row r="538" spans="20:20">
      <c r="T538" s="13"/>
    </row>
    <row r="539" spans="20:20">
      <c r="T539" s="13"/>
    </row>
    <row r="540" spans="20:20">
      <c r="T540" s="13"/>
    </row>
    <row r="541" spans="20:20">
      <c r="T541" s="13"/>
    </row>
    <row r="542" spans="20:20">
      <c r="T542" s="13"/>
    </row>
    <row r="543" spans="20:20">
      <c r="T543" s="13"/>
    </row>
    <row r="544" spans="20:20">
      <c r="T544" s="13"/>
    </row>
    <row r="545" spans="19:20">
      <c r="T545" s="13"/>
    </row>
    <row r="546" spans="19:20">
      <c r="T546" s="13"/>
    </row>
    <row r="547" spans="19:20">
      <c r="T547" s="13"/>
    </row>
    <row r="548" spans="19:20">
      <c r="T548" s="13"/>
    </row>
    <row r="549" spans="19:20">
      <c r="T549" s="13"/>
    </row>
    <row r="550" spans="19:20">
      <c r="T550" s="13"/>
    </row>
    <row r="551" spans="19:20">
      <c r="T551" s="13"/>
    </row>
    <row r="552" spans="19:20">
      <c r="T552" s="13"/>
    </row>
    <row r="553" spans="19:20">
      <c r="T553" s="13"/>
    </row>
    <row r="554" spans="19:20">
      <c r="T554" s="13"/>
    </row>
    <row r="555" spans="19:20">
      <c r="T555" s="13"/>
    </row>
    <row r="556" spans="19:20">
      <c r="T556" s="13"/>
    </row>
    <row r="557" spans="19:20">
      <c r="T557" s="13"/>
    </row>
    <row r="558" spans="19:20">
      <c r="T558" s="13"/>
    </row>
    <row r="559" spans="19:20">
      <c r="T559" s="13"/>
    </row>
    <row r="560" spans="19:20">
      <c r="S560" s="29"/>
      <c r="T560" s="30"/>
    </row>
    <row r="561" spans="19:20">
      <c r="S561" s="29"/>
      <c r="T561" s="30"/>
    </row>
    <row r="562" spans="19:20">
      <c r="S562" s="29"/>
      <c r="T562" s="30"/>
    </row>
    <row r="563" spans="19:20">
      <c r="S563" s="29"/>
      <c r="T563" s="30"/>
    </row>
    <row r="564" spans="19:20">
      <c r="S564" s="29"/>
      <c r="T564" s="30"/>
    </row>
    <row r="565" spans="19:20">
      <c r="S565" s="29"/>
      <c r="T565" s="30"/>
    </row>
    <row r="566" spans="19:20">
      <c r="S566" s="29"/>
      <c r="T566" s="30"/>
    </row>
    <row r="567" spans="19:20">
      <c r="S567" s="29"/>
      <c r="T567" s="30"/>
    </row>
    <row r="568" spans="19:20">
      <c r="S568" s="29"/>
      <c r="T568" s="30"/>
    </row>
    <row r="569" spans="19:20">
      <c r="S569" s="29"/>
      <c r="T569" s="30"/>
    </row>
    <row r="570" spans="19:20">
      <c r="S570" s="29"/>
      <c r="T570" s="30"/>
    </row>
    <row r="571" spans="19:20">
      <c r="S571" s="29"/>
      <c r="T571" s="30"/>
    </row>
    <row r="572" spans="19:20">
      <c r="S572" s="29"/>
      <c r="T572" s="30"/>
    </row>
    <row r="573" spans="19:20">
      <c r="S573" s="29"/>
      <c r="T573" s="30"/>
    </row>
    <row r="574" spans="19:20">
      <c r="S574" s="29"/>
      <c r="T574" s="30"/>
    </row>
    <row r="575" spans="19:20">
      <c r="S575" s="29"/>
      <c r="T575" s="30"/>
    </row>
    <row r="576" spans="19:20">
      <c r="S576" s="29"/>
      <c r="T576" s="30"/>
    </row>
    <row r="577" spans="19:20">
      <c r="S577" s="29"/>
      <c r="T577" s="30"/>
    </row>
    <row r="578" spans="19:20">
      <c r="S578" s="29"/>
      <c r="T578" s="30"/>
    </row>
    <row r="579" spans="19:20">
      <c r="S579" s="29"/>
      <c r="T579" s="30"/>
    </row>
    <row r="580" spans="19:20">
      <c r="S580" s="29"/>
      <c r="T580" s="30"/>
    </row>
    <row r="581" spans="19:20">
      <c r="S581" s="29"/>
      <c r="T581" s="30"/>
    </row>
    <row r="582" spans="19:20">
      <c r="S582" s="29"/>
      <c r="T582" s="30"/>
    </row>
    <row r="583" spans="19:20">
      <c r="S583" s="29"/>
      <c r="T583" s="30"/>
    </row>
    <row r="584" spans="19:20">
      <c r="S584" s="29"/>
      <c r="T584" s="30"/>
    </row>
    <row r="585" spans="19:20">
      <c r="S585" s="29"/>
      <c r="T585" s="30"/>
    </row>
    <row r="586" spans="19:20">
      <c r="S586" s="29"/>
      <c r="T586" s="30"/>
    </row>
    <row r="587" spans="19:20">
      <c r="S587" s="29"/>
      <c r="T587" s="30"/>
    </row>
    <row r="588" spans="19:20">
      <c r="S588" s="29"/>
      <c r="T588" s="30"/>
    </row>
    <row r="589" spans="19:20">
      <c r="S589" s="29"/>
      <c r="T589" s="30"/>
    </row>
    <row r="590" spans="19:20">
      <c r="S590" s="29"/>
      <c r="T590" s="30"/>
    </row>
    <row r="591" spans="19:20">
      <c r="S591" s="29"/>
      <c r="T591" s="30"/>
    </row>
    <row r="592" spans="19:20">
      <c r="S592" s="29"/>
      <c r="T592" s="30"/>
    </row>
    <row r="593" spans="19:20">
      <c r="S593" s="29"/>
      <c r="T593" s="30"/>
    </row>
    <row r="594" spans="19:20">
      <c r="S594" s="29"/>
      <c r="T594" s="30"/>
    </row>
    <row r="595" spans="19:20">
      <c r="S595" s="29"/>
      <c r="T595" s="30"/>
    </row>
    <row r="596" spans="19:20">
      <c r="S596" s="29"/>
      <c r="T596" s="30"/>
    </row>
    <row r="597" spans="19:20">
      <c r="S597" s="29"/>
      <c r="T597" s="30"/>
    </row>
    <row r="598" spans="19:20">
      <c r="S598" s="29"/>
      <c r="T598" s="30"/>
    </row>
    <row r="599" spans="19:20">
      <c r="S599" s="29"/>
      <c r="T599" s="30"/>
    </row>
    <row r="600" spans="19:20">
      <c r="S600" s="31"/>
      <c r="T600" s="32"/>
    </row>
    <row r="601" spans="19:20">
      <c r="S601" s="31"/>
      <c r="T601" s="32"/>
    </row>
    <row r="602" spans="19:20">
      <c r="S602" s="31"/>
      <c r="T602" s="32"/>
    </row>
    <row r="603" spans="19:20">
      <c r="S603" s="31"/>
      <c r="T603" s="32"/>
    </row>
    <row r="604" spans="19:20">
      <c r="S604" s="31"/>
      <c r="T604" s="32"/>
    </row>
    <row r="605" spans="19:20">
      <c r="S605" s="31"/>
      <c r="T605" s="32"/>
    </row>
    <row r="606" spans="19:20">
      <c r="S606" s="31"/>
      <c r="T606" s="32"/>
    </row>
    <row r="607" spans="19:20">
      <c r="S607" s="31"/>
      <c r="T607" s="32"/>
    </row>
    <row r="608" spans="19:20">
      <c r="S608" s="31"/>
      <c r="T608" s="32"/>
    </row>
    <row r="609" spans="19:20">
      <c r="S609" s="31"/>
      <c r="T609" s="32"/>
    </row>
    <row r="610" spans="19:20">
      <c r="S610" s="31"/>
      <c r="T610" s="32"/>
    </row>
    <row r="611" spans="19:20">
      <c r="S611" s="31"/>
      <c r="T611" s="32"/>
    </row>
    <row r="612" spans="19:20">
      <c r="S612" s="31"/>
      <c r="T612" s="32"/>
    </row>
    <row r="613" spans="19:20">
      <c r="S613" s="31"/>
      <c r="T613" s="32"/>
    </row>
    <row r="614" spans="19:20">
      <c r="S614" s="31"/>
      <c r="T614" s="32"/>
    </row>
    <row r="615" spans="19:20">
      <c r="S615" s="31"/>
      <c r="T615" s="32"/>
    </row>
    <row r="616" spans="19:20">
      <c r="S616" s="31"/>
      <c r="T616" s="32"/>
    </row>
    <row r="617" spans="19:20">
      <c r="S617" s="31"/>
      <c r="T617" s="32"/>
    </row>
    <row r="618" spans="19:20">
      <c r="S618" s="31"/>
      <c r="T618" s="32"/>
    </row>
    <row r="619" spans="19:20">
      <c r="S619" s="31"/>
      <c r="T619" s="32"/>
    </row>
    <row r="620" spans="19:20">
      <c r="S620" s="31"/>
      <c r="T620" s="32"/>
    </row>
    <row r="621" spans="19:20">
      <c r="S621" s="31"/>
      <c r="T621" s="32"/>
    </row>
    <row r="622" spans="19:20">
      <c r="S622" s="31"/>
      <c r="T622" s="32"/>
    </row>
    <row r="623" spans="19:20">
      <c r="S623" s="31"/>
      <c r="T623" s="32"/>
    </row>
    <row r="624" spans="19:20">
      <c r="S624" s="31"/>
      <c r="T624" s="32"/>
    </row>
    <row r="625" spans="19:20">
      <c r="S625" s="31"/>
      <c r="T625" s="32"/>
    </row>
    <row r="626" spans="19:20">
      <c r="S626" s="31"/>
      <c r="T626" s="32"/>
    </row>
    <row r="627" spans="19:20">
      <c r="S627" s="31"/>
      <c r="T627" s="32"/>
    </row>
    <row r="628" spans="19:20">
      <c r="S628" s="31"/>
      <c r="T628" s="32"/>
    </row>
    <row r="629" spans="19:20">
      <c r="S629" s="31"/>
      <c r="T629" s="32"/>
    </row>
    <row r="630" spans="19:20">
      <c r="S630" s="31"/>
      <c r="T630" s="32"/>
    </row>
    <row r="631" spans="19:20">
      <c r="S631" s="31"/>
      <c r="T631" s="32"/>
    </row>
    <row r="632" spans="19:20">
      <c r="S632" s="31"/>
      <c r="T632" s="32"/>
    </row>
    <row r="633" spans="19:20">
      <c r="S633" s="31"/>
      <c r="T633" s="32"/>
    </row>
    <row r="634" spans="19:20">
      <c r="S634" s="31"/>
      <c r="T634" s="32"/>
    </row>
    <row r="635" spans="19:20">
      <c r="S635" s="31"/>
      <c r="T635" s="32"/>
    </row>
    <row r="636" spans="19:20">
      <c r="S636" s="31"/>
      <c r="T636" s="32"/>
    </row>
    <row r="637" spans="19:20">
      <c r="S637" s="31"/>
      <c r="T637" s="32"/>
    </row>
    <row r="638" spans="19:20">
      <c r="S638" s="31"/>
      <c r="T638" s="32"/>
    </row>
    <row r="639" spans="19:20">
      <c r="S639" s="31"/>
      <c r="T639" s="32"/>
    </row>
    <row r="640" spans="19:20">
      <c r="S640" s="31"/>
      <c r="T640" s="32"/>
    </row>
    <row r="641" spans="19:20">
      <c r="S641" s="31"/>
      <c r="T641" s="32"/>
    </row>
    <row r="642" spans="19:20">
      <c r="S642" s="31"/>
      <c r="T642" s="32"/>
    </row>
    <row r="643" spans="19:20">
      <c r="S643" s="31"/>
      <c r="T643" s="32"/>
    </row>
    <row r="644" spans="19:20">
      <c r="S644" s="31"/>
      <c r="T644" s="32"/>
    </row>
    <row r="645" spans="19:20">
      <c r="S645" s="31"/>
      <c r="T645" s="32"/>
    </row>
    <row r="646" spans="19:20">
      <c r="S646" s="31"/>
      <c r="T646" s="32"/>
    </row>
    <row r="647" spans="19:20">
      <c r="S647" s="31"/>
      <c r="T647" s="32"/>
    </row>
    <row r="648" spans="19:20">
      <c r="S648" s="31"/>
      <c r="T648" s="32"/>
    </row>
    <row r="649" spans="19:20">
      <c r="S649" s="31"/>
      <c r="T649" s="32"/>
    </row>
    <row r="650" spans="19:20">
      <c r="S650" s="31"/>
      <c r="T650" s="32"/>
    </row>
    <row r="651" spans="19:20">
      <c r="S651" s="31"/>
      <c r="T651" s="32"/>
    </row>
    <row r="652" spans="19:20">
      <c r="S652" s="31"/>
      <c r="T652" s="32"/>
    </row>
    <row r="653" spans="19:20">
      <c r="T653" s="13"/>
    </row>
    <row r="654" spans="19:20">
      <c r="T654" s="13"/>
    </row>
    <row r="655" spans="19:20">
      <c r="T655" s="13"/>
    </row>
    <row r="656" spans="19:20">
      <c r="T656" s="13"/>
    </row>
    <row r="657" spans="20:20">
      <c r="T657" s="13"/>
    </row>
    <row r="658" spans="20:20">
      <c r="T658" s="13"/>
    </row>
    <row r="659" spans="20:20">
      <c r="T659" s="13"/>
    </row>
    <row r="660" spans="20:20">
      <c r="T660" s="13"/>
    </row>
    <row r="661" spans="20:20">
      <c r="T661" s="13"/>
    </row>
    <row r="662" spans="20:20">
      <c r="T662" s="13"/>
    </row>
    <row r="663" spans="20:20">
      <c r="T663" s="13"/>
    </row>
    <row r="664" spans="20:20">
      <c r="T664" s="13"/>
    </row>
    <row r="665" spans="20:20">
      <c r="T665" s="13"/>
    </row>
    <row r="666" spans="20:20">
      <c r="T666" s="13"/>
    </row>
    <row r="667" spans="20:20">
      <c r="T667" s="13"/>
    </row>
    <row r="668" spans="20:20">
      <c r="T668" s="13"/>
    </row>
    <row r="669" spans="20:20">
      <c r="T669" s="13"/>
    </row>
    <row r="670" spans="20:20">
      <c r="T670" s="13"/>
    </row>
    <row r="671" spans="20:20">
      <c r="T671" s="13"/>
    </row>
    <row r="672" spans="20:20">
      <c r="T672" s="13"/>
    </row>
    <row r="673" spans="20:20">
      <c r="T673" s="13"/>
    </row>
    <row r="674" spans="20:20">
      <c r="T674" s="13"/>
    </row>
    <row r="675" spans="20:20">
      <c r="T675" s="13"/>
    </row>
    <row r="676" spans="20:20">
      <c r="T676" s="13"/>
    </row>
    <row r="677" spans="20:20">
      <c r="T677" s="13"/>
    </row>
    <row r="678" spans="20:20">
      <c r="T678" s="13"/>
    </row>
    <row r="679" spans="20:20">
      <c r="T679" s="13"/>
    </row>
    <row r="680" spans="20:20">
      <c r="T680" s="13"/>
    </row>
    <row r="681" spans="20:20">
      <c r="T681" s="13"/>
    </row>
    <row r="682" spans="20:20">
      <c r="T682" s="13"/>
    </row>
    <row r="683" spans="20:20">
      <c r="T683" s="30"/>
    </row>
    <row r="684" spans="20:20">
      <c r="T684" s="13"/>
    </row>
    <row r="685" spans="20:20">
      <c r="T685" s="13"/>
    </row>
    <row r="686" spans="20:20">
      <c r="T686" s="13"/>
    </row>
    <row r="687" spans="20:20">
      <c r="T687" s="13"/>
    </row>
    <row r="688" spans="20:20">
      <c r="T688" s="13"/>
    </row>
    <row r="689" spans="20:20">
      <c r="T689" s="13"/>
    </row>
    <row r="690" spans="20:20">
      <c r="T690" s="13"/>
    </row>
    <row r="691" spans="20:20">
      <c r="T691" s="13"/>
    </row>
    <row r="692" spans="20:20">
      <c r="T692" s="13"/>
    </row>
    <row r="693" spans="20:20">
      <c r="T693" s="13"/>
    </row>
    <row r="694" spans="20:20">
      <c r="T694" s="13"/>
    </row>
    <row r="695" spans="20:20">
      <c r="T695" s="32"/>
    </row>
    <row r="696" spans="20:20">
      <c r="T696" s="30"/>
    </row>
    <row r="697" spans="20:20">
      <c r="T697" s="13"/>
    </row>
    <row r="698" spans="20:20">
      <c r="T698" s="13"/>
    </row>
    <row r="699" spans="20:20">
      <c r="T699" s="13"/>
    </row>
    <row r="700" spans="20:20">
      <c r="T700" s="13"/>
    </row>
    <row r="701" spans="20:20">
      <c r="T701" s="13"/>
    </row>
    <row r="702" spans="20:20">
      <c r="T702" s="13"/>
    </row>
    <row r="703" spans="20:20">
      <c r="T703" s="13"/>
    </row>
    <row r="704" spans="20:20">
      <c r="T704" s="32"/>
    </row>
    <row r="705" spans="19:20">
      <c r="T705" s="32"/>
    </row>
    <row r="706" spans="19:20">
      <c r="T706" s="32"/>
    </row>
    <row r="707" spans="19:20">
      <c r="T707" s="13"/>
    </row>
    <row r="708" spans="19:20">
      <c r="T708" s="13"/>
    </row>
    <row r="709" spans="19:20">
      <c r="T709" s="13"/>
    </row>
    <row r="710" spans="19:20">
      <c r="T710" s="13"/>
    </row>
    <row r="711" spans="19:20">
      <c r="T711" s="13"/>
    </row>
    <row r="712" spans="19:20">
      <c r="T712" s="13"/>
    </row>
    <row r="713" spans="19:20">
      <c r="T713" s="13"/>
    </row>
    <row r="714" spans="19:20">
      <c r="S714" s="31"/>
      <c r="T714" s="13"/>
    </row>
    <row r="715" spans="19:20">
      <c r="S715" s="31"/>
      <c r="T715" s="32"/>
    </row>
    <row r="716" spans="19:20">
      <c r="S716" s="31"/>
      <c r="T716" s="32"/>
    </row>
    <row r="717" spans="19:20">
      <c r="T717" s="32"/>
    </row>
    <row r="718" spans="19:20">
      <c r="T718" s="32"/>
    </row>
    <row r="719" spans="19:20">
      <c r="S719" s="31"/>
      <c r="T719" s="32"/>
    </row>
    <row r="720" spans="19:20">
      <c r="S720" s="31"/>
      <c r="T720" s="32"/>
    </row>
    <row r="721" spans="18:20">
      <c r="S721" s="31"/>
      <c r="T721" s="32"/>
    </row>
    <row r="722" spans="18:20">
      <c r="T722" s="13"/>
    </row>
    <row r="723" spans="18:20">
      <c r="T723" s="13"/>
    </row>
    <row r="724" spans="18:20">
      <c r="T724" s="13"/>
    </row>
    <row r="725" spans="18:20">
      <c r="T725" s="13"/>
    </row>
    <row r="726" spans="18:20">
      <c r="T726" s="13"/>
    </row>
    <row r="727" spans="18:20">
      <c r="T727" s="13"/>
    </row>
    <row r="728" spans="18:20">
      <c r="T728" s="13"/>
    </row>
    <row r="729" spans="18:20">
      <c r="S729" s="31"/>
      <c r="T729" s="32"/>
    </row>
    <row r="730" spans="18:20">
      <c r="S730" s="31"/>
      <c r="T730" s="32"/>
    </row>
    <row r="731" spans="18:20">
      <c r="S731" s="31"/>
      <c r="T731" s="32"/>
    </row>
    <row r="732" spans="18:20">
      <c r="S732" s="31"/>
      <c r="T732" s="32"/>
    </row>
    <row r="733" spans="18:20">
      <c r="R733" s="32"/>
      <c r="S733" s="31"/>
      <c r="T733" s="32"/>
    </row>
    <row r="734" spans="18:20">
      <c r="R734" s="32"/>
      <c r="S734" s="31"/>
      <c r="T734" s="32"/>
    </row>
    <row r="735" spans="18:20">
      <c r="R735" s="32"/>
      <c r="S735" s="31"/>
      <c r="T735" s="32"/>
    </row>
    <row r="736" spans="18:20">
      <c r="R736" s="32"/>
      <c r="S736" s="31"/>
      <c r="T736" s="32"/>
    </row>
    <row r="737" spans="18:20">
      <c r="R737" s="32"/>
      <c r="S737" s="31"/>
      <c r="T737" s="32"/>
    </row>
    <row r="738" spans="18:20">
      <c r="T738" s="13"/>
    </row>
    <row r="739" spans="18:20">
      <c r="T739" s="13"/>
    </row>
    <row r="740" spans="18:20">
      <c r="T740" s="13"/>
    </row>
    <row r="741" spans="18:20">
      <c r="T741" s="13"/>
    </row>
    <row r="742" spans="18:20">
      <c r="T742" s="13"/>
    </row>
    <row r="743" spans="18:20">
      <c r="T743" s="13"/>
    </row>
    <row r="744" spans="18:20">
      <c r="T744" s="13"/>
    </row>
    <row r="745" spans="18:20">
      <c r="T745" s="13"/>
    </row>
    <row r="746" spans="18:20">
      <c r="T746" s="13"/>
    </row>
    <row r="747" spans="18:20">
      <c r="T747" s="13"/>
    </row>
    <row r="748" spans="18:20">
      <c r="T748" s="13"/>
    </row>
    <row r="749" spans="18:20">
      <c r="T749" s="13"/>
    </row>
    <row r="750" spans="18:20">
      <c r="T750" s="13"/>
    </row>
    <row r="751" spans="18:20">
      <c r="T751" s="13"/>
    </row>
    <row r="752" spans="18:20">
      <c r="T752" s="13"/>
    </row>
    <row r="753" spans="20:20">
      <c r="T753" s="13"/>
    </row>
    <row r="754" spans="20:20">
      <c r="T754" s="13"/>
    </row>
    <row r="755" spans="20:20">
      <c r="T755" s="13"/>
    </row>
    <row r="756" spans="20:20">
      <c r="T756" s="13"/>
    </row>
    <row r="757" spans="20:20">
      <c r="T757" s="13"/>
    </row>
    <row r="758" spans="20:20">
      <c r="T758" s="13"/>
    </row>
    <row r="759" spans="20:20">
      <c r="T759" s="13"/>
    </row>
    <row r="760" spans="20:20">
      <c r="T760" s="13"/>
    </row>
    <row r="761" spans="20:20">
      <c r="T761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E4D3-0F19-4086-BEB6-2A2E783B1435}">
  <dimension ref="A1:N712"/>
  <sheetViews>
    <sheetView workbookViewId="0">
      <pane ySplit="3" topLeftCell="A4" activePane="bottomLeft" state="frozen"/>
      <selection pane="bottomLeft" activeCell="D2" sqref="D1:D1048576"/>
    </sheetView>
  </sheetViews>
  <sheetFormatPr defaultRowHeight="12.75"/>
  <cols>
    <col min="2" max="2" width="13.42578125" bestFit="1" customWidth="1"/>
    <col min="4" max="4" width="14.5703125" style="4" bestFit="1" customWidth="1"/>
    <col min="6" max="6" width="11.42578125" bestFit="1" customWidth="1"/>
    <col min="9" max="9" width="9.140625" customWidth="1"/>
    <col min="10" max="10" width="10.5703125" bestFit="1" customWidth="1"/>
    <col min="11" max="11" width="11.5703125" bestFit="1" customWidth="1"/>
    <col min="12" max="13" width="11.5703125" customWidth="1"/>
    <col min="14" max="14" width="20.5703125" bestFit="1" customWidth="1"/>
  </cols>
  <sheetData>
    <row r="1" spans="1:14" ht="20.25">
      <c r="A1" s="53" t="s">
        <v>20287</v>
      </c>
      <c r="B1" s="53"/>
      <c r="C1" s="53"/>
      <c r="D1" s="53"/>
      <c r="E1" s="53"/>
      <c r="F1" s="53"/>
      <c r="I1" s="49" t="s">
        <v>20251</v>
      </c>
      <c r="J1" s="3"/>
      <c r="K1" s="3"/>
      <c r="L1" s="3"/>
      <c r="M1" s="3"/>
    </row>
    <row r="2" spans="1:14">
      <c r="A2" s="3"/>
      <c r="J2" s="3"/>
      <c r="K2" s="3"/>
      <c r="L2" s="3"/>
      <c r="M2" s="3"/>
    </row>
    <row r="3" spans="1:14" ht="15">
      <c r="A3" s="5" t="s">
        <v>18167</v>
      </c>
      <c r="B3" s="5" t="s">
        <v>18168</v>
      </c>
      <c r="C3" s="5" t="s">
        <v>680</v>
      </c>
      <c r="D3" s="6" t="s">
        <v>681</v>
      </c>
      <c r="E3" s="3" t="s">
        <v>684</v>
      </c>
      <c r="F3" s="5"/>
      <c r="G3" s="5"/>
      <c r="J3" s="3"/>
      <c r="K3" s="3"/>
      <c r="L3" s="3"/>
      <c r="M3" s="3"/>
      <c r="N3" s="3"/>
    </row>
    <row r="4" spans="1:14">
      <c r="A4" s="35" t="s">
        <v>13282</v>
      </c>
      <c r="B4" s="36" t="s">
        <v>18171</v>
      </c>
      <c r="C4" s="39">
        <v>0</v>
      </c>
      <c r="D4" s="17">
        <v>1676</v>
      </c>
      <c r="E4" s="35" t="str">
        <f>VLOOKUP(B4,'CC by Segment'!$D:$E,2,FALSE)</f>
        <v>Corporate</v>
      </c>
      <c r="G4" t="str">
        <f>TRIM(B4)</f>
        <v>C040414</v>
      </c>
    </row>
    <row r="5" spans="1:14">
      <c r="A5" s="35" t="s">
        <v>13282</v>
      </c>
      <c r="B5" s="36" t="s">
        <v>6634</v>
      </c>
      <c r="C5" s="39">
        <v>0</v>
      </c>
      <c r="D5" s="17">
        <v>3576.92</v>
      </c>
      <c r="E5" s="35" t="str">
        <f>VLOOKUP(B5,'CC by Segment'!$D:$E,2,FALSE)</f>
        <v>Housing</v>
      </c>
      <c r="G5" t="str">
        <f t="shared" ref="G5:G68" si="0">TRIM(B5)</f>
        <v>C301007</v>
      </c>
    </row>
    <row r="6" spans="1:14">
      <c r="A6" s="35" t="s">
        <v>13282</v>
      </c>
      <c r="B6" s="36" t="s">
        <v>6637</v>
      </c>
      <c r="C6" s="39">
        <v>0</v>
      </c>
      <c r="D6" s="17">
        <v>4769.2299999999996</v>
      </c>
      <c r="E6" s="35" t="str">
        <f>VLOOKUP(B6,'CC by Segment'!$D:$E,2,FALSE)</f>
        <v>Housing</v>
      </c>
      <c r="G6" t="str">
        <f t="shared" si="0"/>
        <v>C301008</v>
      </c>
    </row>
    <row r="7" spans="1:14">
      <c r="A7" s="35" t="s">
        <v>13282</v>
      </c>
      <c r="B7" s="36" t="s">
        <v>5389</v>
      </c>
      <c r="C7" s="39">
        <v>0</v>
      </c>
      <c r="D7" s="17">
        <v>4876.6499999999996</v>
      </c>
      <c r="E7" s="35" t="str">
        <f>VLOOKUP(B7,'CC by Segment'!$D:$E,2,FALSE)</f>
        <v>Housing</v>
      </c>
      <c r="G7" t="str">
        <f t="shared" si="0"/>
        <v>C350102</v>
      </c>
    </row>
    <row r="8" spans="1:14">
      <c r="A8" s="35" t="s">
        <v>13282</v>
      </c>
      <c r="B8" s="36" t="s">
        <v>5398</v>
      </c>
      <c r="C8" s="39">
        <v>0</v>
      </c>
      <c r="D8" s="17">
        <v>7224.19</v>
      </c>
      <c r="E8" s="35" t="str">
        <f>VLOOKUP(B8,'CC by Segment'!$D:$E,2,FALSE)</f>
        <v>Housing</v>
      </c>
      <c r="G8" t="str">
        <f t="shared" si="0"/>
        <v>C350103</v>
      </c>
    </row>
    <row r="9" spans="1:14">
      <c r="A9" s="35" t="s">
        <v>13282</v>
      </c>
      <c r="B9" s="36" t="s">
        <v>6844</v>
      </c>
      <c r="C9" s="39">
        <v>0</v>
      </c>
      <c r="D9" s="17">
        <v>3556.88</v>
      </c>
      <c r="E9" s="35" t="str">
        <f>VLOOKUP(B9,'CC by Segment'!$D:$E,2,FALSE)</f>
        <v>Housing</v>
      </c>
      <c r="G9" t="str">
        <f t="shared" si="0"/>
        <v>C350106</v>
      </c>
    </row>
    <row r="10" spans="1:14">
      <c r="A10" s="35" t="s">
        <v>13282</v>
      </c>
      <c r="B10" s="36" t="s">
        <v>5983</v>
      </c>
      <c r="C10" s="39">
        <v>0</v>
      </c>
      <c r="D10" s="17">
        <v>10415.43</v>
      </c>
      <c r="E10" s="35" t="str">
        <f>VLOOKUP(B10,'CC by Segment'!$D:$E,2,FALSE)</f>
        <v>Housing</v>
      </c>
      <c r="G10" t="str">
        <f t="shared" si="0"/>
        <v>C350110</v>
      </c>
    </row>
    <row r="11" spans="1:14">
      <c r="A11" s="35" t="s">
        <v>13282</v>
      </c>
      <c r="B11" s="36" t="s">
        <v>6913</v>
      </c>
      <c r="C11" s="39">
        <v>0</v>
      </c>
      <c r="D11" s="17">
        <v>2178.7199999999998</v>
      </c>
      <c r="E11" s="35" t="str">
        <f>VLOOKUP(B11,'CC by Segment'!$D:$E,2,FALSE)</f>
        <v>Housing</v>
      </c>
      <c r="G11" t="str">
        <f t="shared" si="0"/>
        <v>C350512</v>
      </c>
    </row>
    <row r="12" spans="1:14">
      <c r="A12" s="35" t="s">
        <v>13282</v>
      </c>
      <c r="B12" s="36" t="s">
        <v>5672</v>
      </c>
      <c r="C12" s="39">
        <v>0</v>
      </c>
      <c r="D12" s="17">
        <v>1920.9</v>
      </c>
      <c r="E12" s="35" t="str">
        <f>VLOOKUP(B12,'CC by Segment'!$D:$E,2,FALSE)</f>
        <v>Housing</v>
      </c>
      <c r="G12" t="str">
        <f t="shared" si="0"/>
        <v>C350520</v>
      </c>
    </row>
    <row r="13" spans="1:14">
      <c r="A13" s="35" t="s">
        <v>13282</v>
      </c>
      <c r="B13" s="36" t="s">
        <v>5735</v>
      </c>
      <c r="C13" s="39">
        <v>0</v>
      </c>
      <c r="D13" s="17">
        <v>1838.16</v>
      </c>
      <c r="E13" s="35" t="str">
        <f>VLOOKUP(B13,'CC by Segment'!$D:$E,2,FALSE)</f>
        <v>Housing</v>
      </c>
      <c r="G13" t="str">
        <f t="shared" si="0"/>
        <v>C350527</v>
      </c>
    </row>
    <row r="14" spans="1:14">
      <c r="A14" s="35" t="s">
        <v>13282</v>
      </c>
      <c r="B14" s="36" t="s">
        <v>5778</v>
      </c>
      <c r="C14" s="39">
        <v>0</v>
      </c>
      <c r="D14" s="17">
        <v>5145.18</v>
      </c>
      <c r="E14" s="35" t="str">
        <f>VLOOKUP(B14,'CC by Segment'!$D:$E,2,FALSE)</f>
        <v>Housing</v>
      </c>
      <c r="G14" t="str">
        <f t="shared" si="0"/>
        <v>C350529</v>
      </c>
    </row>
    <row r="15" spans="1:14">
      <c r="A15" s="35" t="s">
        <v>13282</v>
      </c>
      <c r="B15" s="36" t="s">
        <v>7033</v>
      </c>
      <c r="C15" s="39">
        <v>0</v>
      </c>
      <c r="D15" s="17">
        <v>4440.7700000000004</v>
      </c>
      <c r="E15" s="35" t="str">
        <f>VLOOKUP(B15,'CC by Segment'!$D:$E,2,FALSE)</f>
        <v>Housing</v>
      </c>
      <c r="G15" t="str">
        <f t="shared" si="0"/>
        <v>C350553</v>
      </c>
    </row>
    <row r="16" spans="1:14">
      <c r="A16" s="35" t="s">
        <v>13282</v>
      </c>
      <c r="B16" s="36" t="s">
        <v>7044</v>
      </c>
      <c r="C16" s="39">
        <v>0</v>
      </c>
      <c r="D16" s="17">
        <v>2737.6</v>
      </c>
      <c r="E16" s="35" t="str">
        <f>VLOOKUP(B16,'CC by Segment'!$D:$E,2,FALSE)</f>
        <v>Housing</v>
      </c>
      <c r="G16" t="str">
        <f t="shared" si="0"/>
        <v>C350557</v>
      </c>
    </row>
    <row r="17" spans="1:7">
      <c r="A17" s="35" t="s">
        <v>13282</v>
      </c>
      <c r="B17" s="36" t="s">
        <v>6382</v>
      </c>
      <c r="C17" s="39">
        <v>0</v>
      </c>
      <c r="D17" s="17">
        <v>3377.77</v>
      </c>
      <c r="E17" s="35" t="str">
        <f>VLOOKUP(B17,'CC by Segment'!$D:$E,2,FALSE)</f>
        <v>Housing</v>
      </c>
      <c r="G17" t="str">
        <f t="shared" si="0"/>
        <v>C350582</v>
      </c>
    </row>
    <row r="18" spans="1:7">
      <c r="A18" s="35" t="s">
        <v>13282</v>
      </c>
      <c r="B18" s="36" t="s">
        <v>7148</v>
      </c>
      <c r="C18" s="39">
        <v>0</v>
      </c>
      <c r="D18" s="17">
        <v>2823.98</v>
      </c>
      <c r="E18" s="35" t="str">
        <f>VLOOKUP(B18,'CC by Segment'!$D:$E,2,FALSE)</f>
        <v>Housing</v>
      </c>
      <c r="G18" t="str">
        <f t="shared" si="0"/>
        <v>C350598</v>
      </c>
    </row>
    <row r="19" spans="1:7">
      <c r="A19" s="35" t="s">
        <v>13282</v>
      </c>
      <c r="B19" s="36" t="s">
        <v>7151</v>
      </c>
      <c r="C19" s="39">
        <v>0</v>
      </c>
      <c r="D19" s="17">
        <v>1522.4</v>
      </c>
      <c r="E19" s="35" t="str">
        <f>VLOOKUP(B19,'CC by Segment'!$D:$E,2,FALSE)</f>
        <v>Housing</v>
      </c>
      <c r="G19" t="str">
        <f t="shared" si="0"/>
        <v>C350599</v>
      </c>
    </row>
    <row r="20" spans="1:7">
      <c r="A20" s="35" t="s">
        <v>13282</v>
      </c>
      <c r="B20" s="36" t="s">
        <v>7160</v>
      </c>
      <c r="C20" s="39">
        <v>0</v>
      </c>
      <c r="D20" s="17">
        <v>1646.82</v>
      </c>
      <c r="E20" s="35" t="str">
        <f>VLOOKUP(B20,'CC by Segment'!$D:$E,2,FALSE)</f>
        <v>Housing</v>
      </c>
      <c r="G20" t="str">
        <f t="shared" si="0"/>
        <v>C350602</v>
      </c>
    </row>
    <row r="21" spans="1:7">
      <c r="A21" s="35" t="s">
        <v>13282</v>
      </c>
      <c r="B21" s="36" t="s">
        <v>7193</v>
      </c>
      <c r="C21" s="39">
        <v>0</v>
      </c>
      <c r="D21" s="17">
        <v>2519.37</v>
      </c>
      <c r="E21" s="35" t="str">
        <f>VLOOKUP(B21,'CC by Segment'!$D:$E,2,FALSE)</f>
        <v>Housing</v>
      </c>
      <c r="G21" t="str">
        <f t="shared" si="0"/>
        <v>C350614</v>
      </c>
    </row>
    <row r="22" spans="1:7">
      <c r="A22" s="35" t="s">
        <v>13282</v>
      </c>
      <c r="B22" s="36" t="s">
        <v>7196</v>
      </c>
      <c r="C22" s="39">
        <v>0</v>
      </c>
      <c r="D22" s="17">
        <v>2159.1999999999998</v>
      </c>
      <c r="E22" s="35" t="str">
        <f>VLOOKUP(B22,'CC by Segment'!$D:$E,2,FALSE)</f>
        <v>Housing</v>
      </c>
      <c r="G22" t="str">
        <f t="shared" si="0"/>
        <v>C350615</v>
      </c>
    </row>
    <row r="23" spans="1:7">
      <c r="A23" s="35" t="s">
        <v>13282</v>
      </c>
      <c r="B23" s="36" t="s">
        <v>7235</v>
      </c>
      <c r="C23" s="39">
        <v>0</v>
      </c>
      <c r="D23" s="17">
        <v>6536.54</v>
      </c>
      <c r="E23" s="35" t="str">
        <f>VLOOKUP(B23,'CC by Segment'!$D:$E,2,FALSE)</f>
        <v>Housing</v>
      </c>
      <c r="G23" t="str">
        <f t="shared" si="0"/>
        <v>C350628</v>
      </c>
    </row>
    <row r="24" spans="1:7">
      <c r="A24" t="s">
        <v>13311</v>
      </c>
      <c r="B24" s="18" t="s">
        <v>3601</v>
      </c>
      <c r="C24" s="41">
        <v>2</v>
      </c>
      <c r="D24" s="31">
        <v>32448.880000000001</v>
      </c>
      <c r="E24" t="str">
        <f>VLOOKUP(B24,'CC by Segment'!$D:$E,2,FALSE)</f>
        <v>Corporate</v>
      </c>
      <c r="G24" t="str">
        <f t="shared" si="0"/>
        <v>C010000</v>
      </c>
    </row>
    <row r="25" spans="1:7">
      <c r="A25" t="s">
        <v>13311</v>
      </c>
      <c r="B25" s="18" t="s">
        <v>8609</v>
      </c>
      <c r="C25" s="41">
        <v>1</v>
      </c>
      <c r="D25" s="31">
        <v>4719.58</v>
      </c>
      <c r="E25" t="str">
        <f>VLOOKUP(B25,'CC by Segment'!$D:$E,2,FALSE)</f>
        <v>Corporate</v>
      </c>
      <c r="G25" t="str">
        <f t="shared" si="0"/>
        <v>C010011</v>
      </c>
    </row>
    <row r="26" spans="1:7">
      <c r="A26" t="s">
        <v>13311</v>
      </c>
      <c r="B26" s="18" t="s">
        <v>3610</v>
      </c>
      <c r="C26" s="41">
        <v>7</v>
      </c>
      <c r="D26" s="31">
        <v>61580.7</v>
      </c>
      <c r="E26" t="str">
        <f>VLOOKUP(B26,'CC by Segment'!$D:$E,2,FALSE)</f>
        <v>Corporate</v>
      </c>
      <c r="G26" t="str">
        <f t="shared" si="0"/>
        <v>C010101</v>
      </c>
    </row>
    <row r="27" spans="1:7">
      <c r="A27" t="s">
        <v>13311</v>
      </c>
      <c r="B27" s="18" t="s">
        <v>3619</v>
      </c>
      <c r="C27" s="41">
        <v>13</v>
      </c>
      <c r="D27" s="31">
        <v>48577.03</v>
      </c>
      <c r="E27" t="str">
        <f>VLOOKUP(B27,'CC by Segment'!$D:$E,2,FALSE)</f>
        <v>Corporate</v>
      </c>
      <c r="G27" t="str">
        <f t="shared" si="0"/>
        <v>C010105</v>
      </c>
    </row>
    <row r="28" spans="1:7">
      <c r="A28" t="s">
        <v>13311</v>
      </c>
      <c r="B28" s="18" t="s">
        <v>3622</v>
      </c>
      <c r="C28" s="41">
        <v>3</v>
      </c>
      <c r="D28" s="31">
        <v>15946.04</v>
      </c>
      <c r="E28" t="str">
        <f>VLOOKUP(B28,'CC by Segment'!$D:$E,2,FALSE)</f>
        <v>Corporate</v>
      </c>
      <c r="G28" t="str">
        <f t="shared" si="0"/>
        <v>C010110</v>
      </c>
    </row>
    <row r="29" spans="1:7">
      <c r="A29" t="s">
        <v>13311</v>
      </c>
      <c r="B29" s="18" t="s">
        <v>7845</v>
      </c>
      <c r="C29" s="19">
        <v>8</v>
      </c>
      <c r="D29" s="31">
        <v>33425.129999999997</v>
      </c>
      <c r="E29" t="str">
        <f>VLOOKUP(B29,'CC by Segment'!$D:$E,2,FALSE)</f>
        <v>Corporate</v>
      </c>
      <c r="G29" t="str">
        <f t="shared" si="0"/>
        <v>C010111</v>
      </c>
    </row>
    <row r="30" spans="1:7">
      <c r="A30" t="s">
        <v>13311</v>
      </c>
      <c r="B30" s="18" t="s">
        <v>20145</v>
      </c>
      <c r="C30" s="19">
        <v>19</v>
      </c>
      <c r="D30" s="31">
        <v>61438.96</v>
      </c>
      <c r="E30" t="str">
        <f>VLOOKUP(B30,'CC by Segment'!$D:$E,2,FALSE)</f>
        <v>Corporate</v>
      </c>
      <c r="G30" t="str">
        <f t="shared" si="0"/>
        <v>C010112</v>
      </c>
    </row>
    <row r="31" spans="1:7">
      <c r="A31" t="s">
        <v>13311</v>
      </c>
      <c r="B31" s="18" t="s">
        <v>20163</v>
      </c>
      <c r="C31" s="19">
        <v>6</v>
      </c>
      <c r="D31" s="31">
        <v>35054.9</v>
      </c>
      <c r="E31" t="str">
        <f>VLOOKUP(B31,'CC by Segment'!$D:$E,2,FALSE)</f>
        <v>Corporate</v>
      </c>
      <c r="G31" t="str">
        <f t="shared" si="0"/>
        <v>C010113</v>
      </c>
    </row>
    <row r="32" spans="1:7">
      <c r="A32" t="s">
        <v>13311</v>
      </c>
      <c r="B32" s="18" t="s">
        <v>20171</v>
      </c>
      <c r="C32" s="19">
        <v>1</v>
      </c>
      <c r="D32" s="31">
        <v>8319.23</v>
      </c>
      <c r="E32" t="str">
        <f>VLOOKUP(B32,'CC by Segment'!$D:$E,2,FALSE)</f>
        <v>Corporate</v>
      </c>
      <c r="G32" t="str">
        <f t="shared" si="0"/>
        <v>C010114</v>
      </c>
    </row>
    <row r="33" spans="1:7">
      <c r="A33" t="s">
        <v>13311</v>
      </c>
      <c r="B33" s="18" t="s">
        <v>7039</v>
      </c>
      <c r="C33" s="19">
        <v>9</v>
      </c>
      <c r="D33" s="31">
        <v>33871.96</v>
      </c>
      <c r="E33" t="str">
        <f>VLOOKUP(B33,'CC by Segment'!$D:$E,2,FALSE)</f>
        <v>Corporate</v>
      </c>
      <c r="G33" t="str">
        <f t="shared" si="0"/>
        <v>C010115</v>
      </c>
    </row>
    <row r="34" spans="1:7">
      <c r="A34" t="s">
        <v>13311</v>
      </c>
      <c r="B34" s="18" t="s">
        <v>3632</v>
      </c>
      <c r="C34" s="19">
        <v>5</v>
      </c>
      <c r="D34" s="31">
        <v>28323.759999999998</v>
      </c>
      <c r="E34" t="str">
        <f>VLOOKUP(B34,'CC by Segment'!$D:$E,2,FALSE)</f>
        <v>Corporate</v>
      </c>
      <c r="G34" t="str">
        <f t="shared" si="0"/>
        <v>C010121</v>
      </c>
    </row>
    <row r="35" spans="1:7">
      <c r="A35" t="s">
        <v>13311</v>
      </c>
      <c r="B35" s="18" t="s">
        <v>7015</v>
      </c>
      <c r="C35" s="19">
        <v>27</v>
      </c>
      <c r="D35" s="31">
        <v>98889.38</v>
      </c>
      <c r="E35" t="str">
        <f>VLOOKUP(B35,'CC by Segment'!$D:$E,2,FALSE)</f>
        <v>Corporate</v>
      </c>
      <c r="G35" t="str">
        <f t="shared" si="0"/>
        <v>C010122</v>
      </c>
    </row>
    <row r="36" spans="1:7">
      <c r="A36" t="s">
        <v>13311</v>
      </c>
      <c r="B36" s="18" t="s">
        <v>7012</v>
      </c>
      <c r="C36" s="19">
        <v>9</v>
      </c>
      <c r="D36" s="31">
        <v>37712.379999999997</v>
      </c>
      <c r="E36" t="str">
        <f>VLOOKUP(B36,'CC by Segment'!$D:$E,2,FALSE)</f>
        <v>Corporate</v>
      </c>
      <c r="G36" t="str">
        <f t="shared" si="0"/>
        <v>C010124</v>
      </c>
    </row>
    <row r="37" spans="1:7">
      <c r="A37" t="s">
        <v>13311</v>
      </c>
      <c r="B37" s="18" t="s">
        <v>7018</v>
      </c>
      <c r="C37" s="19">
        <v>9</v>
      </c>
      <c r="D37" s="31">
        <v>36909.279999999999</v>
      </c>
      <c r="E37" t="str">
        <f>VLOOKUP(B37,'CC by Segment'!$D:$E,2,FALSE)</f>
        <v>Corporate</v>
      </c>
      <c r="G37" t="str">
        <f t="shared" si="0"/>
        <v>C010127</v>
      </c>
    </row>
    <row r="38" spans="1:7">
      <c r="A38" t="s">
        <v>13311</v>
      </c>
      <c r="B38" s="18" t="s">
        <v>7055</v>
      </c>
      <c r="C38" s="19">
        <v>7</v>
      </c>
      <c r="D38" s="31">
        <v>26486.99</v>
      </c>
      <c r="E38" t="str">
        <f>VLOOKUP(B38,'CC by Segment'!$D:$E,2,FALSE)</f>
        <v>Corporate</v>
      </c>
      <c r="G38" t="str">
        <f t="shared" si="0"/>
        <v>C010150</v>
      </c>
    </row>
    <row r="39" spans="1:7">
      <c r="A39" t="s">
        <v>13311</v>
      </c>
      <c r="B39" s="18" t="s">
        <v>5076</v>
      </c>
      <c r="C39" s="19">
        <v>5</v>
      </c>
      <c r="D39" s="31">
        <v>25526.54</v>
      </c>
      <c r="E39" t="str">
        <f>VLOOKUP(B39,'CC by Segment'!$D:$E,2,FALSE)</f>
        <v>Lifestyle</v>
      </c>
      <c r="G39" t="str">
        <f t="shared" si="0"/>
        <v>C010155</v>
      </c>
    </row>
    <row r="40" spans="1:7">
      <c r="A40" t="s">
        <v>13311</v>
      </c>
      <c r="B40" s="18" t="s">
        <v>3656</v>
      </c>
      <c r="C40" s="19">
        <v>8</v>
      </c>
      <c r="D40" s="31">
        <v>49363.46</v>
      </c>
      <c r="E40" t="str">
        <f>VLOOKUP(B40,'CC by Segment'!$D:$E,2,FALSE)</f>
        <v>Lifestyle</v>
      </c>
      <c r="G40" t="str">
        <f t="shared" si="0"/>
        <v>C010160</v>
      </c>
    </row>
    <row r="41" spans="1:7">
      <c r="A41" t="s">
        <v>13311</v>
      </c>
      <c r="B41" s="18" t="s">
        <v>3664</v>
      </c>
      <c r="C41" s="19">
        <v>20</v>
      </c>
      <c r="D41" s="31">
        <v>92640.3</v>
      </c>
      <c r="E41" t="str">
        <f>VLOOKUP(B41,'CC by Segment'!$D:$E,2,FALSE)</f>
        <v>Lifestyle</v>
      </c>
      <c r="G41" t="str">
        <f t="shared" si="0"/>
        <v>C010162</v>
      </c>
    </row>
    <row r="42" spans="1:7">
      <c r="A42" t="s">
        <v>13311</v>
      </c>
      <c r="B42" s="18" t="s">
        <v>3672</v>
      </c>
      <c r="C42" s="19">
        <v>10</v>
      </c>
      <c r="D42" s="31">
        <v>47526.69</v>
      </c>
      <c r="E42" t="str">
        <f>VLOOKUP(B42,'CC by Segment'!$D:$E,2,FALSE)</f>
        <v>Lifestyle</v>
      </c>
      <c r="G42" t="str">
        <f t="shared" si="0"/>
        <v>C010163</v>
      </c>
    </row>
    <row r="43" spans="1:7">
      <c r="A43" t="s">
        <v>13311</v>
      </c>
      <c r="B43" s="18" t="s">
        <v>3681</v>
      </c>
      <c r="C43" s="19">
        <v>45</v>
      </c>
      <c r="D43" s="31">
        <v>179021.21</v>
      </c>
      <c r="E43" t="str">
        <f>VLOOKUP(B43,'CC by Segment'!$D:$E,2,FALSE)</f>
        <v>Lifestyle</v>
      </c>
      <c r="G43" t="str">
        <f t="shared" si="0"/>
        <v>C010164</v>
      </c>
    </row>
    <row r="44" spans="1:7">
      <c r="A44" t="s">
        <v>13311</v>
      </c>
      <c r="B44" s="18" t="s">
        <v>5183</v>
      </c>
      <c r="C44" s="19">
        <v>9</v>
      </c>
      <c r="D44" s="31">
        <v>28492.93</v>
      </c>
      <c r="E44" t="str">
        <f>VLOOKUP(B44,'CC by Segment'!$D:$E,2,FALSE)</f>
        <v>Housing</v>
      </c>
      <c r="G44" t="str">
        <f t="shared" si="0"/>
        <v>C010170</v>
      </c>
    </row>
    <row r="45" spans="1:7">
      <c r="A45" t="s">
        <v>13311</v>
      </c>
      <c r="B45" s="18" t="s">
        <v>5189</v>
      </c>
      <c r="C45" s="19">
        <v>9</v>
      </c>
      <c r="D45" s="31">
        <v>34692.519999999997</v>
      </c>
      <c r="E45" t="str">
        <f>VLOOKUP(B45,'CC by Segment'!$D:$E,2,FALSE)</f>
        <v>Lifestyle</v>
      </c>
      <c r="G45" t="str">
        <f t="shared" si="0"/>
        <v>C010180</v>
      </c>
    </row>
    <row r="46" spans="1:7">
      <c r="A46" t="s">
        <v>13311</v>
      </c>
      <c r="B46" s="18" t="s">
        <v>6397</v>
      </c>
      <c r="C46" s="19">
        <v>5</v>
      </c>
      <c r="D46" s="31">
        <v>17797.400000000001</v>
      </c>
      <c r="E46" t="str">
        <f>VLOOKUP(B46,'CC by Segment'!$D:$E,2,FALSE)</f>
        <v>Corporate</v>
      </c>
      <c r="G46" t="str">
        <f t="shared" si="0"/>
        <v>C010205</v>
      </c>
    </row>
    <row r="47" spans="1:7">
      <c r="A47" t="s">
        <v>13311</v>
      </c>
      <c r="B47" s="18" t="s">
        <v>3698</v>
      </c>
      <c r="C47" s="19">
        <v>13</v>
      </c>
      <c r="D47" s="31">
        <v>74971.570000000007</v>
      </c>
      <c r="E47" t="str">
        <f>VLOOKUP(B47,'CC by Segment'!$D:$E,2,FALSE)</f>
        <v>Corporate</v>
      </c>
      <c r="G47" t="str">
        <f t="shared" si="0"/>
        <v>C010210</v>
      </c>
    </row>
    <row r="48" spans="1:7">
      <c r="A48" t="s">
        <v>13311</v>
      </c>
      <c r="B48" s="18" t="s">
        <v>3701</v>
      </c>
      <c r="C48" s="19">
        <v>15</v>
      </c>
      <c r="D48" s="31">
        <v>80833.679999999993</v>
      </c>
      <c r="E48" t="str">
        <f>VLOOKUP(B48,'CC by Segment'!$D:$E,2,FALSE)</f>
        <v>Corporate</v>
      </c>
      <c r="G48" t="str">
        <f t="shared" si="0"/>
        <v>C010215</v>
      </c>
    </row>
    <row r="49" spans="1:7">
      <c r="A49" t="s">
        <v>13311</v>
      </c>
      <c r="B49" s="18" t="s">
        <v>3704</v>
      </c>
      <c r="C49" s="19">
        <v>19</v>
      </c>
      <c r="D49" s="31">
        <v>87165.96</v>
      </c>
      <c r="E49" t="str">
        <f>VLOOKUP(B49,'CC by Segment'!$D:$E,2,FALSE)</f>
        <v>Corporate</v>
      </c>
      <c r="G49" t="str">
        <f t="shared" si="0"/>
        <v>C010220</v>
      </c>
    </row>
    <row r="50" spans="1:7">
      <c r="A50" t="s">
        <v>13311</v>
      </c>
      <c r="B50" s="18" t="s">
        <v>5015</v>
      </c>
      <c r="C50" s="19">
        <v>19</v>
      </c>
      <c r="D50" s="31">
        <v>86747.08</v>
      </c>
      <c r="E50" t="str">
        <f>VLOOKUP(B50,'CC by Segment'!$D:$E,2,FALSE)</f>
        <v>Corporate</v>
      </c>
      <c r="G50" t="str">
        <f t="shared" si="0"/>
        <v>C010230</v>
      </c>
    </row>
    <row r="51" spans="1:7">
      <c r="A51" t="s">
        <v>13311</v>
      </c>
      <c r="B51" s="18" t="s">
        <v>7107</v>
      </c>
      <c r="C51" s="19">
        <v>10</v>
      </c>
      <c r="D51" s="31">
        <v>57611.69</v>
      </c>
      <c r="E51" t="str">
        <f>VLOOKUP(B51,'CC by Segment'!$D:$E,2,FALSE)</f>
        <v>Corporate</v>
      </c>
      <c r="G51" t="str">
        <f t="shared" si="0"/>
        <v>C010301</v>
      </c>
    </row>
    <row r="52" spans="1:7">
      <c r="A52" t="s">
        <v>13311</v>
      </c>
      <c r="B52" s="18" t="s">
        <v>7113</v>
      </c>
      <c r="C52" s="19">
        <v>13</v>
      </c>
      <c r="D52" s="31">
        <v>71189.679999999993</v>
      </c>
      <c r="E52" t="str">
        <f>VLOOKUP(B52,'CC by Segment'!$D:$E,2,FALSE)</f>
        <v>Corporate</v>
      </c>
      <c r="G52" t="str">
        <f t="shared" si="0"/>
        <v>C010305</v>
      </c>
    </row>
    <row r="53" spans="1:7">
      <c r="A53" t="s">
        <v>13311</v>
      </c>
      <c r="B53" s="18" t="s">
        <v>7110</v>
      </c>
      <c r="C53" s="19">
        <v>13</v>
      </c>
      <c r="D53" s="31">
        <v>64713.11</v>
      </c>
      <c r="E53" t="str">
        <f>VLOOKUP(B53,'CC by Segment'!$D:$E,2,FALSE)</f>
        <v>Corporate</v>
      </c>
      <c r="G53" t="str">
        <f t="shared" si="0"/>
        <v>C010310</v>
      </c>
    </row>
    <row r="54" spans="1:7">
      <c r="A54" t="s">
        <v>13311</v>
      </c>
      <c r="B54" s="18" t="s">
        <v>3721</v>
      </c>
      <c r="C54" s="19">
        <v>2</v>
      </c>
      <c r="D54" s="31">
        <v>21569.54</v>
      </c>
      <c r="E54" t="str">
        <f>VLOOKUP(B54,'CC by Segment'!$D:$E,2,FALSE)</f>
        <v>Corporate</v>
      </c>
      <c r="G54" t="str">
        <f t="shared" si="0"/>
        <v>C010401</v>
      </c>
    </row>
    <row r="55" spans="1:7">
      <c r="A55" t="s">
        <v>13311</v>
      </c>
      <c r="B55" s="18" t="s">
        <v>3727</v>
      </c>
      <c r="C55" s="19">
        <v>7</v>
      </c>
      <c r="D55" s="31">
        <v>35403.01</v>
      </c>
      <c r="E55" t="str">
        <f>VLOOKUP(B55,'CC by Segment'!$D:$E,2,FALSE)</f>
        <v>Corporate</v>
      </c>
      <c r="G55" t="str">
        <f t="shared" si="0"/>
        <v>C010415</v>
      </c>
    </row>
    <row r="56" spans="1:7">
      <c r="A56" t="s">
        <v>13311</v>
      </c>
      <c r="B56" s="18" t="s">
        <v>3733</v>
      </c>
      <c r="C56" s="19">
        <v>5</v>
      </c>
      <c r="D56" s="31">
        <v>26809.81</v>
      </c>
      <c r="E56" t="str">
        <f>VLOOKUP(B56,'CC by Segment'!$D:$E,2,FALSE)</f>
        <v>Housing</v>
      </c>
      <c r="G56" t="str">
        <f t="shared" si="0"/>
        <v>C010430</v>
      </c>
    </row>
    <row r="57" spans="1:7">
      <c r="A57" t="s">
        <v>13311</v>
      </c>
      <c r="B57" s="18" t="s">
        <v>3736</v>
      </c>
      <c r="C57" s="19">
        <v>4</v>
      </c>
      <c r="D57" s="31">
        <v>22717.46</v>
      </c>
      <c r="E57" t="str">
        <f>VLOOKUP(B57,'CC by Segment'!$D:$E,2,FALSE)</f>
        <v>Housing</v>
      </c>
      <c r="G57" t="str">
        <f t="shared" si="0"/>
        <v>C010431</v>
      </c>
    </row>
    <row r="58" spans="1:7">
      <c r="A58" t="s">
        <v>13311</v>
      </c>
      <c r="B58" s="18" t="s">
        <v>3739</v>
      </c>
      <c r="C58" s="19">
        <v>6</v>
      </c>
      <c r="D58" s="31">
        <v>26208.66</v>
      </c>
      <c r="E58" t="str">
        <f>VLOOKUP(B58,'CC by Segment'!$D:$E,2,FALSE)</f>
        <v>Housing</v>
      </c>
      <c r="G58" t="str">
        <f t="shared" si="0"/>
        <v>C010432</v>
      </c>
    </row>
    <row r="59" spans="1:7">
      <c r="A59" t="s">
        <v>13311</v>
      </c>
      <c r="B59" s="18" t="s">
        <v>3742</v>
      </c>
      <c r="C59" s="19">
        <v>3</v>
      </c>
      <c r="D59" s="31">
        <v>12970.92</v>
      </c>
      <c r="E59" t="str">
        <f>VLOOKUP(B59,'CC by Segment'!$D:$E,2,FALSE)</f>
        <v>Housing</v>
      </c>
      <c r="G59" t="str">
        <f t="shared" si="0"/>
        <v>C010433</v>
      </c>
    </row>
    <row r="60" spans="1:7">
      <c r="A60" t="s">
        <v>13311</v>
      </c>
      <c r="B60" s="18" t="s">
        <v>6523</v>
      </c>
      <c r="C60" s="19">
        <v>6</v>
      </c>
      <c r="D60" s="31">
        <v>31547.73</v>
      </c>
      <c r="E60" t="str">
        <f>VLOOKUP(B60,'CC by Segment'!$D:$E,2,FALSE)</f>
        <v>Housing</v>
      </c>
      <c r="G60" t="str">
        <f t="shared" si="0"/>
        <v>C010434</v>
      </c>
    </row>
    <row r="61" spans="1:7">
      <c r="A61" t="s">
        <v>13311</v>
      </c>
      <c r="B61" s="18" t="s">
        <v>5033</v>
      </c>
      <c r="C61" s="19">
        <v>9</v>
      </c>
      <c r="D61" s="31">
        <v>58345.65</v>
      </c>
      <c r="E61" t="str">
        <f>VLOOKUP(B61,'CC by Segment'!$D:$E,2,FALSE)</f>
        <v>Lifestyle</v>
      </c>
      <c r="G61" t="str">
        <f t="shared" si="0"/>
        <v>C010450</v>
      </c>
    </row>
    <row r="62" spans="1:7">
      <c r="A62" t="s">
        <v>13311</v>
      </c>
      <c r="B62" s="18" t="s">
        <v>3751</v>
      </c>
      <c r="C62" s="19">
        <v>9</v>
      </c>
      <c r="D62" s="31">
        <v>49717.2</v>
      </c>
      <c r="E62" t="str">
        <f>VLOOKUP(B62,'CC by Segment'!$D:$E,2,FALSE)</f>
        <v>Lifestyle</v>
      </c>
      <c r="G62" t="str">
        <f t="shared" si="0"/>
        <v>C010451</v>
      </c>
    </row>
    <row r="63" spans="1:7">
      <c r="A63" t="s">
        <v>13311</v>
      </c>
      <c r="B63" s="18" t="s">
        <v>12838</v>
      </c>
      <c r="C63" s="19">
        <v>15</v>
      </c>
      <c r="D63" s="31">
        <v>87773.73</v>
      </c>
      <c r="E63" t="str">
        <f>VLOOKUP(B63,'CC by Segment'!$D:$E,2,FALSE)</f>
        <v>Lifestyle</v>
      </c>
      <c r="G63" t="str">
        <f t="shared" si="0"/>
        <v>C010452</v>
      </c>
    </row>
    <row r="64" spans="1:7">
      <c r="A64" t="s">
        <v>13311</v>
      </c>
      <c r="B64" s="18" t="s">
        <v>3757</v>
      </c>
      <c r="C64" s="19">
        <v>3</v>
      </c>
      <c r="D64" s="31">
        <v>10748.96</v>
      </c>
      <c r="E64" t="str">
        <f>VLOOKUP(B64,'CC by Segment'!$D:$E,2,FALSE)</f>
        <v>Lifestyle</v>
      </c>
      <c r="G64" t="str">
        <f t="shared" si="0"/>
        <v>C010453</v>
      </c>
    </row>
    <row r="65" spans="1:7">
      <c r="A65" t="s">
        <v>13311</v>
      </c>
      <c r="B65" s="18" t="s">
        <v>3762</v>
      </c>
      <c r="C65" s="19">
        <v>11</v>
      </c>
      <c r="D65" s="31">
        <v>73870.62</v>
      </c>
      <c r="E65" t="str">
        <f>VLOOKUP(B65,'CC by Segment'!$D:$E,2,FALSE)</f>
        <v>Corporate</v>
      </c>
      <c r="G65" t="str">
        <f t="shared" si="0"/>
        <v>C010501</v>
      </c>
    </row>
    <row r="66" spans="1:7">
      <c r="A66" t="s">
        <v>13311</v>
      </c>
      <c r="B66" s="18" t="s">
        <v>7419</v>
      </c>
      <c r="C66" s="19">
        <v>13</v>
      </c>
      <c r="D66" s="31">
        <v>103810.08</v>
      </c>
      <c r="E66" t="str">
        <f>VLOOKUP(B66,'CC by Segment'!$D:$E,2,FALSE)</f>
        <v>Corporate</v>
      </c>
      <c r="G66" t="str">
        <f t="shared" si="0"/>
        <v>C010701</v>
      </c>
    </row>
    <row r="67" spans="1:7">
      <c r="A67" t="s">
        <v>13311</v>
      </c>
      <c r="B67" s="18" t="s">
        <v>3797</v>
      </c>
      <c r="C67" s="19">
        <v>8</v>
      </c>
      <c r="D67" s="31">
        <v>66905.850000000006</v>
      </c>
      <c r="E67" t="str">
        <f>VLOOKUP(B67,'CC by Segment'!$D:$E,2,FALSE)</f>
        <v>Corporate</v>
      </c>
      <c r="G67" t="str">
        <f t="shared" si="0"/>
        <v>C010801</v>
      </c>
    </row>
    <row r="68" spans="1:7">
      <c r="A68" t="s">
        <v>13311</v>
      </c>
      <c r="B68" s="18" t="s">
        <v>3811</v>
      </c>
      <c r="C68" s="19">
        <v>5</v>
      </c>
      <c r="D68" s="31">
        <v>40576.51</v>
      </c>
      <c r="E68" t="str">
        <f>VLOOKUP(B68,'CC by Segment'!$D:$E,2,FALSE)</f>
        <v>Corporate</v>
      </c>
      <c r="G68" t="str">
        <f t="shared" si="0"/>
        <v>C020201</v>
      </c>
    </row>
    <row r="69" spans="1:7">
      <c r="A69" t="s">
        <v>13311</v>
      </c>
      <c r="B69" s="18" t="s">
        <v>7058</v>
      </c>
      <c r="C69" s="19">
        <v>17</v>
      </c>
      <c r="D69" s="31">
        <v>110762.31</v>
      </c>
      <c r="E69" t="str">
        <f>VLOOKUP(B69,'CC by Segment'!$D:$E,2,FALSE)</f>
        <v>Corporate</v>
      </c>
      <c r="G69" t="str">
        <f t="shared" ref="G69:G132" si="1">TRIM(B69)</f>
        <v>C020202</v>
      </c>
    </row>
    <row r="70" spans="1:7">
      <c r="A70" t="s">
        <v>13311</v>
      </c>
      <c r="B70" s="18" t="s">
        <v>7061</v>
      </c>
      <c r="C70" s="19">
        <v>9</v>
      </c>
      <c r="D70" s="31">
        <v>66926.27</v>
      </c>
      <c r="E70" t="str">
        <f>VLOOKUP(B70,'CC by Segment'!$D:$E,2,FALSE)</f>
        <v>Corporate</v>
      </c>
      <c r="G70" t="str">
        <f t="shared" si="1"/>
        <v>C020205</v>
      </c>
    </row>
    <row r="71" spans="1:7">
      <c r="A71" t="s">
        <v>13311</v>
      </c>
      <c r="B71" s="18" t="s">
        <v>7064</v>
      </c>
      <c r="C71" s="19">
        <v>18</v>
      </c>
      <c r="D71" s="31">
        <v>126911.59</v>
      </c>
      <c r="E71" t="str">
        <f>VLOOKUP(B71,'CC by Segment'!$D:$E,2,FALSE)</f>
        <v>Corporate</v>
      </c>
      <c r="G71" t="str">
        <f t="shared" si="1"/>
        <v>C020298</v>
      </c>
    </row>
    <row r="72" spans="1:7">
      <c r="A72" t="s">
        <v>13311</v>
      </c>
      <c r="B72" s="18" t="s">
        <v>3832</v>
      </c>
      <c r="C72" s="19">
        <v>4</v>
      </c>
      <c r="D72" s="31">
        <v>35015.58</v>
      </c>
      <c r="E72" t="str">
        <f>VLOOKUP(B72,'CC by Segment'!$D:$E,2,FALSE)</f>
        <v>Corporate</v>
      </c>
      <c r="G72" t="str">
        <f t="shared" si="1"/>
        <v>C020402</v>
      </c>
    </row>
    <row r="73" spans="1:7">
      <c r="A73" t="s">
        <v>13311</v>
      </c>
      <c r="B73" s="18" t="s">
        <v>3835</v>
      </c>
      <c r="C73" s="19">
        <v>6</v>
      </c>
      <c r="D73" s="31">
        <v>42506.65</v>
      </c>
      <c r="E73" t="str">
        <f>VLOOKUP(B73,'CC by Segment'!$D:$E,2,FALSE)</f>
        <v>Corporate</v>
      </c>
      <c r="G73" t="str">
        <f t="shared" si="1"/>
        <v>C020405</v>
      </c>
    </row>
    <row r="74" spans="1:7">
      <c r="A74" t="s">
        <v>13311</v>
      </c>
      <c r="B74" s="18" t="s">
        <v>6071</v>
      </c>
      <c r="C74" s="19">
        <v>9</v>
      </c>
      <c r="D74" s="31">
        <v>38933.81</v>
      </c>
      <c r="E74" t="str">
        <f>VLOOKUP(B74,'CC by Segment'!$D:$E,2,FALSE)</f>
        <v>Corporate</v>
      </c>
      <c r="G74" t="str">
        <f t="shared" si="1"/>
        <v>C020415</v>
      </c>
    </row>
    <row r="75" spans="1:7">
      <c r="A75" t="s">
        <v>13311</v>
      </c>
      <c r="B75" s="18" t="s">
        <v>3841</v>
      </c>
      <c r="C75" s="19">
        <v>28</v>
      </c>
      <c r="D75" s="31">
        <v>97658.29</v>
      </c>
      <c r="E75" t="str">
        <f>VLOOKUP(B75,'CC by Segment'!$D:$E,2,FALSE)</f>
        <v>Corporate</v>
      </c>
      <c r="G75" t="str">
        <f t="shared" si="1"/>
        <v>C020420</v>
      </c>
    </row>
    <row r="76" spans="1:7">
      <c r="A76" t="s">
        <v>13311</v>
      </c>
      <c r="B76" s="18" t="s">
        <v>3848</v>
      </c>
      <c r="C76" s="19">
        <v>11</v>
      </c>
      <c r="D76" s="31">
        <v>59142.77</v>
      </c>
      <c r="E76" t="str">
        <f>VLOOKUP(B76,'CC by Segment'!$D:$E,2,FALSE)</f>
        <v>Corporate</v>
      </c>
      <c r="G76" t="str">
        <f t="shared" si="1"/>
        <v>C020425</v>
      </c>
    </row>
    <row r="77" spans="1:7">
      <c r="A77" t="s">
        <v>13311</v>
      </c>
      <c r="B77" s="18" t="s">
        <v>3851</v>
      </c>
      <c r="C77" s="19">
        <v>5</v>
      </c>
      <c r="D77" s="31">
        <v>38354.93</v>
      </c>
      <c r="E77" t="str">
        <f>VLOOKUP(B77,'CC by Segment'!$D:$E,2,FALSE)</f>
        <v>Corporate</v>
      </c>
      <c r="G77" t="str">
        <f t="shared" si="1"/>
        <v>C020501</v>
      </c>
    </row>
    <row r="78" spans="1:7">
      <c r="A78" t="s">
        <v>13311</v>
      </c>
      <c r="B78" s="18" t="s">
        <v>3854</v>
      </c>
      <c r="C78" s="19">
        <v>2</v>
      </c>
      <c r="D78" s="31">
        <v>18384.61</v>
      </c>
      <c r="E78" t="str">
        <f>VLOOKUP(B78,'CC by Segment'!$D:$E,2,FALSE)</f>
        <v>Corporate</v>
      </c>
      <c r="G78" t="str">
        <f t="shared" si="1"/>
        <v>C020502</v>
      </c>
    </row>
    <row r="79" spans="1:7">
      <c r="A79" t="s">
        <v>13311</v>
      </c>
      <c r="B79" s="18" t="s">
        <v>3860</v>
      </c>
      <c r="C79" s="19">
        <v>9</v>
      </c>
      <c r="D79" s="31">
        <v>44355.76</v>
      </c>
      <c r="E79" t="str">
        <f>VLOOKUP(B79,'CC by Segment'!$D:$E,2,FALSE)</f>
        <v>Corporate</v>
      </c>
      <c r="G79" t="str">
        <f t="shared" si="1"/>
        <v>C020601</v>
      </c>
    </row>
    <row r="80" spans="1:7">
      <c r="A80" t="s">
        <v>13311</v>
      </c>
      <c r="B80" s="18" t="s">
        <v>5333</v>
      </c>
      <c r="C80" s="19">
        <v>5</v>
      </c>
      <c r="D80" s="31">
        <v>19205.04</v>
      </c>
      <c r="E80" t="str">
        <f>VLOOKUP(B80,'CC by Segment'!$D:$E,2,FALSE)</f>
        <v>Corporate</v>
      </c>
      <c r="G80" t="str">
        <f t="shared" si="1"/>
        <v>C020801</v>
      </c>
    </row>
    <row r="81" spans="1:7">
      <c r="A81" t="s">
        <v>13311</v>
      </c>
      <c r="B81" s="18" t="s">
        <v>3888</v>
      </c>
      <c r="C81" s="19">
        <v>5</v>
      </c>
      <c r="D81" s="31">
        <v>68846.17</v>
      </c>
      <c r="E81" t="str">
        <f>VLOOKUP(B81,'CC by Segment'!$D:$E,2,FALSE)</f>
        <v>Corporate</v>
      </c>
      <c r="G81" t="str">
        <f t="shared" si="1"/>
        <v>C030101</v>
      </c>
    </row>
    <row r="82" spans="1:7">
      <c r="A82" t="s">
        <v>13311</v>
      </c>
      <c r="B82" s="18" t="s">
        <v>3896</v>
      </c>
      <c r="C82" s="19">
        <v>15</v>
      </c>
      <c r="D82" s="31">
        <v>101116.54000000001</v>
      </c>
      <c r="E82" t="str">
        <f>VLOOKUP(B82,'CC by Segment'!$D:$E,2,FALSE)</f>
        <v>Corporate</v>
      </c>
      <c r="G82" t="str">
        <f t="shared" si="1"/>
        <v>C030110</v>
      </c>
    </row>
    <row r="83" spans="1:7">
      <c r="A83" t="s">
        <v>13311</v>
      </c>
      <c r="B83" s="18" t="s">
        <v>7073</v>
      </c>
      <c r="C83" s="19">
        <v>2</v>
      </c>
      <c r="D83" s="31">
        <v>48846.15</v>
      </c>
      <c r="E83" t="str">
        <f>VLOOKUP(B83,'CC by Segment'!$D:$E,2,FALSE)</f>
        <v>Corporate</v>
      </c>
      <c r="G83" t="str">
        <f t="shared" si="1"/>
        <v>C030115</v>
      </c>
    </row>
    <row r="84" spans="1:7">
      <c r="A84" t="s">
        <v>13311</v>
      </c>
      <c r="B84" s="18" t="s">
        <v>3905</v>
      </c>
      <c r="C84" s="19">
        <v>2</v>
      </c>
      <c r="D84" s="31">
        <v>26410.42</v>
      </c>
      <c r="E84" t="str">
        <f>VLOOKUP(B84,'CC by Segment'!$D:$E,2,FALSE)</f>
        <v>Corporate</v>
      </c>
      <c r="G84" t="str">
        <f t="shared" si="1"/>
        <v>C030125</v>
      </c>
    </row>
    <row r="85" spans="1:7">
      <c r="A85" t="s">
        <v>13311</v>
      </c>
      <c r="B85" s="18" t="s">
        <v>3910</v>
      </c>
      <c r="C85" s="19">
        <v>2</v>
      </c>
      <c r="D85" s="31">
        <v>11453.84</v>
      </c>
      <c r="E85" t="str">
        <f>VLOOKUP(B85,'CC by Segment'!$D:$E,2,FALSE)</f>
        <v>Corporate</v>
      </c>
      <c r="G85" t="str">
        <f t="shared" si="1"/>
        <v>C030200</v>
      </c>
    </row>
    <row r="86" spans="1:7">
      <c r="A86" t="s">
        <v>13311</v>
      </c>
      <c r="B86" s="18" t="s">
        <v>5018</v>
      </c>
      <c r="C86" s="19">
        <v>6</v>
      </c>
      <c r="D86" s="31">
        <v>53845.34</v>
      </c>
      <c r="E86" t="str">
        <f>VLOOKUP(B86,'CC by Segment'!$D:$E,2,FALSE)</f>
        <v>Corporate</v>
      </c>
      <c r="G86" t="str">
        <f t="shared" si="1"/>
        <v>C040001</v>
      </c>
    </row>
    <row r="87" spans="1:7">
      <c r="A87" t="s">
        <v>13311</v>
      </c>
      <c r="B87" s="18" t="s">
        <v>3967</v>
      </c>
      <c r="C87" s="19">
        <v>2</v>
      </c>
      <c r="D87" s="31">
        <v>2271</v>
      </c>
      <c r="E87" t="str">
        <f>VLOOKUP(B87,'CC by Segment'!$D:$E,2,FALSE)</f>
        <v>Corporate</v>
      </c>
      <c r="G87" t="str">
        <f t="shared" si="1"/>
        <v>C040002</v>
      </c>
    </row>
    <row r="88" spans="1:7">
      <c r="A88" t="s">
        <v>13311</v>
      </c>
      <c r="B88" s="18" t="s">
        <v>5024</v>
      </c>
      <c r="C88" s="19">
        <v>12</v>
      </c>
      <c r="D88" s="31">
        <v>47326.63</v>
      </c>
      <c r="E88" t="str">
        <f>VLOOKUP(B88,'CC by Segment'!$D:$E,2,FALSE)</f>
        <v>Corporate</v>
      </c>
      <c r="G88" t="str">
        <f t="shared" si="1"/>
        <v>C040015</v>
      </c>
    </row>
    <row r="89" spans="1:7">
      <c r="A89" t="s">
        <v>13311</v>
      </c>
      <c r="B89" s="18" t="s">
        <v>3979</v>
      </c>
      <c r="C89" s="19">
        <v>5</v>
      </c>
      <c r="D89" s="31">
        <v>23719.54</v>
      </c>
      <c r="E89" t="str">
        <f>VLOOKUP(B89,'CC by Segment'!$D:$E,2,FALSE)</f>
        <v>Corporate</v>
      </c>
      <c r="G89" t="str">
        <f t="shared" si="1"/>
        <v>C040101</v>
      </c>
    </row>
    <row r="90" spans="1:7">
      <c r="A90" t="s">
        <v>13311</v>
      </c>
      <c r="B90" s="18" t="s">
        <v>3982</v>
      </c>
      <c r="C90" s="19">
        <v>9</v>
      </c>
      <c r="D90" s="31">
        <v>42780.160000000003</v>
      </c>
      <c r="E90" t="str">
        <f>VLOOKUP(B90,'CC by Segment'!$D:$E,2,FALSE)</f>
        <v>Corporate</v>
      </c>
      <c r="G90" t="str">
        <f t="shared" si="1"/>
        <v>C040105</v>
      </c>
    </row>
    <row r="91" spans="1:7">
      <c r="A91" t="s">
        <v>13311</v>
      </c>
      <c r="B91" s="18" t="s">
        <v>3985</v>
      </c>
      <c r="C91" s="19">
        <v>1</v>
      </c>
      <c r="D91" s="31">
        <v>5028.96</v>
      </c>
      <c r="E91" t="str">
        <f>VLOOKUP(B91,'CC by Segment'!$D:$E,2,FALSE)</f>
        <v>Corporate</v>
      </c>
      <c r="G91" t="str">
        <f t="shared" si="1"/>
        <v>C040110</v>
      </c>
    </row>
    <row r="92" spans="1:7">
      <c r="A92" t="s">
        <v>13311</v>
      </c>
      <c r="B92" s="18" t="s">
        <v>20152</v>
      </c>
      <c r="C92" s="19">
        <v>1</v>
      </c>
      <c r="D92" s="31">
        <v>8358.65</v>
      </c>
      <c r="E92" t="str">
        <f>VLOOKUP(B92,'CC by Segment'!$D:$E,2,FALSE)</f>
        <v>Corporate</v>
      </c>
      <c r="G92" t="str">
        <f t="shared" si="1"/>
        <v>C040111</v>
      </c>
    </row>
    <row r="93" spans="1:7">
      <c r="A93" t="s">
        <v>13311</v>
      </c>
      <c r="B93" s="18" t="s">
        <v>3991</v>
      </c>
      <c r="C93" s="19">
        <v>4</v>
      </c>
      <c r="D93" s="31">
        <v>17134.23</v>
      </c>
      <c r="E93" t="str">
        <f>VLOOKUP(B93,'CC by Segment'!$D:$E,2,FALSE)</f>
        <v>Corporate</v>
      </c>
      <c r="G93" t="str">
        <f t="shared" si="1"/>
        <v>C040120</v>
      </c>
    </row>
    <row r="94" spans="1:7">
      <c r="A94" t="s">
        <v>13311</v>
      </c>
      <c r="B94" s="18" t="s">
        <v>3997</v>
      </c>
      <c r="C94" s="19">
        <v>55</v>
      </c>
      <c r="D94" s="31">
        <v>279296.5</v>
      </c>
      <c r="E94" t="str">
        <f>VLOOKUP(B94,'CC by Segment'!$D:$E,2,FALSE)</f>
        <v>Corporate</v>
      </c>
      <c r="G94" t="str">
        <f t="shared" si="1"/>
        <v>C040201</v>
      </c>
    </row>
    <row r="95" spans="1:7">
      <c r="A95" t="s">
        <v>13311</v>
      </c>
      <c r="B95" s="18" t="s">
        <v>5027</v>
      </c>
      <c r="C95" s="19">
        <v>12</v>
      </c>
      <c r="D95" s="31">
        <v>65476.93</v>
      </c>
      <c r="E95" t="str">
        <f>VLOOKUP(B95,'CC by Segment'!$D:$E,2,FALSE)</f>
        <v>Corporate</v>
      </c>
      <c r="G95" t="str">
        <f t="shared" si="1"/>
        <v>C040301</v>
      </c>
    </row>
    <row r="96" spans="1:7">
      <c r="A96" t="s">
        <v>13311</v>
      </c>
      <c r="B96" s="18" t="s">
        <v>4012</v>
      </c>
      <c r="C96" s="19">
        <v>3</v>
      </c>
      <c r="D96" s="31">
        <v>10072.34</v>
      </c>
      <c r="E96" t="str">
        <f>VLOOKUP(B96,'CC by Segment'!$D:$E,2,FALSE)</f>
        <v>Corporate</v>
      </c>
      <c r="G96" t="str">
        <f t="shared" si="1"/>
        <v>C040310</v>
      </c>
    </row>
    <row r="97" spans="1:7">
      <c r="A97" t="s">
        <v>13311</v>
      </c>
      <c r="B97" s="18" t="s">
        <v>5021</v>
      </c>
      <c r="C97" s="19">
        <v>2</v>
      </c>
      <c r="D97" s="31">
        <v>8519.73</v>
      </c>
      <c r="E97" t="str">
        <f>VLOOKUP(B97,'CC by Segment'!$D:$E,2,FALSE)</f>
        <v>Corporate</v>
      </c>
      <c r="G97" t="str">
        <f t="shared" si="1"/>
        <v>C040320</v>
      </c>
    </row>
    <row r="98" spans="1:7">
      <c r="A98" t="s">
        <v>13311</v>
      </c>
      <c r="B98" s="18" t="s">
        <v>4021</v>
      </c>
      <c r="C98" s="19">
        <v>39</v>
      </c>
      <c r="D98" s="31">
        <v>152383.28</v>
      </c>
      <c r="E98" t="str">
        <f>VLOOKUP(B98,'CC by Segment'!$D:$E,2,FALSE)</f>
        <v>Corporate</v>
      </c>
      <c r="G98" t="str">
        <f t="shared" si="1"/>
        <v>C040325</v>
      </c>
    </row>
    <row r="99" spans="1:7">
      <c r="A99" t="s">
        <v>13311</v>
      </c>
      <c r="B99" s="18" t="s">
        <v>6012</v>
      </c>
      <c r="C99" s="19">
        <v>16</v>
      </c>
      <c r="D99" s="31">
        <v>45536.91</v>
      </c>
      <c r="E99" t="str">
        <f>VLOOKUP(B99,'CC by Segment'!$D:$E,2,FALSE)</f>
        <v>Corporate</v>
      </c>
      <c r="G99" t="str">
        <f t="shared" si="1"/>
        <v>C040330</v>
      </c>
    </row>
    <row r="100" spans="1:7">
      <c r="A100" t="s">
        <v>13311</v>
      </c>
      <c r="B100" s="18" t="s">
        <v>5968</v>
      </c>
      <c r="C100" s="19">
        <v>3</v>
      </c>
      <c r="D100" s="31">
        <v>8877.16</v>
      </c>
      <c r="E100" t="str">
        <f>VLOOKUP(B100,'CC by Segment'!$D:$E,2,FALSE)</f>
        <v>Corporate</v>
      </c>
      <c r="G100" t="str">
        <f t="shared" si="1"/>
        <v>C040401</v>
      </c>
    </row>
    <row r="101" spans="1:7">
      <c r="A101" t="s">
        <v>13311</v>
      </c>
      <c r="B101" s="18" t="s">
        <v>4030</v>
      </c>
      <c r="C101" s="19">
        <v>27</v>
      </c>
      <c r="D101" s="31">
        <v>91713.600000000006</v>
      </c>
      <c r="E101" t="str">
        <f>VLOOKUP(B101,'CC by Segment'!$D:$E,2,FALSE)</f>
        <v>Corporate</v>
      </c>
      <c r="G101" t="str">
        <f t="shared" si="1"/>
        <v>C040405</v>
      </c>
    </row>
    <row r="102" spans="1:7">
      <c r="A102" t="s">
        <v>13311</v>
      </c>
      <c r="B102" s="18" t="s">
        <v>7076</v>
      </c>
      <c r="C102" s="19">
        <v>17</v>
      </c>
      <c r="D102" s="31">
        <v>98286.45</v>
      </c>
      <c r="E102" t="str">
        <f>VLOOKUP(B102,'CC by Segment'!$D:$E,2,FALSE)</f>
        <v>Corporate</v>
      </c>
      <c r="G102" t="str">
        <f t="shared" si="1"/>
        <v>C040410</v>
      </c>
    </row>
    <row r="103" spans="1:7">
      <c r="A103" t="s">
        <v>13311</v>
      </c>
      <c r="B103" s="18" t="s">
        <v>18169</v>
      </c>
      <c r="C103" s="19">
        <v>7</v>
      </c>
      <c r="D103" s="31">
        <v>21688.04</v>
      </c>
      <c r="E103" t="str">
        <f>VLOOKUP(B103,'CC by Segment'!$D:$E,2,FALSE)</f>
        <v>Corporate</v>
      </c>
      <c r="G103" t="str">
        <f t="shared" si="1"/>
        <v>C040411</v>
      </c>
    </row>
    <row r="104" spans="1:7">
      <c r="A104" t="s">
        <v>13311</v>
      </c>
      <c r="B104" s="18" t="s">
        <v>18173</v>
      </c>
      <c r="C104" s="19">
        <v>8</v>
      </c>
      <c r="D104" s="31">
        <v>25836.76</v>
      </c>
      <c r="E104" t="str">
        <f>VLOOKUP(B104,'CC by Segment'!$D:$E,2,FALSE)</f>
        <v>Corporate</v>
      </c>
      <c r="G104" t="str">
        <f t="shared" si="1"/>
        <v>C040412</v>
      </c>
    </row>
    <row r="105" spans="1:7">
      <c r="A105" t="s">
        <v>13311</v>
      </c>
      <c r="B105" s="18" t="s">
        <v>18171</v>
      </c>
      <c r="C105" s="19">
        <v>38</v>
      </c>
      <c r="D105" s="31">
        <v>74125.62</v>
      </c>
      <c r="E105" t="str">
        <f>VLOOKUP(B105,'CC by Segment'!$D:$E,2,FALSE)</f>
        <v>Corporate</v>
      </c>
      <c r="G105" t="str">
        <f t="shared" si="1"/>
        <v>C040414</v>
      </c>
    </row>
    <row r="106" spans="1:7">
      <c r="A106" t="s">
        <v>13311</v>
      </c>
      <c r="B106" s="18" t="s">
        <v>18174</v>
      </c>
      <c r="C106" s="19">
        <v>3</v>
      </c>
      <c r="D106" s="31">
        <v>18000.88</v>
      </c>
      <c r="E106" t="str">
        <f>VLOOKUP(B106,'CC by Segment'!$D:$E,2,FALSE)</f>
        <v>Corporate</v>
      </c>
      <c r="G106" t="str">
        <f t="shared" si="1"/>
        <v>C040415</v>
      </c>
    </row>
    <row r="107" spans="1:7">
      <c r="A107" t="s">
        <v>13311</v>
      </c>
      <c r="B107" s="18" t="s">
        <v>18176</v>
      </c>
      <c r="C107" s="19">
        <v>8</v>
      </c>
      <c r="D107" s="31">
        <v>28547.200000000001</v>
      </c>
      <c r="E107" t="str">
        <f>VLOOKUP(B107,'CC by Segment'!$D:$E,2,FALSE)</f>
        <v>Corporate</v>
      </c>
      <c r="G107" t="str">
        <f t="shared" si="1"/>
        <v>C040418</v>
      </c>
    </row>
    <row r="108" spans="1:7">
      <c r="A108" t="s">
        <v>13311</v>
      </c>
      <c r="B108" s="18" t="s">
        <v>18178</v>
      </c>
      <c r="C108" s="19">
        <v>24</v>
      </c>
      <c r="D108" s="31">
        <v>79997.440000000002</v>
      </c>
      <c r="E108" t="str">
        <f>VLOOKUP(B108,'CC by Segment'!$D:$E,2,FALSE)</f>
        <v>Corporate</v>
      </c>
      <c r="G108" t="str">
        <f t="shared" si="1"/>
        <v>C040425</v>
      </c>
    </row>
    <row r="109" spans="1:7">
      <c r="A109" t="s">
        <v>13311</v>
      </c>
      <c r="B109" s="18" t="s">
        <v>4036</v>
      </c>
      <c r="C109" s="19">
        <v>4</v>
      </c>
      <c r="D109" s="31">
        <v>19012.939999999999</v>
      </c>
      <c r="E109" t="str">
        <f>VLOOKUP(B109,'CC by Segment'!$D:$E,2,FALSE)</f>
        <v>Corporate</v>
      </c>
      <c r="G109" t="str">
        <f t="shared" si="1"/>
        <v>C040501</v>
      </c>
    </row>
    <row r="110" spans="1:7">
      <c r="A110" t="s">
        <v>13311</v>
      </c>
      <c r="B110" s="18" t="s">
        <v>4047</v>
      </c>
      <c r="C110" s="19">
        <v>8</v>
      </c>
      <c r="D110" s="31">
        <v>47236.43</v>
      </c>
      <c r="E110" t="str">
        <f>VLOOKUP(B110,'CC by Segment'!$D:$E,2,FALSE)</f>
        <v>Corporate</v>
      </c>
      <c r="G110" t="str">
        <f t="shared" si="1"/>
        <v>C042005</v>
      </c>
    </row>
    <row r="111" spans="1:7">
      <c r="A111" t="s">
        <v>13311</v>
      </c>
      <c r="B111" s="18" t="s">
        <v>4050</v>
      </c>
      <c r="C111" s="19">
        <v>4</v>
      </c>
      <c r="D111" s="31">
        <v>24065.040000000001</v>
      </c>
      <c r="E111" t="str">
        <f>VLOOKUP(B111,'CC by Segment'!$D:$E,2,FALSE)</f>
        <v>Corporate</v>
      </c>
      <c r="G111" t="str">
        <f t="shared" si="1"/>
        <v>C042010</v>
      </c>
    </row>
    <row r="112" spans="1:7">
      <c r="A112" t="s">
        <v>13311</v>
      </c>
      <c r="B112" s="18" t="s">
        <v>4053</v>
      </c>
      <c r="C112" s="19">
        <v>6</v>
      </c>
      <c r="D112" s="31">
        <v>47142.34</v>
      </c>
      <c r="E112" t="str">
        <f>VLOOKUP(B112,'CC by Segment'!$D:$E,2,FALSE)</f>
        <v>Corporate</v>
      </c>
      <c r="G112" t="str">
        <f t="shared" si="1"/>
        <v>C042015</v>
      </c>
    </row>
    <row r="113" spans="1:7">
      <c r="A113" t="s">
        <v>13311</v>
      </c>
      <c r="B113" s="18" t="s">
        <v>4056</v>
      </c>
      <c r="C113" s="19">
        <v>3</v>
      </c>
      <c r="D113" s="31">
        <v>23908</v>
      </c>
      <c r="E113" t="str">
        <f>VLOOKUP(B113,'CC by Segment'!$D:$E,2,FALSE)</f>
        <v>Corporate</v>
      </c>
      <c r="G113" t="str">
        <f t="shared" si="1"/>
        <v>C042020</v>
      </c>
    </row>
    <row r="114" spans="1:7">
      <c r="A114" t="s">
        <v>13311</v>
      </c>
      <c r="B114" s="18" t="s">
        <v>7082</v>
      </c>
      <c r="C114" s="19">
        <v>12</v>
      </c>
      <c r="D114" s="31">
        <v>69390.03</v>
      </c>
      <c r="E114" t="str">
        <f>VLOOKUP(B114,'CC by Segment'!$D:$E,2,FALSE)</f>
        <v>Corporate</v>
      </c>
      <c r="G114" t="str">
        <f t="shared" si="1"/>
        <v>C042025</v>
      </c>
    </row>
    <row r="115" spans="1:7">
      <c r="A115" t="s">
        <v>13311</v>
      </c>
      <c r="B115" s="18" t="s">
        <v>4066</v>
      </c>
      <c r="C115" s="19">
        <v>2</v>
      </c>
      <c r="D115" s="31">
        <v>9722.73</v>
      </c>
      <c r="E115" t="str">
        <f>VLOOKUP(B115,'CC by Segment'!$D:$E,2,FALSE)</f>
        <v>Corporate</v>
      </c>
      <c r="G115" t="str">
        <f t="shared" si="1"/>
        <v>C042030</v>
      </c>
    </row>
    <row r="116" spans="1:7">
      <c r="A116" t="s">
        <v>13311</v>
      </c>
      <c r="B116" s="18" t="s">
        <v>20143</v>
      </c>
      <c r="C116" s="19">
        <v>8</v>
      </c>
      <c r="D116" s="31">
        <v>28434.31</v>
      </c>
      <c r="E116" t="str">
        <f>VLOOKUP(B116,'CC by Segment'!$D:$E,2,FALSE)</f>
        <v>Lifestyle</v>
      </c>
      <c r="G116" t="str">
        <f t="shared" si="1"/>
        <v>C042050</v>
      </c>
    </row>
    <row r="117" spans="1:7">
      <c r="A117" t="s">
        <v>13311</v>
      </c>
      <c r="B117" s="18" t="s">
        <v>4073</v>
      </c>
      <c r="C117" s="19">
        <v>5</v>
      </c>
      <c r="D117" s="31">
        <v>56564.61</v>
      </c>
      <c r="E117" t="str">
        <f>VLOOKUP(B117,'CC by Segment'!$D:$E,2,FALSE)</f>
        <v>Corporate</v>
      </c>
      <c r="G117" t="str">
        <f t="shared" si="1"/>
        <v>C043001</v>
      </c>
    </row>
    <row r="118" spans="1:7">
      <c r="A118" t="s">
        <v>13311</v>
      </c>
      <c r="B118" s="18" t="s">
        <v>7079</v>
      </c>
      <c r="C118" s="19">
        <v>2</v>
      </c>
      <c r="D118" s="31">
        <v>15554.62</v>
      </c>
      <c r="E118" t="str">
        <f>VLOOKUP(B118,'CC by Segment'!$D:$E,2,FALSE)</f>
        <v>Corporate</v>
      </c>
      <c r="G118" t="str">
        <f t="shared" si="1"/>
        <v>C043005</v>
      </c>
    </row>
    <row r="119" spans="1:7">
      <c r="A119" t="s">
        <v>13311</v>
      </c>
      <c r="B119" s="18" t="s">
        <v>4079</v>
      </c>
      <c r="C119" s="19">
        <v>3</v>
      </c>
      <c r="D119" s="31">
        <v>12983.66</v>
      </c>
      <c r="E119" t="str">
        <f>VLOOKUP(B119,'CC by Segment'!$D:$E,2,FALSE)</f>
        <v>Corporate</v>
      </c>
      <c r="G119" t="str">
        <f t="shared" si="1"/>
        <v>C043010</v>
      </c>
    </row>
    <row r="120" spans="1:7">
      <c r="A120" t="s">
        <v>13311</v>
      </c>
      <c r="B120" s="18" t="s">
        <v>4082</v>
      </c>
      <c r="C120" s="19">
        <v>3</v>
      </c>
      <c r="D120" s="31">
        <v>24018.28</v>
      </c>
      <c r="E120" t="str">
        <f>VLOOKUP(B120,'CC by Segment'!$D:$E,2,FALSE)</f>
        <v>Corporate</v>
      </c>
      <c r="G120" t="str">
        <f t="shared" si="1"/>
        <v>C043015</v>
      </c>
    </row>
    <row r="121" spans="1:7">
      <c r="A121" t="s">
        <v>13311</v>
      </c>
      <c r="B121" s="18" t="s">
        <v>4085</v>
      </c>
      <c r="C121" s="19">
        <v>6</v>
      </c>
      <c r="D121" s="31">
        <v>48982.73</v>
      </c>
      <c r="E121" t="str">
        <f>VLOOKUP(B121,'CC by Segment'!$D:$E,2,FALSE)</f>
        <v>Corporate</v>
      </c>
      <c r="G121" t="str">
        <f t="shared" si="1"/>
        <v>C043020</v>
      </c>
    </row>
    <row r="122" spans="1:7">
      <c r="A122" t="s">
        <v>13311</v>
      </c>
      <c r="B122" s="18" t="s">
        <v>4090</v>
      </c>
      <c r="C122" s="19">
        <v>4</v>
      </c>
      <c r="D122" s="31">
        <v>31801.200000000001</v>
      </c>
      <c r="E122" t="str">
        <f>VLOOKUP(B122,'CC by Segment'!$D:$E,2,FALSE)</f>
        <v>Corporate</v>
      </c>
      <c r="G122" t="str">
        <f t="shared" si="1"/>
        <v>C043035</v>
      </c>
    </row>
    <row r="123" spans="1:7">
      <c r="A123" t="s">
        <v>13311</v>
      </c>
      <c r="B123" s="18" t="s">
        <v>20164</v>
      </c>
      <c r="C123" s="19">
        <v>8</v>
      </c>
      <c r="D123" s="31">
        <v>44796.46</v>
      </c>
      <c r="E123" t="str">
        <f>VLOOKUP(B123,'CC by Segment'!$D:$E,2,FALSE)</f>
        <v>Corporate</v>
      </c>
      <c r="G123" t="str">
        <f t="shared" si="1"/>
        <v>C044002</v>
      </c>
    </row>
    <row r="124" spans="1:7">
      <c r="A124" t="s">
        <v>13311</v>
      </c>
      <c r="B124" s="18" t="s">
        <v>20172</v>
      </c>
      <c r="C124" s="19">
        <v>5</v>
      </c>
      <c r="D124" s="31">
        <v>23923.08</v>
      </c>
      <c r="E124" t="str">
        <f>VLOOKUP(B124,'CC by Segment'!$D:$E,2,FALSE)</f>
        <v>Corporate</v>
      </c>
      <c r="G124" t="str">
        <f t="shared" si="1"/>
        <v>C044004</v>
      </c>
    </row>
    <row r="125" spans="1:7">
      <c r="A125" t="s">
        <v>13311</v>
      </c>
      <c r="B125" s="18" t="s">
        <v>5249</v>
      </c>
      <c r="C125" s="19">
        <v>9</v>
      </c>
      <c r="D125" s="31">
        <v>32849.24</v>
      </c>
      <c r="E125" t="str">
        <f>VLOOKUP(B125,'CC by Segment'!$D:$E,2,FALSE)</f>
        <v>Corporate</v>
      </c>
      <c r="G125" t="str">
        <f t="shared" si="1"/>
        <v>C100601</v>
      </c>
    </row>
    <row r="126" spans="1:7">
      <c r="A126" t="s">
        <v>13311</v>
      </c>
      <c r="B126" s="18" t="s">
        <v>7085</v>
      </c>
      <c r="C126" s="19">
        <v>2</v>
      </c>
      <c r="D126" s="31">
        <v>9554.68</v>
      </c>
      <c r="E126" t="str">
        <f>VLOOKUP(B126,'CC by Segment'!$D:$E,2,FALSE)</f>
        <v>Corporate</v>
      </c>
      <c r="G126" t="str">
        <f t="shared" si="1"/>
        <v>C100901</v>
      </c>
    </row>
    <row r="127" spans="1:7">
      <c r="A127" t="s">
        <v>13311</v>
      </c>
      <c r="B127" s="18" t="s">
        <v>5255</v>
      </c>
      <c r="C127" s="19">
        <v>30</v>
      </c>
      <c r="D127" s="31">
        <v>100656.04</v>
      </c>
      <c r="E127" t="str">
        <f>VLOOKUP(B127,'CC by Segment'!$D:$E,2,FALSE)</f>
        <v>Corporate</v>
      </c>
      <c r="G127" t="str">
        <f t="shared" si="1"/>
        <v>C100905</v>
      </c>
    </row>
    <row r="128" spans="1:7">
      <c r="A128" t="s">
        <v>13311</v>
      </c>
      <c r="B128" s="18" t="s">
        <v>5258</v>
      </c>
      <c r="C128" s="19">
        <v>8</v>
      </c>
      <c r="D128" s="31">
        <v>27116.71</v>
      </c>
      <c r="E128" t="str">
        <f>VLOOKUP(B128,'CC by Segment'!$D:$E,2,FALSE)</f>
        <v>Corporate</v>
      </c>
      <c r="G128" t="str">
        <f t="shared" si="1"/>
        <v>C100906</v>
      </c>
    </row>
    <row r="129" spans="1:7">
      <c r="A129" t="s">
        <v>13311</v>
      </c>
      <c r="B129" s="18" t="s">
        <v>5261</v>
      </c>
      <c r="C129" s="19">
        <v>10</v>
      </c>
      <c r="D129" s="31">
        <v>46555.839999999997</v>
      </c>
      <c r="E129" t="str">
        <f>VLOOKUP(B129,'CC by Segment'!$D:$E,2,FALSE)</f>
        <v>Corporate</v>
      </c>
      <c r="G129" t="str">
        <f t="shared" si="1"/>
        <v>C100907</v>
      </c>
    </row>
    <row r="130" spans="1:7">
      <c r="A130" t="s">
        <v>13311</v>
      </c>
      <c r="B130" s="18" t="s">
        <v>5264</v>
      </c>
      <c r="C130" s="19">
        <v>7</v>
      </c>
      <c r="D130" s="31">
        <v>32426.48</v>
      </c>
      <c r="E130" t="str">
        <f>VLOOKUP(B130,'CC by Segment'!$D:$E,2,FALSE)</f>
        <v>Corporate</v>
      </c>
      <c r="G130" t="str">
        <f t="shared" si="1"/>
        <v>C100908</v>
      </c>
    </row>
    <row r="131" spans="1:7">
      <c r="A131" t="s">
        <v>13311</v>
      </c>
      <c r="B131" s="18" t="s">
        <v>5267</v>
      </c>
      <c r="C131" s="19">
        <v>11</v>
      </c>
      <c r="D131" s="31">
        <v>49297.2</v>
      </c>
      <c r="E131" t="str">
        <f>VLOOKUP(B131,'CC by Segment'!$D:$E,2,FALSE)</f>
        <v>Corporate</v>
      </c>
      <c r="G131" t="str">
        <f t="shared" si="1"/>
        <v>C100909</v>
      </c>
    </row>
    <row r="132" spans="1:7">
      <c r="A132" t="s">
        <v>13311</v>
      </c>
      <c r="B132" s="18" t="s">
        <v>5276</v>
      </c>
      <c r="C132" s="19">
        <v>3</v>
      </c>
      <c r="D132" s="31">
        <v>22820.7</v>
      </c>
      <c r="E132" t="str">
        <f>VLOOKUP(B132,'CC by Segment'!$D:$E,2,FALSE)</f>
        <v>Corporate</v>
      </c>
      <c r="G132" t="str">
        <f t="shared" si="1"/>
        <v>C100920</v>
      </c>
    </row>
    <row r="133" spans="1:7">
      <c r="A133" t="s">
        <v>13311</v>
      </c>
      <c r="B133" s="18" t="s">
        <v>5279</v>
      </c>
      <c r="C133" s="19">
        <v>12</v>
      </c>
      <c r="D133" s="31">
        <v>74433.42</v>
      </c>
      <c r="E133" t="str">
        <f>VLOOKUP(B133,'CC by Segment'!$D:$E,2,FALSE)</f>
        <v>Corporate</v>
      </c>
      <c r="G133" t="str">
        <f t="shared" ref="G133:G196" si="2">TRIM(B133)</f>
        <v>C100930</v>
      </c>
    </row>
    <row r="134" spans="1:7">
      <c r="A134" t="s">
        <v>13311</v>
      </c>
      <c r="B134" s="18" t="s">
        <v>5148</v>
      </c>
      <c r="C134" s="19">
        <v>4</v>
      </c>
      <c r="D134" s="31">
        <v>10165.030000000001</v>
      </c>
      <c r="E134" t="str">
        <f>VLOOKUP(B134,'CC by Segment'!$D:$E,2,FALSE)</f>
        <v>Corporate</v>
      </c>
      <c r="G134" t="str">
        <f t="shared" si="2"/>
        <v>C100931</v>
      </c>
    </row>
    <row r="135" spans="1:7">
      <c r="A135" t="s">
        <v>13311</v>
      </c>
      <c r="B135" s="18" t="s">
        <v>5159</v>
      </c>
      <c r="C135" s="19">
        <v>14</v>
      </c>
      <c r="D135" s="31">
        <v>60894.66</v>
      </c>
      <c r="E135" t="str">
        <f>VLOOKUP(B135,'CC by Segment'!$D:$E,2,FALSE)</f>
        <v>Corporate</v>
      </c>
      <c r="G135" t="str">
        <f t="shared" si="2"/>
        <v>C100941</v>
      </c>
    </row>
    <row r="136" spans="1:7">
      <c r="A136" t="s">
        <v>13311</v>
      </c>
      <c r="B136" s="18" t="s">
        <v>5291</v>
      </c>
      <c r="C136" s="19">
        <v>13</v>
      </c>
      <c r="D136" s="31">
        <v>70249.350000000006</v>
      </c>
      <c r="E136" t="str">
        <f>VLOOKUP(B136,'CC by Segment'!$D:$E,2,FALSE)</f>
        <v>Corporate</v>
      </c>
      <c r="G136" t="str">
        <f t="shared" si="2"/>
        <v>C100942</v>
      </c>
    </row>
    <row r="137" spans="1:7">
      <c r="A137" t="s">
        <v>13311</v>
      </c>
      <c r="B137" s="18" t="s">
        <v>5297</v>
      </c>
      <c r="C137" s="19">
        <v>3</v>
      </c>
      <c r="D137" s="31">
        <v>29408.15</v>
      </c>
      <c r="E137" t="str">
        <f>VLOOKUP(B137,'CC by Segment'!$D:$E,2,FALSE)</f>
        <v>Corporate</v>
      </c>
      <c r="G137" t="str">
        <f t="shared" si="2"/>
        <v>C100944</v>
      </c>
    </row>
    <row r="138" spans="1:7">
      <c r="A138" t="s">
        <v>13311</v>
      </c>
      <c r="B138" s="18" t="s">
        <v>7007</v>
      </c>
      <c r="C138" s="19">
        <v>3</v>
      </c>
      <c r="D138" s="31">
        <v>22852.04</v>
      </c>
      <c r="E138" t="str">
        <f>VLOOKUP(B138,'CC by Segment'!$D:$E,2,FALSE)</f>
        <v>Corporate</v>
      </c>
      <c r="G138" t="str">
        <f t="shared" si="2"/>
        <v>C200101</v>
      </c>
    </row>
    <row r="139" spans="1:7">
      <c r="A139" t="s">
        <v>13311</v>
      </c>
      <c r="B139" s="18" t="s">
        <v>5377</v>
      </c>
      <c r="C139" s="19">
        <v>6</v>
      </c>
      <c r="D139" s="31">
        <v>28185.27</v>
      </c>
      <c r="E139" t="str">
        <f>VLOOKUP(B139,'CC by Segment'!$D:$E,2,FALSE)</f>
        <v>Corporate</v>
      </c>
      <c r="G139" t="str">
        <f t="shared" si="2"/>
        <v>C200110</v>
      </c>
    </row>
    <row r="140" spans="1:7">
      <c r="A140" t="s">
        <v>13311</v>
      </c>
      <c r="B140" s="18" t="s">
        <v>5180</v>
      </c>
      <c r="C140" s="19">
        <v>4</v>
      </c>
      <c r="D140" s="31">
        <v>26756</v>
      </c>
      <c r="E140" t="str">
        <f>VLOOKUP(B140,'CC by Segment'!$D:$E,2,FALSE)</f>
        <v>Corporate</v>
      </c>
      <c r="G140" t="str">
        <f t="shared" si="2"/>
        <v>C200115</v>
      </c>
    </row>
    <row r="141" spans="1:7">
      <c r="A141" t="s">
        <v>13311</v>
      </c>
      <c r="B141" s="18" t="s">
        <v>5153</v>
      </c>
      <c r="C141" s="19">
        <v>6</v>
      </c>
      <c r="D141" s="31">
        <v>10337.77</v>
      </c>
      <c r="E141" t="str">
        <f>VLOOKUP(B141,'CC by Segment'!$D:$E,2,FALSE)</f>
        <v>Corporate</v>
      </c>
      <c r="G141" t="str">
        <f t="shared" si="2"/>
        <v>C200120</v>
      </c>
    </row>
    <row r="142" spans="1:7">
      <c r="A142" t="s">
        <v>13311</v>
      </c>
      <c r="B142" s="18" t="s">
        <v>5410</v>
      </c>
      <c r="C142" s="19">
        <v>8</v>
      </c>
      <c r="D142" s="31">
        <v>37088.51</v>
      </c>
      <c r="E142" t="str">
        <f>VLOOKUP(B142,'CC by Segment'!$D:$E,2,FALSE)</f>
        <v>Corporate</v>
      </c>
      <c r="G142" t="str">
        <f t="shared" si="2"/>
        <v>C200205</v>
      </c>
    </row>
    <row r="143" spans="1:7">
      <c r="A143" t="s">
        <v>13311</v>
      </c>
      <c r="B143" s="18" t="s">
        <v>5413</v>
      </c>
      <c r="C143" s="19">
        <v>26</v>
      </c>
      <c r="D143" s="31">
        <v>121421.73</v>
      </c>
      <c r="E143" t="str">
        <f>VLOOKUP(B143,'CC by Segment'!$D:$E,2,FALSE)</f>
        <v>Corporate</v>
      </c>
      <c r="G143" t="str">
        <f t="shared" si="2"/>
        <v>C200210</v>
      </c>
    </row>
    <row r="144" spans="1:7">
      <c r="A144" t="s">
        <v>13311</v>
      </c>
      <c r="B144" s="18" t="s">
        <v>5429</v>
      </c>
      <c r="C144" s="19">
        <v>10</v>
      </c>
      <c r="D144" s="31">
        <v>45608.81</v>
      </c>
      <c r="E144" t="str">
        <f>VLOOKUP(B144,'CC by Segment'!$D:$E,2,FALSE)</f>
        <v>Corporate</v>
      </c>
      <c r="G144" t="str">
        <f t="shared" si="2"/>
        <v>C200501</v>
      </c>
    </row>
    <row r="145" spans="1:7">
      <c r="A145" t="s">
        <v>13311</v>
      </c>
      <c r="B145" s="18" t="s">
        <v>5432</v>
      </c>
      <c r="C145" s="19">
        <v>4</v>
      </c>
      <c r="D145" s="31">
        <v>35547.040000000001</v>
      </c>
      <c r="E145" t="str">
        <f>VLOOKUP(B145,'CC by Segment'!$D:$E,2,FALSE)</f>
        <v>Corporate</v>
      </c>
      <c r="G145" t="str">
        <f t="shared" si="2"/>
        <v>C200506</v>
      </c>
    </row>
    <row r="146" spans="1:7">
      <c r="A146" t="s">
        <v>13311</v>
      </c>
      <c r="B146" s="18" t="s">
        <v>5435</v>
      </c>
      <c r="C146" s="19">
        <v>13</v>
      </c>
      <c r="D146" s="31">
        <v>83345.59</v>
      </c>
      <c r="E146" t="str">
        <f>VLOOKUP(B146,'CC by Segment'!$D:$E,2,FALSE)</f>
        <v>Corporate</v>
      </c>
      <c r="G146" t="str">
        <f t="shared" si="2"/>
        <v>C200507</v>
      </c>
    </row>
    <row r="147" spans="1:7">
      <c r="A147" t="s">
        <v>13311</v>
      </c>
      <c r="B147" s="18" t="s">
        <v>5438</v>
      </c>
      <c r="C147" s="19">
        <v>5</v>
      </c>
      <c r="D147" s="31">
        <v>32079.3</v>
      </c>
      <c r="E147" t="str">
        <f>VLOOKUP(B147,'CC by Segment'!$D:$E,2,FALSE)</f>
        <v>Corporate</v>
      </c>
      <c r="G147" t="str">
        <f t="shared" si="2"/>
        <v>C200508</v>
      </c>
    </row>
    <row r="148" spans="1:7">
      <c r="A148" t="s">
        <v>13311</v>
      </c>
      <c r="B148" s="18" t="s">
        <v>7088</v>
      </c>
      <c r="C148" s="19">
        <v>6</v>
      </c>
      <c r="D148" s="31">
        <v>37795.839999999997</v>
      </c>
      <c r="E148" t="str">
        <f>VLOOKUP(B148,'CC by Segment'!$D:$E,2,FALSE)</f>
        <v>Corporate</v>
      </c>
      <c r="G148" t="str">
        <f t="shared" si="2"/>
        <v>C200509</v>
      </c>
    </row>
    <row r="149" spans="1:7">
      <c r="A149" t="s">
        <v>13311</v>
      </c>
      <c r="B149" s="18" t="s">
        <v>5450</v>
      </c>
      <c r="C149" s="19">
        <v>28</v>
      </c>
      <c r="D149" s="31">
        <v>113040.01</v>
      </c>
      <c r="E149" t="str">
        <f>VLOOKUP(B149,'CC by Segment'!$D:$E,2,FALSE)</f>
        <v>Corporate</v>
      </c>
      <c r="G149" t="str">
        <f t="shared" si="2"/>
        <v>C200521</v>
      </c>
    </row>
    <row r="150" spans="1:7">
      <c r="A150" t="s">
        <v>13311</v>
      </c>
      <c r="B150" s="18" t="s">
        <v>5839</v>
      </c>
      <c r="C150" s="19">
        <v>11</v>
      </c>
      <c r="D150" s="31">
        <v>56939.61</v>
      </c>
      <c r="E150" t="str">
        <f>VLOOKUP(B150,'CC by Segment'!$D:$E,2,FALSE)</f>
        <v>Corporate</v>
      </c>
      <c r="G150" t="str">
        <f t="shared" si="2"/>
        <v>C200531</v>
      </c>
    </row>
    <row r="151" spans="1:7">
      <c r="A151" t="s">
        <v>13311</v>
      </c>
      <c r="B151" s="18" t="s">
        <v>5459</v>
      </c>
      <c r="C151" s="19">
        <v>46</v>
      </c>
      <c r="D151" s="31">
        <v>144851.43</v>
      </c>
      <c r="E151" t="str">
        <f>VLOOKUP(B151,'CC by Segment'!$D:$E,2,FALSE)</f>
        <v>Corporate</v>
      </c>
      <c r="G151" t="str">
        <f t="shared" si="2"/>
        <v>C200532</v>
      </c>
    </row>
    <row r="152" spans="1:7">
      <c r="A152" t="s">
        <v>13311</v>
      </c>
      <c r="B152" s="18" t="s">
        <v>7100</v>
      </c>
      <c r="C152" s="19">
        <v>9</v>
      </c>
      <c r="D152" s="31">
        <v>64870.81</v>
      </c>
      <c r="E152" t="str">
        <f>VLOOKUP(B152,'CC by Segment'!$D:$E,2,FALSE)</f>
        <v>Corporate</v>
      </c>
      <c r="G152" t="str">
        <f t="shared" si="2"/>
        <v>C200540</v>
      </c>
    </row>
    <row r="153" spans="1:7">
      <c r="A153" t="s">
        <v>13311</v>
      </c>
      <c r="B153" s="18" t="s">
        <v>5462</v>
      </c>
      <c r="C153" s="19">
        <v>7</v>
      </c>
      <c r="D153" s="31">
        <v>41517.19</v>
      </c>
      <c r="E153" t="str">
        <f>VLOOKUP(B153,'CC by Segment'!$D:$E,2,FALSE)</f>
        <v>Corporate</v>
      </c>
      <c r="G153" t="str">
        <f t="shared" si="2"/>
        <v>C200541</v>
      </c>
    </row>
    <row r="154" spans="1:7">
      <c r="A154" t="s">
        <v>13311</v>
      </c>
      <c r="B154" s="18" t="s">
        <v>5538</v>
      </c>
      <c r="C154" s="19">
        <v>3</v>
      </c>
      <c r="D154" s="31">
        <v>22084.15</v>
      </c>
      <c r="E154" t="str">
        <f>VLOOKUP(B154,'CC by Segment'!$D:$E,2,FALSE)</f>
        <v>Corporate</v>
      </c>
      <c r="G154" t="str">
        <f t="shared" si="2"/>
        <v>C200551</v>
      </c>
    </row>
    <row r="155" spans="1:7">
      <c r="A155" t="s">
        <v>13311</v>
      </c>
      <c r="B155" s="18" t="s">
        <v>5474</v>
      </c>
      <c r="C155" s="19">
        <v>3</v>
      </c>
      <c r="D155" s="31">
        <v>16678.919999999998</v>
      </c>
      <c r="E155" t="str">
        <f>VLOOKUP(B155,'CC by Segment'!$D:$E,2,FALSE)</f>
        <v>Corporate</v>
      </c>
      <c r="G155" t="str">
        <f t="shared" si="2"/>
        <v>C200553</v>
      </c>
    </row>
    <row r="156" spans="1:7">
      <c r="A156" t="s">
        <v>13311</v>
      </c>
      <c r="B156" s="18" t="s">
        <v>5477</v>
      </c>
      <c r="C156" s="19">
        <v>16</v>
      </c>
      <c r="D156" s="31">
        <v>52546.86</v>
      </c>
      <c r="E156" t="str">
        <f>VLOOKUP(B156,'CC by Segment'!$D:$E,2,FALSE)</f>
        <v>Corporate</v>
      </c>
      <c r="G156" t="str">
        <f t="shared" si="2"/>
        <v>C200560</v>
      </c>
    </row>
    <row r="157" spans="1:7">
      <c r="A157" t="s">
        <v>13311</v>
      </c>
      <c r="B157" s="18" t="s">
        <v>7091</v>
      </c>
      <c r="C157" s="19">
        <v>5</v>
      </c>
      <c r="D157" s="31">
        <v>22199.57</v>
      </c>
      <c r="E157" t="str">
        <f>VLOOKUP(B157,'CC by Segment'!$D:$E,2,FALSE)</f>
        <v>Corporate</v>
      </c>
      <c r="G157" t="str">
        <f t="shared" si="2"/>
        <v>C200561</v>
      </c>
    </row>
    <row r="158" spans="1:7">
      <c r="A158" t="s">
        <v>13311</v>
      </c>
      <c r="B158" s="18" t="s">
        <v>5505</v>
      </c>
      <c r="C158" s="19">
        <v>0</v>
      </c>
      <c r="D158" s="31">
        <v>2470.14</v>
      </c>
      <c r="E158">
        <v>0</v>
      </c>
      <c r="G158" t="str">
        <f t="shared" si="2"/>
        <v>C200591</v>
      </c>
    </row>
    <row r="159" spans="1:7">
      <c r="A159" t="s">
        <v>13311</v>
      </c>
      <c r="B159" s="18" t="s">
        <v>5518</v>
      </c>
      <c r="C159" s="19">
        <v>3</v>
      </c>
      <c r="D159" s="31">
        <v>25784.66</v>
      </c>
      <c r="E159" t="str">
        <f>VLOOKUP(B159,'CC by Segment'!$D:$E,2,FALSE)</f>
        <v>Corporate</v>
      </c>
      <c r="G159" t="str">
        <f t="shared" si="2"/>
        <v>C200601</v>
      </c>
    </row>
    <row r="160" spans="1:7">
      <c r="A160" t="s">
        <v>13311</v>
      </c>
      <c r="B160" s="18" t="s">
        <v>5527</v>
      </c>
      <c r="C160" s="19">
        <v>2</v>
      </c>
      <c r="D160" s="31">
        <v>23077.919999999998</v>
      </c>
      <c r="E160" t="str">
        <f>VLOOKUP(B160,'CC by Segment'!$D:$E,2,FALSE)</f>
        <v>Corporate</v>
      </c>
      <c r="G160" t="str">
        <f t="shared" si="2"/>
        <v>C250000</v>
      </c>
    </row>
    <row r="161" spans="1:7">
      <c r="A161" t="s">
        <v>13311</v>
      </c>
      <c r="B161" s="18" t="s">
        <v>5546</v>
      </c>
      <c r="C161" s="19">
        <v>12</v>
      </c>
      <c r="D161" s="31">
        <v>48754.67</v>
      </c>
      <c r="E161" t="str">
        <f>VLOOKUP(B161,'CC by Segment'!$D:$E,2,FALSE)</f>
        <v>Corporate</v>
      </c>
      <c r="G161" t="str">
        <f t="shared" si="2"/>
        <v>C250050</v>
      </c>
    </row>
    <row r="162" spans="1:7">
      <c r="A162" t="s">
        <v>13311</v>
      </c>
      <c r="B162" s="18" t="s">
        <v>5549</v>
      </c>
      <c r="C162" s="19">
        <v>12</v>
      </c>
      <c r="D162" s="31">
        <v>53479.56</v>
      </c>
      <c r="E162" t="str">
        <f>VLOOKUP(B162,'CC by Segment'!$D:$E,2,FALSE)</f>
        <v>Corporate</v>
      </c>
      <c r="G162" t="str">
        <f t="shared" si="2"/>
        <v>C250051</v>
      </c>
    </row>
    <row r="163" spans="1:7">
      <c r="A163" t="s">
        <v>13311</v>
      </c>
      <c r="B163" s="18" t="s">
        <v>6949</v>
      </c>
      <c r="C163" s="19">
        <v>5</v>
      </c>
      <c r="D163" s="31">
        <v>30261.19</v>
      </c>
      <c r="E163" t="str">
        <f>VLOOKUP(B163,'CC by Segment'!$D:$E,2,FALSE)</f>
        <v>Corporate</v>
      </c>
      <c r="G163" t="str">
        <f t="shared" si="2"/>
        <v>C250052</v>
      </c>
    </row>
    <row r="164" spans="1:7">
      <c r="A164" t="s">
        <v>13311</v>
      </c>
      <c r="B164" s="18" t="s">
        <v>7968</v>
      </c>
      <c r="C164" s="19">
        <v>8</v>
      </c>
      <c r="D164" s="31">
        <v>39109.81</v>
      </c>
      <c r="E164" t="str">
        <f>VLOOKUP(B164,'CC by Segment'!$D:$E,2,FALSE)</f>
        <v>Corporate</v>
      </c>
      <c r="G164" t="str">
        <f t="shared" si="2"/>
        <v>C250100</v>
      </c>
    </row>
    <row r="165" spans="1:7">
      <c r="A165" t="s">
        <v>13311</v>
      </c>
      <c r="B165" s="18" t="s">
        <v>8041</v>
      </c>
      <c r="C165" s="19">
        <v>5</v>
      </c>
      <c r="D165" s="31">
        <v>24707.72</v>
      </c>
      <c r="E165" t="str">
        <f>VLOOKUP(B165,'CC by Segment'!$D:$E,2,FALSE)</f>
        <v>Corporate</v>
      </c>
      <c r="G165" t="str">
        <f t="shared" si="2"/>
        <v>C250110</v>
      </c>
    </row>
    <row r="166" spans="1:7">
      <c r="A166" t="s">
        <v>13311</v>
      </c>
      <c r="B166" s="18" t="s">
        <v>5564</v>
      </c>
      <c r="C166" s="19">
        <v>11</v>
      </c>
      <c r="D166" s="31">
        <v>45341.22</v>
      </c>
      <c r="E166" t="str">
        <f>VLOOKUP(B166,'CC by Segment'!$D:$E,2,FALSE)</f>
        <v>Corporate</v>
      </c>
      <c r="G166" t="str">
        <f t="shared" si="2"/>
        <v>C250112</v>
      </c>
    </row>
    <row r="167" spans="1:7">
      <c r="A167" t="s">
        <v>13311</v>
      </c>
      <c r="B167" s="18" t="s">
        <v>5567</v>
      </c>
      <c r="C167" s="19">
        <v>1</v>
      </c>
      <c r="D167" s="31">
        <v>12580.04</v>
      </c>
      <c r="E167" t="str">
        <f>VLOOKUP(B167,'CC by Segment'!$D:$E,2,FALSE)</f>
        <v>Corporate</v>
      </c>
      <c r="G167" t="str">
        <f t="shared" si="2"/>
        <v>C250113</v>
      </c>
    </row>
    <row r="168" spans="1:7">
      <c r="A168" t="s">
        <v>13311</v>
      </c>
      <c r="B168" s="18" t="s">
        <v>5570</v>
      </c>
      <c r="C168" s="19">
        <v>8</v>
      </c>
      <c r="D168" s="31">
        <v>31388.35</v>
      </c>
      <c r="E168" t="str">
        <f>VLOOKUP(B168,'CC by Segment'!$D:$E,2,FALSE)</f>
        <v>Corporate</v>
      </c>
      <c r="G168" t="str">
        <f t="shared" si="2"/>
        <v>C250120</v>
      </c>
    </row>
    <row r="169" spans="1:7">
      <c r="A169" t="s">
        <v>13311</v>
      </c>
      <c r="B169" s="18" t="s">
        <v>5575</v>
      </c>
      <c r="C169" s="19">
        <v>18</v>
      </c>
      <c r="D169" s="31">
        <v>65709.81</v>
      </c>
      <c r="E169" t="str">
        <f>VLOOKUP(B169,'CC by Segment'!$D:$E,2,FALSE)</f>
        <v>Corporate</v>
      </c>
      <c r="G169" t="str">
        <f t="shared" si="2"/>
        <v>C250122</v>
      </c>
    </row>
    <row r="170" spans="1:7">
      <c r="A170" t="s">
        <v>13311</v>
      </c>
      <c r="B170" s="18" t="s">
        <v>5578</v>
      </c>
      <c r="C170" s="19">
        <v>19</v>
      </c>
      <c r="D170" s="31">
        <v>94680.87</v>
      </c>
      <c r="E170" t="str">
        <f>VLOOKUP(B170,'CC by Segment'!$D:$E,2,FALSE)</f>
        <v>Corporate</v>
      </c>
      <c r="G170" t="str">
        <f t="shared" si="2"/>
        <v>C250123</v>
      </c>
    </row>
    <row r="171" spans="1:7">
      <c r="A171" t="s">
        <v>13311</v>
      </c>
      <c r="B171" s="18" t="s">
        <v>5583</v>
      </c>
      <c r="C171" s="19">
        <v>10</v>
      </c>
      <c r="D171" s="31">
        <v>66307.649999999994</v>
      </c>
      <c r="E171" t="str">
        <f>VLOOKUP(B171,'CC by Segment'!$D:$E,2,FALSE)</f>
        <v>Corporate</v>
      </c>
      <c r="G171" t="str">
        <f t="shared" si="2"/>
        <v>C250210</v>
      </c>
    </row>
    <row r="172" spans="1:7">
      <c r="A172" t="s">
        <v>13311</v>
      </c>
      <c r="B172" s="18" t="s">
        <v>5604</v>
      </c>
      <c r="C172" s="19">
        <v>18</v>
      </c>
      <c r="D172" s="31">
        <v>102809.49</v>
      </c>
      <c r="E172" t="str">
        <f>VLOOKUP(B172,'CC by Segment'!$D:$E,2,FALSE)</f>
        <v>Corporate</v>
      </c>
      <c r="G172" t="str">
        <f t="shared" si="2"/>
        <v>C250251</v>
      </c>
    </row>
    <row r="173" spans="1:7">
      <c r="A173" t="s">
        <v>13311</v>
      </c>
      <c r="B173" s="18" t="s">
        <v>5609</v>
      </c>
      <c r="C173" s="19">
        <v>1</v>
      </c>
      <c r="D173" s="31">
        <v>4242.3100000000004</v>
      </c>
      <c r="E173" t="str">
        <f>VLOOKUP(B173,'CC by Segment'!$D:$E,2,FALSE)</f>
        <v>Corporate</v>
      </c>
      <c r="G173" t="str">
        <f t="shared" si="2"/>
        <v>C250260</v>
      </c>
    </row>
    <row r="174" spans="1:7">
      <c r="A174" t="s">
        <v>13311</v>
      </c>
      <c r="B174" s="18" t="s">
        <v>5618</v>
      </c>
      <c r="C174" s="19">
        <v>13</v>
      </c>
      <c r="D174" s="31">
        <v>84219.07</v>
      </c>
      <c r="E174" t="str">
        <f>VLOOKUP(B174,'CC by Segment'!$D:$E,2,FALSE)</f>
        <v>Corporate</v>
      </c>
      <c r="G174" t="str">
        <f t="shared" si="2"/>
        <v>C250400</v>
      </c>
    </row>
    <row r="175" spans="1:7">
      <c r="A175" t="s">
        <v>13311</v>
      </c>
      <c r="B175" s="18" t="s">
        <v>8140</v>
      </c>
      <c r="C175" s="19">
        <v>7</v>
      </c>
      <c r="D175" s="31">
        <v>52356.15</v>
      </c>
      <c r="E175" t="str">
        <f>VLOOKUP(B175,'CC by Segment'!$D:$E,2,FALSE)</f>
        <v>Corporate</v>
      </c>
      <c r="G175" t="str">
        <f t="shared" si="2"/>
        <v>C250401</v>
      </c>
    </row>
    <row r="176" spans="1:7">
      <c r="A176" t="s">
        <v>13311</v>
      </c>
      <c r="B176" s="18" t="s">
        <v>6121</v>
      </c>
      <c r="C176" s="19">
        <v>1</v>
      </c>
      <c r="D176" s="31">
        <v>10585.31</v>
      </c>
      <c r="E176" t="str">
        <f>VLOOKUP(B176,'CC by Segment'!$D:$E,2,FALSE)</f>
        <v>Corporate</v>
      </c>
      <c r="G176" t="str">
        <f t="shared" si="2"/>
        <v>C250510</v>
      </c>
    </row>
    <row r="177" spans="1:7">
      <c r="A177" t="s">
        <v>13311</v>
      </c>
      <c r="B177" s="18" t="s">
        <v>5627</v>
      </c>
      <c r="C177" s="19">
        <v>10</v>
      </c>
      <c r="D177" s="31">
        <v>48159.97</v>
      </c>
      <c r="E177" t="str">
        <f>VLOOKUP(B177,'CC by Segment'!$D:$E,2,FALSE)</f>
        <v>Corporate</v>
      </c>
      <c r="G177" t="str">
        <f t="shared" si="2"/>
        <v>C250520</v>
      </c>
    </row>
    <row r="178" spans="1:7">
      <c r="A178" t="s">
        <v>13311</v>
      </c>
      <c r="B178" s="18" t="s">
        <v>5630</v>
      </c>
      <c r="C178" s="19">
        <v>6</v>
      </c>
      <c r="D178" s="31">
        <v>28564.34</v>
      </c>
      <c r="E178" t="str">
        <f>VLOOKUP(B178,'CC by Segment'!$D:$E,2,FALSE)</f>
        <v>Corporate</v>
      </c>
      <c r="G178" t="str">
        <f t="shared" si="2"/>
        <v>C250521</v>
      </c>
    </row>
    <row r="179" spans="1:7">
      <c r="A179" t="s">
        <v>13311</v>
      </c>
      <c r="B179" s="18" t="s">
        <v>5633</v>
      </c>
      <c r="C179" s="19">
        <v>8</v>
      </c>
      <c r="D179" s="31">
        <v>37140.269999999997</v>
      </c>
      <c r="E179" t="str">
        <f>VLOOKUP(B179,'CC by Segment'!$D:$E,2,FALSE)</f>
        <v>Corporate</v>
      </c>
      <c r="G179" t="str">
        <f t="shared" si="2"/>
        <v>C250522</v>
      </c>
    </row>
    <row r="180" spans="1:7">
      <c r="A180" t="s">
        <v>13311</v>
      </c>
      <c r="B180" s="18" t="s">
        <v>5636</v>
      </c>
      <c r="C180" s="19">
        <v>11</v>
      </c>
      <c r="D180" s="31">
        <v>67515.97</v>
      </c>
      <c r="E180" t="str">
        <f>VLOOKUP(B180,'CC by Segment'!$D:$E,2,FALSE)</f>
        <v>Corporate</v>
      </c>
      <c r="G180" t="str">
        <f t="shared" si="2"/>
        <v>C250523</v>
      </c>
    </row>
    <row r="181" spans="1:7">
      <c r="A181" t="s">
        <v>13311</v>
      </c>
      <c r="B181" s="18" t="s">
        <v>5639</v>
      </c>
      <c r="C181" s="19">
        <v>12</v>
      </c>
      <c r="D181" s="31">
        <v>54685.93</v>
      </c>
      <c r="E181" t="str">
        <f>VLOOKUP(B181,'CC by Segment'!$D:$E,2,FALSE)</f>
        <v>Corporate</v>
      </c>
      <c r="G181" t="str">
        <f t="shared" si="2"/>
        <v>C250530</v>
      </c>
    </row>
    <row r="182" spans="1:7">
      <c r="A182" t="s">
        <v>13311</v>
      </c>
      <c r="B182" s="18" t="s">
        <v>5049</v>
      </c>
      <c r="C182" s="19">
        <v>10</v>
      </c>
      <c r="D182" s="31">
        <v>50220.7</v>
      </c>
      <c r="E182" t="str">
        <f>VLOOKUP(B182,'CC by Segment'!$D:$E,2,FALSE)</f>
        <v>Corporate</v>
      </c>
      <c r="G182" t="str">
        <f t="shared" si="2"/>
        <v>C250531</v>
      </c>
    </row>
    <row r="183" spans="1:7">
      <c r="A183" t="s">
        <v>13311</v>
      </c>
      <c r="B183" s="18" t="s">
        <v>7822</v>
      </c>
      <c r="C183" s="19">
        <v>3</v>
      </c>
      <c r="D183" s="31">
        <v>11946.15</v>
      </c>
      <c r="E183" t="str">
        <f>VLOOKUP(B183,'CC by Segment'!$D:$E,2,FALSE)</f>
        <v>Corporate</v>
      </c>
      <c r="G183" t="str">
        <f t="shared" si="2"/>
        <v>C250533</v>
      </c>
    </row>
    <row r="184" spans="1:7">
      <c r="A184" t="s">
        <v>13311</v>
      </c>
      <c r="B184" s="18" t="s">
        <v>5656</v>
      </c>
      <c r="C184" s="19">
        <v>8</v>
      </c>
      <c r="D184" s="31">
        <v>39054.120000000003</v>
      </c>
      <c r="E184" t="str">
        <f>VLOOKUP(B184,'CC by Segment'!$D:$E,2,FALSE)</f>
        <v>Corporate</v>
      </c>
      <c r="G184" t="str">
        <f t="shared" si="2"/>
        <v>C250551</v>
      </c>
    </row>
    <row r="185" spans="1:7">
      <c r="A185" t="s">
        <v>13311</v>
      </c>
      <c r="B185" s="18" t="s">
        <v>5659</v>
      </c>
      <c r="C185" s="19">
        <v>6</v>
      </c>
      <c r="D185" s="31">
        <v>29492.5</v>
      </c>
      <c r="E185" t="str">
        <f>VLOOKUP(B185,'CC by Segment'!$D:$E,2,FALSE)</f>
        <v>Corporate</v>
      </c>
      <c r="G185" t="str">
        <f t="shared" si="2"/>
        <v>C250560</v>
      </c>
    </row>
    <row r="186" spans="1:7">
      <c r="A186" t="s">
        <v>13311</v>
      </c>
      <c r="B186" s="18" t="s">
        <v>5662</v>
      </c>
      <c r="C186" s="19">
        <v>8</v>
      </c>
      <c r="D186" s="31">
        <v>39382.949999999997</v>
      </c>
      <c r="E186" t="str">
        <f>VLOOKUP(B186,'CC by Segment'!$D:$E,2,FALSE)</f>
        <v>Corporate</v>
      </c>
      <c r="G186" t="str">
        <f t="shared" si="2"/>
        <v>C250570</v>
      </c>
    </row>
    <row r="187" spans="1:7">
      <c r="A187" t="s">
        <v>13311</v>
      </c>
      <c r="B187" s="18" t="s">
        <v>7936</v>
      </c>
      <c r="C187" s="19">
        <v>5</v>
      </c>
      <c r="D187" s="31">
        <v>24583.49</v>
      </c>
      <c r="E187" t="str">
        <f>VLOOKUP(B187,'CC by Segment'!$D:$E,2,FALSE)</f>
        <v>Corporate</v>
      </c>
      <c r="G187" t="str">
        <f t="shared" si="2"/>
        <v>C250581</v>
      </c>
    </row>
    <row r="188" spans="1:7">
      <c r="A188" t="s">
        <v>13311</v>
      </c>
      <c r="B188" s="18" t="s">
        <v>5675</v>
      </c>
      <c r="C188" s="19">
        <v>13</v>
      </c>
      <c r="D188" s="31">
        <v>74356.97</v>
      </c>
      <c r="E188" t="str">
        <f>VLOOKUP(B188,'CC by Segment'!$D:$E,2,FALSE)</f>
        <v>Corporate</v>
      </c>
      <c r="G188" t="str">
        <f t="shared" si="2"/>
        <v>C250601</v>
      </c>
    </row>
    <row r="189" spans="1:7">
      <c r="A189" t="s">
        <v>13311</v>
      </c>
      <c r="B189" s="18" t="s">
        <v>5687</v>
      </c>
      <c r="C189" s="19">
        <v>4</v>
      </c>
      <c r="D189" s="31">
        <v>21143.73</v>
      </c>
      <c r="E189" t="str">
        <f>VLOOKUP(B189,'CC by Segment'!$D:$E,2,FALSE)</f>
        <v>Corporate</v>
      </c>
      <c r="G189" t="str">
        <f t="shared" si="2"/>
        <v>C250622</v>
      </c>
    </row>
    <row r="190" spans="1:7">
      <c r="A190" t="s">
        <v>13311</v>
      </c>
      <c r="B190" s="18" t="s">
        <v>18179</v>
      </c>
      <c r="C190" s="19">
        <v>4</v>
      </c>
      <c r="D190" s="31">
        <v>20843.849999999999</v>
      </c>
      <c r="E190" t="str">
        <f>VLOOKUP(B190,'CC by Segment'!$D:$E,2,FALSE)</f>
        <v>Corporate</v>
      </c>
      <c r="G190" t="str">
        <f t="shared" si="2"/>
        <v>C250631</v>
      </c>
    </row>
    <row r="191" spans="1:7">
      <c r="A191" t="s">
        <v>13311</v>
      </c>
      <c r="B191" s="18" t="s">
        <v>5706</v>
      </c>
      <c r="C191" s="19">
        <v>17</v>
      </c>
      <c r="D191" s="31">
        <v>56065.68</v>
      </c>
      <c r="E191" t="str">
        <f>VLOOKUP(B191,'CC by Segment'!$D:$E,2,FALSE)</f>
        <v>Corporate</v>
      </c>
      <c r="G191" t="str">
        <f t="shared" si="2"/>
        <v>C251000</v>
      </c>
    </row>
    <row r="192" spans="1:7">
      <c r="A192" t="s">
        <v>13311</v>
      </c>
      <c r="B192" s="18" t="s">
        <v>5712</v>
      </c>
      <c r="C192" s="19">
        <v>21</v>
      </c>
      <c r="D192" s="31">
        <v>101908.3</v>
      </c>
      <c r="E192" t="str">
        <f>VLOOKUP(B192,'CC by Segment'!$D:$E,2,FALSE)</f>
        <v>Corporate</v>
      </c>
      <c r="G192" t="str">
        <f t="shared" si="2"/>
        <v>C251002</v>
      </c>
    </row>
    <row r="193" spans="1:7">
      <c r="A193" t="s">
        <v>13311</v>
      </c>
      <c r="B193" s="18" t="s">
        <v>5094</v>
      </c>
      <c r="C193" s="19">
        <v>7</v>
      </c>
      <c r="D193" s="31">
        <v>38384.800000000003</v>
      </c>
      <c r="E193" t="str">
        <f>VLOOKUP(B193,'CC by Segment'!$D:$E,2,FALSE)</f>
        <v>Corporate</v>
      </c>
      <c r="G193" t="str">
        <f t="shared" si="2"/>
        <v>C251003</v>
      </c>
    </row>
    <row r="194" spans="1:7">
      <c r="A194" t="s">
        <v>13311</v>
      </c>
      <c r="B194" s="18" t="s">
        <v>5717</v>
      </c>
      <c r="C194" s="19">
        <v>3</v>
      </c>
      <c r="D194" s="31">
        <v>16524.419999999998</v>
      </c>
      <c r="E194" t="str">
        <f>VLOOKUP(B194,'CC by Segment'!$D:$E,2,FALSE)</f>
        <v>Corporate</v>
      </c>
      <c r="G194" t="str">
        <f t="shared" si="2"/>
        <v>C251006</v>
      </c>
    </row>
    <row r="195" spans="1:7">
      <c r="A195" t="s">
        <v>13311</v>
      </c>
      <c r="B195" s="18" t="s">
        <v>6937</v>
      </c>
      <c r="C195" s="19">
        <v>8</v>
      </c>
      <c r="D195" s="31">
        <v>44345</v>
      </c>
      <c r="E195" t="str">
        <f>VLOOKUP(B195,'CC by Segment'!$D:$E,2,FALSE)</f>
        <v>Corporate</v>
      </c>
      <c r="G195" t="str">
        <f t="shared" si="2"/>
        <v>C251007</v>
      </c>
    </row>
    <row r="196" spans="1:7">
      <c r="A196" t="s">
        <v>13311</v>
      </c>
      <c r="B196" s="18" t="s">
        <v>6898</v>
      </c>
      <c r="C196" s="19">
        <v>13</v>
      </c>
      <c r="D196" s="31">
        <v>61652.39</v>
      </c>
      <c r="E196" t="str">
        <f>VLOOKUP(B196,'CC by Segment'!$D:$E,2,FALSE)</f>
        <v>Corporate</v>
      </c>
      <c r="G196" t="str">
        <f t="shared" si="2"/>
        <v>C251008</v>
      </c>
    </row>
    <row r="197" spans="1:7">
      <c r="A197" t="s">
        <v>13311</v>
      </c>
      <c r="B197" s="18" t="s">
        <v>5726</v>
      </c>
      <c r="C197" s="19">
        <v>4</v>
      </c>
      <c r="D197" s="31">
        <v>25028.81</v>
      </c>
      <c r="E197" t="str">
        <f>VLOOKUP(B197,'CC by Segment'!$D:$E,2,FALSE)</f>
        <v>Corporate</v>
      </c>
      <c r="G197" t="str">
        <f t="shared" ref="G197:G260" si="3">TRIM(B197)</f>
        <v>C251009</v>
      </c>
    </row>
    <row r="198" spans="1:7">
      <c r="A198" t="s">
        <v>13311</v>
      </c>
      <c r="B198" s="18" t="s">
        <v>6904</v>
      </c>
      <c r="C198" s="19">
        <v>10</v>
      </c>
      <c r="D198" s="31">
        <v>48712.27</v>
      </c>
      <c r="E198" t="str">
        <f>VLOOKUP(B198,'CC by Segment'!$D:$E,2,FALSE)</f>
        <v>Corporate</v>
      </c>
      <c r="G198" t="str">
        <f t="shared" si="3"/>
        <v>C251011</v>
      </c>
    </row>
    <row r="199" spans="1:7">
      <c r="A199" t="s">
        <v>13311</v>
      </c>
      <c r="B199" s="18" t="s">
        <v>6907</v>
      </c>
      <c r="C199" s="19">
        <v>2</v>
      </c>
      <c r="D199" s="31">
        <v>11804.12</v>
      </c>
      <c r="E199" t="str">
        <f>VLOOKUP(B199,'CC by Segment'!$D:$E,2,FALSE)</f>
        <v>Corporate</v>
      </c>
      <c r="G199" t="str">
        <f t="shared" si="3"/>
        <v>C251012</v>
      </c>
    </row>
    <row r="200" spans="1:7">
      <c r="A200" t="s">
        <v>13311</v>
      </c>
      <c r="B200" s="18" t="s">
        <v>5740</v>
      </c>
      <c r="C200" s="19">
        <v>3</v>
      </c>
      <c r="D200" s="31">
        <v>12773.66</v>
      </c>
      <c r="E200" t="str">
        <f>VLOOKUP(B200,'CC by Segment'!$D:$E,2,FALSE)</f>
        <v>Corporate</v>
      </c>
      <c r="G200" t="str">
        <f t="shared" si="3"/>
        <v>C251014</v>
      </c>
    </row>
    <row r="201" spans="1:7">
      <c r="A201" t="s">
        <v>13311</v>
      </c>
      <c r="B201" s="18" t="s">
        <v>5745</v>
      </c>
      <c r="C201" s="19">
        <v>1</v>
      </c>
      <c r="D201" s="31">
        <v>5096.42</v>
      </c>
      <c r="E201" t="str">
        <f>VLOOKUP(B201,'CC by Segment'!$D:$E,2,FALSE)</f>
        <v>Corporate</v>
      </c>
      <c r="G201" t="str">
        <f t="shared" si="3"/>
        <v>C251016</v>
      </c>
    </row>
    <row r="202" spans="1:7">
      <c r="A202" t="s">
        <v>13311</v>
      </c>
      <c r="B202" s="18" t="s">
        <v>5757</v>
      </c>
      <c r="C202" s="19">
        <v>3</v>
      </c>
      <c r="D202" s="31">
        <v>14524.77</v>
      </c>
      <c r="E202" t="str">
        <f>VLOOKUP(B202,'CC by Segment'!$D:$E,2,FALSE)</f>
        <v>Corporate</v>
      </c>
      <c r="G202" t="str">
        <f t="shared" si="3"/>
        <v>C251070</v>
      </c>
    </row>
    <row r="203" spans="1:7">
      <c r="A203" t="s">
        <v>13311</v>
      </c>
      <c r="B203" s="18" t="s">
        <v>5764</v>
      </c>
      <c r="C203" s="19">
        <v>10</v>
      </c>
      <c r="D203" s="31">
        <v>50167.1</v>
      </c>
      <c r="E203" t="str">
        <f>VLOOKUP(B203,'CC by Segment'!$D:$E,2,FALSE)</f>
        <v>Corporate</v>
      </c>
      <c r="G203" t="str">
        <f t="shared" si="3"/>
        <v>C251080</v>
      </c>
    </row>
    <row r="204" spans="1:7">
      <c r="A204" t="s">
        <v>13311</v>
      </c>
      <c r="B204" s="18" t="s">
        <v>5770</v>
      </c>
      <c r="C204" s="19">
        <v>3</v>
      </c>
      <c r="D204" s="31">
        <v>12800.88</v>
      </c>
      <c r="E204" t="str">
        <f>VLOOKUP(B204,'CC by Segment'!$D:$E,2,FALSE)</f>
        <v>Corporate</v>
      </c>
      <c r="G204" t="str">
        <f t="shared" si="3"/>
        <v>C251091</v>
      </c>
    </row>
    <row r="205" spans="1:7">
      <c r="A205" t="s">
        <v>13311</v>
      </c>
      <c r="B205" s="18" t="s">
        <v>5788</v>
      </c>
      <c r="C205" s="19">
        <v>4</v>
      </c>
      <c r="D205" s="31">
        <v>18276.009999999998</v>
      </c>
      <c r="E205" t="str">
        <f>VLOOKUP(B205,'CC by Segment'!$D:$E,2,FALSE)</f>
        <v>Corporate</v>
      </c>
      <c r="G205" t="str">
        <f t="shared" si="3"/>
        <v>C251300</v>
      </c>
    </row>
    <row r="206" spans="1:7">
      <c r="A206" t="s">
        <v>13311</v>
      </c>
      <c r="B206" s="18" t="s">
        <v>5091</v>
      </c>
      <c r="C206" s="19">
        <v>4</v>
      </c>
      <c r="D206" s="31">
        <v>13459</v>
      </c>
      <c r="E206" t="str">
        <f>VLOOKUP(B206,'CC by Segment'!$D:$E,2,FALSE)</f>
        <v>Corporate</v>
      </c>
      <c r="G206" t="str">
        <f t="shared" si="3"/>
        <v>C251306</v>
      </c>
    </row>
    <row r="207" spans="1:7">
      <c r="A207" t="s">
        <v>13311</v>
      </c>
      <c r="B207" s="18" t="s">
        <v>5805</v>
      </c>
      <c r="C207" s="19">
        <v>14</v>
      </c>
      <c r="D207" s="31">
        <v>33055.06</v>
      </c>
      <c r="E207" t="str">
        <f>VLOOKUP(B207,'CC by Segment'!$D:$E,2,FALSE)</f>
        <v>Corporate</v>
      </c>
      <c r="G207" t="str">
        <f t="shared" si="3"/>
        <v>C251307</v>
      </c>
    </row>
    <row r="208" spans="1:7">
      <c r="A208" t="s">
        <v>13311</v>
      </c>
      <c r="B208" s="18" t="s">
        <v>5808</v>
      </c>
      <c r="C208" s="19">
        <v>19</v>
      </c>
      <c r="D208" s="31">
        <v>76526.98</v>
      </c>
      <c r="E208" t="str">
        <f>VLOOKUP(B208,'CC by Segment'!$D:$E,2,FALSE)</f>
        <v>Corporate</v>
      </c>
      <c r="G208" t="str">
        <f t="shared" si="3"/>
        <v>C251308</v>
      </c>
    </row>
    <row r="209" spans="1:7">
      <c r="A209" t="s">
        <v>13311</v>
      </c>
      <c r="B209" s="18" t="s">
        <v>5811</v>
      </c>
      <c r="C209" s="19">
        <v>17</v>
      </c>
      <c r="D209" s="31">
        <v>79466.06</v>
      </c>
      <c r="E209" t="str">
        <f>VLOOKUP(B209,'CC by Segment'!$D:$E,2,FALSE)</f>
        <v>Corporate</v>
      </c>
      <c r="G209" t="str">
        <f t="shared" si="3"/>
        <v>C251309</v>
      </c>
    </row>
    <row r="210" spans="1:7">
      <c r="A210" t="s">
        <v>13311</v>
      </c>
      <c r="B210" s="18" t="s">
        <v>5814</v>
      </c>
      <c r="C210" s="19">
        <v>6</v>
      </c>
      <c r="D210" s="31">
        <v>26601.61</v>
      </c>
      <c r="E210" t="str">
        <f>VLOOKUP(B210,'CC by Segment'!$D:$E,2,FALSE)</f>
        <v>Corporate</v>
      </c>
      <c r="G210" t="str">
        <f t="shared" si="3"/>
        <v>C251310</v>
      </c>
    </row>
    <row r="211" spans="1:7">
      <c r="A211" t="s">
        <v>13311</v>
      </c>
      <c r="B211" s="18" t="s">
        <v>7880</v>
      </c>
      <c r="C211" s="19">
        <v>82</v>
      </c>
      <c r="D211" s="31">
        <v>430925.88</v>
      </c>
      <c r="E211" t="str">
        <f>VLOOKUP(B211,'CC by Segment'!$D:$E,2,FALSE)</f>
        <v>Corporate</v>
      </c>
      <c r="G211" t="str">
        <f t="shared" si="3"/>
        <v>C251314</v>
      </c>
    </row>
    <row r="212" spans="1:7">
      <c r="A212" t="s">
        <v>13311</v>
      </c>
      <c r="B212" s="18" t="s">
        <v>5122</v>
      </c>
      <c r="C212" s="19">
        <v>5</v>
      </c>
      <c r="D212" s="31">
        <v>22031.87</v>
      </c>
      <c r="E212" t="str">
        <f>VLOOKUP(B212,'CC by Segment'!$D:$E,2,FALSE)</f>
        <v>Corporate</v>
      </c>
      <c r="G212" t="str">
        <f t="shared" si="3"/>
        <v>C251318</v>
      </c>
    </row>
    <row r="213" spans="1:7">
      <c r="A213" t="s">
        <v>13311</v>
      </c>
      <c r="B213" s="18" t="s">
        <v>5352</v>
      </c>
      <c r="C213" s="19">
        <v>13</v>
      </c>
      <c r="D213" s="31">
        <v>57604.35</v>
      </c>
      <c r="E213" t="str">
        <f>VLOOKUP(B213,'CC by Segment'!$D:$E,2,FALSE)</f>
        <v>Corporate</v>
      </c>
      <c r="G213" t="str">
        <f t="shared" si="3"/>
        <v>C251321</v>
      </c>
    </row>
    <row r="214" spans="1:7">
      <c r="A214" t="s">
        <v>13311</v>
      </c>
      <c r="B214" s="18" t="s">
        <v>5363</v>
      </c>
      <c r="C214" s="19">
        <v>2</v>
      </c>
      <c r="D214" s="31">
        <v>2398.4</v>
      </c>
      <c r="E214" t="str">
        <f>VLOOKUP(B214,'CC by Segment'!$D:$E,2,FALSE)</f>
        <v>Corporate</v>
      </c>
      <c r="G214" t="str">
        <f t="shared" si="3"/>
        <v>C251322</v>
      </c>
    </row>
    <row r="215" spans="1:7">
      <c r="A215" t="s">
        <v>13311</v>
      </c>
      <c r="B215" s="18" t="s">
        <v>5842</v>
      </c>
      <c r="C215" s="19">
        <v>11</v>
      </c>
      <c r="D215" s="31">
        <v>40174.57</v>
      </c>
      <c r="E215" t="str">
        <f>VLOOKUP(B215,'CC by Segment'!$D:$E,2,FALSE)</f>
        <v>Corporate</v>
      </c>
      <c r="G215" t="str">
        <f t="shared" si="3"/>
        <v>C251323</v>
      </c>
    </row>
    <row r="216" spans="1:7">
      <c r="A216" t="s">
        <v>13311</v>
      </c>
      <c r="B216" s="18" t="s">
        <v>5856</v>
      </c>
      <c r="C216" s="19">
        <v>41</v>
      </c>
      <c r="D216" s="31">
        <v>169503.86</v>
      </c>
      <c r="E216" t="str">
        <f>VLOOKUP(B216,'CC by Segment'!$D:$E,2,FALSE)</f>
        <v>Corporate</v>
      </c>
      <c r="G216" t="str">
        <f t="shared" si="3"/>
        <v>C251329</v>
      </c>
    </row>
    <row r="217" spans="1:7">
      <c r="A217" t="s">
        <v>13311</v>
      </c>
      <c r="B217" s="18" t="s">
        <v>7941</v>
      </c>
      <c r="C217" s="19">
        <v>2</v>
      </c>
      <c r="D217" s="31">
        <v>8450.15</v>
      </c>
      <c r="E217" t="str">
        <f>VLOOKUP(B217,'CC by Segment'!$D:$E,2,FALSE)</f>
        <v>Corporate</v>
      </c>
      <c r="G217" t="str">
        <f t="shared" si="3"/>
        <v>C251333</v>
      </c>
    </row>
    <row r="218" spans="1:7">
      <c r="A218" t="s">
        <v>13311</v>
      </c>
      <c r="B218" s="18" t="s">
        <v>5877</v>
      </c>
      <c r="C218" s="19">
        <v>5</v>
      </c>
      <c r="D218" s="31">
        <v>36768.76</v>
      </c>
      <c r="E218" t="str">
        <f>VLOOKUP(B218,'CC by Segment'!$D:$E,2,FALSE)</f>
        <v>Corporate</v>
      </c>
      <c r="G218" t="str">
        <f t="shared" si="3"/>
        <v>C251337</v>
      </c>
    </row>
    <row r="219" spans="1:7">
      <c r="A219" t="s">
        <v>13311</v>
      </c>
      <c r="B219" s="18" t="s">
        <v>7946</v>
      </c>
      <c r="C219" s="19">
        <v>10</v>
      </c>
      <c r="D219" s="31">
        <v>40453.4</v>
      </c>
      <c r="E219" t="str">
        <f>VLOOKUP(B219,'CC by Segment'!$D:$E,2,FALSE)</f>
        <v>Corporate</v>
      </c>
      <c r="G219" t="str">
        <f t="shared" si="3"/>
        <v>C251338</v>
      </c>
    </row>
    <row r="220" spans="1:7">
      <c r="A220" t="s">
        <v>13311</v>
      </c>
      <c r="B220" s="18" t="s">
        <v>5886</v>
      </c>
      <c r="C220" s="19">
        <v>10</v>
      </c>
      <c r="D220" s="31">
        <v>50144.76</v>
      </c>
      <c r="E220" t="str">
        <f>VLOOKUP(B220,'CC by Segment'!$D:$E,2,FALSE)</f>
        <v>Corporate</v>
      </c>
      <c r="G220" t="str">
        <f t="shared" si="3"/>
        <v>C251340</v>
      </c>
    </row>
    <row r="221" spans="1:7">
      <c r="A221" t="s">
        <v>13311</v>
      </c>
      <c r="B221" s="18" t="s">
        <v>5889</v>
      </c>
      <c r="C221" s="19">
        <v>6</v>
      </c>
      <c r="D221" s="31">
        <v>26135.38</v>
      </c>
      <c r="E221" t="str">
        <f>VLOOKUP(B221,'CC by Segment'!$D:$E,2,FALSE)</f>
        <v>Corporate</v>
      </c>
      <c r="G221" t="str">
        <f t="shared" si="3"/>
        <v>C251341</v>
      </c>
    </row>
    <row r="222" spans="1:7">
      <c r="A222" t="s">
        <v>13311</v>
      </c>
      <c r="B222" s="18" t="s">
        <v>5897</v>
      </c>
      <c r="C222" s="19">
        <v>2</v>
      </c>
      <c r="D222" s="31">
        <v>24312.62</v>
      </c>
      <c r="E222" t="str">
        <f>VLOOKUP(B222,'CC by Segment'!$D:$E,2,FALSE)</f>
        <v>Corporate</v>
      </c>
      <c r="G222" t="str">
        <f t="shared" si="3"/>
        <v>C251344</v>
      </c>
    </row>
    <row r="223" spans="1:7">
      <c r="A223" t="s">
        <v>13311</v>
      </c>
      <c r="B223" s="18" t="s">
        <v>5900</v>
      </c>
      <c r="C223" s="19">
        <v>4</v>
      </c>
      <c r="D223" s="31">
        <v>30568.61</v>
      </c>
      <c r="E223" t="str">
        <f>VLOOKUP(B223,'CC by Segment'!$D:$E,2,FALSE)</f>
        <v>Corporate</v>
      </c>
      <c r="G223" t="str">
        <f t="shared" si="3"/>
        <v>C251345</v>
      </c>
    </row>
    <row r="224" spans="1:7">
      <c r="A224" t="s">
        <v>13311</v>
      </c>
      <c r="B224" s="18" t="s">
        <v>5903</v>
      </c>
      <c r="C224" s="19">
        <v>4</v>
      </c>
      <c r="D224" s="31">
        <v>9260.41</v>
      </c>
      <c r="E224" t="str">
        <f>VLOOKUP(B224,'CC by Segment'!$D:$E,2,FALSE)</f>
        <v>Corporate</v>
      </c>
      <c r="G224" t="str">
        <f t="shared" si="3"/>
        <v>C251346</v>
      </c>
    </row>
    <row r="225" spans="1:7">
      <c r="A225" t="s">
        <v>13311</v>
      </c>
      <c r="B225" s="18" t="s">
        <v>5908</v>
      </c>
      <c r="C225" s="19">
        <v>1</v>
      </c>
      <c r="D225" s="31">
        <v>2429.94</v>
      </c>
      <c r="E225" t="str">
        <f>VLOOKUP(B225,'CC by Segment'!$D:$E,2,FALSE)</f>
        <v>Corporate</v>
      </c>
      <c r="G225" t="str">
        <f t="shared" si="3"/>
        <v>C251347</v>
      </c>
    </row>
    <row r="226" spans="1:7">
      <c r="A226" t="s">
        <v>13311</v>
      </c>
      <c r="B226" s="18" t="s">
        <v>5482</v>
      </c>
      <c r="C226" s="19">
        <v>6</v>
      </c>
      <c r="D226" s="31">
        <v>17629.919999999998</v>
      </c>
      <c r="E226" t="str">
        <f>VLOOKUP(B226,'CC by Segment'!$D:$E,2,FALSE)</f>
        <v>Corporate</v>
      </c>
      <c r="G226" t="str">
        <f t="shared" si="3"/>
        <v>C251349</v>
      </c>
    </row>
    <row r="227" spans="1:7">
      <c r="A227" t="s">
        <v>13311</v>
      </c>
      <c r="B227" s="18" t="s">
        <v>5489</v>
      </c>
      <c r="C227" s="19">
        <v>2</v>
      </c>
      <c r="D227" s="31">
        <v>4931.21</v>
      </c>
      <c r="E227" t="str">
        <f>VLOOKUP(B227,'CC by Segment'!$D:$E,2,FALSE)</f>
        <v>Corporate</v>
      </c>
      <c r="G227" t="str">
        <f t="shared" si="3"/>
        <v>C251350</v>
      </c>
    </row>
    <row r="228" spans="1:7">
      <c r="A228" t="s">
        <v>13311</v>
      </c>
      <c r="B228" s="18" t="s">
        <v>5914</v>
      </c>
      <c r="C228" s="19">
        <v>5</v>
      </c>
      <c r="D228" s="31">
        <v>14487.3</v>
      </c>
      <c r="E228" t="str">
        <f>VLOOKUP(B228,'CC by Segment'!$D:$E,2,FALSE)</f>
        <v>Corporate</v>
      </c>
      <c r="G228" t="str">
        <f t="shared" si="3"/>
        <v>C251351</v>
      </c>
    </row>
    <row r="229" spans="1:7">
      <c r="A229" t="s">
        <v>13311</v>
      </c>
      <c r="B229" s="18" t="s">
        <v>3930</v>
      </c>
      <c r="C229" s="19">
        <v>5</v>
      </c>
      <c r="D229" s="31">
        <v>16907.849999999999</v>
      </c>
      <c r="E229" t="str">
        <f>VLOOKUP(B229,'CC by Segment'!$D:$E,2,FALSE)</f>
        <v>Corporate</v>
      </c>
      <c r="G229" t="str">
        <f t="shared" si="3"/>
        <v>C251353</v>
      </c>
    </row>
    <row r="230" spans="1:7">
      <c r="A230" t="s">
        <v>13311</v>
      </c>
      <c r="B230" s="18" t="s">
        <v>8012</v>
      </c>
      <c r="C230" s="19">
        <v>3</v>
      </c>
      <c r="D230" s="31">
        <v>9260.73</v>
      </c>
      <c r="E230" t="str">
        <f>VLOOKUP(B230,'CC by Segment'!$D:$E,2,FALSE)</f>
        <v>Corporate</v>
      </c>
      <c r="G230" t="str">
        <f t="shared" si="3"/>
        <v>C251362</v>
      </c>
    </row>
    <row r="231" spans="1:7">
      <c r="A231" t="s">
        <v>13311</v>
      </c>
      <c r="B231" s="18" t="s">
        <v>11590</v>
      </c>
      <c r="C231" s="19">
        <v>2</v>
      </c>
      <c r="D231" s="31">
        <v>11622.69</v>
      </c>
      <c r="E231" t="str">
        <f>VLOOKUP(B231,'CC by Segment'!$D:$E,2,FALSE)</f>
        <v>Corporate</v>
      </c>
      <c r="G231" t="str">
        <f t="shared" si="3"/>
        <v>C251365</v>
      </c>
    </row>
    <row r="232" spans="1:7">
      <c r="A232" t="s">
        <v>13311</v>
      </c>
      <c r="B232" s="18" t="s">
        <v>6055</v>
      </c>
      <c r="C232" s="19">
        <v>5</v>
      </c>
      <c r="D232" s="31">
        <v>55903.88</v>
      </c>
      <c r="E232" t="str">
        <f>VLOOKUP(B232,'CC by Segment'!$D:$E,2,FALSE)</f>
        <v>Corporate</v>
      </c>
      <c r="G232" t="str">
        <f t="shared" si="3"/>
        <v>C252000</v>
      </c>
    </row>
    <row r="233" spans="1:7">
      <c r="A233" t="s">
        <v>13311</v>
      </c>
      <c r="B233" s="18" t="s">
        <v>7492</v>
      </c>
      <c r="C233" s="19">
        <v>4</v>
      </c>
      <c r="D233" s="31">
        <v>24261.09</v>
      </c>
      <c r="E233" t="str">
        <f>VLOOKUP(B233,'CC by Segment'!$D:$E,2,FALSE)</f>
        <v>Corporate</v>
      </c>
      <c r="G233" t="str">
        <f t="shared" si="3"/>
        <v>C252002</v>
      </c>
    </row>
    <row r="234" spans="1:7">
      <c r="A234" t="s">
        <v>13311</v>
      </c>
      <c r="B234" s="18" t="s">
        <v>6065</v>
      </c>
      <c r="C234" s="19">
        <v>2</v>
      </c>
      <c r="D234" s="31">
        <v>9735.1200000000008</v>
      </c>
      <c r="E234" t="str">
        <f>VLOOKUP(B234,'CC by Segment'!$D:$E,2,FALSE)</f>
        <v>Corporate</v>
      </c>
      <c r="G234" t="str">
        <f t="shared" si="3"/>
        <v>C252004</v>
      </c>
    </row>
    <row r="235" spans="1:7">
      <c r="A235" t="s">
        <v>13311</v>
      </c>
      <c r="B235" s="18" t="s">
        <v>7557</v>
      </c>
      <c r="C235" s="19">
        <v>3</v>
      </c>
      <c r="D235" s="31">
        <v>17930.810000000001</v>
      </c>
      <c r="E235" t="str">
        <f>VLOOKUP(B235,'CC by Segment'!$D:$E,2,FALSE)</f>
        <v>Corporate</v>
      </c>
      <c r="G235" t="str">
        <f t="shared" si="3"/>
        <v>C252010</v>
      </c>
    </row>
    <row r="236" spans="1:7">
      <c r="A236" t="s">
        <v>13311</v>
      </c>
      <c r="B236" s="18" t="s">
        <v>6080</v>
      </c>
      <c r="C236" s="19">
        <v>11</v>
      </c>
      <c r="D236" s="31">
        <v>57358.77</v>
      </c>
      <c r="E236" t="str">
        <f>VLOOKUP(B236,'CC by Segment'!$D:$E,2,FALSE)</f>
        <v>Corporate</v>
      </c>
      <c r="G236" t="str">
        <f t="shared" si="3"/>
        <v>C252030</v>
      </c>
    </row>
    <row r="237" spans="1:7">
      <c r="A237" t="s">
        <v>13311</v>
      </c>
      <c r="B237" s="18" t="s">
        <v>6083</v>
      </c>
      <c r="C237" s="19">
        <v>2</v>
      </c>
      <c r="D237" s="31">
        <v>6661.68</v>
      </c>
      <c r="E237" t="str">
        <f>VLOOKUP(B237,'CC by Segment'!$D:$E,2,FALSE)</f>
        <v>Corporate</v>
      </c>
      <c r="G237" t="str">
        <f t="shared" si="3"/>
        <v>C252031</v>
      </c>
    </row>
    <row r="238" spans="1:7">
      <c r="A238" t="s">
        <v>13311</v>
      </c>
      <c r="B238" s="18" t="s">
        <v>6086</v>
      </c>
      <c r="C238" s="19">
        <v>9</v>
      </c>
      <c r="D238" s="31">
        <v>57984.72</v>
      </c>
      <c r="E238" t="str">
        <f>VLOOKUP(B238,'CC by Segment'!$D:$E,2,FALSE)</f>
        <v>Corporate</v>
      </c>
      <c r="G238" t="str">
        <f t="shared" si="3"/>
        <v>C252032</v>
      </c>
    </row>
    <row r="239" spans="1:7">
      <c r="A239" t="s">
        <v>13311</v>
      </c>
      <c r="B239" s="18" t="s">
        <v>7586</v>
      </c>
      <c r="C239" s="19">
        <v>13</v>
      </c>
      <c r="D239" s="31">
        <v>64366.71</v>
      </c>
      <c r="E239" t="str">
        <f>VLOOKUP(B239,'CC by Segment'!$D:$E,2,FALSE)</f>
        <v>Corporate</v>
      </c>
      <c r="G239" t="str">
        <f t="shared" si="3"/>
        <v>C252040</v>
      </c>
    </row>
    <row r="240" spans="1:7">
      <c r="A240" t="s">
        <v>13311</v>
      </c>
      <c r="B240" s="18" t="s">
        <v>20160</v>
      </c>
      <c r="C240" s="19">
        <v>7</v>
      </c>
      <c r="D240" s="31">
        <v>43143.94</v>
      </c>
      <c r="E240" t="str">
        <f>VLOOKUP(B240,'CC by Segment'!$D:$E,2,FALSE)</f>
        <v>Housing</v>
      </c>
      <c r="G240" t="str">
        <f t="shared" si="3"/>
        <v>C252042</v>
      </c>
    </row>
    <row r="241" spans="1:7">
      <c r="A241" t="s">
        <v>13311</v>
      </c>
      <c r="B241" s="18" t="s">
        <v>7495</v>
      </c>
      <c r="C241" s="19">
        <v>28</v>
      </c>
      <c r="D241" s="31">
        <v>145844.47</v>
      </c>
      <c r="E241" t="str">
        <f>VLOOKUP(B241,'CC by Segment'!$D:$E,2,FALSE)</f>
        <v>Corporate</v>
      </c>
      <c r="G241" t="str">
        <f t="shared" si="3"/>
        <v>C252043</v>
      </c>
    </row>
    <row r="242" spans="1:7">
      <c r="A242" t="s">
        <v>13311</v>
      </c>
      <c r="B242" s="18" t="s">
        <v>7465</v>
      </c>
      <c r="C242" s="19">
        <v>5</v>
      </c>
      <c r="D242" s="31">
        <v>28199.42</v>
      </c>
      <c r="E242" t="str">
        <f>VLOOKUP(B242,'CC by Segment'!$D:$E,2,FALSE)</f>
        <v>Corporate</v>
      </c>
      <c r="G242" t="str">
        <f t="shared" si="3"/>
        <v>C252050</v>
      </c>
    </row>
    <row r="243" spans="1:7">
      <c r="A243" t="s">
        <v>13311</v>
      </c>
      <c r="B243" s="18" t="s">
        <v>7512</v>
      </c>
      <c r="C243" s="19">
        <v>4</v>
      </c>
      <c r="D243" s="31">
        <v>19430.5</v>
      </c>
      <c r="E243" t="str">
        <f>VLOOKUP(B243,'CC by Segment'!$D:$E,2,FALSE)</f>
        <v>Corporate</v>
      </c>
      <c r="G243" t="str">
        <f t="shared" si="3"/>
        <v>C252051</v>
      </c>
    </row>
    <row r="244" spans="1:7">
      <c r="A244" t="s">
        <v>13311</v>
      </c>
      <c r="B244" s="18" t="s">
        <v>6097</v>
      </c>
      <c r="C244" s="19">
        <v>8</v>
      </c>
      <c r="D244" s="31">
        <v>44171.44</v>
      </c>
      <c r="E244" t="str">
        <f>VLOOKUP(B244,'CC by Segment'!$D:$E,2,FALSE)</f>
        <v>Corporate</v>
      </c>
      <c r="G244" t="str">
        <f t="shared" si="3"/>
        <v>C252070</v>
      </c>
    </row>
    <row r="245" spans="1:7">
      <c r="A245" t="s">
        <v>13311</v>
      </c>
      <c r="B245" s="18" t="s">
        <v>6100</v>
      </c>
      <c r="C245" s="19">
        <v>13</v>
      </c>
      <c r="D245" s="31">
        <v>72319.27</v>
      </c>
      <c r="E245" t="str">
        <f>VLOOKUP(B245,'CC by Segment'!$D:$E,2,FALSE)</f>
        <v>Corporate</v>
      </c>
      <c r="G245" t="str">
        <f t="shared" si="3"/>
        <v>C252071</v>
      </c>
    </row>
    <row r="246" spans="1:7">
      <c r="A246" t="s">
        <v>13311</v>
      </c>
      <c r="B246" s="18" t="s">
        <v>6103</v>
      </c>
      <c r="C246" s="19">
        <v>4</v>
      </c>
      <c r="D246" s="31">
        <v>18595.04</v>
      </c>
      <c r="E246" t="str">
        <f>VLOOKUP(B246,'CC by Segment'!$D:$E,2,FALSE)</f>
        <v>Corporate</v>
      </c>
      <c r="G246" t="str">
        <f t="shared" si="3"/>
        <v>C252072</v>
      </c>
    </row>
    <row r="247" spans="1:7">
      <c r="A247" t="s">
        <v>13311</v>
      </c>
      <c r="B247" s="18" t="s">
        <v>6106</v>
      </c>
      <c r="C247" s="19">
        <v>6</v>
      </c>
      <c r="D247" s="31">
        <v>31837.85</v>
      </c>
      <c r="E247" t="str">
        <f>VLOOKUP(B247,'CC by Segment'!$D:$E,2,FALSE)</f>
        <v>Corporate</v>
      </c>
      <c r="G247" t="str">
        <f t="shared" si="3"/>
        <v>C252073</v>
      </c>
    </row>
    <row r="248" spans="1:7">
      <c r="A248" t="s">
        <v>13311</v>
      </c>
      <c r="B248" s="18" t="s">
        <v>6109</v>
      </c>
      <c r="C248" s="19">
        <v>5</v>
      </c>
      <c r="D248" s="31">
        <v>23831.33</v>
      </c>
      <c r="E248" t="str">
        <f>VLOOKUP(B248,'CC by Segment'!$D:$E,2,FALSE)</f>
        <v>Corporate</v>
      </c>
      <c r="G248" t="str">
        <f t="shared" si="3"/>
        <v>C252075</v>
      </c>
    </row>
    <row r="249" spans="1:7">
      <c r="A249" t="s">
        <v>13311</v>
      </c>
      <c r="B249" s="18" t="s">
        <v>7450</v>
      </c>
      <c r="C249" s="19">
        <v>1</v>
      </c>
      <c r="D249" s="31">
        <v>6004.5</v>
      </c>
      <c r="E249" t="str">
        <f>VLOOKUP(B249,'CC by Segment'!$D:$E,2,FALSE)</f>
        <v>Corporate</v>
      </c>
      <c r="G249" t="str">
        <f t="shared" si="3"/>
        <v>C252080</v>
      </c>
    </row>
    <row r="250" spans="1:7">
      <c r="A250" t="s">
        <v>13311</v>
      </c>
      <c r="B250" s="18" t="s">
        <v>18180</v>
      </c>
      <c r="C250" s="19">
        <v>8</v>
      </c>
      <c r="D250" s="31">
        <v>45573.7</v>
      </c>
      <c r="E250" t="str">
        <f>VLOOKUP(B250,'CC by Segment'!$D:$E,2,FALSE)</f>
        <v>Corporate</v>
      </c>
      <c r="G250" t="str">
        <f t="shared" si="3"/>
        <v>C252089</v>
      </c>
    </row>
    <row r="251" spans="1:7">
      <c r="A251" t="s">
        <v>13311</v>
      </c>
      <c r="B251" s="18" t="s">
        <v>7530</v>
      </c>
      <c r="C251" s="19">
        <v>13</v>
      </c>
      <c r="D251" s="31">
        <v>70032.69</v>
      </c>
      <c r="E251" t="str">
        <f>VLOOKUP(B251,'CC by Segment'!$D:$E,2,FALSE)</f>
        <v>Corporate</v>
      </c>
      <c r="G251" t="str">
        <f t="shared" si="3"/>
        <v>C252090</v>
      </c>
    </row>
    <row r="252" spans="1:7">
      <c r="A252" t="s">
        <v>13311</v>
      </c>
      <c r="B252" s="18" t="s">
        <v>6124</v>
      </c>
      <c r="C252" s="19">
        <v>3</v>
      </c>
      <c r="D252" s="31">
        <v>13816.74</v>
      </c>
      <c r="E252" t="str">
        <f>VLOOKUP(B252,'CC by Segment'!$D:$E,2,FALSE)</f>
        <v>Corporate</v>
      </c>
      <c r="G252" t="str">
        <f t="shared" si="3"/>
        <v>C252100</v>
      </c>
    </row>
    <row r="253" spans="1:7">
      <c r="A253" t="s">
        <v>13311</v>
      </c>
      <c r="B253" s="18" t="s">
        <v>7562</v>
      </c>
      <c r="C253" s="19">
        <v>13</v>
      </c>
      <c r="D253" s="31">
        <v>51350.42</v>
      </c>
      <c r="E253" t="str">
        <f>VLOOKUP(B253,'CC by Segment'!$D:$E,2,FALSE)</f>
        <v>Corporate</v>
      </c>
      <c r="G253" t="str">
        <f t="shared" si="3"/>
        <v>C252121</v>
      </c>
    </row>
    <row r="254" spans="1:7">
      <c r="A254" t="s">
        <v>13311</v>
      </c>
      <c r="B254" s="18" t="s">
        <v>6140</v>
      </c>
      <c r="C254" s="19">
        <v>8</v>
      </c>
      <c r="D254" s="31">
        <v>39442.97</v>
      </c>
      <c r="E254" t="str">
        <f>VLOOKUP(B254,'CC by Segment'!$D:$E,2,FALSE)</f>
        <v>Corporate</v>
      </c>
      <c r="G254" t="str">
        <f t="shared" si="3"/>
        <v>C252124</v>
      </c>
    </row>
    <row r="255" spans="1:7">
      <c r="A255" t="s">
        <v>13311</v>
      </c>
      <c r="B255" s="18" t="s">
        <v>7908</v>
      </c>
      <c r="C255" s="19">
        <v>7</v>
      </c>
      <c r="D255" s="31">
        <v>22290.2</v>
      </c>
      <c r="E255" t="str">
        <f>VLOOKUP(B255,'CC by Segment'!$D:$E,2,FALSE)</f>
        <v>Corporate</v>
      </c>
      <c r="G255" t="str">
        <f t="shared" si="3"/>
        <v>C252125</v>
      </c>
    </row>
    <row r="256" spans="1:7">
      <c r="A256" t="s">
        <v>13311</v>
      </c>
      <c r="B256" s="18" t="s">
        <v>6153</v>
      </c>
      <c r="C256" s="19">
        <v>2</v>
      </c>
      <c r="D256" s="31">
        <v>12642.24</v>
      </c>
      <c r="E256" t="str">
        <f>VLOOKUP(B256,'CC by Segment'!$D:$E,2,FALSE)</f>
        <v>Corporate</v>
      </c>
      <c r="G256" t="str">
        <f t="shared" si="3"/>
        <v>C252129</v>
      </c>
    </row>
    <row r="257" spans="1:7">
      <c r="A257" t="s">
        <v>13311</v>
      </c>
      <c r="B257" s="18" t="s">
        <v>6158</v>
      </c>
      <c r="C257" s="19">
        <v>15</v>
      </c>
      <c r="D257" s="31">
        <v>58752.46</v>
      </c>
      <c r="E257" t="str">
        <f>VLOOKUP(B257,'CC by Segment'!$D:$E,2,FALSE)</f>
        <v>Corporate</v>
      </c>
      <c r="G257" t="str">
        <f t="shared" si="3"/>
        <v>C252131</v>
      </c>
    </row>
    <row r="258" spans="1:7">
      <c r="A258" t="s">
        <v>13311</v>
      </c>
      <c r="B258" s="18" t="s">
        <v>7618</v>
      </c>
      <c r="C258" s="19">
        <v>2</v>
      </c>
      <c r="D258" s="31">
        <v>8857.5400000000009</v>
      </c>
      <c r="E258" t="str">
        <f>VLOOKUP(B258,'CC by Segment'!$D:$E,2,FALSE)</f>
        <v>Corporate</v>
      </c>
      <c r="G258" t="str">
        <f t="shared" si="3"/>
        <v>C252133</v>
      </c>
    </row>
    <row r="259" spans="1:7">
      <c r="A259" t="s">
        <v>13311</v>
      </c>
      <c r="B259" s="18" t="s">
        <v>6174</v>
      </c>
      <c r="C259" s="19">
        <v>19</v>
      </c>
      <c r="D259" s="31">
        <v>88144.83</v>
      </c>
      <c r="E259" t="str">
        <f>VLOOKUP(B259,'CC by Segment'!$D:$E,2,FALSE)</f>
        <v>Corporate</v>
      </c>
      <c r="G259" t="str">
        <f t="shared" si="3"/>
        <v>C253002</v>
      </c>
    </row>
    <row r="260" spans="1:7">
      <c r="A260" t="s">
        <v>13311</v>
      </c>
      <c r="B260" s="18" t="s">
        <v>6176</v>
      </c>
      <c r="C260" s="19">
        <v>3</v>
      </c>
      <c r="D260" s="31">
        <v>17551.27</v>
      </c>
      <c r="E260" t="str">
        <f>VLOOKUP(B260,'CC by Segment'!$D:$E,2,FALSE)</f>
        <v>Corporate</v>
      </c>
      <c r="G260" t="str">
        <f t="shared" si="3"/>
        <v>C253003</v>
      </c>
    </row>
    <row r="261" spans="1:7">
      <c r="A261" t="s">
        <v>13311</v>
      </c>
      <c r="B261" s="18" t="s">
        <v>6181</v>
      </c>
      <c r="C261" s="19">
        <v>6</v>
      </c>
      <c r="D261" s="31">
        <v>31684.85</v>
      </c>
      <c r="E261" t="str">
        <f>VLOOKUP(B261,'CC by Segment'!$D:$E,2,FALSE)</f>
        <v>Corporate</v>
      </c>
      <c r="G261" t="str">
        <f t="shared" ref="G261:G324" si="4">TRIM(B261)</f>
        <v>C253005</v>
      </c>
    </row>
    <row r="262" spans="1:7">
      <c r="A262" t="s">
        <v>13311</v>
      </c>
      <c r="B262" s="18" t="s">
        <v>6192</v>
      </c>
      <c r="C262" s="19">
        <v>3</v>
      </c>
      <c r="D262" s="31">
        <v>27653.93</v>
      </c>
      <c r="E262" t="str">
        <f>VLOOKUP(B262,'CC by Segment'!$D:$E,2,FALSE)</f>
        <v>Corporate</v>
      </c>
      <c r="G262" t="str">
        <f t="shared" si="4"/>
        <v>C253011</v>
      </c>
    </row>
    <row r="263" spans="1:7">
      <c r="A263" t="s">
        <v>13311</v>
      </c>
      <c r="B263" s="18" t="s">
        <v>6195</v>
      </c>
      <c r="C263" s="19">
        <v>32</v>
      </c>
      <c r="D263" s="31">
        <v>166398.93</v>
      </c>
      <c r="E263" t="str">
        <f>VLOOKUP(B263,'CC by Segment'!$D:$E,2,FALSE)</f>
        <v>Corporate</v>
      </c>
      <c r="G263" t="str">
        <f t="shared" si="4"/>
        <v>C253012</v>
      </c>
    </row>
    <row r="264" spans="1:7">
      <c r="A264" t="s">
        <v>13311</v>
      </c>
      <c r="B264" s="18" t="s">
        <v>6198</v>
      </c>
      <c r="C264" s="19">
        <v>12</v>
      </c>
      <c r="D264" s="31">
        <v>54379.05</v>
      </c>
      <c r="E264" t="str">
        <f>VLOOKUP(B264,'CC by Segment'!$D:$E,2,FALSE)</f>
        <v>Corporate</v>
      </c>
      <c r="G264" t="str">
        <f t="shared" si="4"/>
        <v>C253013</v>
      </c>
    </row>
    <row r="265" spans="1:7">
      <c r="A265" t="s">
        <v>13311</v>
      </c>
      <c r="B265" s="18" t="s">
        <v>7642</v>
      </c>
      <c r="C265" s="19">
        <v>3</v>
      </c>
      <c r="D265" s="31">
        <v>19426.669999999998</v>
      </c>
      <c r="E265" t="str">
        <f>VLOOKUP(B265,'CC by Segment'!$D:$E,2,FALSE)</f>
        <v>Corporate</v>
      </c>
      <c r="G265" t="str">
        <f t="shared" si="4"/>
        <v>C253014</v>
      </c>
    </row>
    <row r="266" spans="1:7">
      <c r="A266" t="s">
        <v>13311</v>
      </c>
      <c r="B266" s="18" t="s">
        <v>6204</v>
      </c>
      <c r="C266" s="19">
        <v>2</v>
      </c>
      <c r="D266" s="31">
        <v>10728.69</v>
      </c>
      <c r="E266" t="str">
        <f>VLOOKUP(B266,'CC by Segment'!$D:$E,2,FALSE)</f>
        <v>Corporate</v>
      </c>
      <c r="G266" t="str">
        <f t="shared" si="4"/>
        <v>C253015</v>
      </c>
    </row>
    <row r="267" spans="1:7">
      <c r="A267" t="s">
        <v>13311</v>
      </c>
      <c r="B267" s="18" t="s">
        <v>6213</v>
      </c>
      <c r="C267" s="19">
        <v>8</v>
      </c>
      <c r="D267" s="31">
        <v>46078.3</v>
      </c>
      <c r="E267" t="str">
        <f>VLOOKUP(B267,'CC by Segment'!$D:$E,2,FALSE)</f>
        <v>Corporate</v>
      </c>
      <c r="G267" t="str">
        <f t="shared" si="4"/>
        <v>C253019</v>
      </c>
    </row>
    <row r="268" spans="1:7">
      <c r="A268" t="s">
        <v>13311</v>
      </c>
      <c r="B268" s="18" t="s">
        <v>6220</v>
      </c>
      <c r="C268" s="19">
        <v>2</v>
      </c>
      <c r="D268" s="31">
        <v>10577.3</v>
      </c>
      <c r="E268" t="str">
        <f>VLOOKUP(B268,'CC by Segment'!$D:$E,2,FALSE)</f>
        <v>Corporate</v>
      </c>
      <c r="G268" t="str">
        <f t="shared" si="4"/>
        <v>C253100</v>
      </c>
    </row>
    <row r="269" spans="1:7">
      <c r="A269" t="s">
        <v>13311</v>
      </c>
      <c r="B269" s="18" t="s">
        <v>6234</v>
      </c>
      <c r="C269" s="19">
        <v>9</v>
      </c>
      <c r="D269" s="31">
        <v>77988.12</v>
      </c>
      <c r="E269" t="str">
        <f>VLOOKUP(B269,'CC by Segment'!$D:$E,2,FALSE)</f>
        <v>Corporate</v>
      </c>
      <c r="G269" t="str">
        <f t="shared" si="4"/>
        <v>C253200</v>
      </c>
    </row>
    <row r="270" spans="1:7">
      <c r="A270" t="s">
        <v>13311</v>
      </c>
      <c r="B270" s="18" t="s">
        <v>6237</v>
      </c>
      <c r="C270" s="19">
        <v>8</v>
      </c>
      <c r="D270" s="31">
        <v>44179.92</v>
      </c>
      <c r="E270" t="str">
        <f>VLOOKUP(B270,'CC by Segment'!$D:$E,2,FALSE)</f>
        <v>Corporate</v>
      </c>
      <c r="G270" t="str">
        <f t="shared" si="4"/>
        <v>C253201</v>
      </c>
    </row>
    <row r="271" spans="1:7">
      <c r="A271" t="s">
        <v>13311</v>
      </c>
      <c r="B271" s="18" t="s">
        <v>6243</v>
      </c>
      <c r="C271" s="19">
        <v>6</v>
      </c>
      <c r="D271" s="31">
        <v>31260.81</v>
      </c>
      <c r="E271" t="str">
        <f>VLOOKUP(B271,'CC by Segment'!$D:$E,2,FALSE)</f>
        <v>Corporate</v>
      </c>
      <c r="G271" t="str">
        <f t="shared" si="4"/>
        <v>C253300</v>
      </c>
    </row>
    <row r="272" spans="1:7">
      <c r="A272" t="s">
        <v>13311</v>
      </c>
      <c r="B272" s="18" t="s">
        <v>6246</v>
      </c>
      <c r="C272" s="19">
        <v>12</v>
      </c>
      <c r="D272" s="31">
        <v>65358.61</v>
      </c>
      <c r="E272" t="str">
        <f>VLOOKUP(B272,'CC by Segment'!$D:$E,2,FALSE)</f>
        <v>Corporate</v>
      </c>
      <c r="G272" t="str">
        <f t="shared" si="4"/>
        <v>C253301</v>
      </c>
    </row>
    <row r="273" spans="1:7">
      <c r="A273" t="s">
        <v>13311</v>
      </c>
      <c r="B273" s="18" t="s">
        <v>7676</v>
      </c>
      <c r="C273" s="19">
        <v>5</v>
      </c>
      <c r="D273" s="31">
        <v>21883.18</v>
      </c>
      <c r="E273" t="str">
        <f>VLOOKUP(B273,'CC by Segment'!$D:$E,2,FALSE)</f>
        <v>Corporate</v>
      </c>
      <c r="G273" t="str">
        <f t="shared" si="4"/>
        <v>C253500</v>
      </c>
    </row>
    <row r="274" spans="1:7">
      <c r="A274" t="s">
        <v>13311</v>
      </c>
      <c r="B274" s="18" t="s">
        <v>6270</v>
      </c>
      <c r="C274" s="19">
        <v>1</v>
      </c>
      <c r="D274" s="31">
        <v>4633.8100000000004</v>
      </c>
      <c r="E274" t="str">
        <f>VLOOKUP(B274,'CC by Segment'!$D:$E,2,FALSE)</f>
        <v>Corporate</v>
      </c>
      <c r="G274" t="str">
        <f t="shared" si="4"/>
        <v>C253506</v>
      </c>
    </row>
    <row r="275" spans="1:7">
      <c r="A275" t="s">
        <v>13311</v>
      </c>
      <c r="B275" s="18" t="s">
        <v>7657</v>
      </c>
      <c r="C275" s="19">
        <v>16</v>
      </c>
      <c r="D275" s="31">
        <v>92613.759999999995</v>
      </c>
      <c r="E275" t="str">
        <f>VLOOKUP(B275,'CC by Segment'!$D:$E,2,FALSE)</f>
        <v>Corporate</v>
      </c>
      <c r="G275" t="str">
        <f t="shared" si="4"/>
        <v>C253601</v>
      </c>
    </row>
    <row r="276" spans="1:7">
      <c r="A276" t="s">
        <v>13311</v>
      </c>
      <c r="B276" s="18" t="s">
        <v>6883</v>
      </c>
      <c r="C276" s="19">
        <v>2</v>
      </c>
      <c r="D276" s="31">
        <v>9401.7099999999991</v>
      </c>
      <c r="E276" t="str">
        <f>VLOOKUP(B276,'CC by Segment'!$D:$E,2,FALSE)</f>
        <v>Corporate</v>
      </c>
      <c r="G276" t="str">
        <f t="shared" si="4"/>
        <v>C253602</v>
      </c>
    </row>
    <row r="277" spans="1:7">
      <c r="A277" t="s">
        <v>13311</v>
      </c>
      <c r="B277" s="18" t="s">
        <v>7789</v>
      </c>
      <c r="C277" s="19">
        <v>3</v>
      </c>
      <c r="D277" s="31">
        <v>15159.5</v>
      </c>
      <c r="E277" t="str">
        <f>VLOOKUP(B277,'CC by Segment'!$D:$E,2,FALSE)</f>
        <v>Corporate</v>
      </c>
      <c r="G277" t="str">
        <f t="shared" si="4"/>
        <v>C253603</v>
      </c>
    </row>
    <row r="278" spans="1:7">
      <c r="A278" t="s">
        <v>13311</v>
      </c>
      <c r="B278" s="18" t="s">
        <v>6287</v>
      </c>
      <c r="C278" s="19">
        <v>4</v>
      </c>
      <c r="D278" s="31">
        <v>19748.54</v>
      </c>
      <c r="E278" t="str">
        <f>VLOOKUP(B278,'CC by Segment'!$D:$E,2,FALSE)</f>
        <v>Corporate</v>
      </c>
      <c r="G278" t="str">
        <f t="shared" si="4"/>
        <v>C253701</v>
      </c>
    </row>
    <row r="279" spans="1:7">
      <c r="A279" t="s">
        <v>13311</v>
      </c>
      <c r="B279" s="18" t="s">
        <v>6290</v>
      </c>
      <c r="C279" s="19">
        <v>4</v>
      </c>
      <c r="D279" s="31">
        <v>16489.93</v>
      </c>
      <c r="E279" t="str">
        <f>VLOOKUP(B279,'CC by Segment'!$D:$E,2,FALSE)</f>
        <v>Corporate</v>
      </c>
      <c r="G279" t="str">
        <f t="shared" si="4"/>
        <v>C253702</v>
      </c>
    </row>
    <row r="280" spans="1:7">
      <c r="A280" t="s">
        <v>13311</v>
      </c>
      <c r="B280" s="18" t="s">
        <v>6297</v>
      </c>
      <c r="C280" s="19">
        <v>17</v>
      </c>
      <c r="D280" s="31">
        <v>97949.41</v>
      </c>
      <c r="E280" t="str">
        <f>VLOOKUP(B280,'CC by Segment'!$D:$E,2,FALSE)</f>
        <v>Corporate</v>
      </c>
      <c r="G280" t="str">
        <f t="shared" si="4"/>
        <v>C253705</v>
      </c>
    </row>
    <row r="281" spans="1:7">
      <c r="A281" t="s">
        <v>13311</v>
      </c>
      <c r="B281" s="18" t="s">
        <v>6299</v>
      </c>
      <c r="C281" s="19">
        <v>2</v>
      </c>
      <c r="D281" s="31">
        <v>15457.15</v>
      </c>
      <c r="E281" t="str">
        <f>VLOOKUP(B281,'CC by Segment'!$D:$E,2,FALSE)</f>
        <v>Corporate</v>
      </c>
      <c r="G281" t="str">
        <f t="shared" si="4"/>
        <v>C253706</v>
      </c>
    </row>
    <row r="282" spans="1:7">
      <c r="A282" t="s">
        <v>13311</v>
      </c>
      <c r="B282" s="18" t="s">
        <v>6309</v>
      </c>
      <c r="C282" s="19">
        <v>2</v>
      </c>
      <c r="D282" s="31">
        <v>11514.89</v>
      </c>
      <c r="E282" t="str">
        <f>VLOOKUP(B282,'CC by Segment'!$D:$E,2,FALSE)</f>
        <v>Corporate</v>
      </c>
      <c r="G282" t="str">
        <f t="shared" si="4"/>
        <v>C253710</v>
      </c>
    </row>
    <row r="283" spans="1:7">
      <c r="A283" t="s">
        <v>13311</v>
      </c>
      <c r="B283" s="18" t="s">
        <v>6790</v>
      </c>
      <c r="C283" s="19">
        <v>18</v>
      </c>
      <c r="D283" s="31">
        <v>102379.41</v>
      </c>
      <c r="E283" t="str">
        <f>VLOOKUP(B283,'CC by Segment'!$D:$E,2,FALSE)</f>
        <v>Corporate</v>
      </c>
      <c r="G283" t="str">
        <f t="shared" si="4"/>
        <v>C253711</v>
      </c>
    </row>
    <row r="284" spans="1:7">
      <c r="A284" t="s">
        <v>13311</v>
      </c>
      <c r="B284" s="18" t="s">
        <v>6315</v>
      </c>
      <c r="C284" s="19">
        <v>16</v>
      </c>
      <c r="D284" s="31">
        <v>82720.13</v>
      </c>
      <c r="E284" t="str">
        <f>VLOOKUP(B284,'CC by Segment'!$D:$E,2,FALSE)</f>
        <v>Corporate</v>
      </c>
      <c r="G284" t="str">
        <f t="shared" si="4"/>
        <v>C253712</v>
      </c>
    </row>
    <row r="285" spans="1:7">
      <c r="A285" t="s">
        <v>13311</v>
      </c>
      <c r="B285" s="18" t="s">
        <v>6321</v>
      </c>
      <c r="C285" s="19">
        <v>9</v>
      </c>
      <c r="D285" s="31">
        <v>53163.87</v>
      </c>
      <c r="E285" t="str">
        <f>VLOOKUP(B285,'CC by Segment'!$D:$E,2,FALSE)</f>
        <v>Corporate</v>
      </c>
      <c r="G285" t="str">
        <f t="shared" si="4"/>
        <v>C253714</v>
      </c>
    </row>
    <row r="286" spans="1:7">
      <c r="A286" t="s">
        <v>13311</v>
      </c>
      <c r="B286" s="18" t="s">
        <v>6327</v>
      </c>
      <c r="C286" s="19">
        <v>2</v>
      </c>
      <c r="D286" s="31">
        <v>9550.69</v>
      </c>
      <c r="E286" t="str">
        <f>VLOOKUP(B286,'CC by Segment'!$D:$E,2,FALSE)</f>
        <v>Corporate</v>
      </c>
      <c r="G286" t="str">
        <f t="shared" si="4"/>
        <v>C253716</v>
      </c>
    </row>
    <row r="287" spans="1:7">
      <c r="A287" t="s">
        <v>13311</v>
      </c>
      <c r="B287" s="18" t="s">
        <v>18181</v>
      </c>
      <c r="C287" s="19">
        <v>5</v>
      </c>
      <c r="D287" s="31">
        <v>24218.97</v>
      </c>
      <c r="E287" t="str">
        <f>VLOOKUP(B287,'CC by Segment'!$D:$E,2,FALSE)</f>
        <v>Corporate</v>
      </c>
      <c r="G287" t="str">
        <f t="shared" si="4"/>
        <v>C253722</v>
      </c>
    </row>
    <row r="288" spans="1:7">
      <c r="A288" t="s">
        <v>13311</v>
      </c>
      <c r="B288" s="18" t="s">
        <v>18182</v>
      </c>
      <c r="C288" s="19">
        <v>2</v>
      </c>
      <c r="D288" s="31">
        <v>10742.62</v>
      </c>
      <c r="E288" t="str">
        <f>VLOOKUP(B288,'CC by Segment'!$D:$E,2,FALSE)</f>
        <v>Corporate</v>
      </c>
      <c r="G288" t="str">
        <f t="shared" si="4"/>
        <v>C253723</v>
      </c>
    </row>
    <row r="289" spans="1:7">
      <c r="A289" t="s">
        <v>13311</v>
      </c>
      <c r="B289" s="18" t="s">
        <v>13215</v>
      </c>
      <c r="C289" s="19">
        <v>1</v>
      </c>
      <c r="D289" s="31">
        <v>4916.3500000000004</v>
      </c>
      <c r="E289" t="str">
        <f>VLOOKUP(B289,'CC by Segment'!$D:$E,2,FALSE)</f>
        <v>Corporate</v>
      </c>
      <c r="G289" t="str">
        <f t="shared" si="4"/>
        <v>C253727</v>
      </c>
    </row>
    <row r="290" spans="1:7">
      <c r="A290" t="s">
        <v>13311</v>
      </c>
      <c r="B290" s="18" t="s">
        <v>20146</v>
      </c>
      <c r="C290" s="19">
        <v>2</v>
      </c>
      <c r="D290" s="31">
        <v>14780.77</v>
      </c>
      <c r="E290" t="str">
        <f>VLOOKUP(B290,'CC by Segment'!$D:$E,2,FALSE)</f>
        <v>Lifestyle</v>
      </c>
      <c r="G290" t="str">
        <f t="shared" si="4"/>
        <v>C253728</v>
      </c>
    </row>
    <row r="291" spans="1:7">
      <c r="A291" t="s">
        <v>13311</v>
      </c>
      <c r="B291" s="18" t="s">
        <v>20147</v>
      </c>
      <c r="C291" s="19">
        <v>1</v>
      </c>
      <c r="D291" s="31">
        <v>5080</v>
      </c>
      <c r="E291" t="str">
        <f>VLOOKUP(B291,'CC by Segment'!$D:$E,2,FALSE)</f>
        <v>Lifestyle</v>
      </c>
      <c r="G291" t="str">
        <f t="shared" si="4"/>
        <v>C253729</v>
      </c>
    </row>
    <row r="292" spans="1:7">
      <c r="A292" t="s">
        <v>13311</v>
      </c>
      <c r="B292" s="18" t="s">
        <v>3667</v>
      </c>
      <c r="C292" s="19">
        <v>44</v>
      </c>
      <c r="D292" s="31">
        <v>244301.23</v>
      </c>
      <c r="E292" t="str">
        <f>VLOOKUP(B292,'CC by Segment'!$D:$E,2,FALSE)</f>
        <v>Corporate</v>
      </c>
      <c r="G292" t="str">
        <f t="shared" si="4"/>
        <v>C254004</v>
      </c>
    </row>
    <row r="293" spans="1:7">
      <c r="A293" t="s">
        <v>13311</v>
      </c>
      <c r="B293" s="18" t="s">
        <v>3712</v>
      </c>
      <c r="C293" s="19">
        <v>1</v>
      </c>
      <c r="D293" s="31">
        <v>7653.85</v>
      </c>
      <c r="E293" t="str">
        <f>VLOOKUP(B293,'CC by Segment'!$D:$E,2,FALSE)</f>
        <v>Corporate</v>
      </c>
      <c r="G293" t="str">
        <f t="shared" si="4"/>
        <v>C254008</v>
      </c>
    </row>
    <row r="294" spans="1:7">
      <c r="A294" t="s">
        <v>13311</v>
      </c>
      <c r="B294" s="18" t="s">
        <v>3639</v>
      </c>
      <c r="C294" s="19">
        <v>1</v>
      </c>
      <c r="D294" s="31">
        <v>2981.88</v>
      </c>
      <c r="E294" t="str">
        <f>VLOOKUP(B294,'CC by Segment'!$D:$E,2,FALSE)</f>
        <v>Corporate</v>
      </c>
      <c r="G294" t="str">
        <f t="shared" si="4"/>
        <v>C254009</v>
      </c>
    </row>
    <row r="295" spans="1:7">
      <c r="A295" t="s">
        <v>13311</v>
      </c>
      <c r="B295" s="18" t="s">
        <v>3678</v>
      </c>
      <c r="C295" s="19">
        <v>8</v>
      </c>
      <c r="D295" s="31">
        <v>42072.9</v>
      </c>
      <c r="E295" t="str">
        <f>VLOOKUP(B295,'CC by Segment'!$D:$E,2,FALSE)</f>
        <v>Corporate</v>
      </c>
      <c r="G295" t="str">
        <f t="shared" si="4"/>
        <v>C254018</v>
      </c>
    </row>
    <row r="296" spans="1:7">
      <c r="A296" t="s">
        <v>13311</v>
      </c>
      <c r="B296" s="18" t="s">
        <v>3653</v>
      </c>
      <c r="C296" s="19">
        <v>9</v>
      </c>
      <c r="D296" s="31">
        <v>49297.06</v>
      </c>
      <c r="E296" t="str">
        <f>VLOOKUP(B296,'CC by Segment'!$D:$E,2,FALSE)</f>
        <v>Corporate</v>
      </c>
      <c r="G296" t="str">
        <f t="shared" si="4"/>
        <v>C254021</v>
      </c>
    </row>
    <row r="297" spans="1:7">
      <c r="A297" t="s">
        <v>13311</v>
      </c>
      <c r="B297" s="18" t="s">
        <v>6496</v>
      </c>
      <c r="C297" s="19">
        <v>1</v>
      </c>
      <c r="D297" s="31">
        <v>5000</v>
      </c>
      <c r="E297" t="str">
        <f>VLOOKUP(B297,'CC by Segment'!$D:$E,2,FALSE)</f>
        <v>Corporate</v>
      </c>
      <c r="G297" t="str">
        <f t="shared" si="4"/>
        <v>C259000</v>
      </c>
    </row>
    <row r="298" spans="1:7">
      <c r="A298" t="s">
        <v>13311</v>
      </c>
      <c r="B298" s="18" t="s">
        <v>6595</v>
      </c>
      <c r="C298" s="19">
        <v>3</v>
      </c>
      <c r="D298" s="31">
        <v>26625.119999999999</v>
      </c>
      <c r="E298" t="str">
        <f>VLOOKUP(B298,'CC by Segment'!$D:$E,2,FALSE)</f>
        <v>Housing</v>
      </c>
      <c r="G298" t="str">
        <f t="shared" si="4"/>
        <v>C300000</v>
      </c>
    </row>
    <row r="299" spans="1:7">
      <c r="A299" t="s">
        <v>13311</v>
      </c>
      <c r="B299" s="18" t="s">
        <v>6598</v>
      </c>
      <c r="C299" s="19">
        <v>1</v>
      </c>
      <c r="D299" s="31">
        <v>13865.38</v>
      </c>
      <c r="E299" t="str">
        <f>VLOOKUP(B299,'CC by Segment'!$D:$E,2,FALSE)</f>
        <v>Housing</v>
      </c>
      <c r="G299" t="str">
        <f t="shared" si="4"/>
        <v>C300005</v>
      </c>
    </row>
    <row r="300" spans="1:7">
      <c r="A300" t="s">
        <v>13311</v>
      </c>
      <c r="B300" s="18" t="s">
        <v>6604</v>
      </c>
      <c r="C300" s="19">
        <v>8</v>
      </c>
      <c r="D300" s="31">
        <v>50033.5</v>
      </c>
      <c r="E300" t="str">
        <f>VLOOKUP(B300,'CC by Segment'!$D:$E,2,FALSE)</f>
        <v>Housing</v>
      </c>
      <c r="G300" t="str">
        <f t="shared" si="4"/>
        <v>C300011</v>
      </c>
    </row>
    <row r="301" spans="1:7">
      <c r="A301" t="s">
        <v>13311</v>
      </c>
      <c r="B301" s="18" t="s">
        <v>6613</v>
      </c>
      <c r="C301" s="19">
        <v>1</v>
      </c>
      <c r="D301" s="31">
        <v>16246.5</v>
      </c>
      <c r="E301" t="str">
        <f>VLOOKUP(B301,'CC by Segment'!$D:$E,2,FALSE)</f>
        <v>Housing</v>
      </c>
      <c r="G301" t="str">
        <f t="shared" si="4"/>
        <v>C301000</v>
      </c>
    </row>
    <row r="302" spans="1:7">
      <c r="A302" t="s">
        <v>13311</v>
      </c>
      <c r="B302" s="18" t="s">
        <v>6823</v>
      </c>
      <c r="C302" s="19">
        <v>12</v>
      </c>
      <c r="D302" s="31">
        <v>54890.83</v>
      </c>
      <c r="E302" t="str">
        <f>VLOOKUP(B302,'CC by Segment'!$D:$E,2,FALSE)</f>
        <v>Housing</v>
      </c>
      <c r="G302" t="str">
        <f t="shared" si="4"/>
        <v>C301002</v>
      </c>
    </row>
    <row r="303" spans="1:7">
      <c r="A303" t="s">
        <v>13311</v>
      </c>
      <c r="B303" s="18" t="s">
        <v>6622</v>
      </c>
      <c r="C303" s="19">
        <v>1</v>
      </c>
      <c r="D303" s="31">
        <v>11133.92</v>
      </c>
      <c r="E303" t="str">
        <f>VLOOKUP(B303,'CC by Segment'!$D:$E,2,FALSE)</f>
        <v>Housing</v>
      </c>
      <c r="G303" t="str">
        <f t="shared" si="4"/>
        <v>C301003</v>
      </c>
    </row>
    <row r="304" spans="1:7">
      <c r="A304" t="s">
        <v>13311</v>
      </c>
      <c r="B304" s="18" t="s">
        <v>6625</v>
      </c>
      <c r="C304" s="19">
        <v>12</v>
      </c>
      <c r="D304" s="31">
        <v>76246.320000000007</v>
      </c>
      <c r="E304" t="str">
        <f>VLOOKUP(B304,'CC by Segment'!$D:$E,2,FALSE)</f>
        <v>Housing</v>
      </c>
      <c r="G304" t="str">
        <f t="shared" si="4"/>
        <v>C301004</v>
      </c>
    </row>
    <row r="305" spans="1:7">
      <c r="A305" t="s">
        <v>13311</v>
      </c>
      <c r="B305" s="18" t="s">
        <v>6628</v>
      </c>
      <c r="C305" s="19">
        <v>3</v>
      </c>
      <c r="D305" s="31">
        <v>34115.379999999997</v>
      </c>
      <c r="E305" t="str">
        <f>VLOOKUP(B305,'CC by Segment'!$D:$E,2,FALSE)</f>
        <v>Housing</v>
      </c>
      <c r="G305" t="str">
        <f t="shared" si="4"/>
        <v>C301005</v>
      </c>
    </row>
    <row r="306" spans="1:7">
      <c r="A306" t="s">
        <v>13311</v>
      </c>
      <c r="B306" s="18" t="s">
        <v>6634</v>
      </c>
      <c r="C306" s="19">
        <v>3</v>
      </c>
      <c r="D306" s="31">
        <v>20111.54</v>
      </c>
      <c r="E306" t="str">
        <f>VLOOKUP(B306,'CC by Segment'!$D:$E,2,FALSE)</f>
        <v>Housing</v>
      </c>
      <c r="G306" t="str">
        <f t="shared" si="4"/>
        <v>C301007</v>
      </c>
    </row>
    <row r="307" spans="1:7">
      <c r="A307" t="s">
        <v>13311</v>
      </c>
      <c r="B307" s="18" t="s">
        <v>6637</v>
      </c>
      <c r="C307" s="19">
        <v>37</v>
      </c>
      <c r="D307" s="31">
        <v>184758.94</v>
      </c>
      <c r="E307" t="str">
        <f>VLOOKUP(B307,'CC by Segment'!$D:$E,2,FALSE)</f>
        <v>Housing</v>
      </c>
      <c r="G307" t="str">
        <f t="shared" si="4"/>
        <v>C301008</v>
      </c>
    </row>
    <row r="308" spans="1:7">
      <c r="A308" t="s">
        <v>13311</v>
      </c>
      <c r="B308" s="18" t="s">
        <v>6640</v>
      </c>
      <c r="C308" s="19">
        <v>1</v>
      </c>
      <c r="D308" s="31">
        <v>7577.42</v>
      </c>
      <c r="E308" t="str">
        <f>VLOOKUP(B308,'CC by Segment'!$D:$E,2,FALSE)</f>
        <v>Housing</v>
      </c>
      <c r="G308" t="str">
        <f t="shared" si="4"/>
        <v>C301009</v>
      </c>
    </row>
    <row r="309" spans="1:7">
      <c r="A309" t="s">
        <v>13311</v>
      </c>
      <c r="B309" s="18" t="s">
        <v>6652</v>
      </c>
      <c r="C309" s="19">
        <v>6</v>
      </c>
      <c r="D309" s="31">
        <v>31275.31</v>
      </c>
      <c r="E309" t="str">
        <f>VLOOKUP(B309,'CC by Segment'!$D:$E,2,FALSE)</f>
        <v>Housing</v>
      </c>
      <c r="G309" t="str">
        <f t="shared" si="4"/>
        <v>C301113</v>
      </c>
    </row>
    <row r="310" spans="1:7">
      <c r="A310" t="s">
        <v>13311</v>
      </c>
      <c r="B310" s="18" t="s">
        <v>6679</v>
      </c>
      <c r="C310" s="19">
        <v>2</v>
      </c>
      <c r="D310" s="31">
        <v>23040.7</v>
      </c>
      <c r="E310" t="str">
        <f>VLOOKUP(B310,'CC by Segment'!$D:$E,2,FALSE)</f>
        <v>Housing</v>
      </c>
      <c r="G310" t="str">
        <f t="shared" si="4"/>
        <v>C302000</v>
      </c>
    </row>
    <row r="311" spans="1:7">
      <c r="A311" t="s">
        <v>13311</v>
      </c>
      <c r="B311" s="18" t="s">
        <v>6682</v>
      </c>
      <c r="C311" s="19">
        <v>23</v>
      </c>
      <c r="D311" s="31">
        <v>109253.87</v>
      </c>
      <c r="E311" t="str">
        <f>VLOOKUP(B311,'CC by Segment'!$D:$E,2,FALSE)</f>
        <v>Housing</v>
      </c>
      <c r="G311" t="str">
        <f t="shared" si="4"/>
        <v>C302001</v>
      </c>
    </row>
    <row r="312" spans="1:7">
      <c r="A312" t="s">
        <v>13311</v>
      </c>
      <c r="B312" s="18" t="s">
        <v>6021</v>
      </c>
      <c r="C312" s="19">
        <v>37</v>
      </c>
      <c r="D312" s="31">
        <v>149722.9</v>
      </c>
      <c r="E312" t="str">
        <f>VLOOKUP(B312,'CC by Segment'!$D:$E,2,FALSE)</f>
        <v>Housing</v>
      </c>
      <c r="G312" t="str">
        <f t="shared" si="4"/>
        <v>C302002</v>
      </c>
    </row>
    <row r="313" spans="1:7">
      <c r="A313" t="s">
        <v>13311</v>
      </c>
      <c r="B313" s="18" t="s">
        <v>6688</v>
      </c>
      <c r="C313" s="19">
        <v>4</v>
      </c>
      <c r="D313" s="31">
        <v>22692.84</v>
      </c>
      <c r="E313" t="str">
        <f>VLOOKUP(B313,'CC by Segment'!$D:$E,2,FALSE)</f>
        <v>Housing</v>
      </c>
      <c r="G313" t="str">
        <f t="shared" si="4"/>
        <v>C302050</v>
      </c>
    </row>
    <row r="314" spans="1:7">
      <c r="A314" t="s">
        <v>13311</v>
      </c>
      <c r="B314" s="18" t="s">
        <v>6691</v>
      </c>
      <c r="C314" s="19">
        <v>85</v>
      </c>
      <c r="D314" s="31">
        <v>150308.29999999999</v>
      </c>
      <c r="E314" t="str">
        <f>VLOOKUP(B314,'CC by Segment'!$D:$E,2,FALSE)</f>
        <v>Housing</v>
      </c>
      <c r="G314" t="str">
        <f t="shared" si="4"/>
        <v>C302100</v>
      </c>
    </row>
    <row r="315" spans="1:7">
      <c r="A315" t="s">
        <v>13311</v>
      </c>
      <c r="B315" s="18" t="s">
        <v>6697</v>
      </c>
      <c r="C315" s="19">
        <v>14</v>
      </c>
      <c r="D315" s="31">
        <v>23382.16</v>
      </c>
      <c r="E315" t="str">
        <f>VLOOKUP(B315,'CC by Segment'!$D:$E,2,FALSE)</f>
        <v>Housing</v>
      </c>
      <c r="G315" t="str">
        <f t="shared" si="4"/>
        <v>C302102</v>
      </c>
    </row>
    <row r="316" spans="1:7">
      <c r="A316" t="s">
        <v>13311</v>
      </c>
      <c r="B316" s="18" t="s">
        <v>6700</v>
      </c>
      <c r="C316" s="19">
        <v>4</v>
      </c>
      <c r="D316" s="31">
        <v>16165.24</v>
      </c>
      <c r="E316" t="str">
        <f>VLOOKUP(B316,'CC by Segment'!$D:$E,2,FALSE)</f>
        <v>Housing</v>
      </c>
      <c r="G316" t="str">
        <f t="shared" si="4"/>
        <v>C302103</v>
      </c>
    </row>
    <row r="317" spans="1:7">
      <c r="A317" t="s">
        <v>13311</v>
      </c>
      <c r="B317" s="18" t="s">
        <v>6703</v>
      </c>
      <c r="C317" s="19">
        <v>11</v>
      </c>
      <c r="D317" s="31">
        <v>16711.57</v>
      </c>
      <c r="E317" t="str">
        <f>VLOOKUP(B317,'CC by Segment'!$D:$E,2,FALSE)</f>
        <v>Housing</v>
      </c>
      <c r="G317" t="str">
        <f t="shared" si="4"/>
        <v>C302104</v>
      </c>
    </row>
    <row r="318" spans="1:7">
      <c r="A318" t="s">
        <v>13311</v>
      </c>
      <c r="B318" s="18" t="s">
        <v>18183</v>
      </c>
      <c r="C318" s="19">
        <v>7</v>
      </c>
      <c r="D318" s="31">
        <v>43145.56</v>
      </c>
      <c r="E318" t="str">
        <f>VLOOKUP(B318,'CC by Segment'!$D:$E,2,FALSE)</f>
        <v>Housing</v>
      </c>
      <c r="G318" t="str">
        <f t="shared" si="4"/>
        <v>C302110</v>
      </c>
    </row>
    <row r="319" spans="1:7">
      <c r="A319" t="s">
        <v>13311</v>
      </c>
      <c r="B319" s="18" t="s">
        <v>6721</v>
      </c>
      <c r="C319" s="19">
        <v>24</v>
      </c>
      <c r="D319" s="31">
        <v>93847.65</v>
      </c>
      <c r="E319" t="str">
        <f>VLOOKUP(B319,'CC by Segment'!$D:$E,2,FALSE)</f>
        <v>Housing</v>
      </c>
      <c r="G319" t="str">
        <f t="shared" si="4"/>
        <v>C303000</v>
      </c>
    </row>
    <row r="320" spans="1:7">
      <c r="A320" t="s">
        <v>13311</v>
      </c>
      <c r="B320" s="18" t="s">
        <v>6724</v>
      </c>
      <c r="C320" s="19">
        <v>20</v>
      </c>
      <c r="D320" s="31">
        <v>39022.82</v>
      </c>
      <c r="E320" t="str">
        <f>VLOOKUP(B320,'CC by Segment'!$D:$E,2,FALSE)</f>
        <v>Housing</v>
      </c>
      <c r="G320" t="str">
        <f t="shared" si="4"/>
        <v>C303001</v>
      </c>
    </row>
    <row r="321" spans="1:7">
      <c r="A321" t="s">
        <v>13311</v>
      </c>
      <c r="B321" s="18" t="s">
        <v>6094</v>
      </c>
      <c r="C321" s="19">
        <v>2</v>
      </c>
      <c r="D321" s="31">
        <v>8713.11</v>
      </c>
      <c r="E321" t="str">
        <f>VLOOKUP(B321,'CC by Segment'!$D:$E,2,FALSE)</f>
        <v>Housing</v>
      </c>
      <c r="G321" t="str">
        <f t="shared" si="4"/>
        <v>C303002</v>
      </c>
    </row>
    <row r="322" spans="1:7">
      <c r="A322" t="s">
        <v>13311</v>
      </c>
      <c r="B322" s="18" t="s">
        <v>6736</v>
      </c>
      <c r="C322" s="19">
        <v>12</v>
      </c>
      <c r="D322" s="31">
        <v>62160.26</v>
      </c>
      <c r="E322" t="str">
        <f>VLOOKUP(B322,'CC by Segment'!$D:$E,2,FALSE)</f>
        <v>Housing</v>
      </c>
      <c r="G322" t="str">
        <f t="shared" si="4"/>
        <v>C303009</v>
      </c>
    </row>
    <row r="323" spans="1:7">
      <c r="A323" t="s">
        <v>13311</v>
      </c>
      <c r="B323" s="18" t="s">
        <v>6358</v>
      </c>
      <c r="C323" s="19">
        <v>8</v>
      </c>
      <c r="D323" s="31">
        <v>20598.97</v>
      </c>
      <c r="E323" t="str">
        <f>VLOOKUP(B323,'CC by Segment'!$D:$E,2,FALSE)</f>
        <v>Housing</v>
      </c>
      <c r="G323" t="str">
        <f t="shared" si="4"/>
        <v>C303050</v>
      </c>
    </row>
    <row r="324" spans="1:7">
      <c r="A324" t="s">
        <v>13311</v>
      </c>
      <c r="B324" s="18" t="s">
        <v>18184</v>
      </c>
      <c r="C324" s="19">
        <v>5</v>
      </c>
      <c r="D324" s="31">
        <v>13673.24</v>
      </c>
      <c r="E324" t="str">
        <f>VLOOKUP(B324,'CC by Segment'!$D:$E,2,FALSE)</f>
        <v>Lifestyle</v>
      </c>
      <c r="G324" t="str">
        <f t="shared" si="4"/>
        <v>C303058</v>
      </c>
    </row>
    <row r="325" spans="1:7">
      <c r="A325" t="s">
        <v>13311</v>
      </c>
      <c r="B325" s="18" t="s">
        <v>6631</v>
      </c>
      <c r="C325" s="19">
        <v>1</v>
      </c>
      <c r="D325" s="31">
        <v>13367.19</v>
      </c>
      <c r="E325" t="str">
        <f>VLOOKUP(B325,'CC by Segment'!$D:$E,2,FALSE)</f>
        <v>Housing</v>
      </c>
      <c r="G325" t="str">
        <f t="shared" ref="G325:G388" si="5">TRIM(B325)</f>
        <v>C303100</v>
      </c>
    </row>
    <row r="326" spans="1:7">
      <c r="A326" t="s">
        <v>13311</v>
      </c>
      <c r="B326" s="18" t="s">
        <v>6709</v>
      </c>
      <c r="C326" s="19">
        <v>4</v>
      </c>
      <c r="D326" s="31">
        <v>19059.12</v>
      </c>
      <c r="E326" t="str">
        <f>VLOOKUP(B326,'CC by Segment'!$D:$E,2,FALSE)</f>
        <v>Housing</v>
      </c>
      <c r="G326" t="str">
        <f t="shared" si="5"/>
        <v>C303101</v>
      </c>
    </row>
    <row r="327" spans="1:7">
      <c r="A327" t="s">
        <v>13311</v>
      </c>
      <c r="B327" s="18" t="s">
        <v>6727</v>
      </c>
      <c r="C327" s="19">
        <v>4</v>
      </c>
      <c r="D327" s="31">
        <v>16893.689999999999</v>
      </c>
      <c r="E327" t="str">
        <f>VLOOKUP(B327,'CC by Segment'!$D:$E,2,FALSE)</f>
        <v>Housing</v>
      </c>
      <c r="G327" t="str">
        <f t="shared" si="5"/>
        <v>C303102</v>
      </c>
    </row>
    <row r="328" spans="1:7">
      <c r="A328" t="s">
        <v>13311</v>
      </c>
      <c r="B328" s="18" t="s">
        <v>6739</v>
      </c>
      <c r="C328" s="19">
        <v>5</v>
      </c>
      <c r="D328" s="31">
        <v>25697.040000000001</v>
      </c>
      <c r="E328" t="str">
        <f>VLOOKUP(B328,'CC by Segment'!$D:$E,2,FALSE)</f>
        <v>Housing</v>
      </c>
      <c r="G328" t="str">
        <f t="shared" si="5"/>
        <v>C303103</v>
      </c>
    </row>
    <row r="329" spans="1:7">
      <c r="A329" t="s">
        <v>13311</v>
      </c>
      <c r="B329" s="18" t="s">
        <v>6118</v>
      </c>
      <c r="C329" s="19">
        <v>3</v>
      </c>
      <c r="D329" s="31">
        <v>13627.96</v>
      </c>
      <c r="E329" t="str">
        <f>VLOOKUP(B329,'CC by Segment'!$D:$E,2,FALSE)</f>
        <v>Housing</v>
      </c>
      <c r="G329" t="str">
        <f t="shared" si="5"/>
        <v>C303110</v>
      </c>
    </row>
    <row r="330" spans="1:7">
      <c r="A330" t="s">
        <v>13311</v>
      </c>
      <c r="B330" s="18" t="s">
        <v>6754</v>
      </c>
      <c r="C330" s="19">
        <v>5</v>
      </c>
      <c r="D330" s="31">
        <v>25517.96</v>
      </c>
      <c r="E330" t="str">
        <f>VLOOKUP(B330,'CC by Segment'!$D:$E,2,FALSE)</f>
        <v>Housing</v>
      </c>
      <c r="G330" t="str">
        <f t="shared" si="5"/>
        <v>C303150</v>
      </c>
    </row>
    <row r="331" spans="1:7">
      <c r="A331" t="s">
        <v>13311</v>
      </c>
      <c r="B331" s="18" t="s">
        <v>6775</v>
      </c>
      <c r="C331" s="19">
        <v>22</v>
      </c>
      <c r="D331" s="31">
        <v>69909.61</v>
      </c>
      <c r="E331" t="str">
        <f>VLOOKUP(B331,'CC by Segment'!$D:$E,2,FALSE)</f>
        <v>Housing</v>
      </c>
      <c r="G331" t="str">
        <f t="shared" si="5"/>
        <v>C303160</v>
      </c>
    </row>
    <row r="332" spans="1:7">
      <c r="A332" t="s">
        <v>13311</v>
      </c>
      <c r="B332" s="18" t="s">
        <v>5374</v>
      </c>
      <c r="C332" s="19">
        <v>6</v>
      </c>
      <c r="D332" s="31">
        <v>12705.11</v>
      </c>
      <c r="E332" t="str">
        <f>VLOOKUP(B332,'CC by Segment'!$D:$E,2,FALSE)</f>
        <v>Housing</v>
      </c>
      <c r="G332" t="str">
        <f t="shared" si="5"/>
        <v>C350101</v>
      </c>
    </row>
    <row r="333" spans="1:7">
      <c r="A333" t="s">
        <v>13311</v>
      </c>
      <c r="B333" s="18" t="s">
        <v>5389</v>
      </c>
      <c r="C333" s="19">
        <v>4</v>
      </c>
      <c r="D333" s="31">
        <v>11914.05</v>
      </c>
      <c r="E333" t="str">
        <f>VLOOKUP(B333,'CC by Segment'!$D:$E,2,FALSE)</f>
        <v>Housing</v>
      </c>
      <c r="G333" t="str">
        <f t="shared" si="5"/>
        <v>C350102</v>
      </c>
    </row>
    <row r="334" spans="1:7">
      <c r="A334" t="s">
        <v>13311</v>
      </c>
      <c r="B334" s="18" t="s">
        <v>5398</v>
      </c>
      <c r="C334" s="19">
        <v>89</v>
      </c>
      <c r="D334" s="31">
        <v>245951.05</v>
      </c>
      <c r="E334" t="str">
        <f>VLOOKUP(B334,'CC by Segment'!$D:$E,2,FALSE)</f>
        <v>Housing</v>
      </c>
      <c r="G334" t="str">
        <f t="shared" si="5"/>
        <v>C350103</v>
      </c>
    </row>
    <row r="335" spans="1:7">
      <c r="A335" t="s">
        <v>13311</v>
      </c>
      <c r="B335" s="18" t="s">
        <v>5407</v>
      </c>
      <c r="C335" s="19">
        <v>2</v>
      </c>
      <c r="D335" s="31">
        <v>14040.68</v>
      </c>
      <c r="E335" t="str">
        <f>VLOOKUP(B335,'CC by Segment'!$D:$E,2,FALSE)</f>
        <v>Housing</v>
      </c>
      <c r="G335" t="str">
        <f t="shared" si="5"/>
        <v>C350104</v>
      </c>
    </row>
    <row r="336" spans="1:7">
      <c r="A336" t="s">
        <v>13311</v>
      </c>
      <c r="B336" s="18" t="s">
        <v>6844</v>
      </c>
      <c r="C336" s="19">
        <v>15</v>
      </c>
      <c r="D336" s="31">
        <v>51027.03</v>
      </c>
      <c r="E336" t="str">
        <f>VLOOKUP(B336,'CC by Segment'!$D:$E,2,FALSE)</f>
        <v>Housing</v>
      </c>
      <c r="G336" t="str">
        <f t="shared" si="5"/>
        <v>C350106</v>
      </c>
    </row>
    <row r="337" spans="1:7">
      <c r="A337" t="s">
        <v>13311</v>
      </c>
      <c r="B337" s="18" t="s">
        <v>5971</v>
      </c>
      <c r="C337" s="19">
        <v>31</v>
      </c>
      <c r="D337" s="31">
        <v>80505.429999999993</v>
      </c>
      <c r="E337" t="str">
        <f>VLOOKUP(B337,'CC by Segment'!$D:$E,2,FALSE)</f>
        <v>Housing</v>
      </c>
      <c r="G337" t="str">
        <f t="shared" si="5"/>
        <v>C350107</v>
      </c>
    </row>
    <row r="338" spans="1:7">
      <c r="A338" t="s">
        <v>13311</v>
      </c>
      <c r="B338" s="18" t="s">
        <v>5977</v>
      </c>
      <c r="C338" s="19">
        <v>10</v>
      </c>
      <c r="D338" s="31">
        <v>31547.37</v>
      </c>
      <c r="E338" t="str">
        <f>VLOOKUP(B338,'CC by Segment'!$D:$E,2,FALSE)</f>
        <v>Housing</v>
      </c>
      <c r="G338" t="str">
        <f t="shared" si="5"/>
        <v>C350108</v>
      </c>
    </row>
    <row r="339" spans="1:7">
      <c r="A339" t="s">
        <v>13311</v>
      </c>
      <c r="B339" s="18" t="s">
        <v>5980</v>
      </c>
      <c r="C339" s="19">
        <v>6</v>
      </c>
      <c r="D339" s="31">
        <v>22123.18</v>
      </c>
      <c r="E339" t="str">
        <f>VLOOKUP(B339,'CC by Segment'!$D:$E,2,FALSE)</f>
        <v>Housing</v>
      </c>
      <c r="G339" t="str">
        <f t="shared" si="5"/>
        <v>C350109</v>
      </c>
    </row>
    <row r="340" spans="1:7">
      <c r="A340" t="s">
        <v>13311</v>
      </c>
      <c r="B340" s="18" t="s">
        <v>5983</v>
      </c>
      <c r="C340" s="19">
        <v>10</v>
      </c>
      <c r="D340" s="31">
        <v>29303.03</v>
      </c>
      <c r="E340" t="str">
        <f>VLOOKUP(B340,'CC by Segment'!$D:$E,2,FALSE)</f>
        <v>Housing</v>
      </c>
      <c r="G340" t="str">
        <f t="shared" si="5"/>
        <v>C350110</v>
      </c>
    </row>
    <row r="341" spans="1:7">
      <c r="A341" t="s">
        <v>13311</v>
      </c>
      <c r="B341" s="18" t="s">
        <v>5989</v>
      </c>
      <c r="C341" s="19">
        <v>14</v>
      </c>
      <c r="D341" s="31">
        <v>41104.449999999997</v>
      </c>
      <c r="E341" t="str">
        <f>VLOOKUP(B341,'CC by Segment'!$D:$E,2,FALSE)</f>
        <v>Housing</v>
      </c>
      <c r="G341" t="str">
        <f t="shared" si="5"/>
        <v>C350112</v>
      </c>
    </row>
    <row r="342" spans="1:7">
      <c r="A342" t="s">
        <v>13311</v>
      </c>
      <c r="B342" s="18" t="s">
        <v>5992</v>
      </c>
      <c r="C342" s="19">
        <v>10</v>
      </c>
      <c r="D342" s="31">
        <v>41399.1</v>
      </c>
      <c r="E342" t="str">
        <f>VLOOKUP(B342,'CC by Segment'!$D:$E,2,FALSE)</f>
        <v>Housing</v>
      </c>
      <c r="G342" t="str">
        <f t="shared" si="5"/>
        <v>C350113</v>
      </c>
    </row>
    <row r="343" spans="1:7">
      <c r="A343" t="s">
        <v>13311</v>
      </c>
      <c r="B343" s="18" t="s">
        <v>5995</v>
      </c>
      <c r="C343" s="19">
        <v>93</v>
      </c>
      <c r="D343" s="31">
        <v>225084.79999999999</v>
      </c>
      <c r="E343" t="str">
        <f>VLOOKUP(B343,'CC by Segment'!$D:$E,2,FALSE)</f>
        <v>Housing</v>
      </c>
      <c r="G343" t="str">
        <f t="shared" si="5"/>
        <v>C350114</v>
      </c>
    </row>
    <row r="344" spans="1:7">
      <c r="A344" t="s">
        <v>13311</v>
      </c>
      <c r="B344" s="18" t="s">
        <v>6004</v>
      </c>
      <c r="C344" s="19">
        <v>12</v>
      </c>
      <c r="D344" s="31">
        <v>45162.48</v>
      </c>
      <c r="E344" t="str">
        <f>VLOOKUP(B344,'CC by Segment'!$D:$E,2,FALSE)</f>
        <v>Housing</v>
      </c>
      <c r="G344" t="str">
        <f t="shared" si="5"/>
        <v>C350115</v>
      </c>
    </row>
    <row r="345" spans="1:7">
      <c r="A345" t="s">
        <v>13311</v>
      </c>
      <c r="B345" s="18" t="s">
        <v>6001</v>
      </c>
      <c r="C345" s="19">
        <v>16</v>
      </c>
      <c r="D345" s="31">
        <v>41198.230000000003</v>
      </c>
      <c r="E345" t="str">
        <f>VLOOKUP(B345,'CC by Segment'!$D:$E,2,FALSE)</f>
        <v>Housing</v>
      </c>
      <c r="G345" t="str">
        <f t="shared" si="5"/>
        <v>C350118</v>
      </c>
    </row>
    <row r="346" spans="1:7">
      <c r="A346" t="s">
        <v>13311</v>
      </c>
      <c r="B346" s="18" t="s">
        <v>6877</v>
      </c>
      <c r="C346" s="19">
        <v>4</v>
      </c>
      <c r="D346" s="31">
        <v>5774.59</v>
      </c>
      <c r="E346" t="str">
        <f>VLOOKUP(B346,'CC by Segment'!$D:$E,2,FALSE)</f>
        <v>Housing</v>
      </c>
      <c r="G346" t="str">
        <f t="shared" si="5"/>
        <v>C350500</v>
      </c>
    </row>
    <row r="347" spans="1:7">
      <c r="A347" t="s">
        <v>13311</v>
      </c>
      <c r="B347" s="18" t="s">
        <v>5186</v>
      </c>
      <c r="C347" s="19">
        <v>14</v>
      </c>
      <c r="D347" s="31">
        <v>21515.47</v>
      </c>
      <c r="E347" t="str">
        <f>VLOOKUP(B347,'CC by Segment'!$D:$E,2,FALSE)</f>
        <v>Housing</v>
      </c>
      <c r="G347" t="str">
        <f t="shared" si="5"/>
        <v>C350501</v>
      </c>
    </row>
    <row r="348" spans="1:7">
      <c r="A348" t="s">
        <v>13311</v>
      </c>
      <c r="B348" s="18" t="s">
        <v>6895</v>
      </c>
      <c r="C348" s="19">
        <v>20</v>
      </c>
      <c r="D348" s="31">
        <v>62878.11</v>
      </c>
      <c r="E348" t="str">
        <f>VLOOKUP(B348,'CC by Segment'!$D:$E,2,FALSE)</f>
        <v>Housing</v>
      </c>
      <c r="G348" t="str">
        <f t="shared" si="5"/>
        <v>C350506</v>
      </c>
    </row>
    <row r="349" spans="1:7">
      <c r="A349" t="s">
        <v>13311</v>
      </c>
      <c r="B349" s="18" t="s">
        <v>5558</v>
      </c>
      <c r="C349" s="19">
        <v>5</v>
      </c>
      <c r="D349" s="31">
        <v>55538.39</v>
      </c>
      <c r="E349" t="str">
        <f>VLOOKUP(B349,'CC by Segment'!$D:$E,2,FALSE)</f>
        <v>Housing</v>
      </c>
      <c r="G349" t="str">
        <f t="shared" si="5"/>
        <v>C350507</v>
      </c>
    </row>
    <row r="350" spans="1:7">
      <c r="A350" t="s">
        <v>13311</v>
      </c>
      <c r="B350" s="18" t="s">
        <v>5642</v>
      </c>
      <c r="C350" s="19">
        <v>34</v>
      </c>
      <c r="D350" s="31">
        <v>50440.37</v>
      </c>
      <c r="E350" t="str">
        <f>VLOOKUP(B350,'CC by Segment'!$D:$E,2,FALSE)</f>
        <v>Housing</v>
      </c>
      <c r="G350" t="str">
        <f t="shared" si="5"/>
        <v>C350510</v>
      </c>
    </row>
    <row r="351" spans="1:7">
      <c r="A351" t="s">
        <v>13311</v>
      </c>
      <c r="B351" s="18" t="s">
        <v>6910</v>
      </c>
      <c r="C351" s="19">
        <v>8</v>
      </c>
      <c r="D351" s="31">
        <v>13422.02</v>
      </c>
      <c r="E351" t="str">
        <f>VLOOKUP(B351,'CC by Segment'!$D:$E,2,FALSE)</f>
        <v>Housing</v>
      </c>
      <c r="G351" t="str">
        <f t="shared" si="5"/>
        <v>C350511</v>
      </c>
    </row>
    <row r="352" spans="1:7">
      <c r="A352" t="s">
        <v>13311</v>
      </c>
      <c r="B352" s="18" t="s">
        <v>6913</v>
      </c>
      <c r="C352" s="19">
        <v>17</v>
      </c>
      <c r="D352" s="31">
        <v>41898.639999999999</v>
      </c>
      <c r="E352" t="str">
        <f>VLOOKUP(B352,'CC by Segment'!$D:$E,2,FALSE)</f>
        <v>Housing</v>
      </c>
      <c r="G352" t="str">
        <f t="shared" si="5"/>
        <v>C350512</v>
      </c>
    </row>
    <row r="353" spans="1:7">
      <c r="A353" t="s">
        <v>13311</v>
      </c>
      <c r="B353" s="18" t="s">
        <v>6916</v>
      </c>
      <c r="C353" s="19">
        <v>26</v>
      </c>
      <c r="D353" s="31">
        <v>34453.94</v>
      </c>
      <c r="E353" t="str">
        <f>VLOOKUP(B353,'CC by Segment'!$D:$E,2,FALSE)</f>
        <v>Housing</v>
      </c>
      <c r="G353" t="str">
        <f t="shared" si="5"/>
        <v>C350513</v>
      </c>
    </row>
    <row r="354" spans="1:7">
      <c r="A354" t="s">
        <v>13311</v>
      </c>
      <c r="B354" s="18" t="s">
        <v>6919</v>
      </c>
      <c r="C354" s="19">
        <v>43</v>
      </c>
      <c r="D354" s="31">
        <v>60452.02</v>
      </c>
      <c r="E354" t="str">
        <f>VLOOKUP(B354,'CC by Segment'!$D:$E,2,FALSE)</f>
        <v>Housing</v>
      </c>
      <c r="G354" t="str">
        <f t="shared" si="5"/>
        <v>C350514</v>
      </c>
    </row>
    <row r="355" spans="1:7">
      <c r="A355" t="s">
        <v>13311</v>
      </c>
      <c r="B355" s="18" t="s">
        <v>5647</v>
      </c>
      <c r="C355" s="19">
        <v>38</v>
      </c>
      <c r="D355" s="31">
        <v>61579.509999999995</v>
      </c>
      <c r="E355" t="str">
        <f>VLOOKUP(B355,'CC by Segment'!$D:$E,2,FALSE)</f>
        <v>Housing</v>
      </c>
      <c r="G355" t="str">
        <f t="shared" si="5"/>
        <v>C350515</v>
      </c>
    </row>
    <row r="356" spans="1:7">
      <c r="A356" t="s">
        <v>13311</v>
      </c>
      <c r="B356" s="18" t="s">
        <v>6928</v>
      </c>
      <c r="C356" s="19">
        <v>6</v>
      </c>
      <c r="D356" s="31">
        <v>6764.48</v>
      </c>
      <c r="E356" t="str">
        <f>VLOOKUP(B356,'CC by Segment'!$D:$E,2,FALSE)</f>
        <v>Housing</v>
      </c>
      <c r="G356" t="str">
        <f t="shared" si="5"/>
        <v>C350517</v>
      </c>
    </row>
    <row r="357" spans="1:7">
      <c r="A357" t="s">
        <v>13311</v>
      </c>
      <c r="B357" s="18" t="s">
        <v>6931</v>
      </c>
      <c r="C357" s="19">
        <v>14</v>
      </c>
      <c r="D357" s="31">
        <v>20102.54</v>
      </c>
      <c r="E357" t="str">
        <f>VLOOKUP(B357,'CC by Segment'!$D:$E,2,FALSE)</f>
        <v>Housing</v>
      </c>
      <c r="G357" t="str">
        <f t="shared" si="5"/>
        <v>C350518</v>
      </c>
    </row>
    <row r="358" spans="1:7">
      <c r="A358" t="s">
        <v>13311</v>
      </c>
      <c r="B358" s="18" t="s">
        <v>5672</v>
      </c>
      <c r="C358" s="19">
        <v>18</v>
      </c>
      <c r="D358" s="31">
        <v>39592.51</v>
      </c>
      <c r="E358" t="str">
        <f>VLOOKUP(B358,'CC by Segment'!$D:$E,2,FALSE)</f>
        <v>Housing</v>
      </c>
      <c r="G358" t="str">
        <f t="shared" si="5"/>
        <v>C350520</v>
      </c>
    </row>
    <row r="359" spans="1:7">
      <c r="A359" t="s">
        <v>13311</v>
      </c>
      <c r="B359" s="18" t="s">
        <v>5715</v>
      </c>
      <c r="C359" s="19">
        <v>16</v>
      </c>
      <c r="D359" s="31">
        <v>26534.82</v>
      </c>
      <c r="E359" t="str">
        <f>VLOOKUP(B359,'CC by Segment'!$D:$E,2,FALSE)</f>
        <v>Housing</v>
      </c>
      <c r="G359" t="str">
        <f t="shared" si="5"/>
        <v>C350522</v>
      </c>
    </row>
    <row r="360" spans="1:7">
      <c r="A360" t="s">
        <v>13311</v>
      </c>
      <c r="B360" s="18" t="s">
        <v>5723</v>
      </c>
      <c r="C360" s="19">
        <v>9</v>
      </c>
      <c r="D360" s="31">
        <v>13297.04</v>
      </c>
      <c r="E360" t="str">
        <f>VLOOKUP(B360,'CC by Segment'!$D:$E,2,FALSE)</f>
        <v>Housing</v>
      </c>
      <c r="G360" t="str">
        <f t="shared" si="5"/>
        <v>C350524</v>
      </c>
    </row>
    <row r="361" spans="1:7">
      <c r="A361" t="s">
        <v>13311</v>
      </c>
      <c r="B361" s="18" t="s">
        <v>5729</v>
      </c>
      <c r="C361" s="19">
        <v>12</v>
      </c>
      <c r="D361" s="31">
        <v>27317.96</v>
      </c>
      <c r="E361" t="str">
        <f>VLOOKUP(B361,'CC by Segment'!$D:$E,2,FALSE)</f>
        <v>Housing</v>
      </c>
      <c r="G361" t="str">
        <f t="shared" si="5"/>
        <v>C350525</v>
      </c>
    </row>
    <row r="362" spans="1:7">
      <c r="A362" t="s">
        <v>13311</v>
      </c>
      <c r="B362" s="18" t="s">
        <v>5732</v>
      </c>
      <c r="C362" s="19">
        <v>8</v>
      </c>
      <c r="D362" s="31">
        <v>23395.97</v>
      </c>
      <c r="E362" t="str">
        <f>VLOOKUP(B362,'CC by Segment'!$D:$E,2,FALSE)</f>
        <v>Housing</v>
      </c>
      <c r="G362" t="str">
        <f t="shared" si="5"/>
        <v>C350526</v>
      </c>
    </row>
    <row r="363" spans="1:7">
      <c r="A363" t="s">
        <v>13311</v>
      </c>
      <c r="B363" s="18" t="s">
        <v>5735</v>
      </c>
      <c r="C363" s="19">
        <v>47</v>
      </c>
      <c r="D363" s="31">
        <v>91033.11</v>
      </c>
      <c r="E363" t="str">
        <f>VLOOKUP(B363,'CC by Segment'!$D:$E,2,FALSE)</f>
        <v>Housing</v>
      </c>
      <c r="G363" t="str">
        <f t="shared" si="5"/>
        <v>C350527</v>
      </c>
    </row>
    <row r="364" spans="1:7">
      <c r="A364" t="s">
        <v>13311</v>
      </c>
      <c r="B364" s="18" t="s">
        <v>5748</v>
      </c>
      <c r="C364" s="19">
        <v>19</v>
      </c>
      <c r="D364" s="31">
        <v>35645.49</v>
      </c>
      <c r="E364" t="str">
        <f>VLOOKUP(B364,'CC by Segment'!$D:$E,2,FALSE)</f>
        <v>Housing</v>
      </c>
      <c r="G364" t="str">
        <f t="shared" si="5"/>
        <v>C350528</v>
      </c>
    </row>
    <row r="365" spans="1:7">
      <c r="A365" t="s">
        <v>13311</v>
      </c>
      <c r="B365" s="18" t="s">
        <v>5778</v>
      </c>
      <c r="C365" s="19">
        <v>10</v>
      </c>
      <c r="D365" s="31">
        <v>18012.77</v>
      </c>
      <c r="E365" t="str">
        <f>VLOOKUP(B365,'CC by Segment'!$D:$E,2,FALSE)</f>
        <v>Housing</v>
      </c>
      <c r="G365" t="str">
        <f t="shared" si="5"/>
        <v>C350529</v>
      </c>
    </row>
    <row r="366" spans="1:7">
      <c r="A366" t="s">
        <v>13311</v>
      </c>
      <c r="B366" s="18" t="s">
        <v>6967</v>
      </c>
      <c r="C366" s="19">
        <v>8</v>
      </c>
      <c r="D366" s="31">
        <v>17095.14</v>
      </c>
      <c r="E366" t="str">
        <f>VLOOKUP(B366,'CC by Segment'!$D:$E,2,FALSE)</f>
        <v>Housing</v>
      </c>
      <c r="G366" t="str">
        <f t="shared" si="5"/>
        <v>C350530</v>
      </c>
    </row>
    <row r="367" spans="1:7">
      <c r="A367" t="s">
        <v>13311</v>
      </c>
      <c r="B367" s="18" t="s">
        <v>6970</v>
      </c>
      <c r="C367" s="19">
        <v>20</v>
      </c>
      <c r="D367" s="31">
        <v>52197.06</v>
      </c>
      <c r="E367" t="str">
        <f>VLOOKUP(B367,'CC by Segment'!$D:$E,2,FALSE)</f>
        <v>Housing</v>
      </c>
      <c r="G367" t="str">
        <f t="shared" si="5"/>
        <v>C350531</v>
      </c>
    </row>
    <row r="368" spans="1:7">
      <c r="A368" t="s">
        <v>13311</v>
      </c>
      <c r="B368" s="18" t="s">
        <v>6973</v>
      </c>
      <c r="C368" s="19">
        <v>9</v>
      </c>
      <c r="D368" s="31">
        <v>13518.12</v>
      </c>
      <c r="E368" t="str">
        <f>VLOOKUP(B368,'CC by Segment'!$D:$E,2,FALSE)</f>
        <v>Housing</v>
      </c>
      <c r="G368" t="str">
        <f t="shared" si="5"/>
        <v>C350532</v>
      </c>
    </row>
    <row r="369" spans="1:7">
      <c r="A369" t="s">
        <v>13311</v>
      </c>
      <c r="B369" s="18" t="s">
        <v>6976</v>
      </c>
      <c r="C369" s="19">
        <v>110</v>
      </c>
      <c r="D369" s="31">
        <v>157025.59</v>
      </c>
      <c r="E369" t="str">
        <f>VLOOKUP(B369,'CC by Segment'!$D:$E,2,FALSE)</f>
        <v>Housing</v>
      </c>
      <c r="G369" t="str">
        <f t="shared" si="5"/>
        <v>C350533</v>
      </c>
    </row>
    <row r="370" spans="1:7">
      <c r="A370" t="s">
        <v>13311</v>
      </c>
      <c r="B370" s="18" t="s">
        <v>6979</v>
      </c>
      <c r="C370" s="19">
        <v>31</v>
      </c>
      <c r="D370" s="31">
        <v>70554.740000000005</v>
      </c>
      <c r="E370" t="str">
        <f>VLOOKUP(B370,'CC by Segment'!$D:$E,2,FALSE)</f>
        <v>Housing</v>
      </c>
      <c r="G370" t="str">
        <f t="shared" si="5"/>
        <v>C350534</v>
      </c>
    </row>
    <row r="371" spans="1:7">
      <c r="A371" t="s">
        <v>13311</v>
      </c>
      <c r="B371" s="18" t="s">
        <v>6982</v>
      </c>
      <c r="C371" s="19">
        <v>21</v>
      </c>
      <c r="D371" s="31">
        <v>50034.78</v>
      </c>
      <c r="E371" t="str">
        <f>VLOOKUP(B371,'CC by Segment'!$D:$E,2,FALSE)</f>
        <v>Housing</v>
      </c>
      <c r="G371" t="str">
        <f t="shared" si="5"/>
        <v>C350535</v>
      </c>
    </row>
    <row r="372" spans="1:7">
      <c r="A372" t="s">
        <v>13311</v>
      </c>
      <c r="B372" s="18" t="s">
        <v>6985</v>
      </c>
      <c r="C372" s="19">
        <v>150</v>
      </c>
      <c r="D372" s="31">
        <v>223822.05</v>
      </c>
      <c r="E372" t="str">
        <f>VLOOKUP(B372,'CC by Segment'!$D:$E,2,FALSE)</f>
        <v>Housing</v>
      </c>
      <c r="G372" t="str">
        <f t="shared" si="5"/>
        <v>C350536</v>
      </c>
    </row>
    <row r="373" spans="1:7">
      <c r="A373" t="s">
        <v>13311</v>
      </c>
      <c r="B373" s="18" t="s">
        <v>6988</v>
      </c>
      <c r="C373" s="19">
        <v>53</v>
      </c>
      <c r="D373" s="31">
        <v>91360.83</v>
      </c>
      <c r="E373" t="str">
        <f>VLOOKUP(B373,'CC by Segment'!$D:$E,2,FALSE)</f>
        <v>Housing</v>
      </c>
      <c r="G373" t="str">
        <f t="shared" si="5"/>
        <v>C350537</v>
      </c>
    </row>
    <row r="374" spans="1:7">
      <c r="A374" t="s">
        <v>13311</v>
      </c>
      <c r="B374" s="18" t="s">
        <v>6991</v>
      </c>
      <c r="C374" s="19">
        <v>10</v>
      </c>
      <c r="D374" s="31">
        <v>20676.03</v>
      </c>
      <c r="E374" t="str">
        <f>VLOOKUP(B374,'CC by Segment'!$D:$E,2,FALSE)</f>
        <v>Housing</v>
      </c>
      <c r="G374" t="str">
        <f t="shared" si="5"/>
        <v>C350538</v>
      </c>
    </row>
    <row r="375" spans="1:7">
      <c r="A375" t="s">
        <v>13311</v>
      </c>
      <c r="B375" s="18" t="s">
        <v>6999</v>
      </c>
      <c r="C375" s="19">
        <v>6</v>
      </c>
      <c r="D375" s="31">
        <v>51825.26</v>
      </c>
      <c r="E375" t="str">
        <f>VLOOKUP(B375,'CC by Segment'!$D:$E,2,FALSE)</f>
        <v>Housing</v>
      </c>
      <c r="G375" t="str">
        <f t="shared" si="5"/>
        <v>C350541</v>
      </c>
    </row>
    <row r="376" spans="1:7">
      <c r="A376" t="s">
        <v>13311</v>
      </c>
      <c r="B376" s="18" t="s">
        <v>7002</v>
      </c>
      <c r="C376" s="19">
        <v>8</v>
      </c>
      <c r="D376" s="31">
        <v>49350.17</v>
      </c>
      <c r="E376" t="str">
        <f>VLOOKUP(B376,'CC by Segment'!$D:$E,2,FALSE)</f>
        <v>Housing</v>
      </c>
      <c r="G376" t="str">
        <f t="shared" si="5"/>
        <v>C350542</v>
      </c>
    </row>
    <row r="377" spans="1:7">
      <c r="A377" t="s">
        <v>13311</v>
      </c>
      <c r="B377" s="18" t="s">
        <v>7005</v>
      </c>
      <c r="C377" s="19">
        <v>7</v>
      </c>
      <c r="D377" s="31">
        <v>33267.370000000003</v>
      </c>
      <c r="E377" t="str">
        <f>VLOOKUP(B377,'CC by Segment'!$D:$E,2,FALSE)</f>
        <v>Housing</v>
      </c>
      <c r="G377" t="str">
        <f t="shared" si="5"/>
        <v>C350543</v>
      </c>
    </row>
    <row r="378" spans="1:7">
      <c r="A378" t="s">
        <v>13311</v>
      </c>
      <c r="B378" s="18" t="s">
        <v>5827</v>
      </c>
      <c r="C378" s="19">
        <v>5</v>
      </c>
      <c r="D378" s="31">
        <v>33581.11</v>
      </c>
      <c r="E378" t="str">
        <f>VLOOKUP(B378,'CC by Segment'!$D:$E,2,FALSE)</f>
        <v>Housing</v>
      </c>
      <c r="G378" t="str">
        <f t="shared" si="5"/>
        <v>C350546</v>
      </c>
    </row>
    <row r="379" spans="1:7">
      <c r="A379" t="s">
        <v>13311</v>
      </c>
      <c r="B379" s="18" t="s">
        <v>7021</v>
      </c>
      <c r="C379" s="19">
        <v>12</v>
      </c>
      <c r="D379" s="31">
        <v>20206.330000000002</v>
      </c>
      <c r="E379" t="str">
        <f>VLOOKUP(B379,'CC by Segment'!$D:$E,2,FALSE)</f>
        <v>Housing</v>
      </c>
      <c r="G379" t="str">
        <f t="shared" si="5"/>
        <v>C350549</v>
      </c>
    </row>
    <row r="380" spans="1:7">
      <c r="A380" t="s">
        <v>13311</v>
      </c>
      <c r="B380" s="18" t="s">
        <v>7024</v>
      </c>
      <c r="C380" s="19">
        <v>11</v>
      </c>
      <c r="D380" s="31">
        <v>13940.76</v>
      </c>
      <c r="E380" t="str">
        <f>VLOOKUP(B380,'CC by Segment'!$D:$E,2,FALSE)</f>
        <v>Housing</v>
      </c>
      <c r="G380" t="str">
        <f t="shared" si="5"/>
        <v>C350550</v>
      </c>
    </row>
    <row r="381" spans="1:7">
      <c r="A381" t="s">
        <v>13311</v>
      </c>
      <c r="B381" s="18" t="s">
        <v>7027</v>
      </c>
      <c r="C381" s="19">
        <v>7</v>
      </c>
      <c r="D381" s="31">
        <v>18815.419999999998</v>
      </c>
      <c r="E381" t="str">
        <f>VLOOKUP(B381,'CC by Segment'!$D:$E,2,FALSE)</f>
        <v>Housing</v>
      </c>
      <c r="G381" t="str">
        <f t="shared" si="5"/>
        <v>C350551</v>
      </c>
    </row>
    <row r="382" spans="1:7">
      <c r="A382" t="s">
        <v>13311</v>
      </c>
      <c r="B382" s="18" t="s">
        <v>7033</v>
      </c>
      <c r="C382" s="19">
        <v>11</v>
      </c>
      <c r="D382" s="31">
        <v>42562.22</v>
      </c>
      <c r="E382" t="str">
        <f>VLOOKUP(B382,'CC by Segment'!$D:$E,2,FALSE)</f>
        <v>Housing</v>
      </c>
      <c r="G382" t="str">
        <f t="shared" si="5"/>
        <v>C350553</v>
      </c>
    </row>
    <row r="383" spans="1:7">
      <c r="A383" t="s">
        <v>13311</v>
      </c>
      <c r="B383" s="18" t="s">
        <v>5851</v>
      </c>
      <c r="C383" s="19">
        <v>16</v>
      </c>
      <c r="D383" s="31">
        <v>43371.3</v>
      </c>
      <c r="E383" t="str">
        <f>VLOOKUP(B383,'CC by Segment'!$D:$E,2,FALSE)</f>
        <v>Housing</v>
      </c>
      <c r="G383" t="str">
        <f t="shared" si="5"/>
        <v>C350555</v>
      </c>
    </row>
    <row r="384" spans="1:7">
      <c r="A384" t="s">
        <v>13311</v>
      </c>
      <c r="B384" s="18" t="s">
        <v>5859</v>
      </c>
      <c r="C384" s="19">
        <v>26</v>
      </c>
      <c r="D384" s="31">
        <v>57397.279999999999</v>
      </c>
      <c r="E384" t="str">
        <f>VLOOKUP(B384,'CC by Segment'!$D:$E,2,FALSE)</f>
        <v>Housing</v>
      </c>
      <c r="G384" t="str">
        <f t="shared" si="5"/>
        <v>C350556</v>
      </c>
    </row>
    <row r="385" spans="1:7">
      <c r="A385" t="s">
        <v>13311</v>
      </c>
      <c r="B385" s="18" t="s">
        <v>7044</v>
      </c>
      <c r="C385" s="19">
        <v>7</v>
      </c>
      <c r="D385" s="31">
        <v>25996.95</v>
      </c>
      <c r="E385" t="str">
        <f>VLOOKUP(B385,'CC by Segment'!$D:$E,2,FALSE)</f>
        <v>Housing</v>
      </c>
      <c r="G385" t="str">
        <f t="shared" si="5"/>
        <v>C350557</v>
      </c>
    </row>
    <row r="386" spans="1:7">
      <c r="A386" t="s">
        <v>13311</v>
      </c>
      <c r="B386" s="18" t="s">
        <v>7047</v>
      </c>
      <c r="C386" s="19">
        <v>18</v>
      </c>
      <c r="D386" s="31">
        <v>25999.83</v>
      </c>
      <c r="E386" t="str">
        <f>VLOOKUP(B386,'CC by Segment'!$D:$E,2,FALSE)</f>
        <v>Housing</v>
      </c>
      <c r="G386" t="str">
        <f t="shared" si="5"/>
        <v>C350558</v>
      </c>
    </row>
    <row r="387" spans="1:7">
      <c r="A387" t="s">
        <v>13311</v>
      </c>
      <c r="B387" s="18" t="s">
        <v>5919</v>
      </c>
      <c r="C387" s="19">
        <v>1</v>
      </c>
      <c r="D387" s="31">
        <v>4582.08</v>
      </c>
      <c r="E387" t="str">
        <f>VLOOKUP(B387,'CC by Segment'!$D:$E,2,FALSE)</f>
        <v>Housing</v>
      </c>
      <c r="G387" t="str">
        <f t="shared" si="5"/>
        <v>C350560</v>
      </c>
    </row>
    <row r="388" spans="1:7">
      <c r="A388" t="s">
        <v>13311</v>
      </c>
      <c r="B388" s="18" t="s">
        <v>5933</v>
      </c>
      <c r="C388" s="19">
        <v>8</v>
      </c>
      <c r="D388" s="31">
        <v>17555.2</v>
      </c>
      <c r="E388" t="str">
        <f>VLOOKUP(B388,'CC by Segment'!$D:$E,2,FALSE)</f>
        <v>Housing</v>
      </c>
      <c r="G388" t="str">
        <f t="shared" si="5"/>
        <v>C350562</v>
      </c>
    </row>
    <row r="389" spans="1:7">
      <c r="A389" t="s">
        <v>13311</v>
      </c>
      <c r="B389" s="18" t="s">
        <v>6148</v>
      </c>
      <c r="C389" s="19">
        <v>8</v>
      </c>
      <c r="D389" s="31">
        <v>29678.53</v>
      </c>
      <c r="E389" t="str">
        <f>VLOOKUP(B389,'CC by Segment'!$D:$E,2,FALSE)</f>
        <v>Housing</v>
      </c>
      <c r="G389" t="str">
        <f t="shared" ref="G389:G452" si="6">TRIM(B389)</f>
        <v>C350566</v>
      </c>
    </row>
    <row r="390" spans="1:7">
      <c r="A390" t="s">
        <v>13311</v>
      </c>
      <c r="B390" s="18" t="s">
        <v>6164</v>
      </c>
      <c r="C390" s="19">
        <v>3</v>
      </c>
      <c r="D390" s="31">
        <v>9172.7000000000007</v>
      </c>
      <c r="E390" t="str">
        <f>VLOOKUP(B390,'CC by Segment'!$D:$E,2,FALSE)</f>
        <v>Housing</v>
      </c>
      <c r="G390" t="str">
        <f t="shared" si="6"/>
        <v>C350567</v>
      </c>
    </row>
    <row r="391" spans="1:7">
      <c r="A391" t="s">
        <v>13311</v>
      </c>
      <c r="B391" s="18" t="s">
        <v>6184</v>
      </c>
      <c r="C391" s="19">
        <v>8</v>
      </c>
      <c r="D391" s="31">
        <v>15031.15</v>
      </c>
      <c r="E391" t="str">
        <f>VLOOKUP(B391,'CC by Segment'!$D:$E,2,FALSE)</f>
        <v>Housing</v>
      </c>
      <c r="G391" t="str">
        <f t="shared" si="6"/>
        <v>C350568</v>
      </c>
    </row>
    <row r="392" spans="1:7">
      <c r="A392" t="s">
        <v>13311</v>
      </c>
      <c r="B392" s="18" t="s">
        <v>6189</v>
      </c>
      <c r="C392" s="19">
        <v>6</v>
      </c>
      <c r="D392" s="31">
        <v>20567.03</v>
      </c>
      <c r="E392" t="str">
        <f>VLOOKUP(B392,'CC by Segment'!$D:$E,2,FALSE)</f>
        <v>Housing</v>
      </c>
      <c r="G392" t="str">
        <f t="shared" si="6"/>
        <v>C350569</v>
      </c>
    </row>
    <row r="393" spans="1:7">
      <c r="A393" t="s">
        <v>13311</v>
      </c>
      <c r="B393" s="18" t="s">
        <v>6273</v>
      </c>
      <c r="C393" s="19">
        <v>3</v>
      </c>
      <c r="D393" s="31">
        <v>6617.23</v>
      </c>
      <c r="E393" t="str">
        <f>VLOOKUP(B393,'CC by Segment'!$D:$E,2,FALSE)</f>
        <v>Housing</v>
      </c>
      <c r="G393" t="str">
        <f t="shared" si="6"/>
        <v>C350571</v>
      </c>
    </row>
    <row r="394" spans="1:7">
      <c r="A394" t="s">
        <v>13311</v>
      </c>
      <c r="B394" s="18" t="s">
        <v>6276</v>
      </c>
      <c r="C394" s="19">
        <v>7</v>
      </c>
      <c r="D394" s="31">
        <v>13324.5</v>
      </c>
      <c r="E394" t="str">
        <f>VLOOKUP(B394,'CC by Segment'!$D:$E,2,FALSE)</f>
        <v>Housing</v>
      </c>
      <c r="G394" t="str">
        <f t="shared" si="6"/>
        <v>C350572</v>
      </c>
    </row>
    <row r="395" spans="1:7">
      <c r="A395" t="s">
        <v>13311</v>
      </c>
      <c r="B395" s="18" t="s">
        <v>6279</v>
      </c>
      <c r="C395" s="19">
        <v>40</v>
      </c>
      <c r="D395" s="31">
        <v>67646.83</v>
      </c>
      <c r="E395" t="str">
        <f>VLOOKUP(B395,'CC by Segment'!$D:$E,2,FALSE)</f>
        <v>Housing</v>
      </c>
      <c r="G395" t="str">
        <f t="shared" si="6"/>
        <v>C350573</v>
      </c>
    </row>
    <row r="396" spans="1:7">
      <c r="A396" t="s">
        <v>13311</v>
      </c>
      <c r="B396" s="18" t="s">
        <v>6282</v>
      </c>
      <c r="C396" s="19">
        <v>10</v>
      </c>
      <c r="D396" s="31">
        <v>19481.990000000002</v>
      </c>
      <c r="E396" t="str">
        <f>VLOOKUP(B396,'CC by Segment'!$D:$E,2,FALSE)</f>
        <v>Housing</v>
      </c>
      <c r="G396" t="str">
        <f t="shared" si="6"/>
        <v>C350574</v>
      </c>
    </row>
    <row r="397" spans="1:7">
      <c r="A397" t="s">
        <v>13311</v>
      </c>
      <c r="B397" s="18" t="s">
        <v>6343</v>
      </c>
      <c r="C397" s="19">
        <v>9</v>
      </c>
      <c r="D397" s="31">
        <v>16071</v>
      </c>
      <c r="E397" t="str">
        <f>VLOOKUP(B397,'CC by Segment'!$D:$E,2,FALSE)</f>
        <v>Housing</v>
      </c>
      <c r="G397" t="str">
        <f t="shared" si="6"/>
        <v>C350576</v>
      </c>
    </row>
    <row r="398" spans="1:7">
      <c r="A398" t="s">
        <v>13311</v>
      </c>
      <c r="B398" s="18" t="s">
        <v>6346</v>
      </c>
      <c r="C398" s="19">
        <v>7</v>
      </c>
      <c r="D398" s="31">
        <v>14352.34</v>
      </c>
      <c r="E398" t="str">
        <f>VLOOKUP(B398,'CC by Segment'!$D:$E,2,FALSE)</f>
        <v>Housing</v>
      </c>
      <c r="G398" t="str">
        <f t="shared" si="6"/>
        <v>C350577</v>
      </c>
    </row>
    <row r="399" spans="1:7">
      <c r="A399" t="s">
        <v>13311</v>
      </c>
      <c r="B399" s="18" t="s">
        <v>6352</v>
      </c>
      <c r="C399" s="19">
        <v>16</v>
      </c>
      <c r="D399" s="31">
        <v>24784.89</v>
      </c>
      <c r="E399" t="str">
        <f>VLOOKUP(B399,'CC by Segment'!$D:$E,2,FALSE)</f>
        <v>Housing</v>
      </c>
      <c r="G399" t="str">
        <f t="shared" si="6"/>
        <v>C350578</v>
      </c>
    </row>
    <row r="400" spans="1:7">
      <c r="A400" t="s">
        <v>13311</v>
      </c>
      <c r="B400" s="18" t="s">
        <v>6355</v>
      </c>
      <c r="C400" s="19">
        <v>36</v>
      </c>
      <c r="D400" s="31">
        <v>44550.75</v>
      </c>
      <c r="E400" t="str">
        <f>VLOOKUP(B400,'CC by Segment'!$D:$E,2,FALSE)</f>
        <v>Housing</v>
      </c>
      <c r="G400" t="str">
        <f t="shared" si="6"/>
        <v>C350579</v>
      </c>
    </row>
    <row r="401" spans="1:7">
      <c r="A401" t="s">
        <v>13311</v>
      </c>
      <c r="B401" s="18" t="s">
        <v>6364</v>
      </c>
      <c r="C401" s="19">
        <v>19</v>
      </c>
      <c r="D401" s="31">
        <v>34968.36</v>
      </c>
      <c r="E401" t="str">
        <f>VLOOKUP(B401,'CC by Segment'!$D:$E,2,FALSE)</f>
        <v>Housing</v>
      </c>
      <c r="G401" t="str">
        <f t="shared" si="6"/>
        <v>C350580</v>
      </c>
    </row>
    <row r="402" spans="1:7">
      <c r="A402" t="s">
        <v>13311</v>
      </c>
      <c r="B402" s="18" t="s">
        <v>6382</v>
      </c>
      <c r="C402" s="19">
        <v>11</v>
      </c>
      <c r="D402" s="31">
        <v>37072.71</v>
      </c>
      <c r="E402" t="str">
        <f>VLOOKUP(B402,'CC by Segment'!$D:$E,2,FALSE)</f>
        <v>Housing</v>
      </c>
      <c r="G402" t="str">
        <f t="shared" si="6"/>
        <v>C350582</v>
      </c>
    </row>
    <row r="403" spans="1:7">
      <c r="A403" t="s">
        <v>13311</v>
      </c>
      <c r="B403" s="18" t="s">
        <v>6552</v>
      </c>
      <c r="C403" s="19">
        <v>33</v>
      </c>
      <c r="D403" s="31">
        <v>156355.66</v>
      </c>
      <c r="E403" t="str">
        <f>VLOOKUP(B403,'CC by Segment'!$D:$E,2,FALSE)</f>
        <v>Housing</v>
      </c>
      <c r="G403" t="str">
        <f t="shared" si="6"/>
        <v>C350583</v>
      </c>
    </row>
    <row r="404" spans="1:7">
      <c r="A404" t="s">
        <v>13311</v>
      </c>
      <c r="B404" s="18" t="s">
        <v>6742</v>
      </c>
      <c r="C404" s="19">
        <v>41</v>
      </c>
      <c r="D404" s="31">
        <v>89837.21</v>
      </c>
      <c r="E404" t="str">
        <f>VLOOKUP(B404,'CC by Segment'!$D:$E,2,FALSE)</f>
        <v>Housing</v>
      </c>
      <c r="G404" t="str">
        <f t="shared" si="6"/>
        <v>C350584</v>
      </c>
    </row>
    <row r="405" spans="1:7">
      <c r="A405" t="s">
        <v>13311</v>
      </c>
      <c r="B405" s="18" t="s">
        <v>6781</v>
      </c>
      <c r="C405" s="19">
        <v>40</v>
      </c>
      <c r="D405" s="31">
        <v>71632.460000000006</v>
      </c>
      <c r="E405" t="str">
        <f>VLOOKUP(B405,'CC by Segment'!$D:$E,2,FALSE)</f>
        <v>Housing</v>
      </c>
      <c r="G405" t="str">
        <f t="shared" si="6"/>
        <v>C350585</v>
      </c>
    </row>
    <row r="406" spans="1:7">
      <c r="A406" t="s">
        <v>13311</v>
      </c>
      <c r="B406" s="18" t="s">
        <v>7118</v>
      </c>
      <c r="C406" s="19">
        <v>20</v>
      </c>
      <c r="D406" s="31">
        <v>80369.279999999999</v>
      </c>
      <c r="E406" t="str">
        <f>VLOOKUP(B406,'CC by Segment'!$D:$E,2,FALSE)</f>
        <v>Housing</v>
      </c>
      <c r="G406" t="str">
        <f t="shared" si="6"/>
        <v>C350586</v>
      </c>
    </row>
    <row r="407" spans="1:7">
      <c r="A407" t="s">
        <v>13311</v>
      </c>
      <c r="B407" s="18" t="s">
        <v>7121</v>
      </c>
      <c r="C407" s="19">
        <v>2</v>
      </c>
      <c r="D407" s="31">
        <v>4262.72</v>
      </c>
      <c r="E407" t="str">
        <f>VLOOKUP(B407,'CC by Segment'!$D:$E,2,FALSE)</f>
        <v>Housing</v>
      </c>
      <c r="G407" t="str">
        <f t="shared" si="6"/>
        <v>C350587</v>
      </c>
    </row>
    <row r="408" spans="1:7">
      <c r="A408" t="s">
        <v>13311</v>
      </c>
      <c r="B408" s="18" t="s">
        <v>7124</v>
      </c>
      <c r="C408" s="19">
        <v>17</v>
      </c>
      <c r="D408" s="31">
        <v>30747.27</v>
      </c>
      <c r="E408" t="str">
        <f>VLOOKUP(B408,'CC by Segment'!$D:$E,2,FALSE)</f>
        <v>Housing</v>
      </c>
      <c r="G408" t="str">
        <f t="shared" si="6"/>
        <v>C350588</v>
      </c>
    </row>
    <row r="409" spans="1:7">
      <c r="A409" t="s">
        <v>13311</v>
      </c>
      <c r="B409" s="18" t="s">
        <v>7127</v>
      </c>
      <c r="C409" s="19">
        <v>8</v>
      </c>
      <c r="D409" s="31">
        <v>30096.89</v>
      </c>
      <c r="E409" t="str">
        <f>VLOOKUP(B409,'CC by Segment'!$D:$E,2,FALSE)</f>
        <v>Housing</v>
      </c>
      <c r="G409" t="str">
        <f t="shared" si="6"/>
        <v>C350589</v>
      </c>
    </row>
    <row r="410" spans="1:7">
      <c r="A410" t="s">
        <v>13311</v>
      </c>
      <c r="B410" s="18" t="s">
        <v>7130</v>
      </c>
      <c r="C410" s="19">
        <v>3</v>
      </c>
      <c r="D410" s="31">
        <v>4482.3500000000004</v>
      </c>
      <c r="E410" t="str">
        <f>VLOOKUP(B410,'CC by Segment'!$D:$E,2,FALSE)</f>
        <v>Housing</v>
      </c>
      <c r="G410" t="str">
        <f t="shared" si="6"/>
        <v>C350590</v>
      </c>
    </row>
    <row r="411" spans="1:7">
      <c r="A411" t="s">
        <v>13311</v>
      </c>
      <c r="B411" s="18" t="s">
        <v>6799</v>
      </c>
      <c r="C411" s="19">
        <v>48</v>
      </c>
      <c r="D411" s="31">
        <v>108971.56</v>
      </c>
      <c r="E411" t="str">
        <f>VLOOKUP(B411,'CC by Segment'!$D:$E,2,FALSE)</f>
        <v>Housing</v>
      </c>
      <c r="G411" t="str">
        <f t="shared" si="6"/>
        <v>C350591</v>
      </c>
    </row>
    <row r="412" spans="1:7">
      <c r="A412" t="s">
        <v>13311</v>
      </c>
      <c r="B412" s="18" t="s">
        <v>6802</v>
      </c>
      <c r="C412" s="19">
        <v>28</v>
      </c>
      <c r="D412" s="31">
        <v>90622.5</v>
      </c>
      <c r="E412" t="str">
        <f>VLOOKUP(B412,'CC by Segment'!$D:$E,2,FALSE)</f>
        <v>Housing</v>
      </c>
      <c r="G412" t="str">
        <f t="shared" si="6"/>
        <v>C350592</v>
      </c>
    </row>
    <row r="413" spans="1:7">
      <c r="A413" t="s">
        <v>13311</v>
      </c>
      <c r="B413" s="18" t="s">
        <v>7133</v>
      </c>
      <c r="C413" s="19">
        <v>198</v>
      </c>
      <c r="D413" s="31">
        <v>248621.56</v>
      </c>
      <c r="E413" t="str">
        <f>VLOOKUP(B413,'CC by Segment'!$D:$E,2,FALSE)</f>
        <v>Housing</v>
      </c>
      <c r="G413" t="str">
        <f t="shared" si="6"/>
        <v>C350593</v>
      </c>
    </row>
    <row r="414" spans="1:7">
      <c r="A414" t="s">
        <v>13311</v>
      </c>
      <c r="B414" s="18" t="s">
        <v>7139</v>
      </c>
      <c r="C414" s="19">
        <v>36</v>
      </c>
      <c r="D414" s="31">
        <v>90855.45</v>
      </c>
      <c r="E414" t="str">
        <f>VLOOKUP(B414,'CC by Segment'!$D:$E,2,FALSE)</f>
        <v>Housing</v>
      </c>
      <c r="G414" t="str">
        <f t="shared" si="6"/>
        <v>C350595</v>
      </c>
    </row>
    <row r="415" spans="1:7">
      <c r="A415" t="s">
        <v>13311</v>
      </c>
      <c r="B415" s="18" t="s">
        <v>7142</v>
      </c>
      <c r="C415" s="19">
        <v>12</v>
      </c>
      <c r="D415" s="31">
        <v>18507.310000000001</v>
      </c>
      <c r="E415" t="str">
        <f>VLOOKUP(B415,'CC by Segment'!$D:$E,2,FALSE)</f>
        <v>Housing</v>
      </c>
      <c r="G415" t="str">
        <f t="shared" si="6"/>
        <v>C350596</v>
      </c>
    </row>
    <row r="416" spans="1:7">
      <c r="A416" t="s">
        <v>13311</v>
      </c>
      <c r="B416" s="18" t="s">
        <v>7145</v>
      </c>
      <c r="C416" s="19">
        <v>24</v>
      </c>
      <c r="D416" s="31">
        <v>35831.15</v>
      </c>
      <c r="E416" t="str">
        <f>VLOOKUP(B416,'CC by Segment'!$D:$E,2,FALSE)</f>
        <v>Housing</v>
      </c>
      <c r="G416" t="str">
        <f t="shared" si="6"/>
        <v>C350597</v>
      </c>
    </row>
    <row r="417" spans="1:7">
      <c r="A417" t="s">
        <v>13311</v>
      </c>
      <c r="B417" s="18" t="s">
        <v>7148</v>
      </c>
      <c r="C417" s="19">
        <v>8</v>
      </c>
      <c r="D417" s="31">
        <v>25893.91</v>
      </c>
      <c r="E417" t="str">
        <f>VLOOKUP(B417,'CC by Segment'!$D:$E,2,FALSE)</f>
        <v>Housing</v>
      </c>
      <c r="G417" t="str">
        <f t="shared" si="6"/>
        <v>C350598</v>
      </c>
    </row>
    <row r="418" spans="1:7">
      <c r="A418" t="s">
        <v>13311</v>
      </c>
      <c r="B418" s="18" t="s">
        <v>7151</v>
      </c>
      <c r="C418" s="19">
        <v>195</v>
      </c>
      <c r="D418" s="31">
        <v>243675.51</v>
      </c>
      <c r="E418" t="str">
        <f>VLOOKUP(B418,'CC by Segment'!$D:$E,2,FALSE)</f>
        <v>Housing</v>
      </c>
      <c r="G418" t="str">
        <f t="shared" si="6"/>
        <v>C350599</v>
      </c>
    </row>
    <row r="419" spans="1:7">
      <c r="A419" t="s">
        <v>13311</v>
      </c>
      <c r="B419" s="18" t="s">
        <v>7157</v>
      </c>
      <c r="C419" s="19">
        <v>40</v>
      </c>
      <c r="D419" s="31">
        <v>50377.98</v>
      </c>
      <c r="E419" t="str">
        <f>VLOOKUP(B419,'CC by Segment'!$D:$E,2,FALSE)</f>
        <v>Housing</v>
      </c>
      <c r="G419" t="str">
        <f t="shared" si="6"/>
        <v>C350601</v>
      </c>
    </row>
    <row r="420" spans="1:7">
      <c r="A420" t="s">
        <v>13311</v>
      </c>
      <c r="B420" s="18" t="s">
        <v>7160</v>
      </c>
      <c r="C420" s="19">
        <v>188</v>
      </c>
      <c r="D420" s="31">
        <v>281827.13</v>
      </c>
      <c r="E420" t="str">
        <f>VLOOKUP(B420,'CC by Segment'!$D:$E,2,FALSE)</f>
        <v>Housing</v>
      </c>
      <c r="G420" t="str">
        <f t="shared" si="6"/>
        <v>C350602</v>
      </c>
    </row>
    <row r="421" spans="1:7">
      <c r="A421" t="s">
        <v>13311</v>
      </c>
      <c r="B421" s="18" t="s">
        <v>7163</v>
      </c>
      <c r="C421" s="19">
        <v>95</v>
      </c>
      <c r="D421" s="31">
        <v>142202.38</v>
      </c>
      <c r="E421" t="str">
        <f>VLOOKUP(B421,'CC by Segment'!$D:$E,2,FALSE)</f>
        <v>Housing</v>
      </c>
      <c r="G421" t="str">
        <f t="shared" si="6"/>
        <v>C350603</v>
      </c>
    </row>
    <row r="422" spans="1:7">
      <c r="A422" t="s">
        <v>13311</v>
      </c>
      <c r="B422" s="18" t="s">
        <v>6814</v>
      </c>
      <c r="C422" s="19">
        <v>24</v>
      </c>
      <c r="D422" s="31">
        <v>34146.660000000003</v>
      </c>
      <c r="E422" t="str">
        <f>VLOOKUP(B422,'CC by Segment'!$D:$E,2,FALSE)</f>
        <v>Housing</v>
      </c>
      <c r="G422" t="str">
        <f t="shared" si="6"/>
        <v>C350604</v>
      </c>
    </row>
    <row r="423" spans="1:7">
      <c r="A423" t="s">
        <v>13311</v>
      </c>
      <c r="B423" s="18" t="s">
        <v>6820</v>
      </c>
      <c r="C423" s="19">
        <v>7</v>
      </c>
      <c r="D423" s="31">
        <v>23792.12</v>
      </c>
      <c r="E423" t="str">
        <f>VLOOKUP(B423,'CC by Segment'!$D:$E,2,FALSE)</f>
        <v>Housing</v>
      </c>
      <c r="G423" t="str">
        <f t="shared" si="6"/>
        <v>C350605</v>
      </c>
    </row>
    <row r="424" spans="1:7">
      <c r="A424" t="s">
        <v>13311</v>
      </c>
      <c r="B424" s="18" t="s">
        <v>7169</v>
      </c>
      <c r="C424" s="19">
        <v>2</v>
      </c>
      <c r="D424" s="31">
        <v>9769.1200000000008</v>
      </c>
      <c r="E424" t="str">
        <f>VLOOKUP(B424,'CC by Segment'!$D:$E,2,FALSE)</f>
        <v>Housing</v>
      </c>
      <c r="G424" t="str">
        <f t="shared" si="6"/>
        <v>C350606</v>
      </c>
    </row>
    <row r="425" spans="1:7">
      <c r="A425" t="s">
        <v>13311</v>
      </c>
      <c r="B425" s="18" t="s">
        <v>7172</v>
      </c>
      <c r="C425" s="19">
        <v>39</v>
      </c>
      <c r="D425" s="31">
        <v>117476.57</v>
      </c>
      <c r="E425" t="str">
        <f>VLOOKUP(B425,'CC by Segment'!$D:$E,2,FALSE)</f>
        <v>Housing</v>
      </c>
      <c r="G425" t="str">
        <f t="shared" si="6"/>
        <v>C350607</v>
      </c>
    </row>
    <row r="426" spans="1:7">
      <c r="A426" t="s">
        <v>13311</v>
      </c>
      <c r="B426" s="18" t="s">
        <v>7175</v>
      </c>
      <c r="C426" s="19">
        <v>3</v>
      </c>
      <c r="D426" s="31">
        <v>12973.31</v>
      </c>
      <c r="E426" t="str">
        <f>VLOOKUP(B426,'CC by Segment'!$D:$E,2,FALSE)</f>
        <v>Housing</v>
      </c>
      <c r="G426" t="str">
        <f t="shared" si="6"/>
        <v>C350608</v>
      </c>
    </row>
    <row r="427" spans="1:7">
      <c r="A427" t="s">
        <v>13311</v>
      </c>
      <c r="B427" s="18" t="s">
        <v>7178</v>
      </c>
      <c r="C427" s="19">
        <v>3</v>
      </c>
      <c r="D427" s="31">
        <v>21037.39</v>
      </c>
      <c r="E427" t="str">
        <f>VLOOKUP(B427,'CC by Segment'!$D:$E,2,FALSE)</f>
        <v>Housing</v>
      </c>
      <c r="G427" t="str">
        <f t="shared" si="6"/>
        <v>C350609</v>
      </c>
    </row>
    <row r="428" spans="1:7">
      <c r="A428" t="s">
        <v>13311</v>
      </c>
      <c r="B428" s="18" t="s">
        <v>7181</v>
      </c>
      <c r="C428" s="19">
        <v>7</v>
      </c>
      <c r="D428" s="31">
        <v>30742.080000000002</v>
      </c>
      <c r="E428" t="str">
        <f>VLOOKUP(B428,'CC by Segment'!$D:$E,2,FALSE)</f>
        <v>Housing</v>
      </c>
      <c r="G428" t="str">
        <f t="shared" si="6"/>
        <v>C350610</v>
      </c>
    </row>
    <row r="429" spans="1:7">
      <c r="A429" t="s">
        <v>13311</v>
      </c>
      <c r="B429" s="18" t="s">
        <v>6838</v>
      </c>
      <c r="C429" s="19">
        <v>16</v>
      </c>
      <c r="D429" s="31">
        <v>61322.82</v>
      </c>
      <c r="E429" t="str">
        <f>VLOOKUP(B429,'CC by Segment'!$D:$E,2,FALSE)</f>
        <v>Housing</v>
      </c>
      <c r="G429" t="str">
        <f t="shared" si="6"/>
        <v>C350611</v>
      </c>
    </row>
    <row r="430" spans="1:7">
      <c r="A430" t="s">
        <v>13311</v>
      </c>
      <c r="B430" s="18" t="s">
        <v>7187</v>
      </c>
      <c r="C430" s="19">
        <v>22</v>
      </c>
      <c r="D430" s="31">
        <v>32236.22</v>
      </c>
      <c r="E430" t="str">
        <f>VLOOKUP(B430,'CC by Segment'!$D:$E,2,FALSE)</f>
        <v>Housing</v>
      </c>
      <c r="G430" t="str">
        <f t="shared" si="6"/>
        <v>C350612</v>
      </c>
    </row>
    <row r="431" spans="1:7">
      <c r="A431" t="s">
        <v>13311</v>
      </c>
      <c r="B431" s="18" t="s">
        <v>7190</v>
      </c>
      <c r="C431" s="19">
        <v>10</v>
      </c>
      <c r="D431" s="31">
        <v>22211.14</v>
      </c>
      <c r="E431" t="str">
        <f>VLOOKUP(B431,'CC by Segment'!$D:$E,2,FALSE)</f>
        <v>Housing</v>
      </c>
      <c r="G431" t="str">
        <f t="shared" si="6"/>
        <v>C350613</v>
      </c>
    </row>
    <row r="432" spans="1:7">
      <c r="A432" t="s">
        <v>13311</v>
      </c>
      <c r="B432" s="18" t="s">
        <v>7193</v>
      </c>
      <c r="C432" s="19">
        <v>180</v>
      </c>
      <c r="D432" s="31">
        <v>262448.95</v>
      </c>
      <c r="E432" t="str">
        <f>VLOOKUP(B432,'CC by Segment'!$D:$E,2,FALSE)</f>
        <v>Housing</v>
      </c>
      <c r="G432" t="str">
        <f t="shared" si="6"/>
        <v>C350614</v>
      </c>
    </row>
    <row r="433" spans="1:7">
      <c r="A433" t="s">
        <v>13311</v>
      </c>
      <c r="B433" s="18" t="s">
        <v>7196</v>
      </c>
      <c r="C433" s="19">
        <v>195</v>
      </c>
      <c r="D433" s="31">
        <v>303947.92</v>
      </c>
      <c r="E433" t="str">
        <f>VLOOKUP(B433,'CC by Segment'!$D:$E,2,FALSE)</f>
        <v>Housing</v>
      </c>
      <c r="G433" t="str">
        <f t="shared" si="6"/>
        <v>C350615</v>
      </c>
    </row>
    <row r="434" spans="1:7">
      <c r="A434" t="s">
        <v>13311</v>
      </c>
      <c r="B434" s="18" t="s">
        <v>7199</v>
      </c>
      <c r="C434" s="19">
        <v>24</v>
      </c>
      <c r="D434" s="31">
        <v>70183.61</v>
      </c>
      <c r="E434" t="str">
        <f>VLOOKUP(B434,'CC by Segment'!$D:$E,2,FALSE)</f>
        <v>Housing</v>
      </c>
      <c r="G434" t="str">
        <f t="shared" si="6"/>
        <v>C350616</v>
      </c>
    </row>
    <row r="435" spans="1:7">
      <c r="A435" t="s">
        <v>13311</v>
      </c>
      <c r="B435" s="18" t="s">
        <v>7202</v>
      </c>
      <c r="C435" s="19">
        <v>56</v>
      </c>
      <c r="D435" s="31">
        <v>92878.79</v>
      </c>
      <c r="E435" t="str">
        <f>VLOOKUP(B435,'CC by Segment'!$D:$E,2,FALSE)</f>
        <v>Housing</v>
      </c>
      <c r="G435" t="str">
        <f t="shared" si="6"/>
        <v>C350617</v>
      </c>
    </row>
    <row r="436" spans="1:7">
      <c r="A436" t="s">
        <v>13311</v>
      </c>
      <c r="B436" s="18" t="s">
        <v>7205</v>
      </c>
      <c r="C436" s="19">
        <v>10</v>
      </c>
      <c r="D436" s="31">
        <v>15374.42</v>
      </c>
      <c r="E436" t="str">
        <f>VLOOKUP(B436,'CC by Segment'!$D:$E,2,FALSE)</f>
        <v>Housing</v>
      </c>
      <c r="G436" t="str">
        <f t="shared" si="6"/>
        <v>C350618</v>
      </c>
    </row>
    <row r="437" spans="1:7">
      <c r="A437" t="s">
        <v>13311</v>
      </c>
      <c r="B437" s="18" t="s">
        <v>7211</v>
      </c>
      <c r="C437" s="19">
        <v>78</v>
      </c>
      <c r="D437" s="31">
        <v>195690.54</v>
      </c>
      <c r="E437" t="str">
        <f>VLOOKUP(B437,'CC by Segment'!$D:$E,2,FALSE)</f>
        <v>Housing</v>
      </c>
      <c r="G437" t="str">
        <f t="shared" si="6"/>
        <v>C350620</v>
      </c>
    </row>
    <row r="438" spans="1:7">
      <c r="A438" t="s">
        <v>13311</v>
      </c>
      <c r="B438" s="18" t="s">
        <v>7217</v>
      </c>
      <c r="C438" s="19">
        <v>2</v>
      </c>
      <c r="D438" s="31">
        <v>2596.65</v>
      </c>
      <c r="E438" t="str">
        <f>VLOOKUP(B438,'CC by Segment'!$D:$E,2,FALSE)</f>
        <v>Housing</v>
      </c>
      <c r="G438" t="str">
        <f t="shared" si="6"/>
        <v>C350622</v>
      </c>
    </row>
    <row r="439" spans="1:7">
      <c r="A439" t="s">
        <v>13311</v>
      </c>
      <c r="B439" s="18" t="s">
        <v>7220</v>
      </c>
      <c r="C439" s="19">
        <v>30</v>
      </c>
      <c r="D439" s="31">
        <v>78631.72</v>
      </c>
      <c r="E439" t="str">
        <f>VLOOKUP(B439,'CC by Segment'!$D:$E,2,FALSE)</f>
        <v>Housing</v>
      </c>
      <c r="G439" t="str">
        <f t="shared" si="6"/>
        <v>C350623</v>
      </c>
    </row>
    <row r="440" spans="1:7">
      <c r="A440" t="s">
        <v>13311</v>
      </c>
      <c r="B440" s="18" t="s">
        <v>7223</v>
      </c>
      <c r="C440" s="19">
        <v>2</v>
      </c>
      <c r="D440" s="31">
        <v>4492.42</v>
      </c>
      <c r="E440" t="str">
        <f>VLOOKUP(B440,'CC by Segment'!$D:$E,2,FALSE)</f>
        <v>Housing</v>
      </c>
      <c r="G440" t="str">
        <f t="shared" si="6"/>
        <v>C350624</v>
      </c>
    </row>
    <row r="441" spans="1:7">
      <c r="A441" t="s">
        <v>13311</v>
      </c>
      <c r="B441" s="18" t="s">
        <v>7226</v>
      </c>
      <c r="C441" s="19">
        <v>5</v>
      </c>
      <c r="D441" s="31">
        <v>28343.11</v>
      </c>
      <c r="E441" t="str">
        <f>VLOOKUP(B441,'CC by Segment'!$D:$E,2,FALSE)</f>
        <v>Housing</v>
      </c>
      <c r="G441" t="str">
        <f t="shared" si="6"/>
        <v>C350625</v>
      </c>
    </row>
    <row r="442" spans="1:7">
      <c r="A442" t="s">
        <v>13311</v>
      </c>
      <c r="B442" s="18" t="s">
        <v>7232</v>
      </c>
      <c r="C442" s="19">
        <v>1</v>
      </c>
      <c r="D442" s="31">
        <v>3468.08</v>
      </c>
      <c r="E442" t="str">
        <f>VLOOKUP(B442,'CC by Segment'!$D:$E,2,FALSE)</f>
        <v>Housing</v>
      </c>
      <c r="G442" t="str">
        <f t="shared" si="6"/>
        <v>C350627</v>
      </c>
    </row>
    <row r="443" spans="1:7">
      <c r="A443" t="s">
        <v>13311</v>
      </c>
      <c r="B443" s="18" t="s">
        <v>7235</v>
      </c>
      <c r="C443" s="19">
        <v>6</v>
      </c>
      <c r="D443" s="31">
        <v>31557.08</v>
      </c>
      <c r="E443" t="str">
        <f>VLOOKUP(B443,'CC by Segment'!$D:$E,2,FALSE)</f>
        <v>Housing</v>
      </c>
      <c r="G443" t="str">
        <f t="shared" si="6"/>
        <v>C350628</v>
      </c>
    </row>
    <row r="444" spans="1:7">
      <c r="A444" t="s">
        <v>13311</v>
      </c>
      <c r="B444" s="18" t="s">
        <v>7241</v>
      </c>
      <c r="C444" s="19">
        <v>31</v>
      </c>
      <c r="D444" s="31">
        <v>52312.97</v>
      </c>
      <c r="E444" t="str">
        <f>VLOOKUP(B444,'CC by Segment'!$D:$E,2,FALSE)</f>
        <v>Housing</v>
      </c>
      <c r="G444" t="str">
        <f t="shared" si="6"/>
        <v>C350630</v>
      </c>
    </row>
    <row r="445" spans="1:7">
      <c r="A445" t="s">
        <v>13311</v>
      </c>
      <c r="B445" s="18" t="s">
        <v>7244</v>
      </c>
      <c r="C445" s="19">
        <v>3</v>
      </c>
      <c r="D445" s="31">
        <v>15225.35</v>
      </c>
      <c r="E445" t="str">
        <f>VLOOKUP(B445,'CC by Segment'!$D:$E,2,FALSE)</f>
        <v>Housing</v>
      </c>
      <c r="G445" t="str">
        <f t="shared" si="6"/>
        <v>C350631</v>
      </c>
    </row>
    <row r="446" spans="1:7">
      <c r="A446" t="s">
        <v>13311</v>
      </c>
      <c r="B446" s="18" t="s">
        <v>7247</v>
      </c>
      <c r="C446" s="19">
        <v>4</v>
      </c>
      <c r="D446" s="31">
        <v>20432.46</v>
      </c>
      <c r="E446" t="str">
        <f>VLOOKUP(B446,'CC by Segment'!$D:$E,2,FALSE)</f>
        <v>Housing</v>
      </c>
      <c r="G446" t="str">
        <f t="shared" si="6"/>
        <v>C350632</v>
      </c>
    </row>
    <row r="447" spans="1:7">
      <c r="A447" t="s">
        <v>13311</v>
      </c>
      <c r="B447" s="18" t="s">
        <v>7250</v>
      </c>
      <c r="C447" s="19">
        <v>5</v>
      </c>
      <c r="D447" s="31">
        <v>22260.84</v>
      </c>
      <c r="E447" t="str">
        <f>VLOOKUP(B447,'CC by Segment'!$D:$E,2,FALSE)</f>
        <v>Housing</v>
      </c>
      <c r="G447" t="str">
        <f t="shared" si="6"/>
        <v>C350633</v>
      </c>
    </row>
    <row r="448" spans="1:7">
      <c r="A448" t="s">
        <v>13311</v>
      </c>
      <c r="B448" s="18" t="s">
        <v>7253</v>
      </c>
      <c r="C448" s="19">
        <v>14</v>
      </c>
      <c r="D448" s="31">
        <v>33792.93</v>
      </c>
      <c r="E448" t="str">
        <f>VLOOKUP(B448,'CC by Segment'!$D:$E,2,FALSE)</f>
        <v>Housing</v>
      </c>
      <c r="G448" t="str">
        <f t="shared" si="6"/>
        <v>C350634</v>
      </c>
    </row>
    <row r="449" spans="1:7">
      <c r="A449" t="s">
        <v>13311</v>
      </c>
      <c r="B449" s="18" t="s">
        <v>7262</v>
      </c>
      <c r="C449" s="19">
        <v>9</v>
      </c>
      <c r="D449" s="31">
        <v>17325.04</v>
      </c>
      <c r="E449" t="str">
        <f>VLOOKUP(B449,'CC by Segment'!$D:$E,2,FALSE)</f>
        <v>Housing</v>
      </c>
      <c r="G449" t="str">
        <f t="shared" si="6"/>
        <v>C350637</v>
      </c>
    </row>
    <row r="450" spans="1:7">
      <c r="A450" t="s">
        <v>13311</v>
      </c>
      <c r="B450" s="18" t="s">
        <v>7265</v>
      </c>
      <c r="C450" s="19">
        <v>26</v>
      </c>
      <c r="D450" s="31">
        <v>45344.22</v>
      </c>
      <c r="E450" t="str">
        <f>VLOOKUP(B450,'CC by Segment'!$D:$E,2,FALSE)</f>
        <v>Housing</v>
      </c>
      <c r="G450" t="str">
        <f t="shared" si="6"/>
        <v>C350638</v>
      </c>
    </row>
    <row r="451" spans="1:7">
      <c r="A451" t="s">
        <v>13311</v>
      </c>
      <c r="B451" s="18" t="s">
        <v>7268</v>
      </c>
      <c r="C451" s="19">
        <v>51</v>
      </c>
      <c r="D451" s="31">
        <v>88852.28</v>
      </c>
      <c r="E451" t="str">
        <f>VLOOKUP(B451,'CC by Segment'!$D:$E,2,FALSE)</f>
        <v>Housing</v>
      </c>
      <c r="G451" t="str">
        <f t="shared" si="6"/>
        <v>C350639</v>
      </c>
    </row>
    <row r="452" spans="1:7">
      <c r="A452" t="s">
        <v>13311</v>
      </c>
      <c r="B452" s="18" t="s">
        <v>6847</v>
      </c>
      <c r="C452" s="19">
        <v>5</v>
      </c>
      <c r="D452" s="31">
        <v>15978.43</v>
      </c>
      <c r="E452" t="str">
        <f>VLOOKUP(B452,'CC by Segment'!$D:$E,2,FALSE)</f>
        <v>Housing</v>
      </c>
      <c r="G452" t="str">
        <f t="shared" si="6"/>
        <v>C350640</v>
      </c>
    </row>
    <row r="453" spans="1:7">
      <c r="A453" t="s">
        <v>13311</v>
      </c>
      <c r="B453" s="18" t="s">
        <v>7274</v>
      </c>
      <c r="C453" s="19">
        <v>6</v>
      </c>
      <c r="D453" s="31">
        <v>11040.82</v>
      </c>
      <c r="E453" t="str">
        <f>VLOOKUP(B453,'CC by Segment'!$D:$E,2,FALSE)</f>
        <v>Housing</v>
      </c>
      <c r="G453" t="str">
        <f t="shared" ref="G453:G516" si="7">TRIM(B453)</f>
        <v>C350641</v>
      </c>
    </row>
    <row r="454" spans="1:7">
      <c r="A454" t="s">
        <v>13311</v>
      </c>
      <c r="B454" s="18" t="s">
        <v>5561</v>
      </c>
      <c r="C454" s="19">
        <v>21</v>
      </c>
      <c r="D454" s="31">
        <v>32274.35</v>
      </c>
      <c r="E454" t="str">
        <f>VLOOKUP(B454,'CC by Segment'!$D:$E,2,FALSE)</f>
        <v>Housing</v>
      </c>
      <c r="G454" t="str">
        <f t="shared" si="7"/>
        <v>C350644</v>
      </c>
    </row>
    <row r="455" spans="1:7">
      <c r="A455" t="s">
        <v>13311</v>
      </c>
      <c r="B455" s="18" t="s">
        <v>6388</v>
      </c>
      <c r="C455" s="19">
        <v>4</v>
      </c>
      <c r="D455" s="31">
        <v>22752</v>
      </c>
      <c r="E455" t="str">
        <f>VLOOKUP(B455,'CC by Segment'!$D:$E,2,FALSE)</f>
        <v>Housing</v>
      </c>
      <c r="G455" t="str">
        <f t="shared" si="7"/>
        <v>C350670</v>
      </c>
    </row>
    <row r="456" spans="1:7">
      <c r="A456" t="s">
        <v>13311</v>
      </c>
      <c r="B456" s="18" t="s">
        <v>6796</v>
      </c>
      <c r="C456" s="19">
        <v>4</v>
      </c>
      <c r="D456" s="31">
        <v>5271.51</v>
      </c>
      <c r="E456" t="str">
        <f>VLOOKUP(B456,'CC by Segment'!$D:$E,2,FALSE)</f>
        <v>Housing</v>
      </c>
      <c r="G456" t="str">
        <f t="shared" si="7"/>
        <v>C350674</v>
      </c>
    </row>
    <row r="457" spans="1:7">
      <c r="A457" t="s">
        <v>13311</v>
      </c>
      <c r="B457" s="18" t="s">
        <v>7367</v>
      </c>
      <c r="C457" s="19">
        <v>5</v>
      </c>
      <c r="D457" s="31">
        <v>22010.86</v>
      </c>
      <c r="E457" t="str">
        <f>VLOOKUP(B457,'CC by Segment'!$D:$E,2,FALSE)</f>
        <v>Housing</v>
      </c>
      <c r="G457" t="str">
        <f t="shared" si="7"/>
        <v>C350679</v>
      </c>
    </row>
    <row r="458" spans="1:7">
      <c r="A458" t="s">
        <v>13311</v>
      </c>
      <c r="B458" s="18" t="s">
        <v>19775</v>
      </c>
      <c r="C458" s="19">
        <v>11</v>
      </c>
      <c r="D458" s="31">
        <v>17700.96</v>
      </c>
      <c r="E458" t="str">
        <f>VLOOKUP(B458,'CC by Segment'!$D:$E,2,FALSE)</f>
        <v>Housing</v>
      </c>
      <c r="G458" t="str">
        <f t="shared" si="7"/>
        <v>C350690</v>
      </c>
    </row>
    <row r="459" spans="1:7">
      <c r="A459" t="s">
        <v>13311</v>
      </c>
      <c r="B459" s="18" t="s">
        <v>18185</v>
      </c>
      <c r="C459" s="19">
        <v>4</v>
      </c>
      <c r="D459" s="31">
        <v>12807.31</v>
      </c>
      <c r="E459" t="str">
        <f>VLOOKUP(B459,'CC by Segment'!$D:$E,2,FALSE)</f>
        <v>Housing</v>
      </c>
      <c r="G459" t="str">
        <f t="shared" si="7"/>
        <v>C350691</v>
      </c>
    </row>
    <row r="460" spans="1:7">
      <c r="A460" t="s">
        <v>13311</v>
      </c>
      <c r="B460" s="18" t="s">
        <v>6018</v>
      </c>
      <c r="C460" s="19">
        <v>49</v>
      </c>
      <c r="D460" s="31">
        <v>87411.9</v>
      </c>
      <c r="E460" t="str">
        <f>VLOOKUP(B460,'CC by Segment'!$D:$E,2,FALSE)</f>
        <v>Housing</v>
      </c>
      <c r="G460" t="str">
        <f t="shared" si="7"/>
        <v>C350900</v>
      </c>
    </row>
    <row r="461" spans="1:7">
      <c r="A461" t="s">
        <v>13311</v>
      </c>
      <c r="B461" s="18" t="s">
        <v>7388</v>
      </c>
      <c r="C461" s="19">
        <v>70</v>
      </c>
      <c r="D461" s="31">
        <v>110052.64</v>
      </c>
      <c r="E461" t="str">
        <f>VLOOKUP(B461,'CC by Segment'!$D:$E,2,FALSE)</f>
        <v>Lifestyle</v>
      </c>
      <c r="G461" t="str">
        <f t="shared" si="7"/>
        <v>C380000</v>
      </c>
    </row>
    <row r="462" spans="1:7">
      <c r="A462" t="s">
        <v>13311</v>
      </c>
      <c r="B462" s="18" t="s">
        <v>7391</v>
      </c>
      <c r="C462" s="19">
        <v>9</v>
      </c>
      <c r="D462" s="31">
        <v>23712.880000000001</v>
      </c>
      <c r="E462" t="str">
        <f>VLOOKUP(B462,'CC by Segment'!$D:$E,2,FALSE)</f>
        <v>Lifestyle</v>
      </c>
      <c r="G462" t="str">
        <f t="shared" si="7"/>
        <v>C380001</v>
      </c>
    </row>
    <row r="463" spans="1:7">
      <c r="A463" t="s">
        <v>13311</v>
      </c>
      <c r="B463" s="18" t="s">
        <v>7394</v>
      </c>
      <c r="C463" s="19">
        <v>17</v>
      </c>
      <c r="D463" s="31">
        <v>41325.14</v>
      </c>
      <c r="E463" t="str">
        <f>VLOOKUP(B463,'CC by Segment'!$D:$E,2,FALSE)</f>
        <v>Lifestyle</v>
      </c>
      <c r="G463" t="str">
        <f t="shared" si="7"/>
        <v>C380002</v>
      </c>
    </row>
    <row r="464" spans="1:7">
      <c r="A464" t="s">
        <v>13311</v>
      </c>
      <c r="B464" s="18" t="s">
        <v>7397</v>
      </c>
      <c r="C464" s="19">
        <v>32</v>
      </c>
      <c r="D464" s="31">
        <v>109994.37</v>
      </c>
      <c r="E464" t="str">
        <f>VLOOKUP(B464,'CC by Segment'!$D:$E,2,FALSE)</f>
        <v>Lifestyle</v>
      </c>
      <c r="G464" t="str">
        <f t="shared" si="7"/>
        <v>C380003</v>
      </c>
    </row>
    <row r="465" spans="1:7">
      <c r="A465" t="s">
        <v>13311</v>
      </c>
      <c r="B465" s="18" t="s">
        <v>7400</v>
      </c>
      <c r="C465" s="19">
        <v>8</v>
      </c>
      <c r="D465" s="31">
        <v>36683.26</v>
      </c>
      <c r="E465" t="str">
        <f>VLOOKUP(B465,'CC by Segment'!$D:$E,2,FALSE)</f>
        <v>Lifestyle</v>
      </c>
      <c r="G465" t="str">
        <f t="shared" si="7"/>
        <v>C380004</v>
      </c>
    </row>
    <row r="466" spans="1:7">
      <c r="A466" t="s">
        <v>13311</v>
      </c>
      <c r="B466" s="18" t="s">
        <v>7403</v>
      </c>
      <c r="C466" s="19">
        <v>18</v>
      </c>
      <c r="D466" s="31">
        <v>43367.45</v>
      </c>
      <c r="E466" t="str">
        <f>VLOOKUP(B466,'CC by Segment'!$D:$E,2,FALSE)</f>
        <v>Lifestyle</v>
      </c>
      <c r="G466" t="str">
        <f t="shared" si="7"/>
        <v>C380005</v>
      </c>
    </row>
    <row r="467" spans="1:7">
      <c r="A467" t="s">
        <v>13311</v>
      </c>
      <c r="B467" s="18" t="s">
        <v>3768</v>
      </c>
      <c r="C467" s="19">
        <v>38</v>
      </c>
      <c r="D467" s="31">
        <v>69850.98</v>
      </c>
      <c r="E467" t="str">
        <f>VLOOKUP(B467,'CC by Segment'!$D:$E,2,FALSE)</f>
        <v>Lifestyle</v>
      </c>
      <c r="G467" t="str">
        <f t="shared" si="7"/>
        <v>C380007</v>
      </c>
    </row>
    <row r="468" spans="1:7">
      <c r="A468" t="s">
        <v>13311</v>
      </c>
      <c r="B468" s="18" t="s">
        <v>3754</v>
      </c>
      <c r="C468" s="19">
        <v>5</v>
      </c>
      <c r="D468" s="31">
        <v>25394.16</v>
      </c>
      <c r="E468" t="str">
        <f>VLOOKUP(B468,'CC by Segment'!$D:$E,2,FALSE)</f>
        <v>Lifestyle</v>
      </c>
      <c r="G468" t="str">
        <f t="shared" si="7"/>
        <v>C380009</v>
      </c>
    </row>
    <row r="469" spans="1:7">
      <c r="A469" t="s">
        <v>13311</v>
      </c>
      <c r="B469" s="18" t="s">
        <v>7432</v>
      </c>
      <c r="C469" s="19">
        <v>8</v>
      </c>
      <c r="D469" s="31">
        <v>21784.46</v>
      </c>
      <c r="E469" t="str">
        <f>VLOOKUP(B469,'CC by Segment'!$D:$E,2,FALSE)</f>
        <v>Lifestyle</v>
      </c>
      <c r="G469" t="str">
        <f t="shared" si="7"/>
        <v>C380019</v>
      </c>
    </row>
    <row r="470" spans="1:7">
      <c r="A470" t="s">
        <v>13311</v>
      </c>
      <c r="B470" s="18" t="s">
        <v>7435</v>
      </c>
      <c r="C470" s="19">
        <v>1</v>
      </c>
      <c r="D470" s="31">
        <v>3577.42</v>
      </c>
      <c r="E470" t="str">
        <f>VLOOKUP(B470,'CC by Segment'!$D:$E,2,FALSE)</f>
        <v>Lifestyle</v>
      </c>
      <c r="G470" t="str">
        <f t="shared" si="7"/>
        <v>C380100</v>
      </c>
    </row>
    <row r="471" spans="1:7">
      <c r="A471" t="s">
        <v>13311</v>
      </c>
      <c r="B471" s="18" t="s">
        <v>7438</v>
      </c>
      <c r="C471" s="19">
        <v>3</v>
      </c>
      <c r="D471" s="31">
        <v>3254.4</v>
      </c>
      <c r="E471" t="str">
        <f>VLOOKUP(B471,'CC by Segment'!$D:$E,2,FALSE)</f>
        <v>Lifestyle</v>
      </c>
      <c r="G471" t="str">
        <f t="shared" si="7"/>
        <v>C380101</v>
      </c>
    </row>
    <row r="472" spans="1:7">
      <c r="A472" t="s">
        <v>13311</v>
      </c>
      <c r="B472" s="18" t="s">
        <v>7441</v>
      </c>
      <c r="C472" s="19">
        <v>1</v>
      </c>
      <c r="D472" s="31">
        <v>3846.15</v>
      </c>
      <c r="E472" t="str">
        <f>VLOOKUP(B472,'CC by Segment'!$D:$E,2,FALSE)</f>
        <v>Lifestyle</v>
      </c>
      <c r="G472" t="str">
        <f t="shared" si="7"/>
        <v>C380102</v>
      </c>
    </row>
    <row r="473" spans="1:7">
      <c r="A473" t="s">
        <v>13311</v>
      </c>
      <c r="B473" s="18" t="s">
        <v>7444</v>
      </c>
      <c r="C473" s="19">
        <v>24</v>
      </c>
      <c r="D473" s="31">
        <v>47336.160000000003</v>
      </c>
      <c r="E473" t="str">
        <f>VLOOKUP(B473,'CC by Segment'!$D:$E,2,FALSE)</f>
        <v>Lifestyle</v>
      </c>
      <c r="G473" t="str">
        <f t="shared" si="7"/>
        <v>C380103</v>
      </c>
    </row>
    <row r="474" spans="1:7">
      <c r="A474" t="s">
        <v>13311</v>
      </c>
      <c r="B474" s="18" t="s">
        <v>7447</v>
      </c>
      <c r="C474" s="19">
        <v>3</v>
      </c>
      <c r="D474" s="31">
        <v>9621.6200000000008</v>
      </c>
      <c r="E474" t="str">
        <f>VLOOKUP(B474,'CC by Segment'!$D:$E,2,FALSE)</f>
        <v>Lifestyle</v>
      </c>
      <c r="G474" t="str">
        <f t="shared" si="7"/>
        <v>C380104</v>
      </c>
    </row>
    <row r="475" spans="1:7">
      <c r="A475" t="s">
        <v>13311</v>
      </c>
      <c r="B475" s="18" t="s">
        <v>11966</v>
      </c>
      <c r="C475" s="19">
        <v>35</v>
      </c>
      <c r="D475" s="31">
        <v>63449.26</v>
      </c>
      <c r="E475" t="str">
        <f>VLOOKUP(B475,'CC by Segment'!$D:$E,2,FALSE)</f>
        <v>Lifestyle</v>
      </c>
      <c r="G475" t="str">
        <f t="shared" si="7"/>
        <v>C385000</v>
      </c>
    </row>
    <row r="476" spans="1:7">
      <c r="A476" t="s">
        <v>13311</v>
      </c>
      <c r="B476" s="18" t="s">
        <v>7456</v>
      </c>
      <c r="C476" s="19">
        <v>5</v>
      </c>
      <c r="D476" s="31">
        <v>25287.91</v>
      </c>
      <c r="E476" t="str">
        <f>VLOOKUP(B476,'CC by Segment'!$D:$E,2,FALSE)</f>
        <v>Lifestyle</v>
      </c>
      <c r="G476" t="str">
        <f t="shared" si="7"/>
        <v>C385002</v>
      </c>
    </row>
    <row r="477" spans="1:7">
      <c r="A477" t="s">
        <v>13311</v>
      </c>
      <c r="B477" s="18" t="s">
        <v>7459</v>
      </c>
      <c r="C477" s="19">
        <v>36</v>
      </c>
      <c r="D477" s="31">
        <v>88351.58</v>
      </c>
      <c r="E477" t="str">
        <f>VLOOKUP(B477,'CC by Segment'!$D:$E,2,FALSE)</f>
        <v>Lifestyle</v>
      </c>
      <c r="G477" t="str">
        <f t="shared" si="7"/>
        <v>C385003</v>
      </c>
    </row>
    <row r="478" spans="1:7">
      <c r="A478" t="s">
        <v>13311</v>
      </c>
      <c r="B478" s="18" t="s">
        <v>3748</v>
      </c>
      <c r="C478" s="19">
        <v>68</v>
      </c>
      <c r="D478" s="31">
        <v>126451.5</v>
      </c>
      <c r="E478" t="str">
        <f>VLOOKUP(B478,'CC by Segment'!$D:$E,2,FALSE)</f>
        <v>Lifestyle</v>
      </c>
      <c r="G478" t="str">
        <f t="shared" si="7"/>
        <v>C385005</v>
      </c>
    </row>
    <row r="479" spans="1:7">
      <c r="A479" t="s">
        <v>13311</v>
      </c>
      <c r="B479" s="18" t="s">
        <v>7592</v>
      </c>
      <c r="C479" s="19">
        <v>1</v>
      </c>
      <c r="D479" s="31">
        <v>9224.15</v>
      </c>
      <c r="E479" t="str">
        <f>VLOOKUP(B479,'CC by Segment'!$D:$E,2,FALSE)</f>
        <v>Lifestyle</v>
      </c>
      <c r="G479" t="str">
        <f t="shared" si="7"/>
        <v>C390051</v>
      </c>
    </row>
    <row r="480" spans="1:7">
      <c r="A480" t="s">
        <v>13311</v>
      </c>
      <c r="B480" s="18" t="s">
        <v>12050</v>
      </c>
      <c r="C480" s="19">
        <v>8</v>
      </c>
      <c r="D480" s="31">
        <v>81643.19</v>
      </c>
      <c r="E480" t="str">
        <f>VLOOKUP(B480,'CC by Segment'!$D:$E,2,FALSE)</f>
        <v>Lifestyle</v>
      </c>
      <c r="G480" t="str">
        <f t="shared" si="7"/>
        <v>C400000</v>
      </c>
    </row>
    <row r="481" spans="1:7">
      <c r="A481" t="s">
        <v>13311</v>
      </c>
      <c r="B481" s="18" t="s">
        <v>12014</v>
      </c>
      <c r="C481" s="19">
        <v>3</v>
      </c>
      <c r="D481" s="31">
        <v>18891</v>
      </c>
      <c r="E481" t="str">
        <f>VLOOKUP(B481,'CC by Segment'!$D:$E,2,FALSE)</f>
        <v>Lifestyle</v>
      </c>
      <c r="G481" t="str">
        <f t="shared" si="7"/>
        <v>C400005</v>
      </c>
    </row>
    <row r="482" spans="1:7">
      <c r="A482" t="s">
        <v>13311</v>
      </c>
      <c r="B482" s="18" t="s">
        <v>7621</v>
      </c>
      <c r="C482" s="19">
        <v>10</v>
      </c>
      <c r="D482" s="31">
        <v>54664.160000000003</v>
      </c>
      <c r="E482" t="str">
        <f>VLOOKUP(B482,'CC by Segment'!$D:$E,2,FALSE)</f>
        <v>Lifestyle</v>
      </c>
      <c r="G482" t="str">
        <f t="shared" si="7"/>
        <v>C400010</v>
      </c>
    </row>
    <row r="483" spans="1:7">
      <c r="A483" t="s">
        <v>13311</v>
      </c>
      <c r="B483" s="18" t="s">
        <v>7624</v>
      </c>
      <c r="C483" s="19">
        <v>6</v>
      </c>
      <c r="D483" s="31">
        <v>42462.080000000002</v>
      </c>
      <c r="E483" t="str">
        <f>VLOOKUP(B483,'CC by Segment'!$D:$E,2,FALSE)</f>
        <v>Lifestyle</v>
      </c>
      <c r="G483" t="str">
        <f t="shared" si="7"/>
        <v>C400015</v>
      </c>
    </row>
    <row r="484" spans="1:7">
      <c r="A484" t="s">
        <v>13311</v>
      </c>
      <c r="B484" s="18" t="s">
        <v>7627</v>
      </c>
      <c r="C484" s="19">
        <v>7</v>
      </c>
      <c r="D484" s="31">
        <v>33757.07</v>
      </c>
      <c r="E484" t="str">
        <f>VLOOKUP(B484,'CC by Segment'!$D:$E,2,FALSE)</f>
        <v>Lifestyle</v>
      </c>
      <c r="G484" t="str">
        <f t="shared" si="7"/>
        <v>C400020</v>
      </c>
    </row>
    <row r="485" spans="1:7">
      <c r="A485" t="s">
        <v>13311</v>
      </c>
      <c r="B485" s="18" t="s">
        <v>3607</v>
      </c>
      <c r="C485" s="19">
        <v>12</v>
      </c>
      <c r="D485" s="31">
        <v>69872.44</v>
      </c>
      <c r="E485" t="str">
        <f>VLOOKUP(B485,'CC by Segment'!$D:$E,2,FALSE)</f>
        <v>Lifestyle</v>
      </c>
      <c r="G485" t="str">
        <f t="shared" si="7"/>
        <v>C400030</v>
      </c>
    </row>
    <row r="486" spans="1:7">
      <c r="A486" t="s">
        <v>13311</v>
      </c>
      <c r="B486" s="18" t="s">
        <v>7682</v>
      </c>
      <c r="C486" s="19">
        <v>8</v>
      </c>
      <c r="D486" s="31">
        <v>47920.92</v>
      </c>
      <c r="E486" t="str">
        <f>VLOOKUP(B486,'CC by Segment'!$D:$E,2,FALSE)</f>
        <v>Lifestyle</v>
      </c>
      <c r="G486" t="str">
        <f t="shared" si="7"/>
        <v>C400051</v>
      </c>
    </row>
    <row r="487" spans="1:7">
      <c r="A487" t="s">
        <v>13311</v>
      </c>
      <c r="B487" s="18" t="s">
        <v>7685</v>
      </c>
      <c r="C487" s="19">
        <v>4</v>
      </c>
      <c r="D487" s="31">
        <v>16615.400000000001</v>
      </c>
      <c r="E487" t="str">
        <f>VLOOKUP(B487,'CC by Segment'!$D:$E,2,FALSE)</f>
        <v>Lifestyle</v>
      </c>
      <c r="G487" t="str">
        <f t="shared" si="7"/>
        <v>C400052</v>
      </c>
    </row>
    <row r="488" spans="1:7">
      <c r="A488" t="s">
        <v>13311</v>
      </c>
      <c r="B488" s="18" t="s">
        <v>7691</v>
      </c>
      <c r="C488" s="19">
        <v>16</v>
      </c>
      <c r="D488" s="31">
        <v>56734.6</v>
      </c>
      <c r="E488" t="str">
        <f>VLOOKUP(B488,'CC by Segment'!$D:$E,2,FALSE)</f>
        <v>Lifestyle</v>
      </c>
      <c r="G488" t="str">
        <f t="shared" si="7"/>
        <v>C400054</v>
      </c>
    </row>
    <row r="489" spans="1:7">
      <c r="A489" t="s">
        <v>13311</v>
      </c>
      <c r="B489" s="18" t="s">
        <v>7694</v>
      </c>
      <c r="C489" s="19">
        <v>2</v>
      </c>
      <c r="D489" s="31">
        <v>11859.81</v>
      </c>
      <c r="E489" t="str">
        <f>VLOOKUP(B489,'CC by Segment'!$D:$E,2,FALSE)</f>
        <v>Lifestyle</v>
      </c>
      <c r="G489" t="str">
        <f t="shared" si="7"/>
        <v>C400055</v>
      </c>
    </row>
    <row r="490" spans="1:7">
      <c r="A490" t="s">
        <v>13311</v>
      </c>
      <c r="B490" s="18" t="s">
        <v>7697</v>
      </c>
      <c r="C490" s="19">
        <v>8</v>
      </c>
      <c r="D490" s="31">
        <v>40562.949999999997</v>
      </c>
      <c r="E490" t="str">
        <f>VLOOKUP(B490,'CC by Segment'!$D:$E,2,FALSE)</f>
        <v>Lifestyle</v>
      </c>
      <c r="G490" t="str">
        <f t="shared" si="7"/>
        <v>C400056</v>
      </c>
    </row>
    <row r="491" spans="1:7">
      <c r="A491" t="s">
        <v>13311</v>
      </c>
      <c r="B491" s="18" t="s">
        <v>7700</v>
      </c>
      <c r="C491" s="19">
        <v>6</v>
      </c>
      <c r="D491" s="31">
        <v>45085.3</v>
      </c>
      <c r="E491" t="str">
        <f>VLOOKUP(B491,'CC by Segment'!$D:$E,2,FALSE)</f>
        <v>Lifestyle</v>
      </c>
      <c r="G491" t="str">
        <f t="shared" si="7"/>
        <v>C400057</v>
      </c>
    </row>
    <row r="492" spans="1:7">
      <c r="A492" t="s">
        <v>13311</v>
      </c>
      <c r="B492" s="18" t="s">
        <v>7703</v>
      </c>
      <c r="C492" s="19">
        <v>4</v>
      </c>
      <c r="D492" s="31">
        <v>22669.08</v>
      </c>
      <c r="E492" t="str">
        <f>VLOOKUP(B492,'CC by Segment'!$D:$E,2,FALSE)</f>
        <v>Lifestyle</v>
      </c>
      <c r="G492" t="str">
        <f t="shared" si="7"/>
        <v>C400060</v>
      </c>
    </row>
    <row r="493" spans="1:7">
      <c r="A493" t="s">
        <v>13311</v>
      </c>
      <c r="B493" s="18" t="s">
        <v>7705</v>
      </c>
      <c r="C493" s="19">
        <v>6</v>
      </c>
      <c r="D493" s="31">
        <v>54922.879999999997</v>
      </c>
      <c r="E493" t="str">
        <f>VLOOKUP(B493,'CC by Segment'!$D:$E,2,FALSE)</f>
        <v>Lifestyle</v>
      </c>
      <c r="G493" t="str">
        <f t="shared" si="7"/>
        <v>C400100</v>
      </c>
    </row>
    <row r="494" spans="1:7">
      <c r="A494" t="s">
        <v>13311</v>
      </c>
      <c r="B494" s="18" t="s">
        <v>7708</v>
      </c>
      <c r="C494" s="19">
        <v>10</v>
      </c>
      <c r="D494" s="31">
        <v>43846.19</v>
      </c>
      <c r="E494" t="str">
        <f>VLOOKUP(B494,'CC by Segment'!$D:$E,2,FALSE)</f>
        <v>Lifestyle</v>
      </c>
      <c r="G494" t="str">
        <f t="shared" si="7"/>
        <v>C400101</v>
      </c>
    </row>
    <row r="495" spans="1:7">
      <c r="A495" t="s">
        <v>13311</v>
      </c>
      <c r="B495" s="18" t="s">
        <v>7711</v>
      </c>
      <c r="C495" s="19">
        <v>7</v>
      </c>
      <c r="D495" s="31">
        <v>35538.49</v>
      </c>
      <c r="E495" t="str">
        <f>VLOOKUP(B495,'CC by Segment'!$D:$E,2,FALSE)</f>
        <v>Lifestyle</v>
      </c>
      <c r="G495" t="str">
        <f t="shared" si="7"/>
        <v>C400102</v>
      </c>
    </row>
    <row r="496" spans="1:7">
      <c r="A496" t="s">
        <v>13311</v>
      </c>
      <c r="B496" s="18" t="s">
        <v>7714</v>
      </c>
      <c r="C496" s="19">
        <v>8</v>
      </c>
      <c r="D496" s="31">
        <v>39692.339999999997</v>
      </c>
      <c r="E496" t="str">
        <f>VLOOKUP(B496,'CC by Segment'!$D:$E,2,FALSE)</f>
        <v>Lifestyle</v>
      </c>
      <c r="G496" t="str">
        <f t="shared" si="7"/>
        <v>C400103</v>
      </c>
    </row>
    <row r="497" spans="1:7">
      <c r="A497" t="s">
        <v>13311</v>
      </c>
      <c r="B497" s="18" t="s">
        <v>7717</v>
      </c>
      <c r="C497" s="19">
        <v>11</v>
      </c>
      <c r="D497" s="31">
        <v>48000.04</v>
      </c>
      <c r="E497" t="str">
        <f>VLOOKUP(B497,'CC by Segment'!$D:$E,2,FALSE)</f>
        <v>Lifestyle</v>
      </c>
      <c r="G497" t="str">
        <f t="shared" si="7"/>
        <v>C400104</v>
      </c>
    </row>
    <row r="498" spans="1:7">
      <c r="A498" t="s">
        <v>13311</v>
      </c>
      <c r="B498" s="18" t="s">
        <v>11611</v>
      </c>
      <c r="C498" s="19">
        <v>8</v>
      </c>
      <c r="D498" s="31">
        <v>39692.339999999997</v>
      </c>
      <c r="E498" t="str">
        <f>VLOOKUP(B498,'CC by Segment'!$D:$E,2,FALSE)</f>
        <v>Lifestyle</v>
      </c>
      <c r="G498" t="str">
        <f t="shared" si="7"/>
        <v>C400105</v>
      </c>
    </row>
    <row r="499" spans="1:7">
      <c r="A499" t="s">
        <v>13311</v>
      </c>
      <c r="B499" s="18" t="s">
        <v>7729</v>
      </c>
      <c r="C499" s="19">
        <v>10</v>
      </c>
      <c r="D499" s="31">
        <v>43846.19</v>
      </c>
      <c r="E499" t="str">
        <f>VLOOKUP(B499,'CC by Segment'!$D:$E,2,FALSE)</f>
        <v>Lifestyle</v>
      </c>
      <c r="G499" t="str">
        <f t="shared" si="7"/>
        <v>C400108</v>
      </c>
    </row>
    <row r="500" spans="1:7">
      <c r="A500" t="s">
        <v>13311</v>
      </c>
      <c r="B500" s="18" t="s">
        <v>7777</v>
      </c>
      <c r="C500" s="19">
        <v>13</v>
      </c>
      <c r="D500" s="31">
        <v>54331.34</v>
      </c>
      <c r="E500" t="str">
        <f>VLOOKUP(B500,'CC by Segment'!$D:$E,2,FALSE)</f>
        <v>Lifestyle</v>
      </c>
      <c r="G500" t="str">
        <f t="shared" si="7"/>
        <v>C400150</v>
      </c>
    </row>
    <row r="501" spans="1:7">
      <c r="A501" t="s">
        <v>13311</v>
      </c>
      <c r="B501" s="18" t="s">
        <v>5285</v>
      </c>
      <c r="C501" s="19">
        <v>2</v>
      </c>
      <c r="D501" s="31">
        <v>8749.15</v>
      </c>
      <c r="E501" t="str">
        <f>VLOOKUP(B501,'CC by Segment'!$D:$E,2,FALSE)</f>
        <v>Lifestyle</v>
      </c>
      <c r="G501" t="str">
        <f t="shared" si="7"/>
        <v>C400300</v>
      </c>
    </row>
    <row r="502" spans="1:7">
      <c r="A502" t="s">
        <v>13311</v>
      </c>
      <c r="B502" s="18" t="s">
        <v>7883</v>
      </c>
      <c r="C502" s="19">
        <v>6</v>
      </c>
      <c r="D502" s="31">
        <v>27579.42</v>
      </c>
      <c r="E502" t="str">
        <f>VLOOKUP(B502,'CC by Segment'!$D:$E,2,FALSE)</f>
        <v>Lifestyle</v>
      </c>
      <c r="G502" t="str">
        <f t="shared" si="7"/>
        <v>C400302</v>
      </c>
    </row>
    <row r="503" spans="1:7">
      <c r="A503" t="s">
        <v>13311</v>
      </c>
      <c r="B503" s="18" t="s">
        <v>7888</v>
      </c>
      <c r="C503" s="19">
        <v>11</v>
      </c>
      <c r="D503" s="31">
        <v>27590.23</v>
      </c>
      <c r="E503" t="str">
        <f>VLOOKUP(B503,'CC by Segment'!$D:$E,2,FALSE)</f>
        <v>Lifestyle</v>
      </c>
      <c r="G503" t="str">
        <f t="shared" si="7"/>
        <v>C400303</v>
      </c>
    </row>
    <row r="504" spans="1:7">
      <c r="A504" t="s">
        <v>13311</v>
      </c>
      <c r="B504" s="18" t="s">
        <v>7891</v>
      </c>
      <c r="C504" s="19">
        <v>10</v>
      </c>
      <c r="D504" s="31">
        <v>64518.75</v>
      </c>
      <c r="E504" t="str">
        <f>VLOOKUP(B504,'CC by Segment'!$D:$E,2,FALSE)</f>
        <v>Lifestyle</v>
      </c>
      <c r="G504" t="str">
        <f t="shared" si="7"/>
        <v>C400305</v>
      </c>
    </row>
    <row r="505" spans="1:7">
      <c r="A505" t="s">
        <v>13311</v>
      </c>
      <c r="B505" s="18" t="s">
        <v>13098</v>
      </c>
      <c r="C505" s="19">
        <v>9</v>
      </c>
      <c r="D505" s="31">
        <v>85179.89</v>
      </c>
      <c r="E505" t="str">
        <f>VLOOKUP(B505,'CC by Segment'!$D:$E,2,FALSE)</f>
        <v>Lifestyle</v>
      </c>
      <c r="G505" t="str">
        <f t="shared" si="7"/>
        <v>C500002</v>
      </c>
    </row>
    <row r="506" spans="1:7">
      <c r="A506" t="s">
        <v>13311</v>
      </c>
      <c r="B506" s="18" t="s">
        <v>8033</v>
      </c>
      <c r="C506" s="19">
        <v>5</v>
      </c>
      <c r="D506" s="31">
        <v>6724.47</v>
      </c>
      <c r="E506" t="str">
        <f>VLOOKUP(B506,'CC by Segment'!$D:$E,2,FALSE)</f>
        <v>Lifestyle</v>
      </c>
      <c r="G506" t="str">
        <f t="shared" si="7"/>
        <v>C500358</v>
      </c>
    </row>
    <row r="507" spans="1:7">
      <c r="A507" t="s">
        <v>13311</v>
      </c>
      <c r="B507" s="18" t="s">
        <v>18186</v>
      </c>
      <c r="C507" s="19">
        <v>4</v>
      </c>
      <c r="D507" s="31">
        <v>7492.31</v>
      </c>
      <c r="E507" t="str">
        <f>VLOOKUP(B507,'CC by Segment'!$D:$E,2,FALSE)</f>
        <v>Lifestyle</v>
      </c>
      <c r="G507" t="str">
        <f t="shared" si="7"/>
        <v>C500361</v>
      </c>
    </row>
    <row r="508" spans="1:7">
      <c r="A508" t="s">
        <v>13311</v>
      </c>
      <c r="B508" s="18" t="s">
        <v>18187</v>
      </c>
      <c r="C508" s="19">
        <v>4</v>
      </c>
      <c r="D508" s="31">
        <v>8128.06</v>
      </c>
      <c r="E508" t="str">
        <f>VLOOKUP(B508,'CC by Segment'!$D:$E,2,FALSE)</f>
        <v>Lifestyle</v>
      </c>
      <c r="G508" t="str">
        <f t="shared" si="7"/>
        <v>C500364</v>
      </c>
    </row>
    <row r="509" spans="1:7">
      <c r="A509" t="s">
        <v>13311</v>
      </c>
      <c r="B509" s="18" t="s">
        <v>18188</v>
      </c>
      <c r="C509" s="19">
        <v>1</v>
      </c>
      <c r="D509" s="31">
        <v>2314.83</v>
      </c>
      <c r="E509" t="str">
        <f>VLOOKUP(B509,'CC by Segment'!$D:$E,2,FALSE)</f>
        <v>Lifestyle</v>
      </c>
      <c r="G509" t="str">
        <f t="shared" si="7"/>
        <v>C500365</v>
      </c>
    </row>
    <row r="510" spans="1:7">
      <c r="A510" t="s">
        <v>13311</v>
      </c>
      <c r="B510" s="18" t="s">
        <v>8137</v>
      </c>
      <c r="C510" s="19">
        <v>4</v>
      </c>
      <c r="D510" s="31">
        <v>6178.89</v>
      </c>
      <c r="E510" t="str">
        <f>VLOOKUP(B510,'CC by Segment'!$D:$E,2,FALSE)</f>
        <v>Lifestyle</v>
      </c>
      <c r="G510" t="str">
        <f t="shared" si="7"/>
        <v>C503001</v>
      </c>
    </row>
    <row r="511" spans="1:7">
      <c r="A511" t="s">
        <v>13311</v>
      </c>
      <c r="B511" s="18" t="s">
        <v>8143</v>
      </c>
      <c r="C511" s="19">
        <v>2</v>
      </c>
      <c r="D511" s="31">
        <v>5862.57</v>
      </c>
      <c r="E511" t="str">
        <f>VLOOKUP(B511,'CC by Segment'!$D:$E,2,FALSE)</f>
        <v>Lifestyle</v>
      </c>
      <c r="G511" t="str">
        <f t="shared" si="7"/>
        <v>C503003</v>
      </c>
    </row>
    <row r="512" spans="1:7">
      <c r="A512" t="s">
        <v>13311</v>
      </c>
      <c r="B512" s="18" t="s">
        <v>8149</v>
      </c>
      <c r="C512" s="19">
        <v>3</v>
      </c>
      <c r="D512" s="31">
        <v>4425.5200000000004</v>
      </c>
      <c r="E512" t="str">
        <f>VLOOKUP(B512,'CC by Segment'!$D:$E,2,FALSE)</f>
        <v>Lifestyle</v>
      </c>
      <c r="G512" t="str">
        <f t="shared" si="7"/>
        <v>C503005</v>
      </c>
    </row>
    <row r="513" spans="1:7">
      <c r="A513" t="s">
        <v>13311</v>
      </c>
      <c r="B513" s="18" t="s">
        <v>12991</v>
      </c>
      <c r="C513" s="19">
        <v>31</v>
      </c>
      <c r="D513" s="31">
        <v>47941.81</v>
      </c>
      <c r="E513" t="str">
        <f>VLOOKUP(B513,'CC by Segment'!$D:$E,2,FALSE)</f>
        <v>Lifestyle</v>
      </c>
      <c r="G513" t="str">
        <f t="shared" si="7"/>
        <v>C503007</v>
      </c>
    </row>
    <row r="514" spans="1:7">
      <c r="A514" t="s">
        <v>13311</v>
      </c>
      <c r="B514" s="18" t="s">
        <v>8158</v>
      </c>
      <c r="C514" s="19">
        <v>10</v>
      </c>
      <c r="D514" s="31">
        <v>15381.94</v>
      </c>
      <c r="E514" t="str">
        <f>VLOOKUP(B514,'CC by Segment'!$D:$E,2,FALSE)</f>
        <v>Lifestyle</v>
      </c>
      <c r="G514" t="str">
        <f t="shared" si="7"/>
        <v>C503008</v>
      </c>
    </row>
    <row r="515" spans="1:7">
      <c r="A515" t="s">
        <v>13311</v>
      </c>
      <c r="B515" s="18" t="s">
        <v>8161</v>
      </c>
      <c r="C515" s="19">
        <v>6</v>
      </c>
      <c r="D515" s="31">
        <v>17083.98</v>
      </c>
      <c r="E515" t="str">
        <f>VLOOKUP(B515,'CC by Segment'!$D:$E,2,FALSE)</f>
        <v>Lifestyle</v>
      </c>
      <c r="G515" t="str">
        <f t="shared" si="7"/>
        <v>C503009</v>
      </c>
    </row>
    <row r="516" spans="1:7">
      <c r="A516" t="s">
        <v>13311</v>
      </c>
      <c r="B516" s="18" t="s">
        <v>8164</v>
      </c>
      <c r="C516" s="19">
        <v>1</v>
      </c>
      <c r="D516" s="31">
        <v>2870.46</v>
      </c>
      <c r="E516" t="str">
        <f>VLOOKUP(B516,'CC by Segment'!$D:$E,2,FALSE)</f>
        <v>Lifestyle</v>
      </c>
      <c r="G516" t="str">
        <f t="shared" si="7"/>
        <v>C503010</v>
      </c>
    </row>
    <row r="517" spans="1:7">
      <c r="A517" t="s">
        <v>13311</v>
      </c>
      <c r="B517" s="18" t="s">
        <v>8169</v>
      </c>
      <c r="C517" s="19">
        <v>41</v>
      </c>
      <c r="D517" s="31">
        <v>172837.15</v>
      </c>
      <c r="E517" t="str">
        <f>VLOOKUP(B517,'CC by Segment'!$D:$E,2,FALSE)</f>
        <v>Lifestyle</v>
      </c>
      <c r="G517" t="str">
        <f t="shared" ref="G517:G580" si="8">TRIM(B517)</f>
        <v>C503012</v>
      </c>
    </row>
    <row r="518" spans="1:7">
      <c r="A518" t="s">
        <v>13311</v>
      </c>
      <c r="B518" s="18" t="s">
        <v>8175</v>
      </c>
      <c r="C518" s="19">
        <v>1</v>
      </c>
      <c r="D518" s="31">
        <v>5000</v>
      </c>
      <c r="E518" t="str">
        <f>VLOOKUP(B518,'CC by Segment'!$D:$E,2,FALSE)</f>
        <v>Lifestyle</v>
      </c>
      <c r="G518" t="str">
        <f t="shared" si="8"/>
        <v>C503014</v>
      </c>
    </row>
    <row r="519" spans="1:7">
      <c r="A519" t="s">
        <v>13311</v>
      </c>
      <c r="B519" s="18" t="s">
        <v>13137</v>
      </c>
      <c r="C519" s="19">
        <v>1</v>
      </c>
      <c r="D519" s="31">
        <v>10640.08</v>
      </c>
      <c r="E519" t="str">
        <f>VLOOKUP(B519,'CC by Segment'!$D:$E,2,FALSE)</f>
        <v>Lifestyle</v>
      </c>
      <c r="G519" t="str">
        <f t="shared" si="8"/>
        <v>C503017</v>
      </c>
    </row>
    <row r="520" spans="1:7">
      <c r="A520" t="s">
        <v>13311</v>
      </c>
      <c r="B520" s="18" t="s">
        <v>13151</v>
      </c>
      <c r="C520" s="19">
        <v>10</v>
      </c>
      <c r="D520" s="31">
        <v>67848.92</v>
      </c>
      <c r="E520" t="str">
        <f>VLOOKUP(B520,'CC by Segment'!$D:$E,2,FALSE)</f>
        <v>Lifestyle</v>
      </c>
      <c r="G520" t="str">
        <f t="shared" si="8"/>
        <v>C503018</v>
      </c>
    </row>
    <row r="521" spans="1:7">
      <c r="A521" t="s">
        <v>13311</v>
      </c>
      <c r="B521" s="18" t="s">
        <v>8191</v>
      </c>
      <c r="C521" s="19">
        <v>1</v>
      </c>
      <c r="D521" s="31">
        <v>7309.92</v>
      </c>
      <c r="E521" t="str">
        <f>VLOOKUP(B521,'CC by Segment'!$D:$E,2,FALSE)</f>
        <v>Lifestyle</v>
      </c>
      <c r="G521" t="str">
        <f t="shared" si="8"/>
        <v>C503020</v>
      </c>
    </row>
    <row r="522" spans="1:7">
      <c r="A522" t="s">
        <v>13311</v>
      </c>
      <c r="B522" s="18" t="s">
        <v>8194</v>
      </c>
      <c r="C522" s="19">
        <v>21</v>
      </c>
      <c r="D522" s="31">
        <v>90591.66</v>
      </c>
      <c r="E522" t="str">
        <f>VLOOKUP(B522,'CC by Segment'!$D:$E,2,FALSE)</f>
        <v>Lifestyle</v>
      </c>
      <c r="G522" t="str">
        <f t="shared" si="8"/>
        <v>C503021</v>
      </c>
    </row>
    <row r="523" spans="1:7">
      <c r="A523" t="s">
        <v>13311</v>
      </c>
      <c r="B523" s="18" t="s">
        <v>8200</v>
      </c>
      <c r="C523" s="19">
        <v>1</v>
      </c>
      <c r="D523" s="31">
        <v>11168.88</v>
      </c>
      <c r="E523" t="str">
        <f>VLOOKUP(B523,'CC by Segment'!$D:$E,2,FALSE)</f>
        <v>Lifestyle</v>
      </c>
      <c r="G523" t="str">
        <f t="shared" si="8"/>
        <v>C503023</v>
      </c>
    </row>
    <row r="524" spans="1:7">
      <c r="A524" t="s">
        <v>13311</v>
      </c>
      <c r="B524" s="18" t="s">
        <v>13113</v>
      </c>
      <c r="C524" s="19">
        <v>1</v>
      </c>
      <c r="D524" s="31">
        <v>1290</v>
      </c>
      <c r="E524" t="str">
        <f>VLOOKUP(B524,'CC by Segment'!$D:$E,2,FALSE)</f>
        <v>Lifestyle</v>
      </c>
      <c r="G524" t="str">
        <f t="shared" si="8"/>
        <v>C503038</v>
      </c>
    </row>
    <row r="525" spans="1:7">
      <c r="A525" t="s">
        <v>13311</v>
      </c>
      <c r="B525" s="18" t="s">
        <v>8249</v>
      </c>
      <c r="C525" s="19">
        <v>5</v>
      </c>
      <c r="D525" s="31">
        <v>8680.08</v>
      </c>
      <c r="E525" t="str">
        <f>VLOOKUP(B525,'CC by Segment'!$D:$E,2,FALSE)</f>
        <v>Lifestyle</v>
      </c>
      <c r="G525" t="str">
        <f t="shared" si="8"/>
        <v>C503042</v>
      </c>
    </row>
    <row r="526" spans="1:7">
      <c r="A526" t="s">
        <v>13311</v>
      </c>
      <c r="B526" s="18" t="s">
        <v>8255</v>
      </c>
      <c r="C526" s="19">
        <v>9</v>
      </c>
      <c r="D526" s="31">
        <v>53905.34</v>
      </c>
      <c r="E526" t="str">
        <f>VLOOKUP(B526,'CC by Segment'!$D:$E,2,FALSE)</f>
        <v>Lifestyle</v>
      </c>
      <c r="G526" t="str">
        <f t="shared" si="8"/>
        <v>C503044</v>
      </c>
    </row>
    <row r="527" spans="1:7">
      <c r="A527" t="s">
        <v>13311</v>
      </c>
      <c r="B527" s="18" t="s">
        <v>20144</v>
      </c>
      <c r="C527" s="19">
        <v>5</v>
      </c>
      <c r="D527" s="31">
        <v>24597.93</v>
      </c>
      <c r="E527" t="str">
        <f>VLOOKUP(B527,'CC by Segment'!$D:$E,2,FALSE)</f>
        <v>Lifestyle</v>
      </c>
      <c r="G527" t="str">
        <f t="shared" si="8"/>
        <v>C503057</v>
      </c>
    </row>
    <row r="528" spans="1:7">
      <c r="A528" t="s">
        <v>13311</v>
      </c>
      <c r="B528" s="18" t="s">
        <v>18189</v>
      </c>
      <c r="C528" s="19">
        <v>4</v>
      </c>
      <c r="D528" s="31">
        <v>29272.12</v>
      </c>
      <c r="E528" t="str">
        <f>VLOOKUP(B528,'CC by Segment'!$D:$E,2,FALSE)</f>
        <v>Lifestyle</v>
      </c>
      <c r="G528" t="str">
        <f t="shared" si="8"/>
        <v>C503058</v>
      </c>
    </row>
    <row r="529" spans="1:7">
      <c r="A529" t="s">
        <v>13311</v>
      </c>
      <c r="B529" s="18" t="s">
        <v>8279</v>
      </c>
      <c r="C529" s="19">
        <v>6</v>
      </c>
      <c r="D529" s="31">
        <v>10980.86</v>
      </c>
      <c r="E529" t="str">
        <f>VLOOKUP(B529,'CC by Segment'!$D:$E,2,FALSE)</f>
        <v>Lifestyle</v>
      </c>
      <c r="G529" t="str">
        <f t="shared" si="8"/>
        <v>C505000</v>
      </c>
    </row>
    <row r="530" spans="1:7">
      <c r="A530" t="s">
        <v>13311</v>
      </c>
      <c r="B530" s="18" t="s">
        <v>12646</v>
      </c>
      <c r="C530" s="19">
        <v>19</v>
      </c>
      <c r="D530" s="31">
        <v>72536.27</v>
      </c>
      <c r="E530" t="str">
        <f>VLOOKUP(B530,'CC by Segment'!$D:$E,2,FALSE)</f>
        <v>Lifestyle</v>
      </c>
      <c r="G530" t="str">
        <f t="shared" si="8"/>
        <v>C505002</v>
      </c>
    </row>
    <row r="531" spans="1:7">
      <c r="A531" t="s">
        <v>13311</v>
      </c>
      <c r="B531" s="18" t="s">
        <v>8295</v>
      </c>
      <c r="C531" s="19">
        <v>21</v>
      </c>
      <c r="D531" s="31">
        <v>55794.73</v>
      </c>
      <c r="E531" t="str">
        <f>VLOOKUP(B531,'CC by Segment'!$D:$E,2,FALSE)</f>
        <v>Lifestyle</v>
      </c>
      <c r="G531" t="str">
        <f t="shared" si="8"/>
        <v>C505007</v>
      </c>
    </row>
    <row r="532" spans="1:7">
      <c r="A532" t="s">
        <v>13311</v>
      </c>
      <c r="B532" s="18" t="s">
        <v>8304</v>
      </c>
      <c r="C532" s="19">
        <v>6</v>
      </c>
      <c r="D532" s="31">
        <v>11046.36</v>
      </c>
      <c r="E532" t="str">
        <f>VLOOKUP(B532,'CC by Segment'!$D:$E,2,FALSE)</f>
        <v>Lifestyle</v>
      </c>
      <c r="G532" t="str">
        <f t="shared" si="8"/>
        <v>C505010</v>
      </c>
    </row>
    <row r="533" spans="1:7">
      <c r="A533" t="s">
        <v>13311</v>
      </c>
      <c r="B533" s="18" t="s">
        <v>8307</v>
      </c>
      <c r="C533" s="19">
        <v>2</v>
      </c>
      <c r="D533" s="31">
        <v>2133.73</v>
      </c>
      <c r="E533" t="str">
        <f>VLOOKUP(B533,'CC by Segment'!$D:$E,2,FALSE)</f>
        <v>Lifestyle</v>
      </c>
      <c r="G533" t="str">
        <f t="shared" si="8"/>
        <v>C505011</v>
      </c>
    </row>
    <row r="534" spans="1:7">
      <c r="A534" t="s">
        <v>13311</v>
      </c>
      <c r="B534" s="18" t="s">
        <v>8313</v>
      </c>
      <c r="C534" s="19">
        <v>1</v>
      </c>
      <c r="D534" s="31">
        <v>1614.73</v>
      </c>
      <c r="E534" t="str">
        <f>VLOOKUP(B534,'CC by Segment'!$D:$E,2,FALSE)</f>
        <v>Lifestyle</v>
      </c>
      <c r="G534" t="str">
        <f t="shared" si="8"/>
        <v>C505013</v>
      </c>
    </row>
    <row r="535" spans="1:7">
      <c r="A535" t="s">
        <v>13311</v>
      </c>
      <c r="B535" s="18" t="s">
        <v>8316</v>
      </c>
      <c r="C535" s="19">
        <v>69</v>
      </c>
      <c r="D535" s="31">
        <v>93405.53</v>
      </c>
      <c r="E535" t="str">
        <f>VLOOKUP(B535,'CC by Segment'!$D:$E,2,FALSE)</f>
        <v>Lifestyle</v>
      </c>
      <c r="G535" t="str">
        <f t="shared" si="8"/>
        <v>C505014</v>
      </c>
    </row>
    <row r="536" spans="1:7">
      <c r="A536" t="s">
        <v>13311</v>
      </c>
      <c r="B536" s="18" t="s">
        <v>8319</v>
      </c>
      <c r="C536" s="19">
        <v>24</v>
      </c>
      <c r="D536" s="31">
        <v>32178.42</v>
      </c>
      <c r="E536" t="str">
        <f>VLOOKUP(B536,'CC by Segment'!$D:$E,2,FALSE)</f>
        <v>Lifestyle</v>
      </c>
      <c r="G536" t="str">
        <f t="shared" si="8"/>
        <v>C505015</v>
      </c>
    </row>
    <row r="537" spans="1:7">
      <c r="A537" t="s">
        <v>13311</v>
      </c>
      <c r="B537" s="18" t="s">
        <v>8322</v>
      </c>
      <c r="C537" s="19">
        <v>26</v>
      </c>
      <c r="D537" s="31">
        <v>32502.43</v>
      </c>
      <c r="E537" t="str">
        <f>VLOOKUP(B537,'CC by Segment'!$D:$E,2,FALSE)</f>
        <v>Lifestyle</v>
      </c>
      <c r="G537" t="str">
        <f t="shared" si="8"/>
        <v>C505016</v>
      </c>
    </row>
    <row r="538" spans="1:7">
      <c r="A538" t="s">
        <v>13311</v>
      </c>
      <c r="B538" s="18" t="s">
        <v>12691</v>
      </c>
      <c r="C538" s="19">
        <v>4</v>
      </c>
      <c r="D538" s="31">
        <v>4545.79</v>
      </c>
      <c r="E538" t="str">
        <f>VLOOKUP(B538,'CC by Segment'!$D:$E,2,FALSE)</f>
        <v>Lifestyle</v>
      </c>
      <c r="G538" t="str">
        <f t="shared" si="8"/>
        <v>C505018</v>
      </c>
    </row>
    <row r="539" spans="1:7">
      <c r="A539" t="s">
        <v>13311</v>
      </c>
      <c r="B539" s="18" t="s">
        <v>8330</v>
      </c>
      <c r="C539" s="19">
        <v>20</v>
      </c>
      <c r="D539" s="31">
        <v>29499.84</v>
      </c>
      <c r="E539" t="str">
        <f>VLOOKUP(B539,'CC by Segment'!$D:$E,2,FALSE)</f>
        <v>Lifestyle</v>
      </c>
      <c r="G539" t="str">
        <f t="shared" si="8"/>
        <v>C505019</v>
      </c>
    </row>
    <row r="540" spans="1:7">
      <c r="A540" t="s">
        <v>13311</v>
      </c>
      <c r="B540" s="18" t="s">
        <v>8333</v>
      </c>
      <c r="C540" s="19">
        <v>5</v>
      </c>
      <c r="D540" s="31">
        <v>7059.28</v>
      </c>
      <c r="E540" t="str">
        <f>VLOOKUP(B540,'CC by Segment'!$D:$E,2,FALSE)</f>
        <v>Lifestyle</v>
      </c>
      <c r="G540" t="str">
        <f t="shared" si="8"/>
        <v>C505020</v>
      </c>
    </row>
    <row r="541" spans="1:7">
      <c r="A541" t="s">
        <v>13311</v>
      </c>
      <c r="B541" s="18" t="s">
        <v>8336</v>
      </c>
      <c r="C541" s="19">
        <v>4</v>
      </c>
      <c r="D541" s="31">
        <v>7117.2900000000009</v>
      </c>
      <c r="E541" t="str">
        <f>VLOOKUP(B541,'CC by Segment'!$D:$E,2,FALSE)</f>
        <v>Lifestyle</v>
      </c>
      <c r="G541" t="str">
        <f t="shared" si="8"/>
        <v>C505021</v>
      </c>
    </row>
    <row r="542" spans="1:7">
      <c r="A542" t="s">
        <v>13311</v>
      </c>
      <c r="B542" s="18" t="s">
        <v>8339</v>
      </c>
      <c r="C542" s="19">
        <v>14</v>
      </c>
      <c r="D542" s="31">
        <v>78676.61</v>
      </c>
      <c r="E542" t="str">
        <f>VLOOKUP(B542,'CC by Segment'!$D:$E,2,FALSE)</f>
        <v>Lifestyle</v>
      </c>
      <c r="G542" t="str">
        <f t="shared" si="8"/>
        <v>C505022</v>
      </c>
    </row>
    <row r="543" spans="1:7">
      <c r="A543" t="s">
        <v>13311</v>
      </c>
      <c r="B543" s="18" t="s">
        <v>12697</v>
      </c>
      <c r="C543" s="19">
        <v>2</v>
      </c>
      <c r="D543" s="31">
        <v>2714.9</v>
      </c>
      <c r="E543" t="str">
        <f>VLOOKUP(B543,'CC by Segment'!$D:$E,2,FALSE)</f>
        <v>Lifestyle</v>
      </c>
      <c r="G543" t="str">
        <f t="shared" si="8"/>
        <v>C505023</v>
      </c>
    </row>
    <row r="544" spans="1:7">
      <c r="A544" t="s">
        <v>13311</v>
      </c>
      <c r="B544" s="18" t="s">
        <v>12704</v>
      </c>
      <c r="C544" s="19">
        <v>2</v>
      </c>
      <c r="D544" s="31">
        <v>3107.2</v>
      </c>
      <c r="E544" t="str">
        <f>VLOOKUP(B544,'CC by Segment'!$D:$E,2,FALSE)</f>
        <v>Lifestyle</v>
      </c>
      <c r="G544" t="str">
        <f t="shared" si="8"/>
        <v>C505024</v>
      </c>
    </row>
    <row r="545" spans="1:10">
      <c r="A545" t="s">
        <v>13311</v>
      </c>
      <c r="B545" s="18" t="s">
        <v>12726</v>
      </c>
      <c r="C545" s="19">
        <v>1</v>
      </c>
      <c r="D545" s="31">
        <v>4307.6899999999996</v>
      </c>
      <c r="E545" t="str">
        <f>VLOOKUP(B545,'CC by Segment'!$D:$E,2,FALSE)</f>
        <v>Lifestyle</v>
      </c>
      <c r="G545" t="str">
        <f t="shared" si="8"/>
        <v>C505029</v>
      </c>
    </row>
    <row r="546" spans="1:10">
      <c r="A546" t="s">
        <v>13311</v>
      </c>
      <c r="B546" s="18" t="s">
        <v>8356</v>
      </c>
      <c r="C546" s="19">
        <v>2</v>
      </c>
      <c r="D546" s="31">
        <v>2698.26</v>
      </c>
      <c r="E546" t="str">
        <f>VLOOKUP(B546,'CC by Segment'!$D:$E,2,FALSE)</f>
        <v>Lifestyle</v>
      </c>
      <c r="G546" t="str">
        <f t="shared" si="8"/>
        <v>C505030</v>
      </c>
    </row>
    <row r="547" spans="1:10">
      <c r="A547" t="s">
        <v>13311</v>
      </c>
      <c r="B547" s="18" t="s">
        <v>8359</v>
      </c>
      <c r="C547" s="19">
        <v>19</v>
      </c>
      <c r="D547" s="31">
        <v>24559.3</v>
      </c>
      <c r="E547" t="str">
        <f>VLOOKUP(B547,'CC by Segment'!$D:$E,2,FALSE)</f>
        <v>Lifestyle</v>
      </c>
      <c r="G547" t="str">
        <f t="shared" si="8"/>
        <v>C505031</v>
      </c>
    </row>
    <row r="548" spans="1:10">
      <c r="A548" t="s">
        <v>13311</v>
      </c>
      <c r="B548" s="18" t="s">
        <v>8364</v>
      </c>
      <c r="C548" s="19">
        <v>3</v>
      </c>
      <c r="D548" s="31">
        <v>3732.77</v>
      </c>
      <c r="E548" t="str">
        <f>VLOOKUP(B548,'CC by Segment'!$D:$E,2,FALSE)</f>
        <v>Lifestyle</v>
      </c>
      <c r="G548" t="str">
        <f t="shared" si="8"/>
        <v>C505033</v>
      </c>
    </row>
    <row r="549" spans="1:10">
      <c r="A549" t="s">
        <v>13311</v>
      </c>
      <c r="B549" s="18" t="s">
        <v>8373</v>
      </c>
      <c r="C549" s="19">
        <v>27</v>
      </c>
      <c r="D549" s="31">
        <v>40139.68</v>
      </c>
      <c r="E549" t="str">
        <f>VLOOKUP(B549,'CC by Segment'!$D:$E,2,FALSE)</f>
        <v>Lifestyle</v>
      </c>
      <c r="G549" t="str">
        <f t="shared" si="8"/>
        <v>C505036</v>
      </c>
    </row>
    <row r="550" spans="1:10">
      <c r="A550" t="s">
        <v>13311</v>
      </c>
      <c r="B550" s="18" t="s">
        <v>8376</v>
      </c>
      <c r="C550" s="19">
        <v>10</v>
      </c>
      <c r="D550" s="31">
        <v>20156.7</v>
      </c>
      <c r="E550" t="str">
        <f>VLOOKUP(B550,'CC by Segment'!$D:$E,2,FALSE)</f>
        <v>Lifestyle</v>
      </c>
      <c r="G550" t="str">
        <f t="shared" si="8"/>
        <v>C505037</v>
      </c>
      <c r="J550" s="2"/>
    </row>
    <row r="551" spans="1:10">
      <c r="A551" t="s">
        <v>13311</v>
      </c>
      <c r="B551" s="18" t="s">
        <v>8403</v>
      </c>
      <c r="C551" s="19">
        <v>1</v>
      </c>
      <c r="D551" s="31">
        <v>1391.2</v>
      </c>
      <c r="E551" t="str">
        <f>VLOOKUP(B551,'CC by Segment'!$D:$E,2,FALSE)</f>
        <v>Lifestyle</v>
      </c>
      <c r="G551" t="str">
        <f t="shared" si="8"/>
        <v>C505046</v>
      </c>
      <c r="J551" s="2"/>
    </row>
    <row r="552" spans="1:10">
      <c r="A552" t="s">
        <v>13311</v>
      </c>
      <c r="B552" s="18" t="s">
        <v>8420</v>
      </c>
      <c r="C552" s="19">
        <v>7</v>
      </c>
      <c r="D552" s="31">
        <v>10568.56</v>
      </c>
      <c r="E552" t="str">
        <f>VLOOKUP(B552,'CC by Segment'!$D:$E,2,FALSE)</f>
        <v>Lifestyle</v>
      </c>
      <c r="G552" t="str">
        <f t="shared" si="8"/>
        <v>C505052</v>
      </c>
      <c r="J552" s="2"/>
    </row>
    <row r="553" spans="1:10">
      <c r="A553" t="s">
        <v>13311</v>
      </c>
      <c r="B553" s="18" t="s">
        <v>8431</v>
      </c>
      <c r="C553" s="19">
        <v>13</v>
      </c>
      <c r="D553" s="31">
        <v>17757.669999999998</v>
      </c>
      <c r="E553" t="str">
        <f>VLOOKUP(B553,'CC by Segment'!$D:$E,2,FALSE)</f>
        <v>Lifestyle</v>
      </c>
      <c r="G553" t="str">
        <f t="shared" si="8"/>
        <v>C505055</v>
      </c>
      <c r="J553" s="2"/>
    </row>
    <row r="554" spans="1:10">
      <c r="A554" t="s">
        <v>13311</v>
      </c>
      <c r="B554" s="18" t="s">
        <v>8441</v>
      </c>
      <c r="C554" s="19">
        <v>5</v>
      </c>
      <c r="D554" s="31">
        <v>7495.2</v>
      </c>
      <c r="E554" t="str">
        <f>VLOOKUP(B554,'CC by Segment'!$D:$E,2,FALSE)</f>
        <v>Lifestyle</v>
      </c>
      <c r="G554" t="str">
        <f t="shared" si="8"/>
        <v>C505058</v>
      </c>
      <c r="J554" s="2"/>
    </row>
    <row r="555" spans="1:10">
      <c r="A555" t="s">
        <v>13311</v>
      </c>
      <c r="B555" s="18" t="s">
        <v>19772</v>
      </c>
      <c r="C555" s="19">
        <v>4</v>
      </c>
      <c r="D555" s="31">
        <v>19117.62</v>
      </c>
      <c r="E555" t="str">
        <f>VLOOKUP(B555,'CC by Segment'!$D:$E,2,FALSE)</f>
        <v>Lifestyle</v>
      </c>
      <c r="G555" t="str">
        <f t="shared" si="8"/>
        <v>C505062</v>
      </c>
      <c r="J555" s="2"/>
    </row>
    <row r="556" spans="1:10">
      <c r="A556" t="s">
        <v>13311</v>
      </c>
      <c r="B556" s="18" t="s">
        <v>20153</v>
      </c>
      <c r="C556" s="19">
        <v>16</v>
      </c>
      <c r="D556" s="31">
        <v>76873.070000000007</v>
      </c>
      <c r="E556" t="str">
        <f>VLOOKUP(B556,'CC by Segment'!$D:$E,2,FALSE)</f>
        <v>Lifestyle</v>
      </c>
      <c r="G556" t="str">
        <f t="shared" si="8"/>
        <v>C505063</v>
      </c>
      <c r="J556" s="2"/>
    </row>
    <row r="557" spans="1:10">
      <c r="A557" t="s">
        <v>13311</v>
      </c>
      <c r="B557" s="18" t="s">
        <v>20154</v>
      </c>
      <c r="C557" s="19">
        <v>2</v>
      </c>
      <c r="D557" s="31">
        <v>9093.23</v>
      </c>
      <c r="E557" t="str">
        <f>VLOOKUP(B557,'CC by Segment'!$D:$E,2,FALSE)</f>
        <v>Lifestyle</v>
      </c>
      <c r="G557" t="str">
        <f t="shared" si="8"/>
        <v>C505099</v>
      </c>
      <c r="J557" s="2"/>
    </row>
    <row r="558" spans="1:10">
      <c r="A558" t="s">
        <v>13311</v>
      </c>
      <c r="B558" s="18" t="s">
        <v>20165</v>
      </c>
      <c r="C558" s="19">
        <v>5</v>
      </c>
      <c r="D558" s="31">
        <v>15505</v>
      </c>
      <c r="E558" t="str">
        <f>VLOOKUP(B558,'CC by Segment'!$D:$E,2,FALSE)</f>
        <v>Lifestyle</v>
      </c>
      <c r="G558" t="str">
        <f t="shared" si="8"/>
        <v>C505101</v>
      </c>
      <c r="J558" s="2"/>
    </row>
    <row r="559" spans="1:10">
      <c r="A559" t="s">
        <v>13311</v>
      </c>
      <c r="B559" s="18" t="s">
        <v>20166</v>
      </c>
      <c r="C559" s="19">
        <v>4</v>
      </c>
      <c r="D559" s="31">
        <v>21269.230000000003</v>
      </c>
      <c r="E559" t="str">
        <f>VLOOKUP(B559,'CC by Segment'!$D:$E,2,FALSE)</f>
        <v>Lifestyle</v>
      </c>
      <c r="G559" t="str">
        <f t="shared" si="8"/>
        <v>C505102</v>
      </c>
      <c r="J559" s="2"/>
    </row>
    <row r="560" spans="1:10">
      <c r="A560" t="s">
        <v>13311</v>
      </c>
      <c r="B560" s="18" t="s">
        <v>8448</v>
      </c>
      <c r="C560" s="19">
        <v>224</v>
      </c>
      <c r="D560" s="31">
        <v>294785.08</v>
      </c>
      <c r="E560" t="str">
        <f>VLOOKUP(B560,'CC by Segment'!$D:$E,2,FALSE)</f>
        <v>Lifestyle</v>
      </c>
      <c r="G560" t="str">
        <f t="shared" si="8"/>
        <v>C506000</v>
      </c>
      <c r="J560" s="2"/>
    </row>
    <row r="561" spans="1:10">
      <c r="A561" t="s">
        <v>13311</v>
      </c>
      <c r="B561" s="18" t="s">
        <v>12736</v>
      </c>
      <c r="C561" s="19">
        <v>69</v>
      </c>
      <c r="D561" s="31">
        <v>160280.44</v>
      </c>
      <c r="E561" t="str">
        <f>VLOOKUP(B561,'CC by Segment'!$D:$E,2,FALSE)</f>
        <v>Lifestyle</v>
      </c>
      <c r="G561" t="str">
        <f t="shared" si="8"/>
        <v>C506002</v>
      </c>
      <c r="J561" s="2"/>
    </row>
    <row r="562" spans="1:10">
      <c r="A562" t="s">
        <v>13311</v>
      </c>
      <c r="B562" s="18" t="s">
        <v>8455</v>
      </c>
      <c r="C562" s="19">
        <v>16</v>
      </c>
      <c r="D562" s="31">
        <v>79744.36</v>
      </c>
      <c r="E562" t="str">
        <f>VLOOKUP(B562,'CC by Segment'!$D:$E,2,FALSE)</f>
        <v>Lifestyle</v>
      </c>
      <c r="G562" t="str">
        <f t="shared" si="8"/>
        <v>C506003</v>
      </c>
      <c r="J562" s="2"/>
    </row>
    <row r="563" spans="1:10">
      <c r="A563" t="s">
        <v>13311</v>
      </c>
      <c r="B563" s="18" t="s">
        <v>8458</v>
      </c>
      <c r="C563" s="19">
        <v>24</v>
      </c>
      <c r="D563" s="31">
        <v>109246.66</v>
      </c>
      <c r="E563" t="str">
        <f>VLOOKUP(B563,'CC by Segment'!$D:$E,2,FALSE)</f>
        <v>Lifestyle</v>
      </c>
      <c r="G563" t="str">
        <f t="shared" si="8"/>
        <v>C506004</v>
      </c>
      <c r="J563" s="2"/>
    </row>
    <row r="564" spans="1:10">
      <c r="A564" t="s">
        <v>13311</v>
      </c>
      <c r="B564" s="18" t="s">
        <v>8461</v>
      </c>
      <c r="C564" s="19">
        <v>6</v>
      </c>
      <c r="D564" s="31">
        <v>22988.89</v>
      </c>
      <c r="E564" t="str">
        <f>VLOOKUP(B564,'CC by Segment'!$D:$E,2,FALSE)</f>
        <v>Lifestyle</v>
      </c>
      <c r="G564" t="str">
        <f t="shared" si="8"/>
        <v>C506005</v>
      </c>
      <c r="J564" s="2"/>
    </row>
    <row r="565" spans="1:10">
      <c r="A565" t="s">
        <v>13311</v>
      </c>
      <c r="B565" s="18" t="s">
        <v>8464</v>
      </c>
      <c r="C565" s="19">
        <v>5</v>
      </c>
      <c r="D565" s="31">
        <v>25438.39</v>
      </c>
      <c r="E565" t="str">
        <f>VLOOKUP(B565,'CC by Segment'!$D:$E,2,FALSE)</f>
        <v>Lifestyle</v>
      </c>
      <c r="G565" t="str">
        <f t="shared" si="8"/>
        <v>C506006</v>
      </c>
      <c r="J565" s="2"/>
    </row>
    <row r="566" spans="1:10">
      <c r="A566" t="s">
        <v>13311</v>
      </c>
      <c r="B566" s="18" t="s">
        <v>8470</v>
      </c>
      <c r="C566" s="19">
        <v>1</v>
      </c>
      <c r="D566" s="31">
        <v>5070.7299999999996</v>
      </c>
      <c r="E566" t="str">
        <f>VLOOKUP(B566,'CC by Segment'!$D:$E,2,FALSE)</f>
        <v>Lifestyle</v>
      </c>
      <c r="G566" t="str">
        <f t="shared" si="8"/>
        <v>C506008</v>
      </c>
      <c r="J566" s="2"/>
    </row>
    <row r="567" spans="1:10">
      <c r="A567" t="s">
        <v>13311</v>
      </c>
      <c r="B567" s="18" t="s">
        <v>12761</v>
      </c>
      <c r="C567" s="19">
        <v>10</v>
      </c>
      <c r="D567" s="31">
        <v>70094.13</v>
      </c>
      <c r="E567" t="str">
        <f>VLOOKUP(B567,'CC by Segment'!$D:$E,2,FALSE)</f>
        <v>Lifestyle</v>
      </c>
      <c r="G567" t="str">
        <f t="shared" si="8"/>
        <v>C506009</v>
      </c>
      <c r="J567" s="2"/>
    </row>
    <row r="568" spans="1:10">
      <c r="A568" t="s">
        <v>13311</v>
      </c>
      <c r="B568" s="18" t="s">
        <v>8475</v>
      </c>
      <c r="C568" s="19">
        <v>11</v>
      </c>
      <c r="D568" s="31">
        <v>65660.67</v>
      </c>
      <c r="E568" t="str">
        <f>VLOOKUP(B568,'CC by Segment'!$D:$E,2,FALSE)</f>
        <v>Lifestyle</v>
      </c>
      <c r="G568" t="str">
        <f t="shared" si="8"/>
        <v>C506010</v>
      </c>
      <c r="J568" s="2"/>
    </row>
    <row r="569" spans="1:10">
      <c r="A569" t="s">
        <v>13311</v>
      </c>
      <c r="B569" s="18" t="s">
        <v>8478</v>
      </c>
      <c r="C569" s="19">
        <v>17</v>
      </c>
      <c r="D569" s="31">
        <v>74418.570000000007</v>
      </c>
      <c r="E569" t="str">
        <f>VLOOKUP(B569,'CC by Segment'!$D:$E,2,FALSE)</f>
        <v>Lifestyle</v>
      </c>
      <c r="G569" t="str">
        <f t="shared" si="8"/>
        <v>C506011</v>
      </c>
      <c r="J569" s="2"/>
    </row>
    <row r="570" spans="1:10">
      <c r="A570" t="s">
        <v>13311</v>
      </c>
      <c r="B570" s="18" t="s">
        <v>8484</v>
      </c>
      <c r="C570" s="19">
        <v>5</v>
      </c>
      <c r="D570" s="31">
        <v>24900.07</v>
      </c>
      <c r="E570" t="str">
        <f>VLOOKUP(B570,'CC by Segment'!$D:$E,2,FALSE)</f>
        <v>Lifestyle</v>
      </c>
      <c r="G570" t="str">
        <f t="shared" si="8"/>
        <v>C506013</v>
      </c>
      <c r="J570" s="2"/>
    </row>
    <row r="571" spans="1:10">
      <c r="A571" t="s">
        <v>13311</v>
      </c>
      <c r="B571" s="18" t="s">
        <v>8487</v>
      </c>
      <c r="C571" s="19">
        <v>8</v>
      </c>
      <c r="D571" s="31">
        <v>49112.76</v>
      </c>
      <c r="E571" t="str">
        <f>VLOOKUP(B571,'CC by Segment'!$D:$E,2,FALSE)</f>
        <v>Lifestyle</v>
      </c>
      <c r="G571" t="str">
        <f t="shared" si="8"/>
        <v>C506014</v>
      </c>
      <c r="J571" s="2"/>
    </row>
    <row r="572" spans="1:10">
      <c r="A572" t="s">
        <v>13311</v>
      </c>
      <c r="B572" s="18" t="s">
        <v>8492</v>
      </c>
      <c r="C572" s="19">
        <v>5</v>
      </c>
      <c r="D572" s="31">
        <v>35291.5</v>
      </c>
      <c r="E572" t="str">
        <f>VLOOKUP(B572,'CC by Segment'!$D:$E,2,FALSE)</f>
        <v>Lifestyle</v>
      </c>
      <c r="G572" t="str">
        <f t="shared" si="8"/>
        <v>C506016</v>
      </c>
      <c r="J572" s="2"/>
    </row>
    <row r="573" spans="1:10">
      <c r="A573" t="s">
        <v>13311</v>
      </c>
      <c r="B573" s="18" t="s">
        <v>12825</v>
      </c>
      <c r="C573" s="19">
        <v>1</v>
      </c>
      <c r="D573" s="31">
        <v>4986.8100000000004</v>
      </c>
      <c r="E573" t="str">
        <f>VLOOKUP(B573,'CC by Segment'!$D:$E,2,FALSE)</f>
        <v>Lifestyle</v>
      </c>
      <c r="G573" t="str">
        <f t="shared" si="8"/>
        <v>C506019</v>
      </c>
      <c r="J573" s="2"/>
    </row>
    <row r="574" spans="1:10">
      <c r="A574" t="s">
        <v>13311</v>
      </c>
      <c r="B574" s="18" t="s">
        <v>12828</v>
      </c>
      <c r="C574" s="19">
        <v>25</v>
      </c>
      <c r="D574" s="31">
        <v>96300.73000000001</v>
      </c>
      <c r="E574" t="str">
        <f>VLOOKUP(B574,'CC by Segment'!$D:$E,2,FALSE)</f>
        <v>Lifestyle</v>
      </c>
      <c r="G574" t="str">
        <f t="shared" si="8"/>
        <v>C506020</v>
      </c>
      <c r="J574" s="2"/>
    </row>
    <row r="575" spans="1:10">
      <c r="A575" t="s">
        <v>13311</v>
      </c>
      <c r="B575" s="18" t="s">
        <v>12831</v>
      </c>
      <c r="C575" s="19">
        <v>20</v>
      </c>
      <c r="D575" s="31">
        <v>104035.52</v>
      </c>
      <c r="E575" t="str">
        <f>VLOOKUP(B575,'CC by Segment'!$D:$E,2,FALSE)</f>
        <v>Lifestyle</v>
      </c>
      <c r="G575" t="str">
        <f t="shared" si="8"/>
        <v>C506021</v>
      </c>
      <c r="J575" s="2"/>
    </row>
    <row r="576" spans="1:10">
      <c r="A576" t="s">
        <v>13311</v>
      </c>
      <c r="B576" s="18" t="s">
        <v>12857</v>
      </c>
      <c r="C576" s="19">
        <v>27</v>
      </c>
      <c r="D576" s="31">
        <v>105395.47</v>
      </c>
      <c r="E576" t="str">
        <f>VLOOKUP(B576,'CC by Segment'!$D:$E,2,FALSE)</f>
        <v>Lifestyle</v>
      </c>
      <c r="G576" t="str">
        <f t="shared" si="8"/>
        <v>C506023</v>
      </c>
      <c r="J576" s="2"/>
    </row>
    <row r="577" spans="1:10">
      <c r="A577" t="s">
        <v>13311</v>
      </c>
      <c r="B577" s="18" t="s">
        <v>8515</v>
      </c>
      <c r="C577" s="19">
        <v>1</v>
      </c>
      <c r="D577" s="31">
        <v>5712.54</v>
      </c>
      <c r="E577" t="str">
        <f>VLOOKUP(B577,'CC by Segment'!$D:$E,2,FALSE)</f>
        <v>Lifestyle</v>
      </c>
      <c r="G577" t="str">
        <f t="shared" si="8"/>
        <v>C506025</v>
      </c>
      <c r="J577" s="2"/>
    </row>
    <row r="578" spans="1:10">
      <c r="A578" t="s">
        <v>13311</v>
      </c>
      <c r="B578" s="18" t="s">
        <v>8518</v>
      </c>
      <c r="C578" s="19">
        <v>2</v>
      </c>
      <c r="D578" s="31">
        <v>10582.88</v>
      </c>
      <c r="E578" t="str">
        <f>VLOOKUP(B578,'CC by Segment'!$D:$E,2,FALSE)</f>
        <v>Lifestyle</v>
      </c>
      <c r="G578" t="str">
        <f t="shared" si="8"/>
        <v>C506026</v>
      </c>
      <c r="J578" s="2"/>
    </row>
    <row r="579" spans="1:10">
      <c r="A579" t="s">
        <v>13311</v>
      </c>
      <c r="B579" s="18" t="s">
        <v>12810</v>
      </c>
      <c r="C579" s="19">
        <v>1</v>
      </c>
      <c r="D579" s="31">
        <v>3726</v>
      </c>
      <c r="E579" t="str">
        <f>VLOOKUP(B579,'CC by Segment'!$D:$E,2,FALSE)</f>
        <v>Lifestyle</v>
      </c>
      <c r="G579" t="str">
        <f t="shared" si="8"/>
        <v>C506029</v>
      </c>
      <c r="J579" s="2"/>
    </row>
    <row r="580" spans="1:10">
      <c r="A580" t="s">
        <v>13311</v>
      </c>
      <c r="B580" s="18" t="s">
        <v>19779</v>
      </c>
      <c r="C580" s="19">
        <v>2</v>
      </c>
      <c r="D580" s="31">
        <v>10493.15</v>
      </c>
      <c r="E580" t="str">
        <f>VLOOKUP(B580,'CC by Segment'!$D:$E,2,FALSE)</f>
        <v>Lifestyle</v>
      </c>
      <c r="G580" t="str">
        <f t="shared" si="8"/>
        <v>C506033</v>
      </c>
      <c r="J580" s="2"/>
    </row>
    <row r="581" spans="1:10">
      <c r="A581" t="s">
        <v>13311</v>
      </c>
      <c r="B581" s="18" t="s">
        <v>12863</v>
      </c>
      <c r="C581" s="19">
        <v>30</v>
      </c>
      <c r="D581" s="31">
        <v>100461</v>
      </c>
      <c r="E581" t="str">
        <f>VLOOKUP(B581,'CC by Segment'!$D:$E,2,FALSE)</f>
        <v>Lifestyle</v>
      </c>
      <c r="G581" t="str">
        <f t="shared" ref="G581:G644" si="9">TRIM(B581)</f>
        <v>C509000</v>
      </c>
      <c r="J581" s="2"/>
    </row>
    <row r="582" spans="1:10">
      <c r="A582" t="s">
        <v>13311</v>
      </c>
      <c r="B582" s="18" t="s">
        <v>12952</v>
      </c>
      <c r="C582" s="19">
        <v>4</v>
      </c>
      <c r="D582" s="31">
        <v>5570.08</v>
      </c>
      <c r="E582" t="str">
        <f>VLOOKUP(B582,'CC by Segment'!$D:$E,2,FALSE)</f>
        <v>Lifestyle</v>
      </c>
      <c r="G582" t="str">
        <f t="shared" si="9"/>
        <v>C509500</v>
      </c>
      <c r="J582" s="2"/>
    </row>
    <row r="583" spans="1:10">
      <c r="A583" t="s">
        <v>13311</v>
      </c>
      <c r="B583" s="18" t="s">
        <v>5012</v>
      </c>
      <c r="C583" s="19">
        <v>7</v>
      </c>
      <c r="D583" s="31">
        <v>33650</v>
      </c>
      <c r="E583" t="str">
        <f>VLOOKUP(B583,'CC by Segment'!$D:$E,2,FALSE)</f>
        <v>Lifestyle</v>
      </c>
      <c r="G583" t="str">
        <f t="shared" si="9"/>
        <v>C510000</v>
      </c>
      <c r="J583" s="2"/>
    </row>
    <row r="584" spans="1:10">
      <c r="A584" t="s">
        <v>13311</v>
      </c>
      <c r="B584" s="18" t="s">
        <v>3730</v>
      </c>
      <c r="C584" s="19">
        <v>3</v>
      </c>
      <c r="D584" s="31">
        <v>20150.12</v>
      </c>
      <c r="E584" t="str">
        <f>VLOOKUP(B584,'CC by Segment'!$D:$E,2,FALSE)</f>
        <v>Lifestyle</v>
      </c>
      <c r="G584" t="str">
        <f t="shared" si="9"/>
        <v>C515000</v>
      </c>
      <c r="J584" s="2"/>
    </row>
    <row r="585" spans="1:10">
      <c r="A585" t="s">
        <v>13311</v>
      </c>
      <c r="B585" s="18" t="s">
        <v>5218</v>
      </c>
      <c r="C585" s="19">
        <v>48</v>
      </c>
      <c r="D585" s="31">
        <v>110510.03</v>
      </c>
      <c r="E585" t="str">
        <f>VLOOKUP(B585,'CC by Segment'!$D:$E,2,FALSE)</f>
        <v>Lifestyle</v>
      </c>
      <c r="G585" t="str">
        <f t="shared" si="9"/>
        <v>C515003</v>
      </c>
      <c r="J585" s="2"/>
    </row>
    <row r="586" spans="1:10">
      <c r="A586" t="s">
        <v>13311</v>
      </c>
      <c r="B586" s="18" t="s">
        <v>8616</v>
      </c>
      <c r="C586" s="19">
        <v>5</v>
      </c>
      <c r="D586" s="31">
        <v>14169.27</v>
      </c>
      <c r="E586" t="str">
        <f>VLOOKUP(B586,'CC by Segment'!$D:$E,2,FALSE)</f>
        <v>Lifestyle</v>
      </c>
      <c r="G586" t="str">
        <f t="shared" si="9"/>
        <v>C515005</v>
      </c>
      <c r="J586" s="2"/>
    </row>
    <row r="587" spans="1:10">
      <c r="A587" t="s">
        <v>13311</v>
      </c>
      <c r="B587" s="18" t="s">
        <v>3745</v>
      </c>
      <c r="C587" s="19">
        <v>2</v>
      </c>
      <c r="D587" s="31">
        <v>10780.31</v>
      </c>
      <c r="E587" t="str">
        <f>VLOOKUP(B587,'CC by Segment'!$D:$E,2,FALSE)</f>
        <v>Lifestyle</v>
      </c>
      <c r="G587" t="str">
        <f t="shared" si="9"/>
        <v>C515007</v>
      </c>
      <c r="J587" s="2"/>
    </row>
    <row r="588" spans="1:10">
      <c r="A588" t="s">
        <v>13311</v>
      </c>
      <c r="B588" s="18" t="s">
        <v>6373</v>
      </c>
      <c r="C588" s="19">
        <v>1</v>
      </c>
      <c r="D588" s="31">
        <v>3269.23</v>
      </c>
      <c r="E588" t="str">
        <f>VLOOKUP(B588,'CC by Segment'!$D:$E,2,FALSE)</f>
        <v>Lifestyle</v>
      </c>
      <c r="G588" t="str">
        <f t="shared" si="9"/>
        <v>C515008</v>
      </c>
      <c r="J588" s="2"/>
    </row>
    <row r="589" spans="1:10">
      <c r="A589" t="s">
        <v>13311</v>
      </c>
      <c r="B589" s="18" t="s">
        <v>8631</v>
      </c>
      <c r="C589" s="19">
        <v>8</v>
      </c>
      <c r="D589" s="31">
        <v>43664.800000000003</v>
      </c>
      <c r="E589" t="str">
        <f>VLOOKUP(B589,'CC by Segment'!$D:$E,2,FALSE)</f>
        <v>Lifestyle</v>
      </c>
      <c r="G589" t="str">
        <f t="shared" si="9"/>
        <v>C515010</v>
      </c>
      <c r="J589" s="2"/>
    </row>
    <row r="590" spans="1:10">
      <c r="A590" t="s">
        <v>13311</v>
      </c>
      <c r="B590" s="18" t="s">
        <v>8634</v>
      </c>
      <c r="C590" s="19">
        <v>12</v>
      </c>
      <c r="D590" s="31">
        <v>24516.2</v>
      </c>
      <c r="E590" t="str">
        <f>VLOOKUP(B590,'CC by Segment'!$D:$E,2,FALSE)</f>
        <v>Lifestyle</v>
      </c>
      <c r="G590" t="str">
        <f t="shared" si="9"/>
        <v>C515011</v>
      </c>
      <c r="J590" s="2"/>
    </row>
    <row r="591" spans="1:10">
      <c r="A591" t="s">
        <v>13311</v>
      </c>
      <c r="B591" s="18" t="s">
        <v>12330</v>
      </c>
      <c r="C591" s="19">
        <v>40</v>
      </c>
      <c r="D591" s="31">
        <v>60029.97</v>
      </c>
      <c r="E591" t="str">
        <f>VLOOKUP(B591,'CC by Segment'!$D:$E,2,FALSE)</f>
        <v>Lifestyle</v>
      </c>
      <c r="G591" t="str">
        <f t="shared" si="9"/>
        <v>C515014</v>
      </c>
      <c r="J591" s="2"/>
    </row>
    <row r="592" spans="1:10">
      <c r="A592" t="s">
        <v>13311</v>
      </c>
      <c r="B592" s="18" t="s">
        <v>12353</v>
      </c>
      <c r="C592" s="19">
        <v>16</v>
      </c>
      <c r="D592" s="31">
        <v>29416.78</v>
      </c>
      <c r="E592" t="str">
        <f>VLOOKUP(B592,'CC by Segment'!$D:$E,2,FALSE)</f>
        <v>Lifestyle</v>
      </c>
      <c r="G592" t="str">
        <f t="shared" si="9"/>
        <v>C515017</v>
      </c>
      <c r="J592" s="2"/>
    </row>
    <row r="593" spans="1:10">
      <c r="A593" t="s">
        <v>13311</v>
      </c>
      <c r="B593" s="18" t="s">
        <v>8657</v>
      </c>
      <c r="C593" s="19">
        <v>15</v>
      </c>
      <c r="D593" s="31">
        <v>58916.79</v>
      </c>
      <c r="E593" t="str">
        <f>VLOOKUP(B593,'CC by Segment'!$D:$E,2,FALSE)</f>
        <v>Lifestyle</v>
      </c>
      <c r="G593" t="str">
        <f t="shared" si="9"/>
        <v>C515018</v>
      </c>
      <c r="J593" s="2"/>
    </row>
    <row r="594" spans="1:10">
      <c r="A594" t="s">
        <v>13311</v>
      </c>
      <c r="B594" s="18" t="s">
        <v>8660</v>
      </c>
      <c r="C594" s="19">
        <v>28</v>
      </c>
      <c r="D594" s="31">
        <v>59446.44</v>
      </c>
      <c r="E594" t="str">
        <f>VLOOKUP(B594,'CC by Segment'!$D:$E,2,FALSE)</f>
        <v>Lifestyle</v>
      </c>
      <c r="G594" t="str">
        <f t="shared" si="9"/>
        <v>C515019</v>
      </c>
      <c r="J594" s="2"/>
    </row>
    <row r="595" spans="1:10">
      <c r="A595" t="s">
        <v>13311</v>
      </c>
      <c r="B595" s="18" t="s">
        <v>6865</v>
      </c>
      <c r="C595" s="19">
        <v>6</v>
      </c>
      <c r="D595" s="31">
        <v>20570.34</v>
      </c>
      <c r="E595" t="str">
        <f>VLOOKUP(B595,'CC by Segment'!$D:$E,2,FALSE)</f>
        <v>Lifestyle</v>
      </c>
      <c r="G595" t="str">
        <f t="shared" si="9"/>
        <v>C515100</v>
      </c>
      <c r="J595" s="2"/>
    </row>
    <row r="596" spans="1:10">
      <c r="A596" t="s">
        <v>13311</v>
      </c>
      <c r="B596" s="18" t="s">
        <v>6868</v>
      </c>
      <c r="C596" s="19">
        <v>7</v>
      </c>
      <c r="D596" s="31">
        <v>16605.080000000002</v>
      </c>
      <c r="E596" t="str">
        <f>VLOOKUP(B596,'CC by Segment'!$D:$E,2,FALSE)</f>
        <v>Lifestyle</v>
      </c>
      <c r="G596" t="str">
        <f t="shared" si="9"/>
        <v>C515101</v>
      </c>
      <c r="J596" s="2"/>
    </row>
    <row r="597" spans="1:10">
      <c r="A597" t="s">
        <v>13311</v>
      </c>
      <c r="B597" s="18" t="s">
        <v>20173</v>
      </c>
      <c r="C597" s="19">
        <v>12</v>
      </c>
      <c r="D597" s="31">
        <v>80914.080000000002</v>
      </c>
      <c r="E597" t="str">
        <f>VLOOKUP(B597,'CC by Segment'!$D:$E,2,FALSE)</f>
        <v>Housing</v>
      </c>
      <c r="G597" t="str">
        <f t="shared" si="9"/>
        <v>C515214</v>
      </c>
      <c r="J597" s="2"/>
    </row>
    <row r="598" spans="1:10">
      <c r="A598" t="s">
        <v>13311</v>
      </c>
      <c r="B598" s="18" t="s">
        <v>20174</v>
      </c>
      <c r="C598" s="19">
        <v>22</v>
      </c>
      <c r="D598" s="31">
        <v>106623.66</v>
      </c>
      <c r="E598" t="str">
        <f>VLOOKUP(B598,'CC by Segment'!$D:$E,2,FALSE)</f>
        <v>Housing</v>
      </c>
      <c r="G598" t="str">
        <f t="shared" si="9"/>
        <v>C515215</v>
      </c>
      <c r="J598" s="2"/>
    </row>
    <row r="599" spans="1:10">
      <c r="A599" t="s">
        <v>13311</v>
      </c>
      <c r="B599" s="18" t="s">
        <v>3629</v>
      </c>
      <c r="C599" s="19">
        <v>3</v>
      </c>
      <c r="D599" s="31">
        <v>6801.22</v>
      </c>
      <c r="E599" t="str">
        <f>VLOOKUP(B599,'CC by Segment'!$D:$E,2,FALSE)</f>
        <v>Lifestyle</v>
      </c>
      <c r="G599" t="str">
        <f t="shared" si="9"/>
        <v>C515305</v>
      </c>
      <c r="J599" s="2"/>
    </row>
    <row r="600" spans="1:10">
      <c r="A600" t="s">
        <v>13311</v>
      </c>
      <c r="B600" s="18" t="s">
        <v>5236</v>
      </c>
      <c r="C600" s="19">
        <v>13</v>
      </c>
      <c r="D600" s="31">
        <v>22192.99</v>
      </c>
      <c r="E600" t="str">
        <f>VLOOKUP(B600,'CC by Segment'!$D:$E,2,FALSE)</f>
        <v>Lifestyle</v>
      </c>
      <c r="G600" t="str">
        <f t="shared" si="9"/>
        <v>C550000</v>
      </c>
      <c r="J600" s="2"/>
    </row>
    <row r="601" spans="1:10">
      <c r="A601" t="s">
        <v>13311</v>
      </c>
      <c r="B601" s="18" t="s">
        <v>5243</v>
      </c>
      <c r="C601" s="19">
        <v>16</v>
      </c>
      <c r="D601" s="31">
        <v>29435.45</v>
      </c>
      <c r="E601" t="str">
        <f>VLOOKUP(B601,'CC by Segment'!$D:$E,2,FALSE)</f>
        <v>Lifestyle</v>
      </c>
      <c r="G601" t="str">
        <f t="shared" si="9"/>
        <v>C550001</v>
      </c>
      <c r="J601" s="2"/>
    </row>
    <row r="602" spans="1:10">
      <c r="A602" t="s">
        <v>13311</v>
      </c>
      <c r="B602" s="18" t="s">
        <v>8903</v>
      </c>
      <c r="C602" s="19">
        <v>4</v>
      </c>
      <c r="D602" s="31">
        <v>6799.73</v>
      </c>
      <c r="E602" t="str">
        <f>VLOOKUP(B602,'CC by Segment'!$D:$E,2,FALSE)</f>
        <v>Lifestyle</v>
      </c>
      <c r="G602" t="str">
        <f t="shared" si="9"/>
        <v>C550002</v>
      </c>
      <c r="J602" s="2"/>
    </row>
    <row r="603" spans="1:10">
      <c r="A603" t="s">
        <v>13311</v>
      </c>
      <c r="B603" s="18" t="s">
        <v>8906</v>
      </c>
      <c r="C603" s="19">
        <v>11</v>
      </c>
      <c r="D603" s="31">
        <v>43827.41</v>
      </c>
      <c r="E603" t="str">
        <f>VLOOKUP(B603,'CC by Segment'!$D:$E,2,FALSE)</f>
        <v>Lifestyle</v>
      </c>
      <c r="G603" t="str">
        <f t="shared" si="9"/>
        <v>C550003</v>
      </c>
      <c r="J603" s="2"/>
    </row>
    <row r="604" spans="1:10">
      <c r="A604" t="s">
        <v>13311</v>
      </c>
      <c r="B604" s="18" t="s">
        <v>8909</v>
      </c>
      <c r="C604" s="19">
        <v>8</v>
      </c>
      <c r="D604" s="31">
        <v>12003.68</v>
      </c>
      <c r="E604" t="str">
        <f>VLOOKUP(B604,'CC by Segment'!$D:$E,2,FALSE)</f>
        <v>Lifestyle</v>
      </c>
      <c r="G604" t="str">
        <f t="shared" si="9"/>
        <v>C550004</v>
      </c>
      <c r="J604" s="2"/>
    </row>
    <row r="605" spans="1:10">
      <c r="A605" t="s">
        <v>13311</v>
      </c>
      <c r="B605" s="18" t="s">
        <v>12318</v>
      </c>
      <c r="C605" s="19">
        <v>13</v>
      </c>
      <c r="D605" s="31">
        <v>19295.64</v>
      </c>
      <c r="E605" t="str">
        <f>VLOOKUP(B605,'CC by Segment'!$D:$E,2,FALSE)</f>
        <v>Lifestyle</v>
      </c>
      <c r="G605" t="str">
        <f t="shared" si="9"/>
        <v>C550005</v>
      </c>
      <c r="J605" s="2"/>
    </row>
    <row r="606" spans="1:10">
      <c r="A606" t="s">
        <v>13311</v>
      </c>
      <c r="B606" s="18" t="s">
        <v>8916</v>
      </c>
      <c r="C606" s="19">
        <v>9</v>
      </c>
      <c r="D606" s="31">
        <v>12569.47</v>
      </c>
      <c r="E606" t="str">
        <f>VLOOKUP(B606,'CC by Segment'!$D:$E,2,FALSE)</f>
        <v>Lifestyle</v>
      </c>
      <c r="G606" t="str">
        <f t="shared" si="9"/>
        <v>C550006</v>
      </c>
      <c r="J606" s="2"/>
    </row>
    <row r="607" spans="1:10">
      <c r="A607" t="s">
        <v>13311</v>
      </c>
      <c r="B607" s="18" t="s">
        <v>8919</v>
      </c>
      <c r="C607" s="19">
        <v>4</v>
      </c>
      <c r="D607" s="31">
        <v>8304.4699999999993</v>
      </c>
      <c r="E607" t="str">
        <f>VLOOKUP(B607,'CC by Segment'!$D:$E,2,FALSE)</f>
        <v>Lifestyle</v>
      </c>
      <c r="G607" t="str">
        <f t="shared" si="9"/>
        <v>C550007</v>
      </c>
      <c r="J607" s="2"/>
    </row>
    <row r="608" spans="1:10">
      <c r="A608" t="s">
        <v>13311</v>
      </c>
      <c r="B608" s="18" t="s">
        <v>5252</v>
      </c>
      <c r="C608" s="19">
        <v>16</v>
      </c>
      <c r="D608" s="31">
        <v>25829.14</v>
      </c>
      <c r="E608" t="str">
        <f>VLOOKUP(B608,'CC by Segment'!$D:$E,2,FALSE)</f>
        <v>Lifestyle</v>
      </c>
      <c r="G608" t="str">
        <f t="shared" si="9"/>
        <v>C550008</v>
      </c>
      <c r="J608" s="2"/>
    </row>
    <row r="609" spans="1:10">
      <c r="A609" t="s">
        <v>13311</v>
      </c>
      <c r="B609" s="18" t="s">
        <v>5273</v>
      </c>
      <c r="C609" s="19">
        <v>27</v>
      </c>
      <c r="D609" s="31">
        <v>48688.36</v>
      </c>
      <c r="E609" t="str">
        <f>VLOOKUP(B609,'CC by Segment'!$D:$E,2,FALSE)</f>
        <v>Lifestyle</v>
      </c>
      <c r="G609" t="str">
        <f t="shared" si="9"/>
        <v>C550009</v>
      </c>
      <c r="J609" s="2"/>
    </row>
    <row r="610" spans="1:10">
      <c r="A610" t="s">
        <v>13311</v>
      </c>
      <c r="B610" s="18" t="s">
        <v>5282</v>
      </c>
      <c r="C610" s="19">
        <v>4</v>
      </c>
      <c r="D610" s="31">
        <v>7983.67</v>
      </c>
      <c r="E610" t="str">
        <f>VLOOKUP(B610,'CC by Segment'!$D:$E,2,FALSE)</f>
        <v>Housing</v>
      </c>
      <c r="G610" t="str">
        <f t="shared" si="9"/>
        <v>C550024</v>
      </c>
      <c r="J610" s="2"/>
    </row>
    <row r="611" spans="1:10">
      <c r="A611" t="s">
        <v>13311</v>
      </c>
      <c r="B611" s="18" t="s">
        <v>9011</v>
      </c>
      <c r="C611" s="19">
        <v>7</v>
      </c>
      <c r="D611" s="31">
        <v>28448.84</v>
      </c>
      <c r="E611" t="str">
        <f>VLOOKUP(B611,'CC by Segment'!$D:$E,2,FALSE)</f>
        <v>Lifestyle</v>
      </c>
      <c r="G611" t="str">
        <f t="shared" si="9"/>
        <v>C570001</v>
      </c>
      <c r="J611" s="2"/>
    </row>
    <row r="612" spans="1:10">
      <c r="A612" t="s">
        <v>13311</v>
      </c>
      <c r="B612" s="18" t="s">
        <v>9017</v>
      </c>
      <c r="C612" s="19">
        <v>9</v>
      </c>
      <c r="D612" s="31">
        <v>34858.85</v>
      </c>
      <c r="E612" t="str">
        <f>VLOOKUP(B612,'CC by Segment'!$D:$E,2,FALSE)</f>
        <v>Lifestyle</v>
      </c>
      <c r="G612" t="str">
        <f t="shared" si="9"/>
        <v>C570003</v>
      </c>
      <c r="J612" s="2"/>
    </row>
    <row r="613" spans="1:10">
      <c r="A613" t="s">
        <v>13311</v>
      </c>
      <c r="B613" s="18" t="s">
        <v>9020</v>
      </c>
      <c r="C613" s="19">
        <v>12</v>
      </c>
      <c r="D613" s="31">
        <v>22487.31</v>
      </c>
      <c r="E613" t="str">
        <f>VLOOKUP(B613,'CC by Segment'!$D:$E,2,FALSE)</f>
        <v>Lifestyle</v>
      </c>
      <c r="G613" t="str">
        <f t="shared" si="9"/>
        <v>C570004</v>
      </c>
      <c r="J613" s="2"/>
    </row>
    <row r="614" spans="1:10">
      <c r="A614" t="s">
        <v>13311</v>
      </c>
      <c r="B614" s="18" t="s">
        <v>9023</v>
      </c>
      <c r="C614" s="19">
        <v>108</v>
      </c>
      <c r="D614" s="31">
        <v>159907.87</v>
      </c>
      <c r="E614" t="str">
        <f>VLOOKUP(B614,'CC by Segment'!$D:$E,2,FALSE)</f>
        <v>Lifestyle</v>
      </c>
      <c r="G614" t="str">
        <f t="shared" si="9"/>
        <v>C570005</v>
      </c>
      <c r="J614" s="2"/>
    </row>
    <row r="615" spans="1:10">
      <c r="A615" t="s">
        <v>13311</v>
      </c>
      <c r="B615" s="18" t="s">
        <v>9026</v>
      </c>
      <c r="C615" s="19">
        <v>21</v>
      </c>
      <c r="D615" s="31">
        <v>33287.58</v>
      </c>
      <c r="E615" t="str">
        <f>VLOOKUP(B615,'CC by Segment'!$D:$E,2,FALSE)</f>
        <v>Lifestyle</v>
      </c>
      <c r="G615" t="str">
        <f t="shared" si="9"/>
        <v>C570006</v>
      </c>
      <c r="J615" s="2"/>
    </row>
    <row r="616" spans="1:10">
      <c r="A616" t="s">
        <v>13311</v>
      </c>
      <c r="B616" s="18" t="s">
        <v>12739</v>
      </c>
      <c r="C616" s="19">
        <v>5</v>
      </c>
      <c r="D616" s="31">
        <v>43598.879999999997</v>
      </c>
      <c r="E616" t="str">
        <f>VLOOKUP(B616,'CC by Segment'!$D:$E,2,FALSE)</f>
        <v>Lifestyle</v>
      </c>
      <c r="G616" t="str">
        <f t="shared" si="9"/>
        <v>C570007</v>
      </c>
      <c r="J616" s="2"/>
    </row>
    <row r="617" spans="1:10">
      <c r="A617" t="s">
        <v>13311</v>
      </c>
      <c r="B617" s="18" t="s">
        <v>9032</v>
      </c>
      <c r="C617" s="19">
        <v>54</v>
      </c>
      <c r="D617" s="31">
        <v>93745.58</v>
      </c>
      <c r="E617" t="str">
        <f>VLOOKUP(B617,'CC by Segment'!$D:$E,2,FALSE)</f>
        <v>Lifestyle</v>
      </c>
      <c r="G617" t="str">
        <f t="shared" si="9"/>
        <v>C570009</v>
      </c>
      <c r="J617" s="2"/>
    </row>
    <row r="618" spans="1:10">
      <c r="A618" t="s">
        <v>13311</v>
      </c>
      <c r="B618" s="18" t="s">
        <v>9039</v>
      </c>
      <c r="C618" s="19">
        <v>11</v>
      </c>
      <c r="D618" s="31">
        <v>24781.42</v>
      </c>
      <c r="E618" t="str">
        <f>VLOOKUP(B618,'CC by Segment'!$D:$E,2,FALSE)</f>
        <v>Lifestyle</v>
      </c>
      <c r="G618" t="str">
        <f t="shared" si="9"/>
        <v>C570011</v>
      </c>
      <c r="J618" s="2"/>
    </row>
    <row r="619" spans="1:10">
      <c r="A619" t="s">
        <v>13311</v>
      </c>
      <c r="B619" s="18" t="s">
        <v>9042</v>
      </c>
      <c r="C619" s="19">
        <v>7</v>
      </c>
      <c r="D619" s="31">
        <v>46193.11</v>
      </c>
      <c r="E619" t="str">
        <f>VLOOKUP(B619,'CC by Segment'!$D:$E,2,FALSE)</f>
        <v>Lifestyle</v>
      </c>
      <c r="G619" t="str">
        <f t="shared" si="9"/>
        <v>C570012</v>
      </c>
      <c r="J619" s="2"/>
    </row>
    <row r="620" spans="1:10">
      <c r="A620" t="s">
        <v>13311</v>
      </c>
      <c r="B620" s="18" t="s">
        <v>9045</v>
      </c>
      <c r="C620" s="19">
        <v>27</v>
      </c>
      <c r="D620" s="31">
        <v>54493.15</v>
      </c>
      <c r="E620" t="str">
        <f>VLOOKUP(B620,'CC by Segment'!$D:$E,2,FALSE)</f>
        <v>Lifestyle</v>
      </c>
      <c r="G620" t="str">
        <f t="shared" si="9"/>
        <v>C570013</v>
      </c>
      <c r="J620" s="2"/>
    </row>
    <row r="621" spans="1:10">
      <c r="A621" t="s">
        <v>13311</v>
      </c>
      <c r="B621" s="18" t="s">
        <v>9055</v>
      </c>
      <c r="C621" s="19">
        <v>9</v>
      </c>
      <c r="D621" s="31">
        <v>31190.89</v>
      </c>
      <c r="E621" t="str">
        <f>VLOOKUP(B621,'CC by Segment'!$D:$E,2,FALSE)</f>
        <v>Lifestyle</v>
      </c>
      <c r="G621" t="str">
        <f t="shared" si="9"/>
        <v>C570016</v>
      </c>
      <c r="J621" s="2"/>
    </row>
    <row r="622" spans="1:10">
      <c r="A622" t="s">
        <v>13311</v>
      </c>
      <c r="B622" s="18" t="s">
        <v>9105</v>
      </c>
      <c r="C622" s="19">
        <v>13</v>
      </c>
      <c r="D622" s="31">
        <v>28182.87</v>
      </c>
      <c r="E622" t="str">
        <f>VLOOKUP(B622,'CC by Segment'!$D:$E,2,FALSE)</f>
        <v>Lifestyle</v>
      </c>
      <c r="G622" t="str">
        <f t="shared" si="9"/>
        <v>C590002</v>
      </c>
      <c r="J622" s="2"/>
    </row>
    <row r="623" spans="1:10">
      <c r="A623" t="s">
        <v>13311</v>
      </c>
      <c r="B623" s="18" t="s">
        <v>9108</v>
      </c>
      <c r="C623" s="19">
        <v>8</v>
      </c>
      <c r="D623" s="31">
        <v>13598.66</v>
      </c>
      <c r="E623" t="str">
        <f>VLOOKUP(B623,'CC by Segment'!$D:$E,2,FALSE)</f>
        <v>Lifestyle</v>
      </c>
      <c r="G623" t="str">
        <f t="shared" si="9"/>
        <v>C590003</v>
      </c>
      <c r="J623" s="2"/>
    </row>
    <row r="624" spans="1:10">
      <c r="A624" t="s">
        <v>13311</v>
      </c>
      <c r="B624" s="18" t="s">
        <v>9111</v>
      </c>
      <c r="C624" s="19">
        <v>3</v>
      </c>
      <c r="D624" s="31">
        <v>8736.7000000000007</v>
      </c>
      <c r="E624" t="str">
        <f>VLOOKUP(B624,'CC by Segment'!$D:$E,2,FALSE)</f>
        <v>Lifestyle</v>
      </c>
      <c r="G624" t="str">
        <f t="shared" si="9"/>
        <v>C590004</v>
      </c>
      <c r="J624" s="2"/>
    </row>
    <row r="625" spans="1:10">
      <c r="A625" t="s">
        <v>13311</v>
      </c>
      <c r="B625" s="18" t="s">
        <v>9114</v>
      </c>
      <c r="C625" s="19">
        <v>3</v>
      </c>
      <c r="D625" s="31">
        <v>9240.91</v>
      </c>
      <c r="E625" t="str">
        <f>VLOOKUP(B625,'CC by Segment'!$D:$E,2,FALSE)</f>
        <v>Lifestyle</v>
      </c>
      <c r="G625" t="str">
        <f t="shared" si="9"/>
        <v>C590005</v>
      </c>
      <c r="J625" s="2"/>
    </row>
    <row r="626" spans="1:10">
      <c r="A626" t="s">
        <v>13311</v>
      </c>
      <c r="B626" s="18" t="s">
        <v>9117</v>
      </c>
      <c r="C626" s="19">
        <v>60</v>
      </c>
      <c r="D626" s="31">
        <v>120455.06</v>
      </c>
      <c r="E626" t="str">
        <f>VLOOKUP(B626,'CC by Segment'!$D:$E,2,FALSE)</f>
        <v>Lifestyle</v>
      </c>
      <c r="G626" t="str">
        <f t="shared" si="9"/>
        <v>C590006</v>
      </c>
      <c r="J626" s="2"/>
    </row>
    <row r="627" spans="1:10">
      <c r="A627" t="s">
        <v>13311</v>
      </c>
      <c r="B627" s="18" t="s">
        <v>9119</v>
      </c>
      <c r="C627" s="19">
        <v>20</v>
      </c>
      <c r="D627" s="31">
        <v>4805.51</v>
      </c>
      <c r="E627" t="str">
        <f>VLOOKUP(B627,'CC by Segment'!$D:$E,2,FALSE)</f>
        <v>Lifestyle</v>
      </c>
      <c r="G627" t="str">
        <f t="shared" si="9"/>
        <v>C590007</v>
      </c>
      <c r="J627" s="2"/>
    </row>
    <row r="628" spans="1:10">
      <c r="A628" t="s">
        <v>13311</v>
      </c>
      <c r="B628" s="18" t="s">
        <v>9122</v>
      </c>
      <c r="C628" s="19">
        <v>2</v>
      </c>
      <c r="D628" s="31">
        <v>7487.5</v>
      </c>
      <c r="E628" t="str">
        <f>VLOOKUP(B628,'CC by Segment'!$D:$E,2,FALSE)</f>
        <v>Lifestyle</v>
      </c>
      <c r="G628" t="str">
        <f t="shared" si="9"/>
        <v>C590008</v>
      </c>
      <c r="J628" s="2"/>
    </row>
    <row r="629" spans="1:10">
      <c r="A629" t="s">
        <v>13311</v>
      </c>
      <c r="B629" s="18" t="s">
        <v>9124</v>
      </c>
      <c r="C629" s="19">
        <v>13</v>
      </c>
      <c r="D629" s="31">
        <v>22497.42</v>
      </c>
      <c r="E629" t="str">
        <f>VLOOKUP(B629,'CC by Segment'!$D:$E,2,FALSE)</f>
        <v>Lifestyle</v>
      </c>
      <c r="G629" t="str">
        <f t="shared" si="9"/>
        <v>C590009</v>
      </c>
      <c r="J629" s="2"/>
    </row>
    <row r="630" spans="1:10">
      <c r="A630" t="s">
        <v>13311</v>
      </c>
      <c r="B630" s="18" t="s">
        <v>9126</v>
      </c>
      <c r="C630" s="19">
        <v>3</v>
      </c>
      <c r="D630" s="31">
        <v>5648.66</v>
      </c>
      <c r="E630" t="str">
        <f>VLOOKUP(B630,'CC by Segment'!$D:$E,2,FALSE)</f>
        <v>Lifestyle</v>
      </c>
      <c r="G630" t="str">
        <f t="shared" si="9"/>
        <v>C590010</v>
      </c>
      <c r="J630" s="2"/>
    </row>
    <row r="631" spans="1:10">
      <c r="A631" t="s">
        <v>13311</v>
      </c>
      <c r="B631" s="18" t="s">
        <v>11617</v>
      </c>
      <c r="C631" s="19">
        <v>52</v>
      </c>
      <c r="D631" s="31">
        <v>68633.06</v>
      </c>
      <c r="E631" t="str">
        <f>VLOOKUP(B631,'CC by Segment'!$D:$E,2,FALSE)</f>
        <v>Lifestyle</v>
      </c>
      <c r="G631" t="str">
        <f t="shared" si="9"/>
        <v>C590011</v>
      </c>
      <c r="J631" s="2"/>
    </row>
    <row r="632" spans="1:10">
      <c r="A632" t="s">
        <v>13311</v>
      </c>
      <c r="B632" s="18" t="s">
        <v>9133</v>
      </c>
      <c r="C632" s="19">
        <v>29</v>
      </c>
      <c r="D632" s="31">
        <v>55874.74</v>
      </c>
      <c r="E632" t="str">
        <f>VLOOKUP(B632,'CC by Segment'!$D:$E,2,FALSE)</f>
        <v>Lifestyle</v>
      </c>
      <c r="G632" t="str">
        <f t="shared" si="9"/>
        <v>C590012</v>
      </c>
      <c r="J632" s="2"/>
    </row>
    <row r="633" spans="1:10">
      <c r="A633" t="s">
        <v>13311</v>
      </c>
      <c r="B633" s="18" t="s">
        <v>9135</v>
      </c>
      <c r="C633" s="19">
        <v>42</v>
      </c>
      <c r="D633" s="31">
        <v>59067.14</v>
      </c>
      <c r="E633" t="str">
        <f>VLOOKUP(B633,'CC by Segment'!$D:$E,2,FALSE)</f>
        <v>Lifestyle</v>
      </c>
      <c r="G633" t="str">
        <f t="shared" si="9"/>
        <v>C590013</v>
      </c>
      <c r="J633" s="2"/>
    </row>
    <row r="634" spans="1:10">
      <c r="A634" t="s">
        <v>13311</v>
      </c>
      <c r="B634" s="18" t="s">
        <v>9137</v>
      </c>
      <c r="C634" s="19">
        <v>1</v>
      </c>
      <c r="D634" s="31">
        <v>3404.42</v>
      </c>
      <c r="E634" t="str">
        <f>VLOOKUP(B634,'CC by Segment'!$D:$E,2,FALSE)</f>
        <v>Lifestyle</v>
      </c>
      <c r="G634" t="str">
        <f t="shared" si="9"/>
        <v>C590014</v>
      </c>
      <c r="J634" s="2"/>
    </row>
    <row r="635" spans="1:10">
      <c r="A635" t="s">
        <v>13311</v>
      </c>
      <c r="B635" s="18" t="s">
        <v>9139</v>
      </c>
      <c r="C635" s="19">
        <v>8</v>
      </c>
      <c r="D635" s="31">
        <v>14604.28</v>
      </c>
      <c r="E635" t="str">
        <f>VLOOKUP(B635,'CC by Segment'!$D:$E,2,FALSE)</f>
        <v>Lifestyle</v>
      </c>
      <c r="G635" t="str">
        <f t="shared" si="9"/>
        <v>C590015</v>
      </c>
      <c r="J635" s="2"/>
    </row>
    <row r="636" spans="1:10">
      <c r="A636" t="s">
        <v>13311</v>
      </c>
      <c r="B636" s="18" t="s">
        <v>9141</v>
      </c>
      <c r="C636" s="19">
        <v>6</v>
      </c>
      <c r="D636" s="31">
        <v>14405.06</v>
      </c>
      <c r="E636" t="str">
        <f>VLOOKUP(B636,'CC by Segment'!$D:$E,2,FALSE)</f>
        <v>Lifestyle</v>
      </c>
      <c r="G636" t="str">
        <f t="shared" si="9"/>
        <v>C590016</v>
      </c>
      <c r="J636" s="2"/>
    </row>
    <row r="637" spans="1:10">
      <c r="A637" t="s">
        <v>13311</v>
      </c>
      <c r="B637" s="18" t="s">
        <v>19742</v>
      </c>
      <c r="C637" s="19">
        <v>92</v>
      </c>
      <c r="D637" s="31">
        <v>162130.28</v>
      </c>
      <c r="E637" t="str">
        <f>VLOOKUP(B637,'CC by Segment'!$D:$E,2,FALSE)</f>
        <v>Lifestyle</v>
      </c>
      <c r="G637" t="str">
        <f t="shared" si="9"/>
        <v>C590031</v>
      </c>
      <c r="J637" s="2"/>
    </row>
    <row r="638" spans="1:10">
      <c r="A638" t="s">
        <v>13311</v>
      </c>
      <c r="B638" s="18" t="s">
        <v>10510</v>
      </c>
      <c r="C638" s="19">
        <v>1</v>
      </c>
      <c r="D638" s="31">
        <v>8461.77</v>
      </c>
      <c r="E638" t="str">
        <f>VLOOKUP(B638,'CC by Segment'!$D:$E,2,FALSE)</f>
        <v>Corporate</v>
      </c>
      <c r="G638" t="str">
        <f t="shared" si="9"/>
        <v>C610388</v>
      </c>
      <c r="J638" s="2"/>
    </row>
    <row r="639" spans="1:10">
      <c r="A639" t="s">
        <v>13311</v>
      </c>
      <c r="B639" s="18" t="s">
        <v>19746</v>
      </c>
      <c r="C639" s="19">
        <v>102</v>
      </c>
      <c r="D639" s="31">
        <v>132943.18</v>
      </c>
      <c r="E639" t="str">
        <f>VLOOKUP(B639,'CC by Segment'!$D:$E,2,FALSE)</f>
        <v>Lifestyle</v>
      </c>
      <c r="G639" t="str">
        <f t="shared" si="9"/>
        <v>C610400</v>
      </c>
      <c r="J639" s="2"/>
    </row>
    <row r="640" spans="1:10">
      <c r="A640" t="s">
        <v>13311</v>
      </c>
      <c r="B640" s="18" t="s">
        <v>18190</v>
      </c>
      <c r="C640" s="19">
        <v>2</v>
      </c>
      <c r="D640" s="31">
        <v>9003.31</v>
      </c>
      <c r="E640" t="str">
        <f>VLOOKUP(B640,'CC by Segment'!$D:$E,2,FALSE)</f>
        <v>Corporate</v>
      </c>
      <c r="G640" t="str">
        <f t="shared" si="9"/>
        <v>C610401</v>
      </c>
      <c r="J640" s="2"/>
    </row>
    <row r="641" spans="1:10">
      <c r="A641" t="s">
        <v>13311</v>
      </c>
      <c r="B641" s="18" t="s">
        <v>19753</v>
      </c>
      <c r="C641" s="19">
        <v>15</v>
      </c>
      <c r="D641" s="31">
        <v>28719.66</v>
      </c>
      <c r="E641" t="str">
        <f>VLOOKUP(B641,'CC by Segment'!$D:$E,2,FALSE)</f>
        <v>Lifestyle</v>
      </c>
      <c r="G641" t="str">
        <f t="shared" si="9"/>
        <v>C610402</v>
      </c>
      <c r="J641" s="2"/>
    </row>
    <row r="642" spans="1:10">
      <c r="A642" t="s">
        <v>13311</v>
      </c>
      <c r="B642" s="18" t="s">
        <v>19757</v>
      </c>
      <c r="C642" s="19">
        <v>6</v>
      </c>
      <c r="D642" s="31">
        <v>11933.28</v>
      </c>
      <c r="E642" t="str">
        <f>VLOOKUP(B642,'CC by Segment'!$D:$E,2,FALSE)</f>
        <v>Lifestyle</v>
      </c>
      <c r="G642" t="str">
        <f t="shared" si="9"/>
        <v>C610403</v>
      </c>
      <c r="J642" s="2"/>
    </row>
    <row r="643" spans="1:10">
      <c r="A643" t="s">
        <v>13311</v>
      </c>
      <c r="B643" s="18" t="s">
        <v>19761</v>
      </c>
      <c r="C643" s="19">
        <v>9</v>
      </c>
      <c r="D643" s="31">
        <v>23537.91</v>
      </c>
      <c r="E643" t="str">
        <f>VLOOKUP(B643,'CC by Segment'!$D:$E,2,FALSE)</f>
        <v>Lifestyle</v>
      </c>
      <c r="G643" t="str">
        <f t="shared" si="9"/>
        <v>C610404</v>
      </c>
      <c r="J643" s="2"/>
    </row>
    <row r="644" spans="1:10">
      <c r="A644" t="s">
        <v>13311</v>
      </c>
      <c r="B644" s="18" t="s">
        <v>5192</v>
      </c>
      <c r="C644" s="19">
        <v>7</v>
      </c>
      <c r="D644" s="31">
        <v>27724.54</v>
      </c>
      <c r="E644" t="str">
        <f>VLOOKUP(B644,'CC by Segment'!$D:$E,2,FALSE)</f>
        <v>Housing</v>
      </c>
      <c r="G644" t="str">
        <f t="shared" si="9"/>
        <v>CI10170</v>
      </c>
      <c r="J644" s="2"/>
    </row>
    <row r="645" spans="1:10">
      <c r="A645" t="s">
        <v>13311</v>
      </c>
      <c r="B645" s="18" t="s">
        <v>5966</v>
      </c>
      <c r="C645" s="19">
        <v>11</v>
      </c>
      <c r="D645" s="31">
        <v>50766.48</v>
      </c>
      <c r="E645" t="str">
        <f>VLOOKUP(B645,'CC by Segment'!$D:$E,2,FALSE)</f>
        <v>Lifestyle</v>
      </c>
      <c r="G645" t="str">
        <f t="shared" ref="G645:G695" si="10">TRIM(B645)</f>
        <v>CI10181</v>
      </c>
      <c r="J645" s="2"/>
    </row>
    <row r="646" spans="1:10">
      <c r="A646" t="s">
        <v>13311</v>
      </c>
      <c r="B646" s="18" t="s">
        <v>11787</v>
      </c>
      <c r="C646" s="19">
        <v>3</v>
      </c>
      <c r="D646" s="31">
        <v>19555.349999999999</v>
      </c>
      <c r="E646" t="str">
        <f>VLOOKUP(B646,'CC by Segment'!$D:$E,2,FALSE)</f>
        <v>Corporate</v>
      </c>
      <c r="G646" t="str">
        <f t="shared" si="10"/>
        <v>CI10216</v>
      </c>
      <c r="J646" s="2"/>
    </row>
    <row r="647" spans="1:10">
      <c r="A647" t="s">
        <v>13311</v>
      </c>
      <c r="B647" s="18" t="s">
        <v>5174</v>
      </c>
      <c r="C647" s="19">
        <v>3</v>
      </c>
      <c r="D647" s="31">
        <v>19239.12</v>
      </c>
      <c r="E647" t="str">
        <f>VLOOKUP(B647,'CC by Segment'!$D:$E,2,FALSE)</f>
        <v>Lifestyle</v>
      </c>
      <c r="G647" t="str">
        <f t="shared" si="10"/>
        <v>CI10429</v>
      </c>
      <c r="J647" s="2"/>
    </row>
    <row r="648" spans="1:10">
      <c r="A648" t="s">
        <v>13311</v>
      </c>
      <c r="B648" s="18" t="s">
        <v>11840</v>
      </c>
      <c r="C648" s="19">
        <v>1</v>
      </c>
      <c r="D648" s="31">
        <v>6077.19</v>
      </c>
      <c r="E648" t="str">
        <f>VLOOKUP(B648,'CC by Segment'!$D:$E,2,FALSE)</f>
        <v>Corporate</v>
      </c>
      <c r="G648" t="str">
        <f t="shared" si="10"/>
        <v>CI10508</v>
      </c>
      <c r="J648" s="2"/>
    </row>
    <row r="649" spans="1:10">
      <c r="A649" t="s">
        <v>13311</v>
      </c>
      <c r="B649" s="18" t="s">
        <v>11846</v>
      </c>
      <c r="C649" s="19">
        <v>6</v>
      </c>
      <c r="D649" s="31">
        <v>27135.54</v>
      </c>
      <c r="E649" t="str">
        <f>VLOOKUP(B649,'CC by Segment'!$D:$E,2,FALSE)</f>
        <v>Corporate</v>
      </c>
      <c r="G649" t="str">
        <f t="shared" si="10"/>
        <v>CI10510</v>
      </c>
      <c r="J649" s="2"/>
    </row>
    <row r="650" spans="1:10">
      <c r="A650" t="s">
        <v>13311</v>
      </c>
      <c r="B650" s="18" t="s">
        <v>12072</v>
      </c>
      <c r="C650" s="19">
        <v>2</v>
      </c>
      <c r="D650" s="31">
        <v>15442.31</v>
      </c>
      <c r="E650" t="str">
        <f>VLOOKUP(B650,'CC by Segment'!$D:$E,2,FALSE)</f>
        <v>Corporate</v>
      </c>
      <c r="G650" t="str">
        <f t="shared" si="10"/>
        <v>CI20104</v>
      </c>
      <c r="J650" s="2"/>
    </row>
    <row r="651" spans="1:10">
      <c r="A651" t="s">
        <v>13311</v>
      </c>
      <c r="B651" s="18" t="s">
        <v>12075</v>
      </c>
      <c r="C651" s="19">
        <v>3</v>
      </c>
      <c r="D651" s="31">
        <v>13342.88</v>
      </c>
      <c r="E651" t="str">
        <f>VLOOKUP(B651,'CC by Segment'!$D:$E,2,FALSE)</f>
        <v>Corporate</v>
      </c>
      <c r="G651" t="str">
        <f t="shared" si="10"/>
        <v>CI20105</v>
      </c>
      <c r="J651" s="2"/>
    </row>
    <row r="652" spans="1:10">
      <c r="A652" t="s">
        <v>13311</v>
      </c>
      <c r="B652" s="18" t="s">
        <v>7067</v>
      </c>
      <c r="C652" s="19">
        <v>6</v>
      </c>
      <c r="D652" s="31">
        <v>27443.35</v>
      </c>
      <c r="E652" t="str">
        <f>VLOOKUP(B652,'CC by Segment'!$D:$E,2,FALSE)</f>
        <v>Corporate</v>
      </c>
      <c r="G652" t="str">
        <f t="shared" si="10"/>
        <v>CI20223</v>
      </c>
      <c r="J652" s="2"/>
    </row>
    <row r="653" spans="1:10">
      <c r="A653" t="s">
        <v>13311</v>
      </c>
      <c r="B653" s="18" t="s">
        <v>12281</v>
      </c>
      <c r="C653" s="19">
        <v>9</v>
      </c>
      <c r="D653" s="31">
        <v>48569.120000000003</v>
      </c>
      <c r="E653" t="str">
        <f>VLOOKUP(B653,'CC by Segment'!$D:$E,2,FALSE)</f>
        <v>Corporate</v>
      </c>
      <c r="G653" t="str">
        <f t="shared" si="10"/>
        <v>CI20226</v>
      </c>
      <c r="J653" s="2"/>
    </row>
    <row r="654" spans="1:10">
      <c r="A654" t="s">
        <v>13311</v>
      </c>
      <c r="B654" s="18" t="s">
        <v>6135</v>
      </c>
      <c r="C654" s="19">
        <v>31</v>
      </c>
      <c r="D654" s="31">
        <v>194019.63</v>
      </c>
      <c r="E654" t="str">
        <f>VLOOKUP(B654,'CC by Segment'!$D:$E,2,FALSE)</f>
        <v>Corporate</v>
      </c>
      <c r="G654" t="str">
        <f t="shared" si="10"/>
        <v>CI20227</v>
      </c>
      <c r="J654" s="2"/>
    </row>
    <row r="655" spans="1:10">
      <c r="A655" t="s">
        <v>13311</v>
      </c>
      <c r="B655" s="18" t="s">
        <v>12340</v>
      </c>
      <c r="C655" s="19">
        <v>2</v>
      </c>
      <c r="D655" s="31">
        <v>8128.08</v>
      </c>
      <c r="E655" t="str">
        <f>VLOOKUP(B655,'CC by Segment'!$D:$E,2,FALSE)</f>
        <v>Corporate</v>
      </c>
      <c r="G655" t="str">
        <f t="shared" si="10"/>
        <v>CI20402</v>
      </c>
      <c r="J655" s="2"/>
    </row>
    <row r="656" spans="1:10">
      <c r="A656" t="s">
        <v>13311</v>
      </c>
      <c r="B656" s="18" t="s">
        <v>12343</v>
      </c>
      <c r="C656" s="19">
        <v>6</v>
      </c>
      <c r="D656" s="31">
        <v>21895.47</v>
      </c>
      <c r="E656" t="str">
        <f>VLOOKUP(B656,'CC by Segment'!$D:$E,2,FALSE)</f>
        <v>Corporate</v>
      </c>
      <c r="G656" t="str">
        <f t="shared" si="10"/>
        <v>CI20403</v>
      </c>
      <c r="J656" s="2"/>
    </row>
    <row r="657" spans="1:10">
      <c r="A657" t="s">
        <v>13311</v>
      </c>
      <c r="B657" s="18" t="s">
        <v>12707</v>
      </c>
      <c r="C657" s="19">
        <v>29</v>
      </c>
      <c r="D657" s="31">
        <v>63496.37</v>
      </c>
      <c r="E657" t="str">
        <f>VLOOKUP(B657,'CC by Segment'!$D:$E,2,FALSE)</f>
        <v>Lifestyle</v>
      </c>
      <c r="G657" t="str">
        <f t="shared" si="10"/>
        <v>CI38505</v>
      </c>
      <c r="J657" s="2"/>
    </row>
    <row r="658" spans="1:10">
      <c r="A658" t="s">
        <v>13311</v>
      </c>
      <c r="B658" s="18" t="s">
        <v>12742</v>
      </c>
      <c r="C658" s="19">
        <v>10</v>
      </c>
      <c r="D658" s="31">
        <v>48000.04</v>
      </c>
      <c r="E658" t="str">
        <f>VLOOKUP(B658,'CC by Segment'!$D:$E,2,FALSE)</f>
        <v>Lifestyle</v>
      </c>
      <c r="G658" t="str">
        <f t="shared" si="10"/>
        <v>CI40107</v>
      </c>
      <c r="J658" s="2"/>
    </row>
    <row r="659" spans="1:10">
      <c r="A659" t="s">
        <v>13311</v>
      </c>
      <c r="B659" s="18" t="s">
        <v>13004</v>
      </c>
      <c r="C659" s="19">
        <v>6</v>
      </c>
      <c r="D659" s="31">
        <v>78447.97</v>
      </c>
      <c r="E659" t="str">
        <f>VLOOKUP(B659,'CC by Segment'!$D:$E,2,FALSE)</f>
        <v>Lifestyle</v>
      </c>
      <c r="G659" t="str">
        <f t="shared" si="10"/>
        <v>CI50000</v>
      </c>
      <c r="J659" s="2"/>
    </row>
    <row r="660" spans="1:10">
      <c r="A660" t="s">
        <v>13311</v>
      </c>
      <c r="B660" s="18" t="s">
        <v>13037</v>
      </c>
      <c r="C660" s="19">
        <v>3</v>
      </c>
      <c r="D660" s="31">
        <v>21504.880000000001</v>
      </c>
      <c r="E660" t="str">
        <f>VLOOKUP(B660,'CC by Segment'!$D:$E,2,FALSE)</f>
        <v>Lifestyle</v>
      </c>
      <c r="G660" t="str">
        <f t="shared" si="10"/>
        <v>CI50002</v>
      </c>
      <c r="J660" s="2"/>
    </row>
    <row r="661" spans="1:10">
      <c r="A661" t="s">
        <v>13311</v>
      </c>
      <c r="B661" s="18" t="s">
        <v>12932</v>
      </c>
      <c r="C661" s="19">
        <v>40</v>
      </c>
      <c r="D661" s="31">
        <v>165147.5</v>
      </c>
      <c r="E661" t="str">
        <f>VLOOKUP(B661,'CC by Segment'!$D:$E,2,FALSE)</f>
        <v>Corporate</v>
      </c>
      <c r="G661" t="str">
        <f t="shared" si="10"/>
        <v>CI53022</v>
      </c>
      <c r="J661" s="2"/>
    </row>
    <row r="662" spans="1:10">
      <c r="A662" t="s">
        <v>13311</v>
      </c>
      <c r="B662" s="18" t="s">
        <v>13168</v>
      </c>
      <c r="C662" s="19">
        <v>7</v>
      </c>
      <c r="D662" s="31">
        <v>42473.84</v>
      </c>
      <c r="E662" t="str">
        <f>VLOOKUP(B662,'CC by Segment'!$D:$E,2,FALSE)</f>
        <v>Lifestyle</v>
      </c>
      <c r="G662" t="str">
        <f t="shared" si="10"/>
        <v>CI56001</v>
      </c>
      <c r="J662" s="2"/>
    </row>
    <row r="663" spans="1:10">
      <c r="A663" t="s">
        <v>13311</v>
      </c>
      <c r="B663" s="18" t="s">
        <v>12748</v>
      </c>
      <c r="C663" s="19">
        <v>45</v>
      </c>
      <c r="D663" s="31">
        <v>73840.38</v>
      </c>
      <c r="E663" t="str">
        <f>VLOOKUP(B663,'CC by Segment'!$D:$E,2,FALSE)</f>
        <v>Lifestyle</v>
      </c>
      <c r="G663" t="str">
        <f t="shared" si="10"/>
        <v>CI57010</v>
      </c>
      <c r="J663" s="2"/>
    </row>
    <row r="664" spans="1:10">
      <c r="A664" t="s">
        <v>13311</v>
      </c>
      <c r="B664" s="18" t="s">
        <v>3924</v>
      </c>
      <c r="C664" s="19">
        <v>1</v>
      </c>
      <c r="D664" s="31">
        <v>3060</v>
      </c>
      <c r="E664" t="str">
        <f>VLOOKUP(B664,'CC by Segment'!$D:$E,2,FALSE)</f>
        <v>Corporate</v>
      </c>
      <c r="G664" t="str">
        <f t="shared" si="10"/>
        <v>C030400</v>
      </c>
      <c r="J664" s="2"/>
    </row>
    <row r="665" spans="1:10">
      <c r="A665" t="s">
        <v>13311</v>
      </c>
      <c r="B665" s="18" t="s">
        <v>20189</v>
      </c>
      <c r="C665" s="19">
        <v>2</v>
      </c>
      <c r="D665" s="31">
        <v>10538.47</v>
      </c>
      <c r="E665" t="str">
        <f>VLOOKUP(B665,'CC by Segment'!$D:$E,2,FALSE)</f>
        <v>Housing</v>
      </c>
      <c r="G665" t="str">
        <f t="shared" si="10"/>
        <v>C044001</v>
      </c>
      <c r="J665" s="2"/>
    </row>
    <row r="666" spans="1:10">
      <c r="A666" t="s">
        <v>13311</v>
      </c>
      <c r="B666" s="18" t="s">
        <v>20190</v>
      </c>
      <c r="C666" s="19">
        <v>13</v>
      </c>
      <c r="D666" s="31">
        <v>32138.92</v>
      </c>
      <c r="E666" t="str">
        <f>VLOOKUP(B666,'CC by Segment'!$D:$E,2,FALSE)</f>
        <v>Housing</v>
      </c>
      <c r="G666" t="str">
        <f t="shared" si="10"/>
        <v>C090054</v>
      </c>
      <c r="J666" s="2"/>
    </row>
    <row r="667" spans="1:10">
      <c r="A667" t="s">
        <v>13311</v>
      </c>
      <c r="B667" s="18" t="s">
        <v>20191</v>
      </c>
      <c r="C667" s="19">
        <v>1</v>
      </c>
      <c r="D667" s="31">
        <v>4855.7700000000004</v>
      </c>
      <c r="E667" t="str">
        <f>VLOOKUP(B667,'CC by Segment'!$D:$E,2,FALSE)</f>
        <v>Housing</v>
      </c>
      <c r="G667" t="str">
        <f t="shared" si="10"/>
        <v>C252044</v>
      </c>
      <c r="J667" s="2"/>
    </row>
    <row r="668" spans="1:10">
      <c r="A668" t="s">
        <v>13311</v>
      </c>
      <c r="B668" s="18" t="s">
        <v>3814</v>
      </c>
      <c r="C668" s="19">
        <v>38</v>
      </c>
      <c r="D668" s="31">
        <v>80003.710000000006</v>
      </c>
      <c r="E668" t="str">
        <f>VLOOKUP(B668,'CC by Segment'!$D:$E,2,FALSE)</f>
        <v>Lifestyle</v>
      </c>
      <c r="G668" t="str">
        <f t="shared" si="10"/>
        <v>C380014</v>
      </c>
      <c r="J668" s="2"/>
    </row>
    <row r="669" spans="1:10">
      <c r="A669" t="s">
        <v>13311</v>
      </c>
      <c r="B669" s="18" t="s">
        <v>20192</v>
      </c>
      <c r="C669" s="19">
        <v>54</v>
      </c>
      <c r="D669" s="31">
        <v>101270.57</v>
      </c>
      <c r="E669" t="str">
        <f>VLOOKUP(B669,'CC by Segment'!$D:$E,2,FALSE)</f>
        <v>Lifestyle</v>
      </c>
      <c r="G669" t="str">
        <f t="shared" si="10"/>
        <v>C385006</v>
      </c>
      <c r="J669" s="2"/>
    </row>
    <row r="670" spans="1:10">
      <c r="A670" t="s">
        <v>13311</v>
      </c>
      <c r="B670" s="18" t="s">
        <v>20193</v>
      </c>
      <c r="C670" s="19">
        <v>33</v>
      </c>
      <c r="D670" s="31">
        <v>63207.53</v>
      </c>
      <c r="E670" t="str">
        <f>VLOOKUP(B670,'CC by Segment'!$D:$E,2,FALSE)</f>
        <v>Lifestyle</v>
      </c>
      <c r="G670" t="str">
        <f t="shared" si="10"/>
        <v>C385007</v>
      </c>
      <c r="J670" s="2"/>
    </row>
    <row r="671" spans="1:10">
      <c r="A671" t="s">
        <v>13311</v>
      </c>
      <c r="B671" s="18" t="s">
        <v>20194</v>
      </c>
      <c r="C671" s="19">
        <v>17</v>
      </c>
      <c r="D671" s="31">
        <v>37639.08</v>
      </c>
      <c r="E671" t="str">
        <f>VLOOKUP(B671,'CC by Segment'!$D:$E,2,FALSE)</f>
        <v>Lifestyle</v>
      </c>
      <c r="G671" t="str">
        <f t="shared" si="10"/>
        <v>C385008</v>
      </c>
      <c r="J671" s="2"/>
    </row>
    <row r="672" spans="1:10">
      <c r="A672" t="s">
        <v>13311</v>
      </c>
      <c r="B672" s="18" t="s">
        <v>20195</v>
      </c>
      <c r="C672" s="19">
        <v>27</v>
      </c>
      <c r="D672" s="31">
        <v>49907.98</v>
      </c>
      <c r="E672" t="str">
        <f>VLOOKUP(B672,'CC by Segment'!$D:$E,2,FALSE)</f>
        <v>Lifestyle</v>
      </c>
      <c r="G672" t="str">
        <f t="shared" si="10"/>
        <v>C385009</v>
      </c>
      <c r="J672" s="2"/>
    </row>
    <row r="673" spans="1:10">
      <c r="A673" t="s">
        <v>13311</v>
      </c>
      <c r="B673" s="18" t="s">
        <v>20196</v>
      </c>
      <c r="C673" s="19">
        <v>21</v>
      </c>
      <c r="D673" s="31">
        <v>79982.02</v>
      </c>
      <c r="E673" t="str">
        <f>VLOOKUP(B673,'CC by Segment'!$D:$E,2,FALSE)</f>
        <v>Lifestyle</v>
      </c>
      <c r="G673" t="str">
        <f t="shared" si="10"/>
        <v>C503061</v>
      </c>
      <c r="J673" s="2"/>
    </row>
    <row r="674" spans="1:10">
      <c r="A674" t="s">
        <v>13311</v>
      </c>
      <c r="B674" s="18" t="s">
        <v>12729</v>
      </c>
      <c r="C674" s="19">
        <v>14</v>
      </c>
      <c r="D674" s="31">
        <v>19006.18</v>
      </c>
      <c r="E674" t="str">
        <f>VLOOKUP(B674,'CC by Segment'!$D:$E,2,FALSE)</f>
        <v>Lifestyle</v>
      </c>
      <c r="G674" t="str">
        <f t="shared" si="10"/>
        <v>C505032</v>
      </c>
      <c r="J674" s="2"/>
    </row>
    <row r="675" spans="1:10">
      <c r="A675" t="s">
        <v>13311</v>
      </c>
      <c r="B675" s="18" t="s">
        <v>20197</v>
      </c>
      <c r="C675" s="19">
        <v>35</v>
      </c>
      <c r="D675" s="31">
        <v>95201.45</v>
      </c>
      <c r="E675" t="str">
        <f>VLOOKUP(B675,'CC by Segment'!$D:$E,2,FALSE)</f>
        <v>Lifestyle</v>
      </c>
      <c r="G675" t="str">
        <f t="shared" si="10"/>
        <v>C505104</v>
      </c>
      <c r="J675" s="2"/>
    </row>
    <row r="676" spans="1:10">
      <c r="A676" t="s">
        <v>13311</v>
      </c>
      <c r="B676" s="18" t="s">
        <v>20199</v>
      </c>
      <c r="C676" s="19">
        <v>4</v>
      </c>
      <c r="D676" s="31">
        <v>18714.189999999999</v>
      </c>
      <c r="E676" t="str">
        <f>VLOOKUP(B676,'CC by Segment'!$D:$E,2,FALSE)</f>
        <v>Lifestyle</v>
      </c>
      <c r="G676" t="str">
        <f t="shared" si="10"/>
        <v>C506034</v>
      </c>
      <c r="J676" s="2"/>
    </row>
    <row r="677" spans="1:10">
      <c r="A677" t="s">
        <v>13311</v>
      </c>
      <c r="B677" s="18" t="s">
        <v>20207</v>
      </c>
      <c r="C677" s="19">
        <v>4</v>
      </c>
      <c r="D677" s="31">
        <v>24937.34</v>
      </c>
      <c r="E677" t="str">
        <f>VLOOKUP(B677,'CC by Segment'!$D:$E,2,FALSE)</f>
        <v>Housing</v>
      </c>
      <c r="G677" t="str">
        <f t="shared" si="10"/>
        <v>C044003</v>
      </c>
      <c r="J677" s="2"/>
    </row>
    <row r="678" spans="1:10">
      <c r="A678" t="s">
        <v>13311</v>
      </c>
      <c r="B678" s="18" t="s">
        <v>20208</v>
      </c>
      <c r="C678" s="19">
        <v>3</v>
      </c>
      <c r="D678" s="31">
        <v>11589.31</v>
      </c>
      <c r="E678" t="str">
        <f>VLOOKUP(B678,'CC by Segment'!$D:$E,2,FALSE)</f>
        <v>Housing</v>
      </c>
      <c r="G678" t="str">
        <f t="shared" si="10"/>
        <v>C090055</v>
      </c>
      <c r="J678" s="2"/>
    </row>
    <row r="679" spans="1:10">
      <c r="A679" t="s">
        <v>13311</v>
      </c>
      <c r="B679" s="18" t="s">
        <v>7429</v>
      </c>
      <c r="C679" s="19">
        <v>3</v>
      </c>
      <c r="D679" s="31">
        <v>11101.81</v>
      </c>
      <c r="E679" t="str">
        <f>VLOOKUP(B679,'CC by Segment'!$D:$E,2,FALSE)</f>
        <v>Lifestyle</v>
      </c>
      <c r="G679" t="str">
        <f t="shared" si="10"/>
        <v>C380018</v>
      </c>
      <c r="J679" s="2"/>
    </row>
    <row r="680" spans="1:10">
      <c r="A680" t="s">
        <v>13311</v>
      </c>
      <c r="B680" s="18" t="s">
        <v>20209</v>
      </c>
      <c r="C680" s="19">
        <v>62</v>
      </c>
      <c r="D680" s="31">
        <v>83243.19</v>
      </c>
      <c r="E680" t="str">
        <f>VLOOKUP(B680,'CC by Segment'!$D:$E,2,FALSE)</f>
        <v>Lifestyle</v>
      </c>
      <c r="G680" t="str">
        <f t="shared" si="10"/>
        <v>C505103</v>
      </c>
      <c r="J680" s="2"/>
    </row>
    <row r="681" spans="1:10">
      <c r="A681" t="s">
        <v>13311</v>
      </c>
      <c r="B681" s="18" t="s">
        <v>20210</v>
      </c>
      <c r="C681" s="19">
        <v>26</v>
      </c>
      <c r="D681" s="31">
        <v>112267.79000000001</v>
      </c>
      <c r="E681" t="str">
        <f>VLOOKUP(B681,'CC by Segment'!$D:$E,2,FALSE)</f>
        <v>Lifestyle</v>
      </c>
      <c r="G681" t="str">
        <f t="shared" si="10"/>
        <v>C505105</v>
      </c>
      <c r="J681" s="2"/>
    </row>
    <row r="682" spans="1:10">
      <c r="A682" t="s">
        <v>13311</v>
      </c>
      <c r="B682" s="18" t="s">
        <v>7774</v>
      </c>
      <c r="C682" s="19">
        <v>6</v>
      </c>
      <c r="D682" s="31">
        <v>28153.86</v>
      </c>
      <c r="E682" t="str">
        <f>VLOOKUP(B682,'CC by Segment'!$D:$E,2,FALSE)</f>
        <v>Lifestyle</v>
      </c>
      <c r="G682" t="str">
        <f t="shared" si="10"/>
        <v>C400124</v>
      </c>
      <c r="J682" s="2"/>
    </row>
    <row r="683" spans="1:10">
      <c r="A683" t="s">
        <v>13311</v>
      </c>
      <c r="B683" s="18" t="s">
        <v>20230</v>
      </c>
      <c r="C683" s="19">
        <v>33</v>
      </c>
      <c r="D683" s="31">
        <v>44420.41</v>
      </c>
      <c r="E683" t="str">
        <f>VLOOKUP(B683,'CC by Segment'!$D:$E,2,FALSE)</f>
        <v>Lifestyle</v>
      </c>
      <c r="G683" t="str">
        <f t="shared" si="10"/>
        <v>C505100</v>
      </c>
      <c r="J683" s="2"/>
    </row>
    <row r="684" spans="1:10">
      <c r="A684" t="s">
        <v>13311</v>
      </c>
      <c r="B684" s="18" t="s">
        <v>20233</v>
      </c>
      <c r="C684" s="41">
        <v>37</v>
      </c>
      <c r="D684" s="31">
        <v>49408.72</v>
      </c>
      <c r="E684" t="str">
        <f>VLOOKUP(B684,'CC by Segment'!$D:$E,2,FALSE)</f>
        <v>Lifestyle</v>
      </c>
      <c r="G684" t="str">
        <f t="shared" si="10"/>
        <v>C500369</v>
      </c>
      <c r="J684" s="2"/>
    </row>
    <row r="685" spans="1:10">
      <c r="A685" t="s">
        <v>13311</v>
      </c>
      <c r="B685" s="18" t="s">
        <v>20234</v>
      </c>
      <c r="C685" s="41">
        <v>22</v>
      </c>
      <c r="D685" s="31">
        <v>28767.120000000003</v>
      </c>
      <c r="E685" t="str">
        <f>VLOOKUP(B685,'CC by Segment'!$D:$E,2,FALSE)</f>
        <v>Lifestyle</v>
      </c>
      <c r="G685" t="str">
        <f t="shared" si="10"/>
        <v>C506072</v>
      </c>
      <c r="J685" s="2"/>
    </row>
    <row r="686" spans="1:10">
      <c r="A686" t="s">
        <v>13311</v>
      </c>
      <c r="B686" s="18" t="s">
        <v>20235</v>
      </c>
      <c r="C686" s="41">
        <v>6</v>
      </c>
      <c r="D686" s="31">
        <v>17566.170000000002</v>
      </c>
      <c r="E686" t="str">
        <f>VLOOKUP(B686,'CC by Segment'!$D:$E,2,FALSE)</f>
        <v>Lifestyle</v>
      </c>
      <c r="G686" t="str">
        <f t="shared" si="10"/>
        <v>C506073</v>
      </c>
      <c r="J686" s="2"/>
    </row>
    <row r="687" spans="1:10">
      <c r="A687" t="s">
        <v>13311</v>
      </c>
      <c r="B687" s="18" t="s">
        <v>20236</v>
      </c>
      <c r="C687" s="41">
        <v>13</v>
      </c>
      <c r="D687" s="31">
        <v>61516.73</v>
      </c>
      <c r="E687" t="str">
        <f>VLOOKUP(B687,'CC by Segment'!$D:$E,2,FALSE)</f>
        <v>Corporate</v>
      </c>
      <c r="G687" t="str">
        <f t="shared" si="10"/>
        <v>C515046</v>
      </c>
      <c r="J687" s="2"/>
    </row>
    <row r="688" spans="1:10">
      <c r="A688" s="38" t="s">
        <v>13311</v>
      </c>
      <c r="B688" s="18" t="s">
        <v>5150</v>
      </c>
      <c r="C688" s="41">
        <v>1</v>
      </c>
      <c r="D688" s="31">
        <v>6219.69</v>
      </c>
      <c r="E688" t="str">
        <f>VLOOKUP(B688,'CC by Segment'!$D:$E,2,FALSE)</f>
        <v>Corporate</v>
      </c>
      <c r="G688" t="str">
        <f t="shared" si="10"/>
        <v>C100940</v>
      </c>
      <c r="J688" s="2"/>
    </row>
    <row r="689" spans="1:10">
      <c r="A689" s="38" t="s">
        <v>13311</v>
      </c>
      <c r="B689" s="18" t="s">
        <v>20245</v>
      </c>
      <c r="C689" s="41">
        <v>24</v>
      </c>
      <c r="D689" s="31">
        <v>70049.5</v>
      </c>
      <c r="E689" t="str">
        <f>VLOOKUP(B689,'CC by Segment'!$D:$E,2,FALSE)</f>
        <v>Housing</v>
      </c>
      <c r="G689" t="str">
        <f t="shared" si="10"/>
        <v>C350120</v>
      </c>
      <c r="J689" s="2"/>
    </row>
    <row r="690" spans="1:10">
      <c r="A690" s="38" t="s">
        <v>13311</v>
      </c>
      <c r="B690" s="18" t="s">
        <v>20246</v>
      </c>
      <c r="C690" s="41">
        <v>6</v>
      </c>
      <c r="D690" s="31">
        <v>18059.57</v>
      </c>
      <c r="E690" t="str">
        <f>VLOOKUP(B690,'CC by Segment'!$D:$E,2,FALSE)</f>
        <v>Lifestyle</v>
      </c>
      <c r="G690" t="str">
        <f t="shared" si="10"/>
        <v>C500370</v>
      </c>
      <c r="J690" s="2"/>
    </row>
    <row r="691" spans="1:10">
      <c r="A691" s="38" t="s">
        <v>13311</v>
      </c>
      <c r="B691" s="18" t="s">
        <v>8370</v>
      </c>
      <c r="C691" s="41">
        <v>1</v>
      </c>
      <c r="D691" s="31">
        <v>1365.6</v>
      </c>
      <c r="E691" t="str">
        <f>VLOOKUP(B691,'CC by Segment'!$D:$E,2,FALSE)</f>
        <v>Lifestyle</v>
      </c>
      <c r="G691" t="str">
        <f t="shared" si="10"/>
        <v>C505035</v>
      </c>
      <c r="J691" s="2"/>
    </row>
    <row r="692" spans="1:10">
      <c r="A692" s="38" t="s">
        <v>13311</v>
      </c>
      <c r="B692" s="18" t="s">
        <v>20253</v>
      </c>
      <c r="C692" s="41">
        <v>8</v>
      </c>
      <c r="D692" s="31">
        <v>21929.73</v>
      </c>
      <c r="E692" t="str">
        <f>VLOOKUP(B692,'CC by Segment'!$D:$E,2,FALSE)</f>
        <v>Housing</v>
      </c>
      <c r="G692" t="str">
        <f t="shared" si="10"/>
        <v>C090056</v>
      </c>
      <c r="J692" s="2"/>
    </row>
    <row r="693" spans="1:10">
      <c r="A693" s="38" t="s">
        <v>13311</v>
      </c>
      <c r="B693" s="18" t="s">
        <v>7154</v>
      </c>
      <c r="C693" s="41">
        <v>202</v>
      </c>
      <c r="D693" s="31">
        <v>252246.96</v>
      </c>
      <c r="E693" t="str">
        <f>VLOOKUP(B693,'CC by Segment'!$D:$E,2,FALSE)</f>
        <v>Housing</v>
      </c>
      <c r="G693" t="str">
        <f t="shared" si="10"/>
        <v>C350600</v>
      </c>
      <c r="J693" s="2"/>
    </row>
    <row r="694" spans="1:10">
      <c r="A694" s="38" t="s">
        <v>13311</v>
      </c>
      <c r="B694" s="18" t="s">
        <v>7208</v>
      </c>
      <c r="C694" s="41">
        <v>138</v>
      </c>
      <c r="D694" s="31">
        <v>170345.57</v>
      </c>
      <c r="E694" t="str">
        <f>VLOOKUP(B694,'CC by Segment'!$D:$E,2,FALSE)</f>
        <v>Housing</v>
      </c>
      <c r="G694" t="str">
        <f t="shared" si="10"/>
        <v>C350619</v>
      </c>
      <c r="J694" s="2"/>
    </row>
    <row r="695" spans="1:10">
      <c r="A695" s="38" t="s">
        <v>13311</v>
      </c>
      <c r="B695" s="18" t="s">
        <v>20254</v>
      </c>
      <c r="C695" s="41">
        <v>2</v>
      </c>
      <c r="D695" s="31">
        <v>10576.93</v>
      </c>
      <c r="E695" t="str">
        <f>VLOOKUP(B695,'CC by Segment'!$D:$E,2,FALSE)</f>
        <v>Lifestyle</v>
      </c>
      <c r="G695" t="str">
        <f t="shared" si="10"/>
        <v>C500371</v>
      </c>
      <c r="J695" s="2"/>
    </row>
    <row r="696" spans="1:10">
      <c r="A696" s="38" t="s">
        <v>13311</v>
      </c>
      <c r="B696" s="18" t="s">
        <v>8172</v>
      </c>
      <c r="C696" s="41">
        <v>1</v>
      </c>
      <c r="D696" s="31">
        <v>10789.04</v>
      </c>
      <c r="E696" t="str">
        <f>VLOOKUP(B696,'CC by Segment'!$D:$E,2,FALSE)</f>
        <v>Lifestyle</v>
      </c>
      <c r="G696" t="str">
        <f t="shared" ref="G696:G710" si="11">TRIM(B696)</f>
        <v>C503013</v>
      </c>
      <c r="J696" s="2"/>
    </row>
    <row r="697" spans="1:10">
      <c r="A697" s="38" t="s">
        <v>13311</v>
      </c>
      <c r="B697" s="18" t="s">
        <v>20259</v>
      </c>
      <c r="C697" s="41">
        <v>10</v>
      </c>
      <c r="D697" s="31">
        <v>21906.27</v>
      </c>
      <c r="E697" t="str">
        <f>VLOOKUP(B697,'CC by Segment'!$D:$E,2,FALSE)</f>
        <v>Housing</v>
      </c>
      <c r="G697" t="str">
        <f t="shared" si="11"/>
        <v>C044005</v>
      </c>
      <c r="J697" s="2"/>
    </row>
    <row r="698" spans="1:10">
      <c r="A698" s="38" t="s">
        <v>13311</v>
      </c>
      <c r="B698" s="18" t="s">
        <v>20260</v>
      </c>
      <c r="C698" s="41">
        <v>8</v>
      </c>
      <c r="D698" s="31">
        <v>35516.53</v>
      </c>
      <c r="E698" t="str">
        <f>VLOOKUP(B698,'CC by Segment'!$D:$E,2,FALSE)</f>
        <v>Lifestyle</v>
      </c>
      <c r="G698" t="str">
        <f t="shared" si="11"/>
        <v>C055215</v>
      </c>
      <c r="J698" s="2"/>
    </row>
    <row r="699" spans="1:10">
      <c r="A699" s="38" t="s">
        <v>13311</v>
      </c>
      <c r="B699" s="18" t="s">
        <v>20261</v>
      </c>
      <c r="C699" s="41">
        <v>8</v>
      </c>
      <c r="D699" s="31">
        <v>18570.48</v>
      </c>
      <c r="E699" t="str">
        <f>VLOOKUP(B699,'CC by Segment'!$D:$E,2,FALSE)</f>
        <v>Housing</v>
      </c>
      <c r="G699" t="str">
        <f t="shared" si="11"/>
        <v>C350686</v>
      </c>
      <c r="J699" s="2"/>
    </row>
    <row r="700" spans="1:10">
      <c r="A700" s="38" t="s">
        <v>13311</v>
      </c>
      <c r="B700" s="18" t="s">
        <v>20262</v>
      </c>
      <c r="C700" s="41">
        <v>2</v>
      </c>
      <c r="D700" s="31">
        <v>12726</v>
      </c>
      <c r="E700" t="str">
        <f>VLOOKUP(B700,'CC by Segment'!$D:$E,2,FALSE)</f>
        <v>Lifestyle</v>
      </c>
      <c r="G700" t="str">
        <f t="shared" si="11"/>
        <v>C400306</v>
      </c>
      <c r="J700" s="2"/>
    </row>
    <row r="701" spans="1:10">
      <c r="A701" s="38" t="s">
        <v>13311</v>
      </c>
      <c r="B701" s="18" t="s">
        <v>20263</v>
      </c>
      <c r="C701" s="41">
        <v>5</v>
      </c>
      <c r="D701" s="31">
        <v>16379.48</v>
      </c>
      <c r="E701" t="str">
        <f>VLOOKUP(B701,'CC by Segment'!$D:$E,2,FALSE)</f>
        <v>Lifestyle</v>
      </c>
      <c r="G701" t="str">
        <f t="shared" si="11"/>
        <v>C400307</v>
      </c>
      <c r="J701" s="2"/>
    </row>
    <row r="702" spans="1:10">
      <c r="A702" s="38" t="s">
        <v>13311</v>
      </c>
      <c r="B702" s="18" t="s">
        <v>20264</v>
      </c>
      <c r="C702" s="41">
        <v>11</v>
      </c>
      <c r="D702" s="31">
        <v>38876.269999999997</v>
      </c>
      <c r="E702" t="str">
        <f>VLOOKUP(B702,'CC by Segment'!$D:$E,2,FALSE)</f>
        <v>Lifestyle</v>
      </c>
      <c r="G702" t="str">
        <f t="shared" si="11"/>
        <v>C400308</v>
      </c>
      <c r="J702" s="2"/>
    </row>
    <row r="703" spans="1:10">
      <c r="A703" s="38" t="s">
        <v>13311</v>
      </c>
      <c r="B703" s="18" t="s">
        <v>20265</v>
      </c>
      <c r="C703" s="41">
        <v>4</v>
      </c>
      <c r="D703" s="31">
        <v>13576.62</v>
      </c>
      <c r="E703" t="str">
        <f>VLOOKUP(B703,'CC by Segment'!$D:$E,2,FALSE)</f>
        <v>Lifestyle</v>
      </c>
      <c r="G703" t="str">
        <f t="shared" si="11"/>
        <v>C400309</v>
      </c>
      <c r="J703" s="2"/>
    </row>
    <row r="704" spans="1:10">
      <c r="A704" s="38" t="s">
        <v>13311</v>
      </c>
      <c r="B704" s="18" t="s">
        <v>20266</v>
      </c>
      <c r="C704" s="41">
        <v>6</v>
      </c>
      <c r="D704" s="31">
        <v>26818.54</v>
      </c>
      <c r="E704" t="str">
        <f>VLOOKUP(B704,'CC by Segment'!$D:$E,2,FALSE)</f>
        <v>Lifestyle</v>
      </c>
      <c r="G704" t="str">
        <f t="shared" si="11"/>
        <v>C400310</v>
      </c>
      <c r="J704" s="2"/>
    </row>
    <row r="705" spans="1:10">
      <c r="A705" s="38" t="s">
        <v>13311</v>
      </c>
      <c r="B705" s="18" t="s">
        <v>20267</v>
      </c>
      <c r="C705" s="41">
        <v>9</v>
      </c>
      <c r="D705" s="31">
        <v>18582.89</v>
      </c>
      <c r="E705" t="str">
        <f>VLOOKUP(B705,'CC by Segment'!$D:$E,2,FALSE)</f>
        <v>Lifestyle</v>
      </c>
      <c r="G705" t="str">
        <f t="shared" si="11"/>
        <v>C400311</v>
      </c>
      <c r="J705" s="2"/>
    </row>
    <row r="706" spans="1:10">
      <c r="A706" s="38" t="s">
        <v>13311</v>
      </c>
      <c r="B706" s="18" t="s">
        <v>20268</v>
      </c>
      <c r="C706" s="41">
        <v>2</v>
      </c>
      <c r="D706" s="31">
        <v>4345.6000000000004</v>
      </c>
      <c r="E706" t="str">
        <f>VLOOKUP(B706,'CC by Segment'!$D:$E,2,FALSE)</f>
        <v>Lifestyle</v>
      </c>
      <c r="G706" t="str">
        <f t="shared" si="11"/>
        <v>C400312</v>
      </c>
      <c r="J706" s="2"/>
    </row>
    <row r="707" spans="1:10">
      <c r="A707" s="38" t="s">
        <v>13311</v>
      </c>
      <c r="B707" s="18" t="s">
        <v>20269</v>
      </c>
      <c r="C707" s="41">
        <v>3</v>
      </c>
      <c r="D707" s="31">
        <v>6010.58</v>
      </c>
      <c r="E707" t="str">
        <f>VLOOKUP(B707,'CC by Segment'!$D:$E,2,FALSE)</f>
        <v>Lifestyle</v>
      </c>
      <c r="G707" t="str">
        <f t="shared" si="11"/>
        <v>C400313</v>
      </c>
      <c r="J707" s="2"/>
    </row>
    <row r="708" spans="1:10">
      <c r="A708" s="38" t="s">
        <v>13311</v>
      </c>
      <c r="B708" s="18" t="s">
        <v>20270</v>
      </c>
      <c r="C708" s="41">
        <v>1</v>
      </c>
      <c r="D708" s="31">
        <v>3653.85</v>
      </c>
      <c r="E708" t="str">
        <f>VLOOKUP(B708,'CC by Segment'!$D:$E,2,FALSE)</f>
        <v>Lifestyle</v>
      </c>
      <c r="G708" t="str">
        <f t="shared" si="11"/>
        <v>C500366</v>
      </c>
      <c r="J708" s="2"/>
    </row>
    <row r="709" spans="1:10">
      <c r="A709" s="38" t="s">
        <v>13311</v>
      </c>
      <c r="B709" s="18" t="s">
        <v>8495</v>
      </c>
      <c r="C709" s="41">
        <v>1</v>
      </c>
      <c r="D709" s="31">
        <v>5461.15</v>
      </c>
      <c r="E709" t="str">
        <f>VLOOKUP(B709,'CC by Segment'!$D:$E,2,FALSE)</f>
        <v>Lifestyle</v>
      </c>
      <c r="G709" t="str">
        <f t="shared" si="11"/>
        <v>C506017</v>
      </c>
      <c r="J709" s="2"/>
    </row>
    <row r="710" spans="1:10">
      <c r="A710" s="38" t="s">
        <v>13311</v>
      </c>
      <c r="B710" s="18" t="s">
        <v>20288</v>
      </c>
      <c r="C710" s="41">
        <v>1</v>
      </c>
      <c r="D710" s="31">
        <v>5006.62</v>
      </c>
      <c r="E710" t="str">
        <f>VLOOKUP(B710,'CC by Segment'!$D:$E,2,FALSE)</f>
        <v>Housing</v>
      </c>
      <c r="G710" t="str">
        <f t="shared" si="11"/>
        <v>C350726</v>
      </c>
      <c r="J710" s="2"/>
    </row>
    <row r="711" spans="1:10" ht="13.5" thickBot="1">
      <c r="C711">
        <f>SUM(C4:C710)</f>
        <v>10197</v>
      </c>
      <c r="D711" s="34">
        <f>SUM(D4:D710)</f>
        <v>30723628.99999997</v>
      </c>
    </row>
    <row r="712" spans="1:10" ht="13.5" thickTop="1"/>
  </sheetData>
  <autoFilter ref="A3:F711" xr:uid="{07FFE4D3-0F19-4086-BEB6-2A2E783B1435}"/>
  <mergeCells count="1">
    <mergeCell ref="A1:F1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17BD-FFE4-4393-8934-6A27230CA1D5}">
  <dimension ref="A1"/>
  <sheetViews>
    <sheetView topLeftCell="A22" workbookViewId="0">
      <selection activeCell="N60" sqref="N60"/>
    </sheetView>
  </sheetViews>
  <sheetFormatPr defaultRowHeight="12.7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DB3A-18B2-4BBB-940D-585FDACCBE67}">
  <dimension ref="A1:J711"/>
  <sheetViews>
    <sheetView workbookViewId="0">
      <pane ySplit="3" topLeftCell="A24" activePane="bottomLeft" state="frozen"/>
      <selection pane="bottomLeft" activeCell="G29" sqref="G29"/>
    </sheetView>
  </sheetViews>
  <sheetFormatPr defaultRowHeight="12.75"/>
  <cols>
    <col min="2" max="2" width="13.42578125" bestFit="1" customWidth="1"/>
    <col min="5" max="5" width="9.140625" customWidth="1"/>
    <col min="6" max="6" width="11.28515625" bestFit="1" customWidth="1"/>
    <col min="7" max="7" width="11.5703125" bestFit="1" customWidth="1"/>
    <col min="8" max="9" width="11.5703125" customWidth="1"/>
    <col min="10" max="10" width="20.5703125" bestFit="1" customWidth="1"/>
  </cols>
  <sheetData>
    <row r="1" spans="1:10" ht="20.25">
      <c r="A1" s="52" t="s">
        <v>20291</v>
      </c>
      <c r="B1" s="52"/>
      <c r="C1" s="52"/>
      <c r="D1" s="52"/>
      <c r="E1" s="52"/>
      <c r="F1" s="52"/>
      <c r="G1" s="3"/>
      <c r="H1" s="49" t="s">
        <v>20251</v>
      </c>
      <c r="I1" s="3"/>
    </row>
    <row r="2" spans="1:10">
      <c r="A2" s="3"/>
      <c r="F2" s="3"/>
      <c r="G2" s="3"/>
      <c r="H2" s="3"/>
      <c r="I2" s="3"/>
    </row>
    <row r="3" spans="1:10" ht="15">
      <c r="A3" s="5" t="s">
        <v>18167</v>
      </c>
      <c r="B3" s="5" t="s">
        <v>18168</v>
      </c>
      <c r="C3" s="5" t="s">
        <v>680</v>
      </c>
      <c r="E3" s="5" t="s">
        <v>20290</v>
      </c>
      <c r="F3" s="20">
        <f>'Cash Calc.'!D6</f>
        <v>850.78649308620174</v>
      </c>
      <c r="G3" s="3"/>
      <c r="H3" s="3"/>
      <c r="I3" s="3"/>
      <c r="J3" s="3"/>
    </row>
    <row r="4" spans="1:10">
      <c r="A4" s="35" t="s">
        <v>13282</v>
      </c>
      <c r="B4" s="36" t="s">
        <v>18171</v>
      </c>
      <c r="C4" s="39">
        <v>0</v>
      </c>
      <c r="F4" s="9">
        <f>C4*$F$3</f>
        <v>0</v>
      </c>
    </row>
    <row r="5" spans="1:10">
      <c r="A5" s="35" t="s">
        <v>13282</v>
      </c>
      <c r="B5" s="36" t="s">
        <v>6634</v>
      </c>
      <c r="C5" s="39">
        <v>0</v>
      </c>
      <c r="F5" s="9">
        <f t="shared" ref="F5:F68" si="0">C5*$F$3</f>
        <v>0</v>
      </c>
    </row>
    <row r="6" spans="1:10">
      <c r="A6" s="35" t="s">
        <v>13282</v>
      </c>
      <c r="B6" s="36" t="s">
        <v>6637</v>
      </c>
      <c r="C6" s="39">
        <v>0</v>
      </c>
      <c r="F6" s="9">
        <f t="shared" si="0"/>
        <v>0</v>
      </c>
    </row>
    <row r="7" spans="1:10">
      <c r="A7" s="35" t="s">
        <v>13282</v>
      </c>
      <c r="B7" s="36" t="s">
        <v>5389</v>
      </c>
      <c r="C7" s="39">
        <v>0</v>
      </c>
      <c r="F7" s="9">
        <f t="shared" si="0"/>
        <v>0</v>
      </c>
    </row>
    <row r="8" spans="1:10">
      <c r="A8" s="35" t="s">
        <v>13282</v>
      </c>
      <c r="B8" s="36" t="s">
        <v>5398</v>
      </c>
      <c r="C8" s="39">
        <v>0</v>
      </c>
      <c r="F8" s="9">
        <f t="shared" si="0"/>
        <v>0</v>
      </c>
    </row>
    <row r="9" spans="1:10">
      <c r="A9" s="35" t="s">
        <v>13282</v>
      </c>
      <c r="B9" s="36" t="s">
        <v>6844</v>
      </c>
      <c r="C9" s="39">
        <v>0</v>
      </c>
      <c r="F9" s="9">
        <f t="shared" si="0"/>
        <v>0</v>
      </c>
    </row>
    <row r="10" spans="1:10">
      <c r="A10" s="35" t="s">
        <v>13282</v>
      </c>
      <c r="B10" s="36" t="s">
        <v>5983</v>
      </c>
      <c r="C10" s="39">
        <v>0</v>
      </c>
      <c r="F10" s="9">
        <f t="shared" si="0"/>
        <v>0</v>
      </c>
    </row>
    <row r="11" spans="1:10">
      <c r="A11" s="35" t="s">
        <v>13282</v>
      </c>
      <c r="B11" s="36" t="s">
        <v>6913</v>
      </c>
      <c r="C11" s="39">
        <v>0</v>
      </c>
      <c r="F11" s="9">
        <f t="shared" si="0"/>
        <v>0</v>
      </c>
    </row>
    <row r="12" spans="1:10">
      <c r="A12" s="35" t="s">
        <v>13282</v>
      </c>
      <c r="B12" s="36" t="s">
        <v>5672</v>
      </c>
      <c r="C12" s="39">
        <v>0</v>
      </c>
      <c r="F12" s="9">
        <f t="shared" si="0"/>
        <v>0</v>
      </c>
    </row>
    <row r="13" spans="1:10">
      <c r="A13" s="35" t="s">
        <v>13282</v>
      </c>
      <c r="B13" s="36" t="s">
        <v>5735</v>
      </c>
      <c r="C13" s="39">
        <v>0</v>
      </c>
      <c r="F13" s="9">
        <f t="shared" si="0"/>
        <v>0</v>
      </c>
    </row>
    <row r="14" spans="1:10">
      <c r="A14" s="35" t="s">
        <v>13282</v>
      </c>
      <c r="B14" s="36" t="s">
        <v>5778</v>
      </c>
      <c r="C14" s="39">
        <v>0</v>
      </c>
      <c r="F14" s="9">
        <f t="shared" si="0"/>
        <v>0</v>
      </c>
    </row>
    <row r="15" spans="1:10">
      <c r="A15" s="35" t="s">
        <v>13282</v>
      </c>
      <c r="B15" s="36" t="s">
        <v>7033</v>
      </c>
      <c r="C15" s="39">
        <v>0</v>
      </c>
      <c r="F15" s="9">
        <f t="shared" si="0"/>
        <v>0</v>
      </c>
    </row>
    <row r="16" spans="1:10">
      <c r="A16" s="35" t="s">
        <v>13282</v>
      </c>
      <c r="B16" s="36" t="s">
        <v>7044</v>
      </c>
      <c r="C16" s="39">
        <v>0</v>
      </c>
      <c r="F16" s="9">
        <f t="shared" si="0"/>
        <v>0</v>
      </c>
    </row>
    <row r="17" spans="1:6">
      <c r="A17" s="35" t="s">
        <v>13282</v>
      </c>
      <c r="B17" s="36" t="s">
        <v>6382</v>
      </c>
      <c r="C17" s="39">
        <v>0</v>
      </c>
      <c r="F17" s="9">
        <f t="shared" si="0"/>
        <v>0</v>
      </c>
    </row>
    <row r="18" spans="1:6">
      <c r="A18" s="35" t="s">
        <v>13282</v>
      </c>
      <c r="B18" s="36" t="s">
        <v>7148</v>
      </c>
      <c r="C18" s="39">
        <v>0</v>
      </c>
      <c r="F18" s="9">
        <f t="shared" si="0"/>
        <v>0</v>
      </c>
    </row>
    <row r="19" spans="1:6">
      <c r="A19" s="35" t="s">
        <v>13282</v>
      </c>
      <c r="B19" s="36" t="s">
        <v>7151</v>
      </c>
      <c r="C19" s="39">
        <v>0</v>
      </c>
      <c r="F19" s="9">
        <f t="shared" si="0"/>
        <v>0</v>
      </c>
    </row>
    <row r="20" spans="1:6">
      <c r="A20" s="35" t="s">
        <v>13282</v>
      </c>
      <c r="B20" s="36" t="s">
        <v>7160</v>
      </c>
      <c r="C20" s="39">
        <v>0</v>
      </c>
      <c r="F20" s="9">
        <f t="shared" si="0"/>
        <v>0</v>
      </c>
    </row>
    <row r="21" spans="1:6">
      <c r="A21" s="35" t="s">
        <v>13282</v>
      </c>
      <c r="B21" s="36" t="s">
        <v>7193</v>
      </c>
      <c r="C21" s="39">
        <v>0</v>
      </c>
      <c r="F21" s="9">
        <f t="shared" si="0"/>
        <v>0</v>
      </c>
    </row>
    <row r="22" spans="1:6">
      <c r="A22" s="35" t="s">
        <v>13282</v>
      </c>
      <c r="B22" s="36" t="s">
        <v>7196</v>
      </c>
      <c r="C22" s="39">
        <v>0</v>
      </c>
      <c r="F22" s="9">
        <f t="shared" si="0"/>
        <v>0</v>
      </c>
    </row>
    <row r="23" spans="1:6">
      <c r="A23" s="35" t="s">
        <v>13282</v>
      </c>
      <c r="B23" s="36" t="s">
        <v>7235</v>
      </c>
      <c r="C23" s="39">
        <v>0</v>
      </c>
      <c r="F23" s="9">
        <f t="shared" si="0"/>
        <v>0</v>
      </c>
    </row>
    <row r="24" spans="1:6">
      <c r="A24" t="s">
        <v>13311</v>
      </c>
      <c r="B24" s="18" t="s">
        <v>3601</v>
      </c>
      <c r="C24" s="41">
        <v>2</v>
      </c>
      <c r="F24" s="9">
        <f t="shared" si="0"/>
        <v>1701.5729861724035</v>
      </c>
    </row>
    <row r="25" spans="1:6">
      <c r="A25" t="s">
        <v>13311</v>
      </c>
      <c r="B25" s="18" t="s">
        <v>8609</v>
      </c>
      <c r="C25" s="41">
        <v>1</v>
      </c>
      <c r="F25" s="9">
        <f t="shared" si="0"/>
        <v>850.78649308620174</v>
      </c>
    </row>
    <row r="26" spans="1:6">
      <c r="A26" t="s">
        <v>13311</v>
      </c>
      <c r="B26" s="18" t="s">
        <v>3610</v>
      </c>
      <c r="C26" s="41">
        <v>7</v>
      </c>
      <c r="F26" s="9">
        <f t="shared" si="0"/>
        <v>5955.5054516034124</v>
      </c>
    </row>
    <row r="27" spans="1:6">
      <c r="A27" t="s">
        <v>13311</v>
      </c>
      <c r="B27" s="18" t="s">
        <v>3619</v>
      </c>
      <c r="C27" s="41">
        <v>13</v>
      </c>
      <c r="F27" s="9">
        <f t="shared" si="0"/>
        <v>11060.224410120623</v>
      </c>
    </row>
    <row r="28" spans="1:6">
      <c r="A28" t="s">
        <v>13311</v>
      </c>
      <c r="B28" s="18" t="s">
        <v>3622</v>
      </c>
      <c r="C28" s="41">
        <v>3</v>
      </c>
      <c r="F28" s="9">
        <f t="shared" si="0"/>
        <v>2552.3594792586055</v>
      </c>
    </row>
    <row r="29" spans="1:6">
      <c r="A29" t="s">
        <v>13311</v>
      </c>
      <c r="B29" s="18" t="s">
        <v>7845</v>
      </c>
      <c r="C29" s="19">
        <v>8</v>
      </c>
      <c r="F29" s="9">
        <f t="shared" si="0"/>
        <v>6806.291944689614</v>
      </c>
    </row>
    <row r="30" spans="1:6">
      <c r="A30" t="s">
        <v>13311</v>
      </c>
      <c r="B30" s="18" t="s">
        <v>20145</v>
      </c>
      <c r="C30" s="19">
        <v>19</v>
      </c>
      <c r="F30" s="9">
        <f t="shared" si="0"/>
        <v>16164.943368637832</v>
      </c>
    </row>
    <row r="31" spans="1:6">
      <c r="A31" t="s">
        <v>13311</v>
      </c>
      <c r="B31" s="18" t="s">
        <v>20163</v>
      </c>
      <c r="C31" s="19">
        <v>6</v>
      </c>
      <c r="F31" s="9">
        <f t="shared" si="0"/>
        <v>5104.7189585172109</v>
      </c>
    </row>
    <row r="32" spans="1:6">
      <c r="A32" t="s">
        <v>13311</v>
      </c>
      <c r="B32" s="18" t="s">
        <v>20171</v>
      </c>
      <c r="C32" s="19">
        <v>1</v>
      </c>
      <c r="F32" s="9">
        <f t="shared" si="0"/>
        <v>850.78649308620174</v>
      </c>
    </row>
    <row r="33" spans="1:6">
      <c r="A33" t="s">
        <v>13311</v>
      </c>
      <c r="B33" s="18" t="s">
        <v>7039</v>
      </c>
      <c r="C33" s="19">
        <v>9</v>
      </c>
      <c r="F33" s="9">
        <f t="shared" si="0"/>
        <v>7657.0784377758155</v>
      </c>
    </row>
    <row r="34" spans="1:6">
      <c r="A34" t="s">
        <v>13311</v>
      </c>
      <c r="B34" s="18" t="s">
        <v>3632</v>
      </c>
      <c r="C34" s="19">
        <v>5</v>
      </c>
      <c r="F34" s="9">
        <f t="shared" si="0"/>
        <v>4253.9324654310085</v>
      </c>
    </row>
    <row r="35" spans="1:6">
      <c r="A35" t="s">
        <v>13311</v>
      </c>
      <c r="B35" s="18" t="s">
        <v>7015</v>
      </c>
      <c r="C35" s="19">
        <v>27</v>
      </c>
      <c r="F35" s="9">
        <f t="shared" si="0"/>
        <v>22971.235313327448</v>
      </c>
    </row>
    <row r="36" spans="1:6">
      <c r="A36" t="s">
        <v>13311</v>
      </c>
      <c r="B36" s="18" t="s">
        <v>7012</v>
      </c>
      <c r="C36" s="19">
        <v>9</v>
      </c>
      <c r="F36" s="9">
        <f t="shared" si="0"/>
        <v>7657.0784377758155</v>
      </c>
    </row>
    <row r="37" spans="1:6">
      <c r="A37" t="s">
        <v>13311</v>
      </c>
      <c r="B37" s="18" t="s">
        <v>7018</v>
      </c>
      <c r="C37" s="19">
        <v>9</v>
      </c>
      <c r="F37" s="9">
        <f t="shared" si="0"/>
        <v>7657.0784377758155</v>
      </c>
    </row>
    <row r="38" spans="1:6">
      <c r="A38" t="s">
        <v>13311</v>
      </c>
      <c r="B38" s="18" t="s">
        <v>7055</v>
      </c>
      <c r="C38" s="19">
        <v>7</v>
      </c>
      <c r="F38" s="9">
        <f t="shared" si="0"/>
        <v>5955.5054516034124</v>
      </c>
    </row>
    <row r="39" spans="1:6">
      <c r="A39" t="s">
        <v>13311</v>
      </c>
      <c r="B39" s="18" t="s">
        <v>5076</v>
      </c>
      <c r="C39" s="19">
        <v>5</v>
      </c>
      <c r="F39" s="9">
        <f t="shared" si="0"/>
        <v>4253.9324654310085</v>
      </c>
    </row>
    <row r="40" spans="1:6">
      <c r="A40" t="s">
        <v>13311</v>
      </c>
      <c r="B40" s="18" t="s">
        <v>3656</v>
      </c>
      <c r="C40" s="19">
        <v>8</v>
      </c>
      <c r="F40" s="9">
        <f t="shared" si="0"/>
        <v>6806.291944689614</v>
      </c>
    </row>
    <row r="41" spans="1:6">
      <c r="A41" t="s">
        <v>13311</v>
      </c>
      <c r="B41" s="18" t="s">
        <v>3664</v>
      </c>
      <c r="C41" s="19">
        <v>20</v>
      </c>
      <c r="F41" s="9">
        <f t="shared" si="0"/>
        <v>17015.729861724034</v>
      </c>
    </row>
    <row r="42" spans="1:6">
      <c r="A42" t="s">
        <v>13311</v>
      </c>
      <c r="B42" s="18" t="s">
        <v>3672</v>
      </c>
      <c r="C42" s="19">
        <v>10</v>
      </c>
      <c r="F42" s="9">
        <f t="shared" si="0"/>
        <v>8507.864930862017</v>
      </c>
    </row>
    <row r="43" spans="1:6">
      <c r="A43" t="s">
        <v>13311</v>
      </c>
      <c r="B43" s="18" t="s">
        <v>3681</v>
      </c>
      <c r="C43" s="19">
        <v>45</v>
      </c>
      <c r="F43" s="9">
        <f t="shared" si="0"/>
        <v>38285.392188879079</v>
      </c>
    </row>
    <row r="44" spans="1:6">
      <c r="A44" t="s">
        <v>13311</v>
      </c>
      <c r="B44" s="18" t="s">
        <v>5183</v>
      </c>
      <c r="C44" s="19">
        <v>9</v>
      </c>
      <c r="F44" s="9">
        <f t="shared" si="0"/>
        <v>7657.0784377758155</v>
      </c>
    </row>
    <row r="45" spans="1:6">
      <c r="A45" t="s">
        <v>13311</v>
      </c>
      <c r="B45" s="18" t="s">
        <v>5189</v>
      </c>
      <c r="C45" s="19">
        <v>9</v>
      </c>
      <c r="F45" s="9">
        <f t="shared" si="0"/>
        <v>7657.0784377758155</v>
      </c>
    </row>
    <row r="46" spans="1:6">
      <c r="A46" t="s">
        <v>13311</v>
      </c>
      <c r="B46" s="18" t="s">
        <v>6397</v>
      </c>
      <c r="C46" s="19">
        <v>5</v>
      </c>
      <c r="F46" s="9">
        <f t="shared" si="0"/>
        <v>4253.9324654310085</v>
      </c>
    </row>
    <row r="47" spans="1:6">
      <c r="A47" t="s">
        <v>13311</v>
      </c>
      <c r="B47" s="18" t="s">
        <v>3698</v>
      </c>
      <c r="C47" s="19">
        <v>13</v>
      </c>
      <c r="F47" s="9">
        <f t="shared" si="0"/>
        <v>11060.224410120623</v>
      </c>
    </row>
    <row r="48" spans="1:6">
      <c r="A48" t="s">
        <v>13311</v>
      </c>
      <c r="B48" s="18" t="s">
        <v>3701</v>
      </c>
      <c r="C48" s="19">
        <v>15</v>
      </c>
      <c r="F48" s="9">
        <f t="shared" si="0"/>
        <v>12761.797396293026</v>
      </c>
    </row>
    <row r="49" spans="1:6">
      <c r="A49" t="s">
        <v>13311</v>
      </c>
      <c r="B49" s="18" t="s">
        <v>3704</v>
      </c>
      <c r="C49" s="19">
        <v>19</v>
      </c>
      <c r="F49" s="9">
        <f t="shared" si="0"/>
        <v>16164.943368637832</v>
      </c>
    </row>
    <row r="50" spans="1:6">
      <c r="A50" t="s">
        <v>13311</v>
      </c>
      <c r="B50" s="18" t="s">
        <v>5015</v>
      </c>
      <c r="C50" s="19">
        <v>19</v>
      </c>
      <c r="F50" s="9">
        <f t="shared" si="0"/>
        <v>16164.943368637832</v>
      </c>
    </row>
    <row r="51" spans="1:6">
      <c r="A51" t="s">
        <v>13311</v>
      </c>
      <c r="B51" s="18" t="s">
        <v>7107</v>
      </c>
      <c r="C51" s="19">
        <v>10</v>
      </c>
      <c r="F51" s="9">
        <f t="shared" si="0"/>
        <v>8507.864930862017</v>
      </c>
    </row>
    <row r="52" spans="1:6">
      <c r="A52" t="s">
        <v>13311</v>
      </c>
      <c r="B52" s="18" t="s">
        <v>7113</v>
      </c>
      <c r="C52" s="19">
        <v>13</v>
      </c>
      <c r="F52" s="9">
        <f t="shared" si="0"/>
        <v>11060.224410120623</v>
      </c>
    </row>
    <row r="53" spans="1:6">
      <c r="A53" t="s">
        <v>13311</v>
      </c>
      <c r="B53" s="18" t="s">
        <v>7110</v>
      </c>
      <c r="C53" s="19">
        <v>13</v>
      </c>
      <c r="F53" s="9">
        <f t="shared" si="0"/>
        <v>11060.224410120623</v>
      </c>
    </row>
    <row r="54" spans="1:6">
      <c r="A54" t="s">
        <v>13311</v>
      </c>
      <c r="B54" s="18" t="s">
        <v>3721</v>
      </c>
      <c r="C54" s="19">
        <v>2</v>
      </c>
      <c r="F54" s="9">
        <f t="shared" si="0"/>
        <v>1701.5729861724035</v>
      </c>
    </row>
    <row r="55" spans="1:6">
      <c r="A55" t="s">
        <v>13311</v>
      </c>
      <c r="B55" s="18" t="s">
        <v>3727</v>
      </c>
      <c r="C55" s="19">
        <v>7</v>
      </c>
      <c r="F55" s="9">
        <f t="shared" si="0"/>
        <v>5955.5054516034124</v>
      </c>
    </row>
    <row r="56" spans="1:6">
      <c r="A56" t="s">
        <v>13311</v>
      </c>
      <c r="B56" s="18" t="s">
        <v>3733</v>
      </c>
      <c r="C56" s="19">
        <v>5</v>
      </c>
      <c r="F56" s="9">
        <f t="shared" si="0"/>
        <v>4253.9324654310085</v>
      </c>
    </row>
    <row r="57" spans="1:6">
      <c r="A57" t="s">
        <v>13311</v>
      </c>
      <c r="B57" s="18" t="s">
        <v>3736</v>
      </c>
      <c r="C57" s="19">
        <v>4</v>
      </c>
      <c r="F57" s="9">
        <f t="shared" si="0"/>
        <v>3403.145972344807</v>
      </c>
    </row>
    <row r="58" spans="1:6">
      <c r="A58" t="s">
        <v>13311</v>
      </c>
      <c r="B58" s="18" t="s">
        <v>3739</v>
      </c>
      <c r="C58" s="19">
        <v>6</v>
      </c>
      <c r="F58" s="9">
        <f t="shared" si="0"/>
        <v>5104.7189585172109</v>
      </c>
    </row>
    <row r="59" spans="1:6">
      <c r="A59" t="s">
        <v>13311</v>
      </c>
      <c r="B59" s="18" t="s">
        <v>3742</v>
      </c>
      <c r="C59" s="19">
        <v>3</v>
      </c>
      <c r="F59" s="9">
        <f t="shared" si="0"/>
        <v>2552.3594792586055</v>
      </c>
    </row>
    <row r="60" spans="1:6">
      <c r="A60" t="s">
        <v>13311</v>
      </c>
      <c r="B60" s="18" t="s">
        <v>6523</v>
      </c>
      <c r="C60" s="19">
        <v>6</v>
      </c>
      <c r="F60" s="9">
        <f t="shared" si="0"/>
        <v>5104.7189585172109</v>
      </c>
    </row>
    <row r="61" spans="1:6">
      <c r="A61" t="s">
        <v>13311</v>
      </c>
      <c r="B61" s="18" t="s">
        <v>5033</v>
      </c>
      <c r="C61" s="19">
        <v>9</v>
      </c>
      <c r="F61" s="9">
        <f t="shared" si="0"/>
        <v>7657.0784377758155</v>
      </c>
    </row>
    <row r="62" spans="1:6">
      <c r="A62" t="s">
        <v>13311</v>
      </c>
      <c r="B62" s="18" t="s">
        <v>3751</v>
      </c>
      <c r="C62" s="19">
        <v>9</v>
      </c>
      <c r="F62" s="9">
        <f t="shared" si="0"/>
        <v>7657.0784377758155</v>
      </c>
    </row>
    <row r="63" spans="1:6">
      <c r="A63" t="s">
        <v>13311</v>
      </c>
      <c r="B63" s="18" t="s">
        <v>12838</v>
      </c>
      <c r="C63" s="19">
        <v>15</v>
      </c>
      <c r="F63" s="9">
        <f t="shared" si="0"/>
        <v>12761.797396293026</v>
      </c>
    </row>
    <row r="64" spans="1:6">
      <c r="A64" t="s">
        <v>13311</v>
      </c>
      <c r="B64" s="18" t="s">
        <v>3757</v>
      </c>
      <c r="C64" s="19">
        <v>3</v>
      </c>
      <c r="F64" s="9">
        <f t="shared" si="0"/>
        <v>2552.3594792586055</v>
      </c>
    </row>
    <row r="65" spans="1:6">
      <c r="A65" t="s">
        <v>13311</v>
      </c>
      <c r="B65" s="18" t="s">
        <v>3762</v>
      </c>
      <c r="C65" s="19">
        <v>11</v>
      </c>
      <c r="F65" s="9">
        <f t="shared" si="0"/>
        <v>9358.6514239482185</v>
      </c>
    </row>
    <row r="66" spans="1:6">
      <c r="A66" t="s">
        <v>13311</v>
      </c>
      <c r="B66" s="18" t="s">
        <v>7419</v>
      </c>
      <c r="C66" s="19">
        <v>13</v>
      </c>
      <c r="F66" s="9">
        <f t="shared" si="0"/>
        <v>11060.224410120623</v>
      </c>
    </row>
    <row r="67" spans="1:6">
      <c r="A67" t="s">
        <v>13311</v>
      </c>
      <c r="B67" s="18" t="s">
        <v>3797</v>
      </c>
      <c r="C67" s="19">
        <v>8</v>
      </c>
      <c r="F67" s="9">
        <f t="shared" si="0"/>
        <v>6806.291944689614</v>
      </c>
    </row>
    <row r="68" spans="1:6">
      <c r="A68" t="s">
        <v>13311</v>
      </c>
      <c r="B68" s="18" t="s">
        <v>3811</v>
      </c>
      <c r="C68" s="19">
        <v>5</v>
      </c>
      <c r="F68" s="9">
        <f t="shared" si="0"/>
        <v>4253.9324654310085</v>
      </c>
    </row>
    <row r="69" spans="1:6">
      <c r="A69" t="s">
        <v>13311</v>
      </c>
      <c r="B69" s="18" t="s">
        <v>7058</v>
      </c>
      <c r="C69" s="19">
        <v>17</v>
      </c>
      <c r="F69" s="9">
        <f t="shared" ref="F69:F132" si="1">C69*$F$3</f>
        <v>14463.370382465429</v>
      </c>
    </row>
    <row r="70" spans="1:6">
      <c r="A70" t="s">
        <v>13311</v>
      </c>
      <c r="B70" s="18" t="s">
        <v>7061</v>
      </c>
      <c r="C70" s="19">
        <v>9</v>
      </c>
      <c r="F70" s="9">
        <f t="shared" si="1"/>
        <v>7657.0784377758155</v>
      </c>
    </row>
    <row r="71" spans="1:6">
      <c r="A71" t="s">
        <v>13311</v>
      </c>
      <c r="B71" s="18" t="s">
        <v>7064</v>
      </c>
      <c r="C71" s="19">
        <v>18</v>
      </c>
      <c r="F71" s="9">
        <f t="shared" si="1"/>
        <v>15314.156875551631</v>
      </c>
    </row>
    <row r="72" spans="1:6">
      <c r="A72" t="s">
        <v>13311</v>
      </c>
      <c r="B72" s="18" t="s">
        <v>3832</v>
      </c>
      <c r="C72" s="19">
        <v>4</v>
      </c>
      <c r="F72" s="9">
        <f t="shared" si="1"/>
        <v>3403.145972344807</v>
      </c>
    </row>
    <row r="73" spans="1:6">
      <c r="A73" t="s">
        <v>13311</v>
      </c>
      <c r="B73" s="18" t="s">
        <v>3835</v>
      </c>
      <c r="C73" s="19">
        <v>6</v>
      </c>
      <c r="F73" s="9">
        <f t="shared" si="1"/>
        <v>5104.7189585172109</v>
      </c>
    </row>
    <row r="74" spans="1:6">
      <c r="A74" t="s">
        <v>13311</v>
      </c>
      <c r="B74" s="18" t="s">
        <v>6071</v>
      </c>
      <c r="C74" s="19">
        <v>9</v>
      </c>
      <c r="F74" s="9">
        <f t="shared" si="1"/>
        <v>7657.0784377758155</v>
      </c>
    </row>
    <row r="75" spans="1:6">
      <c r="A75" t="s">
        <v>13311</v>
      </c>
      <c r="B75" s="18" t="s">
        <v>3841</v>
      </c>
      <c r="C75" s="19">
        <v>28</v>
      </c>
      <c r="F75" s="9">
        <f t="shared" si="1"/>
        <v>23822.02180641365</v>
      </c>
    </row>
    <row r="76" spans="1:6">
      <c r="A76" t="s">
        <v>13311</v>
      </c>
      <c r="B76" s="18" t="s">
        <v>3848</v>
      </c>
      <c r="C76" s="19">
        <v>11</v>
      </c>
      <c r="F76" s="9">
        <f t="shared" si="1"/>
        <v>9358.6514239482185</v>
      </c>
    </row>
    <row r="77" spans="1:6">
      <c r="A77" t="s">
        <v>13311</v>
      </c>
      <c r="B77" s="18" t="s">
        <v>3851</v>
      </c>
      <c r="C77" s="19">
        <v>5</v>
      </c>
      <c r="F77" s="9">
        <f t="shared" si="1"/>
        <v>4253.9324654310085</v>
      </c>
    </row>
    <row r="78" spans="1:6">
      <c r="A78" t="s">
        <v>13311</v>
      </c>
      <c r="B78" s="18" t="s">
        <v>3854</v>
      </c>
      <c r="C78" s="19">
        <v>2</v>
      </c>
      <c r="F78" s="9">
        <f t="shared" si="1"/>
        <v>1701.5729861724035</v>
      </c>
    </row>
    <row r="79" spans="1:6">
      <c r="A79" t="s">
        <v>13311</v>
      </c>
      <c r="B79" s="18" t="s">
        <v>3860</v>
      </c>
      <c r="C79" s="19">
        <v>9</v>
      </c>
      <c r="F79" s="9">
        <f t="shared" si="1"/>
        <v>7657.0784377758155</v>
      </c>
    </row>
    <row r="80" spans="1:6">
      <c r="A80" t="s">
        <v>13311</v>
      </c>
      <c r="B80" s="18" t="s">
        <v>5333</v>
      </c>
      <c r="C80" s="19">
        <v>5</v>
      </c>
      <c r="F80" s="9">
        <f t="shared" si="1"/>
        <v>4253.9324654310085</v>
      </c>
    </row>
    <row r="81" spans="1:6">
      <c r="A81" t="s">
        <v>13311</v>
      </c>
      <c r="B81" s="18" t="s">
        <v>3888</v>
      </c>
      <c r="C81" s="19">
        <v>5</v>
      </c>
      <c r="F81" s="9">
        <f t="shared" si="1"/>
        <v>4253.9324654310085</v>
      </c>
    </row>
    <row r="82" spans="1:6">
      <c r="A82" t="s">
        <v>13311</v>
      </c>
      <c r="B82" s="18" t="s">
        <v>3896</v>
      </c>
      <c r="C82" s="19">
        <v>15</v>
      </c>
      <c r="F82" s="9">
        <f t="shared" si="1"/>
        <v>12761.797396293026</v>
      </c>
    </row>
    <row r="83" spans="1:6">
      <c r="A83" t="s">
        <v>13311</v>
      </c>
      <c r="B83" s="18" t="s">
        <v>7073</v>
      </c>
      <c r="C83" s="19">
        <v>2</v>
      </c>
      <c r="F83" s="9">
        <f t="shared" si="1"/>
        <v>1701.5729861724035</v>
      </c>
    </row>
    <row r="84" spans="1:6">
      <c r="A84" t="s">
        <v>13311</v>
      </c>
      <c r="B84" s="18" t="s">
        <v>3905</v>
      </c>
      <c r="C84" s="19">
        <v>2</v>
      </c>
      <c r="F84" s="9">
        <f t="shared" si="1"/>
        <v>1701.5729861724035</v>
      </c>
    </row>
    <row r="85" spans="1:6">
      <c r="A85" t="s">
        <v>13311</v>
      </c>
      <c r="B85" s="18" t="s">
        <v>3910</v>
      </c>
      <c r="C85" s="19">
        <v>2</v>
      </c>
      <c r="F85" s="9">
        <f t="shared" si="1"/>
        <v>1701.5729861724035</v>
      </c>
    </row>
    <row r="86" spans="1:6">
      <c r="A86" t="s">
        <v>13311</v>
      </c>
      <c r="B86" s="18" t="s">
        <v>5018</v>
      </c>
      <c r="C86" s="19">
        <v>6</v>
      </c>
      <c r="F86" s="9">
        <f t="shared" si="1"/>
        <v>5104.7189585172109</v>
      </c>
    </row>
    <row r="87" spans="1:6">
      <c r="A87" t="s">
        <v>13311</v>
      </c>
      <c r="B87" s="18" t="s">
        <v>3967</v>
      </c>
      <c r="C87" s="19">
        <v>2</v>
      </c>
      <c r="F87" s="9">
        <f t="shared" si="1"/>
        <v>1701.5729861724035</v>
      </c>
    </row>
    <row r="88" spans="1:6">
      <c r="A88" t="s">
        <v>13311</v>
      </c>
      <c r="B88" s="18" t="s">
        <v>5024</v>
      </c>
      <c r="C88" s="19">
        <v>12</v>
      </c>
      <c r="F88" s="9">
        <f t="shared" si="1"/>
        <v>10209.437917034422</v>
      </c>
    </row>
    <row r="89" spans="1:6">
      <c r="A89" t="s">
        <v>13311</v>
      </c>
      <c r="B89" s="18" t="s">
        <v>3979</v>
      </c>
      <c r="C89" s="19">
        <v>5</v>
      </c>
      <c r="F89" s="9">
        <f t="shared" si="1"/>
        <v>4253.9324654310085</v>
      </c>
    </row>
    <row r="90" spans="1:6">
      <c r="A90" t="s">
        <v>13311</v>
      </c>
      <c r="B90" s="18" t="s">
        <v>3982</v>
      </c>
      <c r="C90" s="19">
        <v>9</v>
      </c>
      <c r="F90" s="9">
        <f t="shared" si="1"/>
        <v>7657.0784377758155</v>
      </c>
    </row>
    <row r="91" spans="1:6">
      <c r="A91" t="s">
        <v>13311</v>
      </c>
      <c r="B91" s="18" t="s">
        <v>3985</v>
      </c>
      <c r="C91" s="19">
        <v>1</v>
      </c>
      <c r="F91" s="9">
        <f t="shared" si="1"/>
        <v>850.78649308620174</v>
      </c>
    </row>
    <row r="92" spans="1:6">
      <c r="A92" t="s">
        <v>13311</v>
      </c>
      <c r="B92" s="18" t="s">
        <v>20152</v>
      </c>
      <c r="C92" s="19">
        <v>1</v>
      </c>
      <c r="F92" s="9">
        <f t="shared" si="1"/>
        <v>850.78649308620174</v>
      </c>
    </row>
    <row r="93" spans="1:6">
      <c r="A93" t="s">
        <v>13311</v>
      </c>
      <c r="B93" s="18" t="s">
        <v>3991</v>
      </c>
      <c r="C93" s="19">
        <v>4</v>
      </c>
      <c r="F93" s="9">
        <f t="shared" si="1"/>
        <v>3403.145972344807</v>
      </c>
    </row>
    <row r="94" spans="1:6">
      <c r="A94" t="s">
        <v>13311</v>
      </c>
      <c r="B94" s="18" t="s">
        <v>3997</v>
      </c>
      <c r="C94" s="19">
        <v>55</v>
      </c>
      <c r="F94" s="9">
        <f t="shared" si="1"/>
        <v>46793.257119741094</v>
      </c>
    </row>
    <row r="95" spans="1:6">
      <c r="A95" t="s">
        <v>13311</v>
      </c>
      <c r="B95" s="18" t="s">
        <v>5027</v>
      </c>
      <c r="C95" s="19">
        <v>12</v>
      </c>
      <c r="F95" s="9">
        <f t="shared" si="1"/>
        <v>10209.437917034422</v>
      </c>
    </row>
    <row r="96" spans="1:6">
      <c r="A96" t="s">
        <v>13311</v>
      </c>
      <c r="B96" s="18" t="s">
        <v>4012</v>
      </c>
      <c r="C96" s="19">
        <v>3</v>
      </c>
      <c r="F96" s="9">
        <f t="shared" si="1"/>
        <v>2552.3594792586055</v>
      </c>
    </row>
    <row r="97" spans="1:6">
      <c r="A97" t="s">
        <v>13311</v>
      </c>
      <c r="B97" s="18" t="s">
        <v>5021</v>
      </c>
      <c r="C97" s="19">
        <v>2</v>
      </c>
      <c r="F97" s="9">
        <f t="shared" si="1"/>
        <v>1701.5729861724035</v>
      </c>
    </row>
    <row r="98" spans="1:6">
      <c r="A98" t="s">
        <v>13311</v>
      </c>
      <c r="B98" s="18" t="s">
        <v>4021</v>
      </c>
      <c r="C98" s="19">
        <v>39</v>
      </c>
      <c r="F98" s="9">
        <f t="shared" si="1"/>
        <v>33180.67323036187</v>
      </c>
    </row>
    <row r="99" spans="1:6">
      <c r="A99" t="s">
        <v>13311</v>
      </c>
      <c r="B99" s="18" t="s">
        <v>6012</v>
      </c>
      <c r="C99" s="19">
        <v>16</v>
      </c>
      <c r="F99" s="9">
        <f t="shared" si="1"/>
        <v>13612.583889379228</v>
      </c>
    </row>
    <row r="100" spans="1:6">
      <c r="A100" t="s">
        <v>13311</v>
      </c>
      <c r="B100" s="18" t="s">
        <v>5968</v>
      </c>
      <c r="C100" s="19">
        <v>3</v>
      </c>
      <c r="F100" s="9">
        <f t="shared" si="1"/>
        <v>2552.3594792586055</v>
      </c>
    </row>
    <row r="101" spans="1:6">
      <c r="A101" t="s">
        <v>13311</v>
      </c>
      <c r="B101" s="18" t="s">
        <v>4030</v>
      </c>
      <c r="C101" s="19">
        <v>27</v>
      </c>
      <c r="F101" s="9">
        <f t="shared" si="1"/>
        <v>22971.235313327448</v>
      </c>
    </row>
    <row r="102" spans="1:6">
      <c r="A102" t="s">
        <v>13311</v>
      </c>
      <c r="B102" s="18" t="s">
        <v>7076</v>
      </c>
      <c r="C102" s="19">
        <v>17</v>
      </c>
      <c r="F102" s="9">
        <f t="shared" si="1"/>
        <v>14463.370382465429</v>
      </c>
    </row>
    <row r="103" spans="1:6">
      <c r="A103" t="s">
        <v>13311</v>
      </c>
      <c r="B103" s="18" t="s">
        <v>18169</v>
      </c>
      <c r="C103" s="19">
        <v>7</v>
      </c>
      <c r="F103" s="9">
        <f t="shared" si="1"/>
        <v>5955.5054516034124</v>
      </c>
    </row>
    <row r="104" spans="1:6">
      <c r="A104" t="s">
        <v>13311</v>
      </c>
      <c r="B104" s="18" t="s">
        <v>18173</v>
      </c>
      <c r="C104" s="19">
        <v>8</v>
      </c>
      <c r="F104" s="9">
        <f t="shared" si="1"/>
        <v>6806.291944689614</v>
      </c>
    </row>
    <row r="105" spans="1:6">
      <c r="A105" t="s">
        <v>13311</v>
      </c>
      <c r="B105" s="18" t="s">
        <v>18171</v>
      </c>
      <c r="C105" s="19">
        <v>38</v>
      </c>
      <c r="F105" s="9">
        <f t="shared" si="1"/>
        <v>32329.886737275665</v>
      </c>
    </row>
    <row r="106" spans="1:6">
      <c r="A106" t="s">
        <v>13311</v>
      </c>
      <c r="B106" s="18" t="s">
        <v>18174</v>
      </c>
      <c r="C106" s="19">
        <v>3</v>
      </c>
      <c r="F106" s="9">
        <f t="shared" si="1"/>
        <v>2552.3594792586055</v>
      </c>
    </row>
    <row r="107" spans="1:6">
      <c r="A107" t="s">
        <v>13311</v>
      </c>
      <c r="B107" s="18" t="s">
        <v>18176</v>
      </c>
      <c r="C107" s="19">
        <v>8</v>
      </c>
      <c r="F107" s="9">
        <f t="shared" si="1"/>
        <v>6806.291944689614</v>
      </c>
    </row>
    <row r="108" spans="1:6">
      <c r="A108" t="s">
        <v>13311</v>
      </c>
      <c r="B108" s="18" t="s">
        <v>18178</v>
      </c>
      <c r="C108" s="19">
        <v>24</v>
      </c>
      <c r="F108" s="9">
        <f t="shared" si="1"/>
        <v>20418.875834068844</v>
      </c>
    </row>
    <row r="109" spans="1:6">
      <c r="A109" t="s">
        <v>13311</v>
      </c>
      <c r="B109" s="18" t="s">
        <v>4036</v>
      </c>
      <c r="C109" s="19">
        <v>4</v>
      </c>
      <c r="F109" s="9">
        <f t="shared" si="1"/>
        <v>3403.145972344807</v>
      </c>
    </row>
    <row r="110" spans="1:6">
      <c r="A110" t="s">
        <v>13311</v>
      </c>
      <c r="B110" s="18" t="s">
        <v>4047</v>
      </c>
      <c r="C110" s="19">
        <v>8</v>
      </c>
      <c r="F110" s="9">
        <f t="shared" si="1"/>
        <v>6806.291944689614</v>
      </c>
    </row>
    <row r="111" spans="1:6">
      <c r="A111" t="s">
        <v>13311</v>
      </c>
      <c r="B111" s="18" t="s">
        <v>4050</v>
      </c>
      <c r="C111" s="19">
        <v>4</v>
      </c>
      <c r="F111" s="9">
        <f t="shared" si="1"/>
        <v>3403.145972344807</v>
      </c>
    </row>
    <row r="112" spans="1:6">
      <c r="A112" t="s">
        <v>13311</v>
      </c>
      <c r="B112" s="18" t="s">
        <v>4053</v>
      </c>
      <c r="C112" s="19">
        <v>6</v>
      </c>
      <c r="F112" s="9">
        <f t="shared" si="1"/>
        <v>5104.7189585172109</v>
      </c>
    </row>
    <row r="113" spans="1:6">
      <c r="A113" t="s">
        <v>13311</v>
      </c>
      <c r="B113" s="18" t="s">
        <v>4056</v>
      </c>
      <c r="C113" s="19">
        <v>3</v>
      </c>
      <c r="F113" s="9">
        <f t="shared" si="1"/>
        <v>2552.3594792586055</v>
      </c>
    </row>
    <row r="114" spans="1:6">
      <c r="A114" t="s">
        <v>13311</v>
      </c>
      <c r="B114" s="18" t="s">
        <v>7082</v>
      </c>
      <c r="C114" s="19">
        <v>12</v>
      </c>
      <c r="F114" s="9">
        <f t="shared" si="1"/>
        <v>10209.437917034422</v>
      </c>
    </row>
    <row r="115" spans="1:6">
      <c r="A115" t="s">
        <v>13311</v>
      </c>
      <c r="B115" s="18" t="s">
        <v>4066</v>
      </c>
      <c r="C115" s="19">
        <v>2</v>
      </c>
      <c r="F115" s="9">
        <f t="shared" si="1"/>
        <v>1701.5729861724035</v>
      </c>
    </row>
    <row r="116" spans="1:6">
      <c r="A116" t="s">
        <v>13311</v>
      </c>
      <c r="B116" s="18" t="s">
        <v>20143</v>
      </c>
      <c r="C116" s="19">
        <v>8</v>
      </c>
      <c r="F116" s="9">
        <f t="shared" si="1"/>
        <v>6806.291944689614</v>
      </c>
    </row>
    <row r="117" spans="1:6">
      <c r="A117" t="s">
        <v>13311</v>
      </c>
      <c r="B117" s="18" t="s">
        <v>4073</v>
      </c>
      <c r="C117" s="19">
        <v>5</v>
      </c>
      <c r="F117" s="9">
        <f t="shared" si="1"/>
        <v>4253.9324654310085</v>
      </c>
    </row>
    <row r="118" spans="1:6">
      <c r="A118" t="s">
        <v>13311</v>
      </c>
      <c r="B118" s="18" t="s">
        <v>7079</v>
      </c>
      <c r="C118" s="19">
        <v>2</v>
      </c>
      <c r="F118" s="9">
        <f t="shared" si="1"/>
        <v>1701.5729861724035</v>
      </c>
    </row>
    <row r="119" spans="1:6">
      <c r="A119" t="s">
        <v>13311</v>
      </c>
      <c r="B119" s="18" t="s">
        <v>4079</v>
      </c>
      <c r="C119" s="19">
        <v>3</v>
      </c>
      <c r="F119" s="9">
        <f t="shared" si="1"/>
        <v>2552.3594792586055</v>
      </c>
    </row>
    <row r="120" spans="1:6">
      <c r="A120" t="s">
        <v>13311</v>
      </c>
      <c r="B120" s="18" t="s">
        <v>4082</v>
      </c>
      <c r="C120" s="19">
        <v>3</v>
      </c>
      <c r="F120" s="9">
        <f t="shared" si="1"/>
        <v>2552.3594792586055</v>
      </c>
    </row>
    <row r="121" spans="1:6">
      <c r="A121" t="s">
        <v>13311</v>
      </c>
      <c r="B121" s="18" t="s">
        <v>4085</v>
      </c>
      <c r="C121" s="19">
        <v>6</v>
      </c>
      <c r="F121" s="9">
        <f t="shared" si="1"/>
        <v>5104.7189585172109</v>
      </c>
    </row>
    <row r="122" spans="1:6">
      <c r="A122" t="s">
        <v>13311</v>
      </c>
      <c r="B122" s="18" t="s">
        <v>4090</v>
      </c>
      <c r="C122" s="19">
        <v>4</v>
      </c>
      <c r="F122" s="9">
        <f t="shared" si="1"/>
        <v>3403.145972344807</v>
      </c>
    </row>
    <row r="123" spans="1:6">
      <c r="A123" t="s">
        <v>13311</v>
      </c>
      <c r="B123" s="18" t="s">
        <v>20164</v>
      </c>
      <c r="C123" s="19">
        <v>8</v>
      </c>
      <c r="F123" s="9">
        <f t="shared" si="1"/>
        <v>6806.291944689614</v>
      </c>
    </row>
    <row r="124" spans="1:6">
      <c r="A124" t="s">
        <v>13311</v>
      </c>
      <c r="B124" s="18" t="s">
        <v>20172</v>
      </c>
      <c r="C124" s="19">
        <v>5</v>
      </c>
      <c r="F124" s="9">
        <f t="shared" si="1"/>
        <v>4253.9324654310085</v>
      </c>
    </row>
    <row r="125" spans="1:6">
      <c r="A125" t="s">
        <v>13311</v>
      </c>
      <c r="B125" s="18" t="s">
        <v>5249</v>
      </c>
      <c r="C125" s="19">
        <v>9</v>
      </c>
      <c r="F125" s="9">
        <f t="shared" si="1"/>
        <v>7657.0784377758155</v>
      </c>
    </row>
    <row r="126" spans="1:6">
      <c r="A126" t="s">
        <v>13311</v>
      </c>
      <c r="B126" s="18" t="s">
        <v>7085</v>
      </c>
      <c r="C126" s="19">
        <v>2</v>
      </c>
      <c r="F126" s="9">
        <f t="shared" si="1"/>
        <v>1701.5729861724035</v>
      </c>
    </row>
    <row r="127" spans="1:6">
      <c r="A127" t="s">
        <v>13311</v>
      </c>
      <c r="B127" s="18" t="s">
        <v>5255</v>
      </c>
      <c r="C127" s="19">
        <v>30</v>
      </c>
      <c r="F127" s="9">
        <f t="shared" si="1"/>
        <v>25523.594792586053</v>
      </c>
    </row>
    <row r="128" spans="1:6">
      <c r="A128" t="s">
        <v>13311</v>
      </c>
      <c r="B128" s="18" t="s">
        <v>5258</v>
      </c>
      <c r="C128" s="19">
        <v>8</v>
      </c>
      <c r="F128" s="9">
        <f t="shared" si="1"/>
        <v>6806.291944689614</v>
      </c>
    </row>
    <row r="129" spans="1:6">
      <c r="A129" t="s">
        <v>13311</v>
      </c>
      <c r="B129" s="18" t="s">
        <v>5261</v>
      </c>
      <c r="C129" s="19">
        <v>10</v>
      </c>
      <c r="F129" s="9">
        <f t="shared" si="1"/>
        <v>8507.864930862017</v>
      </c>
    </row>
    <row r="130" spans="1:6">
      <c r="A130" t="s">
        <v>13311</v>
      </c>
      <c r="B130" s="18" t="s">
        <v>5264</v>
      </c>
      <c r="C130" s="19">
        <v>7</v>
      </c>
      <c r="F130" s="9">
        <f t="shared" si="1"/>
        <v>5955.5054516034124</v>
      </c>
    </row>
    <row r="131" spans="1:6">
      <c r="A131" t="s">
        <v>13311</v>
      </c>
      <c r="B131" s="18" t="s">
        <v>5267</v>
      </c>
      <c r="C131" s="19">
        <v>11</v>
      </c>
      <c r="F131" s="9">
        <f t="shared" si="1"/>
        <v>9358.6514239482185</v>
      </c>
    </row>
    <row r="132" spans="1:6">
      <c r="A132" t="s">
        <v>13311</v>
      </c>
      <c r="B132" s="18" t="s">
        <v>5276</v>
      </c>
      <c r="C132" s="19">
        <v>3</v>
      </c>
      <c r="F132" s="9">
        <f t="shared" si="1"/>
        <v>2552.3594792586055</v>
      </c>
    </row>
    <row r="133" spans="1:6">
      <c r="A133" t="s">
        <v>13311</v>
      </c>
      <c r="B133" s="18" t="s">
        <v>5279</v>
      </c>
      <c r="C133" s="19">
        <v>12</v>
      </c>
      <c r="F133" s="9">
        <f t="shared" ref="F133:F196" si="2">C133*$F$3</f>
        <v>10209.437917034422</v>
      </c>
    </row>
    <row r="134" spans="1:6">
      <c r="A134" t="s">
        <v>13311</v>
      </c>
      <c r="B134" s="18" t="s">
        <v>5148</v>
      </c>
      <c r="C134" s="19">
        <v>4</v>
      </c>
      <c r="F134" s="9">
        <f t="shared" si="2"/>
        <v>3403.145972344807</v>
      </c>
    </row>
    <row r="135" spans="1:6">
      <c r="A135" t="s">
        <v>13311</v>
      </c>
      <c r="B135" s="18" t="s">
        <v>5159</v>
      </c>
      <c r="C135" s="19">
        <v>14</v>
      </c>
      <c r="F135" s="9">
        <f t="shared" si="2"/>
        <v>11911.010903206825</v>
      </c>
    </row>
    <row r="136" spans="1:6">
      <c r="A136" t="s">
        <v>13311</v>
      </c>
      <c r="B136" s="18" t="s">
        <v>5291</v>
      </c>
      <c r="C136" s="19">
        <v>13</v>
      </c>
      <c r="F136" s="9">
        <f t="shared" si="2"/>
        <v>11060.224410120623</v>
      </c>
    </row>
    <row r="137" spans="1:6">
      <c r="A137" t="s">
        <v>13311</v>
      </c>
      <c r="B137" s="18" t="s">
        <v>5297</v>
      </c>
      <c r="C137" s="19">
        <v>3</v>
      </c>
      <c r="F137" s="9">
        <f t="shared" si="2"/>
        <v>2552.3594792586055</v>
      </c>
    </row>
    <row r="138" spans="1:6">
      <c r="A138" t="s">
        <v>13311</v>
      </c>
      <c r="B138" s="18" t="s">
        <v>7007</v>
      </c>
      <c r="C138" s="19">
        <v>3</v>
      </c>
      <c r="F138" s="9">
        <f t="shared" si="2"/>
        <v>2552.3594792586055</v>
      </c>
    </row>
    <row r="139" spans="1:6">
      <c r="A139" t="s">
        <v>13311</v>
      </c>
      <c r="B139" s="18" t="s">
        <v>5377</v>
      </c>
      <c r="C139" s="19">
        <v>6</v>
      </c>
      <c r="F139" s="9">
        <f t="shared" si="2"/>
        <v>5104.7189585172109</v>
      </c>
    </row>
    <row r="140" spans="1:6">
      <c r="A140" t="s">
        <v>13311</v>
      </c>
      <c r="B140" s="18" t="s">
        <v>5180</v>
      </c>
      <c r="C140" s="19">
        <v>4</v>
      </c>
      <c r="F140" s="9">
        <f t="shared" si="2"/>
        <v>3403.145972344807</v>
      </c>
    </row>
    <row r="141" spans="1:6">
      <c r="A141" t="s">
        <v>13311</v>
      </c>
      <c r="B141" s="18" t="s">
        <v>5153</v>
      </c>
      <c r="C141" s="19">
        <v>6</v>
      </c>
      <c r="F141" s="9">
        <f t="shared" si="2"/>
        <v>5104.7189585172109</v>
      </c>
    </row>
    <row r="142" spans="1:6">
      <c r="A142" t="s">
        <v>13311</v>
      </c>
      <c r="B142" s="18" t="s">
        <v>5410</v>
      </c>
      <c r="C142" s="19">
        <v>8</v>
      </c>
      <c r="F142" s="9">
        <f t="shared" si="2"/>
        <v>6806.291944689614</v>
      </c>
    </row>
    <row r="143" spans="1:6">
      <c r="A143" t="s">
        <v>13311</v>
      </c>
      <c r="B143" s="18" t="s">
        <v>5413</v>
      </c>
      <c r="C143" s="19">
        <v>26</v>
      </c>
      <c r="F143" s="9">
        <f t="shared" si="2"/>
        <v>22120.448820241247</v>
      </c>
    </row>
    <row r="144" spans="1:6">
      <c r="A144" t="s">
        <v>13311</v>
      </c>
      <c r="B144" s="18" t="s">
        <v>5429</v>
      </c>
      <c r="C144" s="19">
        <v>10</v>
      </c>
      <c r="F144" s="9">
        <f t="shared" si="2"/>
        <v>8507.864930862017</v>
      </c>
    </row>
    <row r="145" spans="1:6">
      <c r="A145" t="s">
        <v>13311</v>
      </c>
      <c r="B145" s="18" t="s">
        <v>5432</v>
      </c>
      <c r="C145" s="19">
        <v>4</v>
      </c>
      <c r="F145" s="9">
        <f t="shared" si="2"/>
        <v>3403.145972344807</v>
      </c>
    </row>
    <row r="146" spans="1:6">
      <c r="A146" t="s">
        <v>13311</v>
      </c>
      <c r="B146" s="18" t="s">
        <v>5435</v>
      </c>
      <c r="C146" s="19">
        <v>13</v>
      </c>
      <c r="F146" s="9">
        <f t="shared" si="2"/>
        <v>11060.224410120623</v>
      </c>
    </row>
    <row r="147" spans="1:6">
      <c r="A147" t="s">
        <v>13311</v>
      </c>
      <c r="B147" s="18" t="s">
        <v>5438</v>
      </c>
      <c r="C147" s="19">
        <v>5</v>
      </c>
      <c r="F147" s="9">
        <f t="shared" si="2"/>
        <v>4253.9324654310085</v>
      </c>
    </row>
    <row r="148" spans="1:6">
      <c r="A148" t="s">
        <v>13311</v>
      </c>
      <c r="B148" s="18" t="s">
        <v>7088</v>
      </c>
      <c r="C148" s="19">
        <v>6</v>
      </c>
      <c r="F148" s="9">
        <f t="shared" si="2"/>
        <v>5104.7189585172109</v>
      </c>
    </row>
    <row r="149" spans="1:6">
      <c r="A149" t="s">
        <v>13311</v>
      </c>
      <c r="B149" s="18" t="s">
        <v>5450</v>
      </c>
      <c r="C149" s="19">
        <v>28</v>
      </c>
      <c r="F149" s="9">
        <f t="shared" si="2"/>
        <v>23822.02180641365</v>
      </c>
    </row>
    <row r="150" spans="1:6">
      <c r="A150" t="s">
        <v>13311</v>
      </c>
      <c r="B150" s="18" t="s">
        <v>5839</v>
      </c>
      <c r="C150" s="19">
        <v>11</v>
      </c>
      <c r="F150" s="9">
        <f t="shared" si="2"/>
        <v>9358.6514239482185</v>
      </c>
    </row>
    <row r="151" spans="1:6">
      <c r="A151" t="s">
        <v>13311</v>
      </c>
      <c r="B151" s="18" t="s">
        <v>5459</v>
      </c>
      <c r="C151" s="19">
        <v>46</v>
      </c>
      <c r="F151" s="9">
        <f t="shared" si="2"/>
        <v>39136.178681965277</v>
      </c>
    </row>
    <row r="152" spans="1:6">
      <c r="A152" t="s">
        <v>13311</v>
      </c>
      <c r="B152" s="18" t="s">
        <v>7100</v>
      </c>
      <c r="C152" s="19">
        <v>9</v>
      </c>
      <c r="F152" s="9">
        <f t="shared" si="2"/>
        <v>7657.0784377758155</v>
      </c>
    </row>
    <row r="153" spans="1:6">
      <c r="A153" t="s">
        <v>13311</v>
      </c>
      <c r="B153" s="18" t="s">
        <v>5462</v>
      </c>
      <c r="C153" s="19">
        <v>7</v>
      </c>
      <c r="F153" s="9">
        <f t="shared" si="2"/>
        <v>5955.5054516034124</v>
      </c>
    </row>
    <row r="154" spans="1:6">
      <c r="A154" t="s">
        <v>13311</v>
      </c>
      <c r="B154" s="18" t="s">
        <v>5538</v>
      </c>
      <c r="C154" s="19">
        <v>3</v>
      </c>
      <c r="F154" s="9">
        <f t="shared" si="2"/>
        <v>2552.3594792586055</v>
      </c>
    </row>
    <row r="155" spans="1:6">
      <c r="A155" t="s">
        <v>13311</v>
      </c>
      <c r="B155" s="18" t="s">
        <v>5474</v>
      </c>
      <c r="C155" s="19">
        <v>3</v>
      </c>
      <c r="F155" s="9">
        <f t="shared" si="2"/>
        <v>2552.3594792586055</v>
      </c>
    </row>
    <row r="156" spans="1:6">
      <c r="A156" t="s">
        <v>13311</v>
      </c>
      <c r="B156" s="18" t="s">
        <v>5477</v>
      </c>
      <c r="C156" s="19">
        <v>16</v>
      </c>
      <c r="F156" s="9">
        <f t="shared" si="2"/>
        <v>13612.583889379228</v>
      </c>
    </row>
    <row r="157" spans="1:6">
      <c r="A157" t="s">
        <v>13311</v>
      </c>
      <c r="B157" s="18" t="s">
        <v>7091</v>
      </c>
      <c r="C157" s="19">
        <v>5</v>
      </c>
      <c r="F157" s="9">
        <f t="shared" si="2"/>
        <v>4253.9324654310085</v>
      </c>
    </row>
    <row r="158" spans="1:6">
      <c r="A158" t="s">
        <v>13311</v>
      </c>
      <c r="B158" s="18" t="s">
        <v>5505</v>
      </c>
      <c r="C158" s="19">
        <v>0</v>
      </c>
      <c r="F158" s="9">
        <f t="shared" si="2"/>
        <v>0</v>
      </c>
    </row>
    <row r="159" spans="1:6">
      <c r="A159" t="s">
        <v>13311</v>
      </c>
      <c r="B159" s="18" t="s">
        <v>5518</v>
      </c>
      <c r="C159" s="19">
        <v>3</v>
      </c>
      <c r="F159" s="9">
        <f t="shared" si="2"/>
        <v>2552.3594792586055</v>
      </c>
    </row>
    <row r="160" spans="1:6">
      <c r="A160" t="s">
        <v>13311</v>
      </c>
      <c r="B160" s="18" t="s">
        <v>5527</v>
      </c>
      <c r="C160" s="19">
        <v>2</v>
      </c>
      <c r="F160" s="9">
        <f t="shared" si="2"/>
        <v>1701.5729861724035</v>
      </c>
    </row>
    <row r="161" spans="1:6">
      <c r="A161" t="s">
        <v>13311</v>
      </c>
      <c r="B161" s="18" t="s">
        <v>5546</v>
      </c>
      <c r="C161" s="19">
        <v>12</v>
      </c>
      <c r="F161" s="9">
        <f t="shared" si="2"/>
        <v>10209.437917034422</v>
      </c>
    </row>
    <row r="162" spans="1:6">
      <c r="A162" t="s">
        <v>13311</v>
      </c>
      <c r="B162" s="18" t="s">
        <v>5549</v>
      </c>
      <c r="C162" s="19">
        <v>12</v>
      </c>
      <c r="F162" s="9">
        <f t="shared" si="2"/>
        <v>10209.437917034422</v>
      </c>
    </row>
    <row r="163" spans="1:6">
      <c r="A163" t="s">
        <v>13311</v>
      </c>
      <c r="B163" s="18" t="s">
        <v>6949</v>
      </c>
      <c r="C163" s="19">
        <v>5</v>
      </c>
      <c r="F163" s="9">
        <f t="shared" si="2"/>
        <v>4253.9324654310085</v>
      </c>
    </row>
    <row r="164" spans="1:6">
      <c r="A164" t="s">
        <v>13311</v>
      </c>
      <c r="B164" s="18" t="s">
        <v>7968</v>
      </c>
      <c r="C164" s="19">
        <v>8</v>
      </c>
      <c r="F164" s="9">
        <f t="shared" si="2"/>
        <v>6806.291944689614</v>
      </c>
    </row>
    <row r="165" spans="1:6">
      <c r="A165" t="s">
        <v>13311</v>
      </c>
      <c r="B165" s="18" t="s">
        <v>8041</v>
      </c>
      <c r="C165" s="19">
        <v>5</v>
      </c>
      <c r="F165" s="9">
        <f t="shared" si="2"/>
        <v>4253.9324654310085</v>
      </c>
    </row>
    <row r="166" spans="1:6">
      <c r="A166" t="s">
        <v>13311</v>
      </c>
      <c r="B166" s="18" t="s">
        <v>5564</v>
      </c>
      <c r="C166" s="19">
        <v>11</v>
      </c>
      <c r="F166" s="9">
        <f t="shared" si="2"/>
        <v>9358.6514239482185</v>
      </c>
    </row>
    <row r="167" spans="1:6">
      <c r="A167" t="s">
        <v>13311</v>
      </c>
      <c r="B167" s="18" t="s">
        <v>5567</v>
      </c>
      <c r="C167" s="19">
        <v>1</v>
      </c>
      <c r="F167" s="9">
        <f t="shared" si="2"/>
        <v>850.78649308620174</v>
      </c>
    </row>
    <row r="168" spans="1:6">
      <c r="A168" t="s">
        <v>13311</v>
      </c>
      <c r="B168" s="18" t="s">
        <v>5570</v>
      </c>
      <c r="C168" s="19">
        <v>8</v>
      </c>
      <c r="F168" s="9">
        <f t="shared" si="2"/>
        <v>6806.291944689614</v>
      </c>
    </row>
    <row r="169" spans="1:6">
      <c r="A169" t="s">
        <v>13311</v>
      </c>
      <c r="B169" s="18" t="s">
        <v>5575</v>
      </c>
      <c r="C169" s="19">
        <v>18</v>
      </c>
      <c r="F169" s="9">
        <f t="shared" si="2"/>
        <v>15314.156875551631</v>
      </c>
    </row>
    <row r="170" spans="1:6">
      <c r="A170" t="s">
        <v>13311</v>
      </c>
      <c r="B170" s="18" t="s">
        <v>5578</v>
      </c>
      <c r="C170" s="19">
        <v>19</v>
      </c>
      <c r="F170" s="9">
        <f t="shared" si="2"/>
        <v>16164.943368637832</v>
      </c>
    </row>
    <row r="171" spans="1:6">
      <c r="A171" t="s">
        <v>13311</v>
      </c>
      <c r="B171" s="18" t="s">
        <v>5583</v>
      </c>
      <c r="C171" s="19">
        <v>10</v>
      </c>
      <c r="F171" s="9">
        <f t="shared" si="2"/>
        <v>8507.864930862017</v>
      </c>
    </row>
    <row r="172" spans="1:6">
      <c r="A172" t="s">
        <v>13311</v>
      </c>
      <c r="B172" s="18" t="s">
        <v>5604</v>
      </c>
      <c r="C172" s="19">
        <v>18</v>
      </c>
      <c r="F172" s="9">
        <f t="shared" si="2"/>
        <v>15314.156875551631</v>
      </c>
    </row>
    <row r="173" spans="1:6">
      <c r="A173" t="s">
        <v>13311</v>
      </c>
      <c r="B173" s="18" t="s">
        <v>5609</v>
      </c>
      <c r="C173" s="19">
        <v>1</v>
      </c>
      <c r="F173" s="9">
        <f t="shared" si="2"/>
        <v>850.78649308620174</v>
      </c>
    </row>
    <row r="174" spans="1:6">
      <c r="A174" t="s">
        <v>13311</v>
      </c>
      <c r="B174" s="18" t="s">
        <v>5618</v>
      </c>
      <c r="C174" s="19">
        <v>13</v>
      </c>
      <c r="F174" s="9">
        <f t="shared" si="2"/>
        <v>11060.224410120623</v>
      </c>
    </row>
    <row r="175" spans="1:6">
      <c r="A175" t="s">
        <v>13311</v>
      </c>
      <c r="B175" s="18" t="s">
        <v>8140</v>
      </c>
      <c r="C175" s="19">
        <v>7</v>
      </c>
      <c r="F175" s="9">
        <f t="shared" si="2"/>
        <v>5955.5054516034124</v>
      </c>
    </row>
    <row r="176" spans="1:6">
      <c r="A176" t="s">
        <v>13311</v>
      </c>
      <c r="B176" s="18" t="s">
        <v>6121</v>
      </c>
      <c r="C176" s="19">
        <v>1</v>
      </c>
      <c r="F176" s="9">
        <f t="shared" si="2"/>
        <v>850.78649308620174</v>
      </c>
    </row>
    <row r="177" spans="1:6">
      <c r="A177" t="s">
        <v>13311</v>
      </c>
      <c r="B177" s="18" t="s">
        <v>5627</v>
      </c>
      <c r="C177" s="19">
        <v>10</v>
      </c>
      <c r="F177" s="9">
        <f t="shared" si="2"/>
        <v>8507.864930862017</v>
      </c>
    </row>
    <row r="178" spans="1:6">
      <c r="A178" t="s">
        <v>13311</v>
      </c>
      <c r="B178" s="18" t="s">
        <v>5630</v>
      </c>
      <c r="C178" s="19">
        <v>6</v>
      </c>
      <c r="F178" s="9">
        <f t="shared" si="2"/>
        <v>5104.7189585172109</v>
      </c>
    </row>
    <row r="179" spans="1:6">
      <c r="A179" t="s">
        <v>13311</v>
      </c>
      <c r="B179" s="18" t="s">
        <v>5633</v>
      </c>
      <c r="C179" s="19">
        <v>8</v>
      </c>
      <c r="F179" s="9">
        <f t="shared" si="2"/>
        <v>6806.291944689614</v>
      </c>
    </row>
    <row r="180" spans="1:6">
      <c r="A180" t="s">
        <v>13311</v>
      </c>
      <c r="B180" s="18" t="s">
        <v>5636</v>
      </c>
      <c r="C180" s="19">
        <v>11</v>
      </c>
      <c r="F180" s="9">
        <f t="shared" si="2"/>
        <v>9358.6514239482185</v>
      </c>
    </row>
    <row r="181" spans="1:6">
      <c r="A181" t="s">
        <v>13311</v>
      </c>
      <c r="B181" s="18" t="s">
        <v>5639</v>
      </c>
      <c r="C181" s="19">
        <v>12</v>
      </c>
      <c r="F181" s="9">
        <f t="shared" si="2"/>
        <v>10209.437917034422</v>
      </c>
    </row>
    <row r="182" spans="1:6">
      <c r="A182" t="s">
        <v>13311</v>
      </c>
      <c r="B182" s="18" t="s">
        <v>5049</v>
      </c>
      <c r="C182" s="19">
        <v>10</v>
      </c>
      <c r="F182" s="9">
        <f t="shared" si="2"/>
        <v>8507.864930862017</v>
      </c>
    </row>
    <row r="183" spans="1:6">
      <c r="A183" t="s">
        <v>13311</v>
      </c>
      <c r="B183" s="18" t="s">
        <v>7822</v>
      </c>
      <c r="C183" s="19">
        <v>3</v>
      </c>
      <c r="F183" s="9">
        <f t="shared" si="2"/>
        <v>2552.3594792586055</v>
      </c>
    </row>
    <row r="184" spans="1:6">
      <c r="A184" t="s">
        <v>13311</v>
      </c>
      <c r="B184" s="18" t="s">
        <v>5656</v>
      </c>
      <c r="C184" s="19">
        <v>8</v>
      </c>
      <c r="F184" s="9">
        <f t="shared" si="2"/>
        <v>6806.291944689614</v>
      </c>
    </row>
    <row r="185" spans="1:6">
      <c r="A185" t="s">
        <v>13311</v>
      </c>
      <c r="B185" s="18" t="s">
        <v>5659</v>
      </c>
      <c r="C185" s="19">
        <v>6</v>
      </c>
      <c r="F185" s="9">
        <f t="shared" si="2"/>
        <v>5104.7189585172109</v>
      </c>
    </row>
    <row r="186" spans="1:6">
      <c r="A186" t="s">
        <v>13311</v>
      </c>
      <c r="B186" s="18" t="s">
        <v>5662</v>
      </c>
      <c r="C186" s="19">
        <v>8</v>
      </c>
      <c r="F186" s="9">
        <f t="shared" si="2"/>
        <v>6806.291944689614</v>
      </c>
    </row>
    <row r="187" spans="1:6">
      <c r="A187" t="s">
        <v>13311</v>
      </c>
      <c r="B187" s="18" t="s">
        <v>7936</v>
      </c>
      <c r="C187" s="19">
        <v>5</v>
      </c>
      <c r="F187" s="9">
        <f t="shared" si="2"/>
        <v>4253.9324654310085</v>
      </c>
    </row>
    <row r="188" spans="1:6">
      <c r="A188" t="s">
        <v>13311</v>
      </c>
      <c r="B188" s="18" t="s">
        <v>5675</v>
      </c>
      <c r="C188" s="19">
        <v>13</v>
      </c>
      <c r="F188" s="9">
        <f t="shared" si="2"/>
        <v>11060.224410120623</v>
      </c>
    </row>
    <row r="189" spans="1:6">
      <c r="A189" t="s">
        <v>13311</v>
      </c>
      <c r="B189" s="18" t="s">
        <v>5687</v>
      </c>
      <c r="C189" s="19">
        <v>4</v>
      </c>
      <c r="F189" s="9">
        <f t="shared" si="2"/>
        <v>3403.145972344807</v>
      </c>
    </row>
    <row r="190" spans="1:6">
      <c r="A190" t="s">
        <v>13311</v>
      </c>
      <c r="B190" s="18" t="s">
        <v>18179</v>
      </c>
      <c r="C190" s="19">
        <v>4</v>
      </c>
      <c r="F190" s="9">
        <f t="shared" si="2"/>
        <v>3403.145972344807</v>
      </c>
    </row>
    <row r="191" spans="1:6">
      <c r="A191" t="s">
        <v>13311</v>
      </c>
      <c r="B191" s="18" t="s">
        <v>5706</v>
      </c>
      <c r="C191" s="19">
        <v>17</v>
      </c>
      <c r="F191" s="9">
        <f t="shared" si="2"/>
        <v>14463.370382465429</v>
      </c>
    </row>
    <row r="192" spans="1:6">
      <c r="A192" t="s">
        <v>13311</v>
      </c>
      <c r="B192" s="18" t="s">
        <v>5712</v>
      </c>
      <c r="C192" s="19">
        <v>21</v>
      </c>
      <c r="F192" s="9">
        <f t="shared" si="2"/>
        <v>17866.516354810235</v>
      </c>
    </row>
    <row r="193" spans="1:6">
      <c r="A193" t="s">
        <v>13311</v>
      </c>
      <c r="B193" s="18" t="s">
        <v>5094</v>
      </c>
      <c r="C193" s="19">
        <v>7</v>
      </c>
      <c r="F193" s="9">
        <f t="shared" si="2"/>
        <v>5955.5054516034124</v>
      </c>
    </row>
    <row r="194" spans="1:6">
      <c r="A194" t="s">
        <v>13311</v>
      </c>
      <c r="B194" s="18" t="s">
        <v>5717</v>
      </c>
      <c r="C194" s="19">
        <v>3</v>
      </c>
      <c r="F194" s="9">
        <f t="shared" si="2"/>
        <v>2552.3594792586055</v>
      </c>
    </row>
    <row r="195" spans="1:6">
      <c r="A195" t="s">
        <v>13311</v>
      </c>
      <c r="B195" s="18" t="s">
        <v>6937</v>
      </c>
      <c r="C195" s="19">
        <v>8</v>
      </c>
      <c r="F195" s="9">
        <f t="shared" si="2"/>
        <v>6806.291944689614</v>
      </c>
    </row>
    <row r="196" spans="1:6">
      <c r="A196" t="s">
        <v>13311</v>
      </c>
      <c r="B196" s="18" t="s">
        <v>6898</v>
      </c>
      <c r="C196" s="19">
        <v>13</v>
      </c>
      <c r="F196" s="9">
        <f t="shared" si="2"/>
        <v>11060.224410120623</v>
      </c>
    </row>
    <row r="197" spans="1:6">
      <c r="A197" t="s">
        <v>13311</v>
      </c>
      <c r="B197" s="18" t="s">
        <v>5726</v>
      </c>
      <c r="C197" s="19">
        <v>4</v>
      </c>
      <c r="F197" s="9">
        <f t="shared" ref="F197:F260" si="3">C197*$F$3</f>
        <v>3403.145972344807</v>
      </c>
    </row>
    <row r="198" spans="1:6">
      <c r="A198" t="s">
        <v>13311</v>
      </c>
      <c r="B198" s="18" t="s">
        <v>6904</v>
      </c>
      <c r="C198" s="19">
        <v>10</v>
      </c>
      <c r="F198" s="9">
        <f t="shared" si="3"/>
        <v>8507.864930862017</v>
      </c>
    </row>
    <row r="199" spans="1:6">
      <c r="A199" t="s">
        <v>13311</v>
      </c>
      <c r="B199" s="18" t="s">
        <v>6907</v>
      </c>
      <c r="C199" s="19">
        <v>2</v>
      </c>
      <c r="F199" s="9">
        <f t="shared" si="3"/>
        <v>1701.5729861724035</v>
      </c>
    </row>
    <row r="200" spans="1:6">
      <c r="A200" t="s">
        <v>13311</v>
      </c>
      <c r="B200" s="18" t="s">
        <v>5740</v>
      </c>
      <c r="C200" s="19">
        <v>3</v>
      </c>
      <c r="F200" s="9">
        <f t="shared" si="3"/>
        <v>2552.3594792586055</v>
      </c>
    </row>
    <row r="201" spans="1:6">
      <c r="A201" t="s">
        <v>13311</v>
      </c>
      <c r="B201" s="18" t="s">
        <v>5745</v>
      </c>
      <c r="C201" s="19">
        <v>1</v>
      </c>
      <c r="F201" s="9">
        <f t="shared" si="3"/>
        <v>850.78649308620174</v>
      </c>
    </row>
    <row r="202" spans="1:6">
      <c r="A202" t="s">
        <v>13311</v>
      </c>
      <c r="B202" s="18" t="s">
        <v>5757</v>
      </c>
      <c r="C202" s="19">
        <v>3</v>
      </c>
      <c r="F202" s="9">
        <f t="shared" si="3"/>
        <v>2552.3594792586055</v>
      </c>
    </row>
    <row r="203" spans="1:6">
      <c r="A203" t="s">
        <v>13311</v>
      </c>
      <c r="B203" s="18" t="s">
        <v>5764</v>
      </c>
      <c r="C203" s="19">
        <v>10</v>
      </c>
      <c r="F203" s="9">
        <f t="shared" si="3"/>
        <v>8507.864930862017</v>
      </c>
    </row>
    <row r="204" spans="1:6">
      <c r="A204" t="s">
        <v>13311</v>
      </c>
      <c r="B204" s="18" t="s">
        <v>5770</v>
      </c>
      <c r="C204" s="19">
        <v>3</v>
      </c>
      <c r="F204" s="9">
        <f t="shared" si="3"/>
        <v>2552.3594792586055</v>
      </c>
    </row>
    <row r="205" spans="1:6">
      <c r="A205" t="s">
        <v>13311</v>
      </c>
      <c r="B205" s="18" t="s">
        <v>5788</v>
      </c>
      <c r="C205" s="19">
        <v>4</v>
      </c>
      <c r="F205" s="9">
        <f t="shared" si="3"/>
        <v>3403.145972344807</v>
      </c>
    </row>
    <row r="206" spans="1:6">
      <c r="A206" t="s">
        <v>13311</v>
      </c>
      <c r="B206" s="18" t="s">
        <v>5091</v>
      </c>
      <c r="C206" s="19">
        <v>4</v>
      </c>
      <c r="F206" s="9">
        <f t="shared" si="3"/>
        <v>3403.145972344807</v>
      </c>
    </row>
    <row r="207" spans="1:6">
      <c r="A207" t="s">
        <v>13311</v>
      </c>
      <c r="B207" s="18" t="s">
        <v>5805</v>
      </c>
      <c r="C207" s="19">
        <v>14</v>
      </c>
      <c r="F207" s="9">
        <f t="shared" si="3"/>
        <v>11911.010903206825</v>
      </c>
    </row>
    <row r="208" spans="1:6">
      <c r="A208" t="s">
        <v>13311</v>
      </c>
      <c r="B208" s="18" t="s">
        <v>5808</v>
      </c>
      <c r="C208" s="19">
        <v>19</v>
      </c>
      <c r="F208" s="9">
        <f t="shared" si="3"/>
        <v>16164.943368637832</v>
      </c>
    </row>
    <row r="209" spans="1:6">
      <c r="A209" t="s">
        <v>13311</v>
      </c>
      <c r="B209" s="18" t="s">
        <v>5811</v>
      </c>
      <c r="C209" s="19">
        <v>17</v>
      </c>
      <c r="F209" s="9">
        <f t="shared" si="3"/>
        <v>14463.370382465429</v>
      </c>
    </row>
    <row r="210" spans="1:6">
      <c r="A210" t="s">
        <v>13311</v>
      </c>
      <c r="B210" s="18" t="s">
        <v>5814</v>
      </c>
      <c r="C210" s="19">
        <v>6</v>
      </c>
      <c r="F210" s="9">
        <f t="shared" si="3"/>
        <v>5104.7189585172109</v>
      </c>
    </row>
    <row r="211" spans="1:6">
      <c r="A211" t="s">
        <v>13311</v>
      </c>
      <c r="B211" s="18" t="s">
        <v>7880</v>
      </c>
      <c r="C211" s="19">
        <v>82</v>
      </c>
      <c r="F211" s="9">
        <f t="shared" si="3"/>
        <v>69764.492433068546</v>
      </c>
    </row>
    <row r="212" spans="1:6">
      <c r="A212" t="s">
        <v>13311</v>
      </c>
      <c r="B212" s="18" t="s">
        <v>5122</v>
      </c>
      <c r="C212" s="19">
        <v>5</v>
      </c>
      <c r="F212" s="9">
        <f t="shared" si="3"/>
        <v>4253.9324654310085</v>
      </c>
    </row>
    <row r="213" spans="1:6">
      <c r="A213" t="s">
        <v>13311</v>
      </c>
      <c r="B213" s="18" t="s">
        <v>5352</v>
      </c>
      <c r="C213" s="19">
        <v>13</v>
      </c>
      <c r="F213" s="9">
        <f t="shared" si="3"/>
        <v>11060.224410120623</v>
      </c>
    </row>
    <row r="214" spans="1:6">
      <c r="A214" t="s">
        <v>13311</v>
      </c>
      <c r="B214" s="18" t="s">
        <v>5363</v>
      </c>
      <c r="C214" s="19">
        <v>2</v>
      </c>
      <c r="F214" s="9">
        <f t="shared" si="3"/>
        <v>1701.5729861724035</v>
      </c>
    </row>
    <row r="215" spans="1:6">
      <c r="A215" t="s">
        <v>13311</v>
      </c>
      <c r="B215" s="18" t="s">
        <v>5842</v>
      </c>
      <c r="C215" s="19">
        <v>11</v>
      </c>
      <c r="F215" s="9">
        <f t="shared" si="3"/>
        <v>9358.6514239482185</v>
      </c>
    </row>
    <row r="216" spans="1:6">
      <c r="A216" t="s">
        <v>13311</v>
      </c>
      <c r="B216" s="18" t="s">
        <v>5856</v>
      </c>
      <c r="C216" s="19">
        <v>41</v>
      </c>
      <c r="F216" s="9">
        <f t="shared" si="3"/>
        <v>34882.246216534273</v>
      </c>
    </row>
    <row r="217" spans="1:6">
      <c r="A217" t="s">
        <v>13311</v>
      </c>
      <c r="B217" s="18" t="s">
        <v>7941</v>
      </c>
      <c r="C217" s="19">
        <v>2</v>
      </c>
      <c r="F217" s="9">
        <f t="shared" si="3"/>
        <v>1701.5729861724035</v>
      </c>
    </row>
    <row r="218" spans="1:6">
      <c r="A218" t="s">
        <v>13311</v>
      </c>
      <c r="B218" s="18" t="s">
        <v>5877</v>
      </c>
      <c r="C218" s="19">
        <v>5</v>
      </c>
      <c r="F218" s="9">
        <f t="shared" si="3"/>
        <v>4253.9324654310085</v>
      </c>
    </row>
    <row r="219" spans="1:6">
      <c r="A219" t="s">
        <v>13311</v>
      </c>
      <c r="B219" s="18" t="s">
        <v>7946</v>
      </c>
      <c r="C219" s="19">
        <v>10</v>
      </c>
      <c r="F219" s="9">
        <f t="shared" si="3"/>
        <v>8507.864930862017</v>
      </c>
    </row>
    <row r="220" spans="1:6">
      <c r="A220" t="s">
        <v>13311</v>
      </c>
      <c r="B220" s="18" t="s">
        <v>5886</v>
      </c>
      <c r="C220" s="19">
        <v>10</v>
      </c>
      <c r="F220" s="9">
        <f t="shared" si="3"/>
        <v>8507.864930862017</v>
      </c>
    </row>
    <row r="221" spans="1:6">
      <c r="A221" t="s">
        <v>13311</v>
      </c>
      <c r="B221" s="18" t="s">
        <v>5889</v>
      </c>
      <c r="C221" s="19">
        <v>6</v>
      </c>
      <c r="F221" s="9">
        <f t="shared" si="3"/>
        <v>5104.7189585172109</v>
      </c>
    </row>
    <row r="222" spans="1:6">
      <c r="A222" t="s">
        <v>13311</v>
      </c>
      <c r="B222" s="18" t="s">
        <v>5897</v>
      </c>
      <c r="C222" s="19">
        <v>2</v>
      </c>
      <c r="F222" s="9">
        <f t="shared" si="3"/>
        <v>1701.5729861724035</v>
      </c>
    </row>
    <row r="223" spans="1:6">
      <c r="A223" t="s">
        <v>13311</v>
      </c>
      <c r="B223" s="18" t="s">
        <v>5900</v>
      </c>
      <c r="C223" s="19">
        <v>4</v>
      </c>
      <c r="F223" s="9">
        <f t="shared" si="3"/>
        <v>3403.145972344807</v>
      </c>
    </row>
    <row r="224" spans="1:6">
      <c r="A224" t="s">
        <v>13311</v>
      </c>
      <c r="B224" s="18" t="s">
        <v>5903</v>
      </c>
      <c r="C224" s="19">
        <v>4</v>
      </c>
      <c r="F224" s="9">
        <f t="shared" si="3"/>
        <v>3403.145972344807</v>
      </c>
    </row>
    <row r="225" spans="1:6">
      <c r="A225" t="s">
        <v>13311</v>
      </c>
      <c r="B225" s="18" t="s">
        <v>5908</v>
      </c>
      <c r="C225" s="19">
        <v>1</v>
      </c>
      <c r="F225" s="9">
        <f t="shared" si="3"/>
        <v>850.78649308620174</v>
      </c>
    </row>
    <row r="226" spans="1:6">
      <c r="A226" t="s">
        <v>13311</v>
      </c>
      <c r="B226" s="18" t="s">
        <v>5482</v>
      </c>
      <c r="C226" s="19">
        <v>6</v>
      </c>
      <c r="F226" s="9">
        <f t="shared" si="3"/>
        <v>5104.7189585172109</v>
      </c>
    </row>
    <row r="227" spans="1:6">
      <c r="A227" t="s">
        <v>13311</v>
      </c>
      <c r="B227" s="18" t="s">
        <v>5489</v>
      </c>
      <c r="C227" s="19">
        <v>2</v>
      </c>
      <c r="F227" s="9">
        <f t="shared" si="3"/>
        <v>1701.5729861724035</v>
      </c>
    </row>
    <row r="228" spans="1:6">
      <c r="A228" t="s">
        <v>13311</v>
      </c>
      <c r="B228" s="18" t="s">
        <v>5914</v>
      </c>
      <c r="C228" s="19">
        <v>5</v>
      </c>
      <c r="F228" s="9">
        <f t="shared" si="3"/>
        <v>4253.9324654310085</v>
      </c>
    </row>
    <row r="229" spans="1:6">
      <c r="A229" t="s">
        <v>13311</v>
      </c>
      <c r="B229" s="18" t="s">
        <v>3930</v>
      </c>
      <c r="C229" s="19">
        <v>5</v>
      </c>
      <c r="F229" s="9">
        <f t="shared" si="3"/>
        <v>4253.9324654310085</v>
      </c>
    </row>
    <row r="230" spans="1:6">
      <c r="A230" t="s">
        <v>13311</v>
      </c>
      <c r="B230" s="18" t="s">
        <v>8012</v>
      </c>
      <c r="C230" s="19">
        <v>3</v>
      </c>
      <c r="F230" s="9">
        <f t="shared" si="3"/>
        <v>2552.3594792586055</v>
      </c>
    </row>
    <row r="231" spans="1:6">
      <c r="A231" t="s">
        <v>13311</v>
      </c>
      <c r="B231" s="18" t="s">
        <v>11590</v>
      </c>
      <c r="C231" s="19">
        <v>2</v>
      </c>
      <c r="F231" s="9">
        <f t="shared" si="3"/>
        <v>1701.5729861724035</v>
      </c>
    </row>
    <row r="232" spans="1:6">
      <c r="A232" t="s">
        <v>13311</v>
      </c>
      <c r="B232" s="18" t="s">
        <v>6055</v>
      </c>
      <c r="C232" s="19">
        <v>5</v>
      </c>
      <c r="F232" s="9">
        <f t="shared" si="3"/>
        <v>4253.9324654310085</v>
      </c>
    </row>
    <row r="233" spans="1:6">
      <c r="A233" t="s">
        <v>13311</v>
      </c>
      <c r="B233" s="18" t="s">
        <v>7492</v>
      </c>
      <c r="C233" s="19">
        <v>4</v>
      </c>
      <c r="F233" s="9">
        <f t="shared" si="3"/>
        <v>3403.145972344807</v>
      </c>
    </row>
    <row r="234" spans="1:6">
      <c r="A234" t="s">
        <v>13311</v>
      </c>
      <c r="B234" s="18" t="s">
        <v>6065</v>
      </c>
      <c r="C234" s="19">
        <v>2</v>
      </c>
      <c r="F234" s="9">
        <f t="shared" si="3"/>
        <v>1701.5729861724035</v>
      </c>
    </row>
    <row r="235" spans="1:6">
      <c r="A235" t="s">
        <v>13311</v>
      </c>
      <c r="B235" s="18" t="s">
        <v>7557</v>
      </c>
      <c r="C235" s="19">
        <v>3</v>
      </c>
      <c r="F235" s="9">
        <f t="shared" si="3"/>
        <v>2552.3594792586055</v>
      </c>
    </row>
    <row r="236" spans="1:6">
      <c r="A236" t="s">
        <v>13311</v>
      </c>
      <c r="B236" s="18" t="s">
        <v>6080</v>
      </c>
      <c r="C236" s="19">
        <v>11</v>
      </c>
      <c r="F236" s="9">
        <f t="shared" si="3"/>
        <v>9358.6514239482185</v>
      </c>
    </row>
    <row r="237" spans="1:6">
      <c r="A237" t="s">
        <v>13311</v>
      </c>
      <c r="B237" s="18" t="s">
        <v>6083</v>
      </c>
      <c r="C237" s="19">
        <v>2</v>
      </c>
      <c r="F237" s="9">
        <f t="shared" si="3"/>
        <v>1701.5729861724035</v>
      </c>
    </row>
    <row r="238" spans="1:6">
      <c r="A238" t="s">
        <v>13311</v>
      </c>
      <c r="B238" s="18" t="s">
        <v>6086</v>
      </c>
      <c r="C238" s="19">
        <v>9</v>
      </c>
      <c r="F238" s="9">
        <f t="shared" si="3"/>
        <v>7657.0784377758155</v>
      </c>
    </row>
    <row r="239" spans="1:6">
      <c r="A239" t="s">
        <v>13311</v>
      </c>
      <c r="B239" s="18" t="s">
        <v>7586</v>
      </c>
      <c r="C239" s="19">
        <v>13</v>
      </c>
      <c r="F239" s="9">
        <f t="shared" si="3"/>
        <v>11060.224410120623</v>
      </c>
    </row>
    <row r="240" spans="1:6">
      <c r="A240" t="s">
        <v>13311</v>
      </c>
      <c r="B240" s="18" t="s">
        <v>20160</v>
      </c>
      <c r="C240" s="19">
        <v>7</v>
      </c>
      <c r="F240" s="9">
        <f t="shared" si="3"/>
        <v>5955.5054516034124</v>
      </c>
    </row>
    <row r="241" spans="1:6">
      <c r="A241" t="s">
        <v>13311</v>
      </c>
      <c r="B241" s="18" t="s">
        <v>7495</v>
      </c>
      <c r="C241" s="19">
        <v>28</v>
      </c>
      <c r="F241" s="9">
        <f t="shared" si="3"/>
        <v>23822.02180641365</v>
      </c>
    </row>
    <row r="242" spans="1:6">
      <c r="A242" t="s">
        <v>13311</v>
      </c>
      <c r="B242" s="18" t="s">
        <v>7465</v>
      </c>
      <c r="C242" s="19">
        <v>5</v>
      </c>
      <c r="F242" s="9">
        <f t="shared" si="3"/>
        <v>4253.9324654310085</v>
      </c>
    </row>
    <row r="243" spans="1:6">
      <c r="A243" t="s">
        <v>13311</v>
      </c>
      <c r="B243" s="18" t="s">
        <v>7512</v>
      </c>
      <c r="C243" s="19">
        <v>4</v>
      </c>
      <c r="F243" s="9">
        <f t="shared" si="3"/>
        <v>3403.145972344807</v>
      </c>
    </row>
    <row r="244" spans="1:6">
      <c r="A244" t="s">
        <v>13311</v>
      </c>
      <c r="B244" s="18" t="s">
        <v>6097</v>
      </c>
      <c r="C244" s="19">
        <v>8</v>
      </c>
      <c r="F244" s="9">
        <f t="shared" si="3"/>
        <v>6806.291944689614</v>
      </c>
    </row>
    <row r="245" spans="1:6">
      <c r="A245" t="s">
        <v>13311</v>
      </c>
      <c r="B245" s="18" t="s">
        <v>6100</v>
      </c>
      <c r="C245" s="19">
        <v>13</v>
      </c>
      <c r="F245" s="9">
        <f t="shared" si="3"/>
        <v>11060.224410120623</v>
      </c>
    </row>
    <row r="246" spans="1:6">
      <c r="A246" t="s">
        <v>13311</v>
      </c>
      <c r="B246" s="18" t="s">
        <v>6103</v>
      </c>
      <c r="C246" s="19">
        <v>4</v>
      </c>
      <c r="F246" s="9">
        <f t="shared" si="3"/>
        <v>3403.145972344807</v>
      </c>
    </row>
    <row r="247" spans="1:6">
      <c r="A247" t="s">
        <v>13311</v>
      </c>
      <c r="B247" s="18" t="s">
        <v>6106</v>
      </c>
      <c r="C247" s="19">
        <v>6</v>
      </c>
      <c r="F247" s="9">
        <f t="shared" si="3"/>
        <v>5104.7189585172109</v>
      </c>
    </row>
    <row r="248" spans="1:6">
      <c r="A248" t="s">
        <v>13311</v>
      </c>
      <c r="B248" s="18" t="s">
        <v>6109</v>
      </c>
      <c r="C248" s="19">
        <v>5</v>
      </c>
      <c r="F248" s="9">
        <f t="shared" si="3"/>
        <v>4253.9324654310085</v>
      </c>
    </row>
    <row r="249" spans="1:6">
      <c r="A249" t="s">
        <v>13311</v>
      </c>
      <c r="B249" s="18" t="s">
        <v>7450</v>
      </c>
      <c r="C249" s="19">
        <v>1</v>
      </c>
      <c r="F249" s="9">
        <f t="shared" si="3"/>
        <v>850.78649308620174</v>
      </c>
    </row>
    <row r="250" spans="1:6">
      <c r="A250" t="s">
        <v>13311</v>
      </c>
      <c r="B250" s="18" t="s">
        <v>18180</v>
      </c>
      <c r="C250" s="19">
        <v>8</v>
      </c>
      <c r="F250" s="9">
        <f t="shared" si="3"/>
        <v>6806.291944689614</v>
      </c>
    </row>
    <row r="251" spans="1:6">
      <c r="A251" t="s">
        <v>13311</v>
      </c>
      <c r="B251" s="18" t="s">
        <v>7530</v>
      </c>
      <c r="C251" s="19">
        <v>13</v>
      </c>
      <c r="F251" s="9">
        <f t="shared" si="3"/>
        <v>11060.224410120623</v>
      </c>
    </row>
    <row r="252" spans="1:6">
      <c r="A252" t="s">
        <v>13311</v>
      </c>
      <c r="B252" s="18" t="s">
        <v>6124</v>
      </c>
      <c r="C252" s="19">
        <v>3</v>
      </c>
      <c r="F252" s="9">
        <f t="shared" si="3"/>
        <v>2552.3594792586055</v>
      </c>
    </row>
    <row r="253" spans="1:6">
      <c r="A253" t="s">
        <v>13311</v>
      </c>
      <c r="B253" s="18" t="s">
        <v>7562</v>
      </c>
      <c r="C253" s="19">
        <v>13</v>
      </c>
      <c r="F253" s="9">
        <f t="shared" si="3"/>
        <v>11060.224410120623</v>
      </c>
    </row>
    <row r="254" spans="1:6">
      <c r="A254" t="s">
        <v>13311</v>
      </c>
      <c r="B254" s="18" t="s">
        <v>6140</v>
      </c>
      <c r="C254" s="19">
        <v>8</v>
      </c>
      <c r="F254" s="9">
        <f t="shared" si="3"/>
        <v>6806.291944689614</v>
      </c>
    </row>
    <row r="255" spans="1:6">
      <c r="A255" t="s">
        <v>13311</v>
      </c>
      <c r="B255" s="18" t="s">
        <v>7908</v>
      </c>
      <c r="C255" s="19">
        <v>7</v>
      </c>
      <c r="F255" s="9">
        <f t="shared" si="3"/>
        <v>5955.5054516034124</v>
      </c>
    </row>
    <row r="256" spans="1:6">
      <c r="A256" t="s">
        <v>13311</v>
      </c>
      <c r="B256" s="18" t="s">
        <v>6153</v>
      </c>
      <c r="C256" s="19">
        <v>2</v>
      </c>
      <c r="F256" s="9">
        <f t="shared" si="3"/>
        <v>1701.5729861724035</v>
      </c>
    </row>
    <row r="257" spans="1:6">
      <c r="A257" t="s">
        <v>13311</v>
      </c>
      <c r="B257" s="18" t="s">
        <v>6158</v>
      </c>
      <c r="C257" s="19">
        <v>15</v>
      </c>
      <c r="F257" s="9">
        <f t="shared" si="3"/>
        <v>12761.797396293026</v>
      </c>
    </row>
    <row r="258" spans="1:6">
      <c r="A258" t="s">
        <v>13311</v>
      </c>
      <c r="B258" s="18" t="s">
        <v>7618</v>
      </c>
      <c r="C258" s="19">
        <v>2</v>
      </c>
      <c r="F258" s="9">
        <f t="shared" si="3"/>
        <v>1701.5729861724035</v>
      </c>
    </row>
    <row r="259" spans="1:6">
      <c r="A259" t="s">
        <v>13311</v>
      </c>
      <c r="B259" s="18" t="s">
        <v>6174</v>
      </c>
      <c r="C259" s="19">
        <v>19</v>
      </c>
      <c r="F259" s="9">
        <f t="shared" si="3"/>
        <v>16164.943368637832</v>
      </c>
    </row>
    <row r="260" spans="1:6">
      <c r="A260" t="s">
        <v>13311</v>
      </c>
      <c r="B260" s="18" t="s">
        <v>6176</v>
      </c>
      <c r="C260" s="19">
        <v>3</v>
      </c>
      <c r="F260" s="9">
        <f t="shared" si="3"/>
        <v>2552.3594792586055</v>
      </c>
    </row>
    <row r="261" spans="1:6">
      <c r="A261" t="s">
        <v>13311</v>
      </c>
      <c r="B261" s="18" t="s">
        <v>6181</v>
      </c>
      <c r="C261" s="19">
        <v>6</v>
      </c>
      <c r="F261" s="9">
        <f t="shared" ref="F261:F324" si="4">C261*$F$3</f>
        <v>5104.7189585172109</v>
      </c>
    </row>
    <row r="262" spans="1:6">
      <c r="A262" t="s">
        <v>13311</v>
      </c>
      <c r="B262" s="18" t="s">
        <v>6192</v>
      </c>
      <c r="C262" s="19">
        <v>3</v>
      </c>
      <c r="F262" s="9">
        <f t="shared" si="4"/>
        <v>2552.3594792586055</v>
      </c>
    </row>
    <row r="263" spans="1:6">
      <c r="A263" t="s">
        <v>13311</v>
      </c>
      <c r="B263" s="18" t="s">
        <v>6195</v>
      </c>
      <c r="C263" s="19">
        <v>32</v>
      </c>
      <c r="F263" s="9">
        <f t="shared" si="4"/>
        <v>27225.167778758456</v>
      </c>
    </row>
    <row r="264" spans="1:6">
      <c r="A264" t="s">
        <v>13311</v>
      </c>
      <c r="B264" s="18" t="s">
        <v>6198</v>
      </c>
      <c r="C264" s="19">
        <v>12</v>
      </c>
      <c r="F264" s="9">
        <f t="shared" si="4"/>
        <v>10209.437917034422</v>
      </c>
    </row>
    <row r="265" spans="1:6">
      <c r="A265" t="s">
        <v>13311</v>
      </c>
      <c r="B265" s="18" t="s">
        <v>7642</v>
      </c>
      <c r="C265" s="19">
        <v>3</v>
      </c>
      <c r="F265" s="9">
        <f t="shared" si="4"/>
        <v>2552.3594792586055</v>
      </c>
    </row>
    <row r="266" spans="1:6">
      <c r="A266" t="s">
        <v>13311</v>
      </c>
      <c r="B266" s="18" t="s">
        <v>6204</v>
      </c>
      <c r="C266" s="19">
        <v>2</v>
      </c>
      <c r="F266" s="9">
        <f t="shared" si="4"/>
        <v>1701.5729861724035</v>
      </c>
    </row>
    <row r="267" spans="1:6">
      <c r="A267" t="s">
        <v>13311</v>
      </c>
      <c r="B267" s="18" t="s">
        <v>6213</v>
      </c>
      <c r="C267" s="19">
        <v>8</v>
      </c>
      <c r="F267" s="9">
        <f t="shared" si="4"/>
        <v>6806.291944689614</v>
      </c>
    </row>
    <row r="268" spans="1:6">
      <c r="A268" t="s">
        <v>13311</v>
      </c>
      <c r="B268" s="18" t="s">
        <v>6220</v>
      </c>
      <c r="C268" s="19">
        <v>2</v>
      </c>
      <c r="F268" s="9">
        <f t="shared" si="4"/>
        <v>1701.5729861724035</v>
      </c>
    </row>
    <row r="269" spans="1:6">
      <c r="A269" t="s">
        <v>13311</v>
      </c>
      <c r="B269" s="18" t="s">
        <v>6234</v>
      </c>
      <c r="C269" s="19">
        <v>9</v>
      </c>
      <c r="F269" s="9">
        <f t="shared" si="4"/>
        <v>7657.0784377758155</v>
      </c>
    </row>
    <row r="270" spans="1:6">
      <c r="A270" t="s">
        <v>13311</v>
      </c>
      <c r="B270" s="18" t="s">
        <v>6237</v>
      </c>
      <c r="C270" s="19">
        <v>8</v>
      </c>
      <c r="F270" s="9">
        <f t="shared" si="4"/>
        <v>6806.291944689614</v>
      </c>
    </row>
    <row r="271" spans="1:6">
      <c r="A271" t="s">
        <v>13311</v>
      </c>
      <c r="B271" s="18" t="s">
        <v>6243</v>
      </c>
      <c r="C271" s="19">
        <v>6</v>
      </c>
      <c r="F271" s="9">
        <f t="shared" si="4"/>
        <v>5104.7189585172109</v>
      </c>
    </row>
    <row r="272" spans="1:6">
      <c r="A272" t="s">
        <v>13311</v>
      </c>
      <c r="B272" s="18" t="s">
        <v>6246</v>
      </c>
      <c r="C272" s="19">
        <v>12</v>
      </c>
      <c r="F272" s="9">
        <f t="shared" si="4"/>
        <v>10209.437917034422</v>
      </c>
    </row>
    <row r="273" spans="1:6">
      <c r="A273" t="s">
        <v>13311</v>
      </c>
      <c r="B273" s="18" t="s">
        <v>7676</v>
      </c>
      <c r="C273" s="19">
        <v>5</v>
      </c>
      <c r="F273" s="9">
        <f t="shared" si="4"/>
        <v>4253.9324654310085</v>
      </c>
    </row>
    <row r="274" spans="1:6">
      <c r="A274" t="s">
        <v>13311</v>
      </c>
      <c r="B274" s="18" t="s">
        <v>6270</v>
      </c>
      <c r="C274" s="19">
        <v>1</v>
      </c>
      <c r="F274" s="9">
        <f t="shared" si="4"/>
        <v>850.78649308620174</v>
      </c>
    </row>
    <row r="275" spans="1:6">
      <c r="A275" t="s">
        <v>13311</v>
      </c>
      <c r="B275" s="18" t="s">
        <v>7657</v>
      </c>
      <c r="C275" s="19">
        <v>16</v>
      </c>
      <c r="F275" s="9">
        <f t="shared" si="4"/>
        <v>13612.583889379228</v>
      </c>
    </row>
    <row r="276" spans="1:6">
      <c r="A276" t="s">
        <v>13311</v>
      </c>
      <c r="B276" s="18" t="s">
        <v>6883</v>
      </c>
      <c r="C276" s="19">
        <v>2</v>
      </c>
      <c r="F276" s="9">
        <f t="shared" si="4"/>
        <v>1701.5729861724035</v>
      </c>
    </row>
    <row r="277" spans="1:6">
      <c r="A277" t="s">
        <v>13311</v>
      </c>
      <c r="B277" s="18" t="s">
        <v>7789</v>
      </c>
      <c r="C277" s="19">
        <v>3</v>
      </c>
      <c r="F277" s="9">
        <f t="shared" si="4"/>
        <v>2552.3594792586055</v>
      </c>
    </row>
    <row r="278" spans="1:6">
      <c r="A278" t="s">
        <v>13311</v>
      </c>
      <c r="B278" s="18" t="s">
        <v>6287</v>
      </c>
      <c r="C278" s="19">
        <v>4</v>
      </c>
      <c r="F278" s="9">
        <f t="shared" si="4"/>
        <v>3403.145972344807</v>
      </c>
    </row>
    <row r="279" spans="1:6">
      <c r="A279" t="s">
        <v>13311</v>
      </c>
      <c r="B279" s="18" t="s">
        <v>6290</v>
      </c>
      <c r="C279" s="19">
        <v>4</v>
      </c>
      <c r="F279" s="9">
        <f t="shared" si="4"/>
        <v>3403.145972344807</v>
      </c>
    </row>
    <row r="280" spans="1:6">
      <c r="A280" t="s">
        <v>13311</v>
      </c>
      <c r="B280" s="18" t="s">
        <v>6297</v>
      </c>
      <c r="C280" s="19">
        <v>17</v>
      </c>
      <c r="F280" s="9">
        <f t="shared" si="4"/>
        <v>14463.370382465429</v>
      </c>
    </row>
    <row r="281" spans="1:6">
      <c r="A281" t="s">
        <v>13311</v>
      </c>
      <c r="B281" s="18" t="s">
        <v>6299</v>
      </c>
      <c r="C281" s="19">
        <v>2</v>
      </c>
      <c r="F281" s="9">
        <f t="shared" si="4"/>
        <v>1701.5729861724035</v>
      </c>
    </row>
    <row r="282" spans="1:6">
      <c r="A282" t="s">
        <v>13311</v>
      </c>
      <c r="B282" s="18" t="s">
        <v>6309</v>
      </c>
      <c r="C282" s="19">
        <v>2</v>
      </c>
      <c r="F282" s="9">
        <f t="shared" si="4"/>
        <v>1701.5729861724035</v>
      </c>
    </row>
    <row r="283" spans="1:6">
      <c r="A283" t="s">
        <v>13311</v>
      </c>
      <c r="B283" s="18" t="s">
        <v>6790</v>
      </c>
      <c r="C283" s="19">
        <v>18</v>
      </c>
      <c r="F283" s="9">
        <f t="shared" si="4"/>
        <v>15314.156875551631</v>
      </c>
    </row>
    <row r="284" spans="1:6">
      <c r="A284" t="s">
        <v>13311</v>
      </c>
      <c r="B284" s="18" t="s">
        <v>6315</v>
      </c>
      <c r="C284" s="19">
        <v>16</v>
      </c>
      <c r="F284" s="9">
        <f t="shared" si="4"/>
        <v>13612.583889379228</v>
      </c>
    </row>
    <row r="285" spans="1:6">
      <c r="A285" t="s">
        <v>13311</v>
      </c>
      <c r="B285" s="18" t="s">
        <v>6321</v>
      </c>
      <c r="C285" s="19">
        <v>9</v>
      </c>
      <c r="F285" s="9">
        <f t="shared" si="4"/>
        <v>7657.0784377758155</v>
      </c>
    </row>
    <row r="286" spans="1:6">
      <c r="A286" t="s">
        <v>13311</v>
      </c>
      <c r="B286" s="18" t="s">
        <v>6327</v>
      </c>
      <c r="C286" s="19">
        <v>2</v>
      </c>
      <c r="F286" s="9">
        <f t="shared" si="4"/>
        <v>1701.5729861724035</v>
      </c>
    </row>
    <row r="287" spans="1:6">
      <c r="A287" t="s">
        <v>13311</v>
      </c>
      <c r="B287" s="18" t="s">
        <v>18181</v>
      </c>
      <c r="C287" s="19">
        <v>5</v>
      </c>
      <c r="F287" s="9">
        <f t="shared" si="4"/>
        <v>4253.9324654310085</v>
      </c>
    </row>
    <row r="288" spans="1:6">
      <c r="A288" t="s">
        <v>13311</v>
      </c>
      <c r="B288" s="18" t="s">
        <v>18182</v>
      </c>
      <c r="C288" s="19">
        <v>2</v>
      </c>
      <c r="F288" s="9">
        <f t="shared" si="4"/>
        <v>1701.5729861724035</v>
      </c>
    </row>
    <row r="289" spans="1:6">
      <c r="A289" t="s">
        <v>13311</v>
      </c>
      <c r="B289" s="18" t="s">
        <v>13215</v>
      </c>
      <c r="C289" s="19">
        <v>1</v>
      </c>
      <c r="F289" s="9">
        <f t="shared" si="4"/>
        <v>850.78649308620174</v>
      </c>
    </row>
    <row r="290" spans="1:6">
      <c r="A290" t="s">
        <v>13311</v>
      </c>
      <c r="B290" s="18" t="s">
        <v>20146</v>
      </c>
      <c r="C290" s="19">
        <v>2</v>
      </c>
      <c r="F290" s="9">
        <f t="shared" si="4"/>
        <v>1701.5729861724035</v>
      </c>
    </row>
    <row r="291" spans="1:6">
      <c r="A291" t="s">
        <v>13311</v>
      </c>
      <c r="B291" s="18" t="s">
        <v>20147</v>
      </c>
      <c r="C291" s="19">
        <v>1</v>
      </c>
      <c r="F291" s="9">
        <f t="shared" si="4"/>
        <v>850.78649308620174</v>
      </c>
    </row>
    <row r="292" spans="1:6">
      <c r="A292" t="s">
        <v>13311</v>
      </c>
      <c r="B292" s="18" t="s">
        <v>3667</v>
      </c>
      <c r="C292" s="19">
        <v>44</v>
      </c>
      <c r="F292" s="9">
        <f t="shared" si="4"/>
        <v>37434.605695792874</v>
      </c>
    </row>
    <row r="293" spans="1:6">
      <c r="A293" t="s">
        <v>13311</v>
      </c>
      <c r="B293" s="18" t="s">
        <v>3712</v>
      </c>
      <c r="C293" s="19">
        <v>1</v>
      </c>
      <c r="F293" s="9">
        <f t="shared" si="4"/>
        <v>850.78649308620174</v>
      </c>
    </row>
    <row r="294" spans="1:6">
      <c r="A294" t="s">
        <v>13311</v>
      </c>
      <c r="B294" s="18" t="s">
        <v>3639</v>
      </c>
      <c r="C294" s="19">
        <v>1</v>
      </c>
      <c r="F294" s="9">
        <f t="shared" si="4"/>
        <v>850.78649308620174</v>
      </c>
    </row>
    <row r="295" spans="1:6">
      <c r="A295" t="s">
        <v>13311</v>
      </c>
      <c r="B295" s="18" t="s">
        <v>3678</v>
      </c>
      <c r="C295" s="19">
        <v>8</v>
      </c>
      <c r="F295" s="9">
        <f t="shared" si="4"/>
        <v>6806.291944689614</v>
      </c>
    </row>
    <row r="296" spans="1:6">
      <c r="A296" t="s">
        <v>13311</v>
      </c>
      <c r="B296" s="18" t="s">
        <v>3653</v>
      </c>
      <c r="C296" s="19">
        <v>9</v>
      </c>
      <c r="F296" s="9">
        <f t="shared" si="4"/>
        <v>7657.0784377758155</v>
      </c>
    </row>
    <row r="297" spans="1:6">
      <c r="A297" t="s">
        <v>13311</v>
      </c>
      <c r="B297" s="18" t="s">
        <v>6496</v>
      </c>
      <c r="C297" s="19">
        <v>1</v>
      </c>
      <c r="F297" s="9">
        <f t="shared" si="4"/>
        <v>850.78649308620174</v>
      </c>
    </row>
    <row r="298" spans="1:6">
      <c r="A298" t="s">
        <v>13311</v>
      </c>
      <c r="B298" s="18" t="s">
        <v>6595</v>
      </c>
      <c r="C298" s="19">
        <v>3</v>
      </c>
      <c r="F298" s="9">
        <f t="shared" si="4"/>
        <v>2552.3594792586055</v>
      </c>
    </row>
    <row r="299" spans="1:6">
      <c r="A299" t="s">
        <v>13311</v>
      </c>
      <c r="B299" s="18" t="s">
        <v>6598</v>
      </c>
      <c r="C299" s="19">
        <v>1</v>
      </c>
      <c r="F299" s="9">
        <f t="shared" si="4"/>
        <v>850.78649308620174</v>
      </c>
    </row>
    <row r="300" spans="1:6">
      <c r="A300" t="s">
        <v>13311</v>
      </c>
      <c r="B300" s="18" t="s">
        <v>6604</v>
      </c>
      <c r="C300" s="19">
        <v>8</v>
      </c>
      <c r="F300" s="9">
        <f t="shared" si="4"/>
        <v>6806.291944689614</v>
      </c>
    </row>
    <row r="301" spans="1:6">
      <c r="A301" t="s">
        <v>13311</v>
      </c>
      <c r="B301" s="18" t="s">
        <v>6613</v>
      </c>
      <c r="C301" s="19">
        <v>1</v>
      </c>
      <c r="F301" s="9">
        <f t="shared" si="4"/>
        <v>850.78649308620174</v>
      </c>
    </row>
    <row r="302" spans="1:6">
      <c r="A302" t="s">
        <v>13311</v>
      </c>
      <c r="B302" s="18" t="s">
        <v>6823</v>
      </c>
      <c r="C302" s="19">
        <v>12</v>
      </c>
      <c r="F302" s="9">
        <f t="shared" si="4"/>
        <v>10209.437917034422</v>
      </c>
    </row>
    <row r="303" spans="1:6">
      <c r="A303" t="s">
        <v>13311</v>
      </c>
      <c r="B303" s="18" t="s">
        <v>6622</v>
      </c>
      <c r="C303" s="19">
        <v>1</v>
      </c>
      <c r="F303" s="9">
        <f t="shared" si="4"/>
        <v>850.78649308620174</v>
      </c>
    </row>
    <row r="304" spans="1:6">
      <c r="A304" t="s">
        <v>13311</v>
      </c>
      <c r="B304" s="18" t="s">
        <v>6625</v>
      </c>
      <c r="C304" s="19">
        <v>12</v>
      </c>
      <c r="F304" s="9">
        <f t="shared" si="4"/>
        <v>10209.437917034422</v>
      </c>
    </row>
    <row r="305" spans="1:6">
      <c r="A305" t="s">
        <v>13311</v>
      </c>
      <c r="B305" s="18" t="s">
        <v>6628</v>
      </c>
      <c r="C305" s="19">
        <v>3</v>
      </c>
      <c r="F305" s="9">
        <f t="shared" si="4"/>
        <v>2552.3594792586055</v>
      </c>
    </row>
    <row r="306" spans="1:6">
      <c r="A306" t="s">
        <v>13311</v>
      </c>
      <c r="B306" s="18" t="s">
        <v>6634</v>
      </c>
      <c r="C306" s="19">
        <v>3</v>
      </c>
      <c r="F306" s="9">
        <f t="shared" si="4"/>
        <v>2552.3594792586055</v>
      </c>
    </row>
    <row r="307" spans="1:6">
      <c r="A307" t="s">
        <v>13311</v>
      </c>
      <c r="B307" s="18" t="s">
        <v>6637</v>
      </c>
      <c r="C307" s="19">
        <v>37</v>
      </c>
      <c r="F307" s="9">
        <f t="shared" si="4"/>
        <v>31479.100244189463</v>
      </c>
    </row>
    <row r="308" spans="1:6">
      <c r="A308" t="s">
        <v>13311</v>
      </c>
      <c r="B308" s="18" t="s">
        <v>6640</v>
      </c>
      <c r="C308" s="19">
        <v>1</v>
      </c>
      <c r="F308" s="9">
        <f t="shared" si="4"/>
        <v>850.78649308620174</v>
      </c>
    </row>
    <row r="309" spans="1:6">
      <c r="A309" t="s">
        <v>13311</v>
      </c>
      <c r="B309" s="18" t="s">
        <v>6652</v>
      </c>
      <c r="C309" s="19">
        <v>6</v>
      </c>
      <c r="F309" s="9">
        <f t="shared" si="4"/>
        <v>5104.7189585172109</v>
      </c>
    </row>
    <row r="310" spans="1:6">
      <c r="A310" t="s">
        <v>13311</v>
      </c>
      <c r="B310" s="18" t="s">
        <v>6679</v>
      </c>
      <c r="C310" s="19">
        <v>2</v>
      </c>
      <c r="F310" s="9">
        <f t="shared" si="4"/>
        <v>1701.5729861724035</v>
      </c>
    </row>
    <row r="311" spans="1:6">
      <c r="A311" t="s">
        <v>13311</v>
      </c>
      <c r="B311" s="18" t="s">
        <v>6682</v>
      </c>
      <c r="C311" s="19">
        <v>23</v>
      </c>
      <c r="F311" s="9">
        <f t="shared" si="4"/>
        <v>19568.089340982639</v>
      </c>
    </row>
    <row r="312" spans="1:6">
      <c r="A312" t="s">
        <v>13311</v>
      </c>
      <c r="B312" s="18" t="s">
        <v>6021</v>
      </c>
      <c r="C312" s="19">
        <v>37</v>
      </c>
      <c r="F312" s="9">
        <f t="shared" si="4"/>
        <v>31479.100244189463</v>
      </c>
    </row>
    <row r="313" spans="1:6">
      <c r="A313" t="s">
        <v>13311</v>
      </c>
      <c r="B313" s="18" t="s">
        <v>6688</v>
      </c>
      <c r="C313" s="19">
        <v>4</v>
      </c>
      <c r="F313" s="9">
        <f t="shared" si="4"/>
        <v>3403.145972344807</v>
      </c>
    </row>
    <row r="314" spans="1:6">
      <c r="A314" t="s">
        <v>13311</v>
      </c>
      <c r="B314" s="18" t="s">
        <v>6691</v>
      </c>
      <c r="C314" s="19">
        <v>85</v>
      </c>
      <c r="F314" s="9">
        <f t="shared" si="4"/>
        <v>72316.851912327154</v>
      </c>
    </row>
    <row r="315" spans="1:6">
      <c r="A315" t="s">
        <v>13311</v>
      </c>
      <c r="B315" s="18" t="s">
        <v>6697</v>
      </c>
      <c r="C315" s="19">
        <v>14</v>
      </c>
      <c r="F315" s="9">
        <f t="shared" si="4"/>
        <v>11911.010903206825</v>
      </c>
    </row>
    <row r="316" spans="1:6">
      <c r="A316" t="s">
        <v>13311</v>
      </c>
      <c r="B316" s="18" t="s">
        <v>6700</v>
      </c>
      <c r="C316" s="19">
        <v>4</v>
      </c>
      <c r="F316" s="9">
        <f t="shared" si="4"/>
        <v>3403.145972344807</v>
      </c>
    </row>
    <row r="317" spans="1:6">
      <c r="A317" t="s">
        <v>13311</v>
      </c>
      <c r="B317" s="18" t="s">
        <v>6703</v>
      </c>
      <c r="C317" s="19">
        <v>11</v>
      </c>
      <c r="F317" s="9">
        <f t="shared" si="4"/>
        <v>9358.6514239482185</v>
      </c>
    </row>
    <row r="318" spans="1:6">
      <c r="A318" t="s">
        <v>13311</v>
      </c>
      <c r="B318" s="18" t="s">
        <v>18183</v>
      </c>
      <c r="C318" s="19">
        <v>7</v>
      </c>
      <c r="F318" s="9">
        <f t="shared" si="4"/>
        <v>5955.5054516034124</v>
      </c>
    </row>
    <row r="319" spans="1:6">
      <c r="A319" t="s">
        <v>13311</v>
      </c>
      <c r="B319" s="18" t="s">
        <v>6721</v>
      </c>
      <c r="C319" s="19">
        <v>24</v>
      </c>
      <c r="F319" s="9">
        <f t="shared" si="4"/>
        <v>20418.875834068844</v>
      </c>
    </row>
    <row r="320" spans="1:6">
      <c r="A320" t="s">
        <v>13311</v>
      </c>
      <c r="B320" s="18" t="s">
        <v>6724</v>
      </c>
      <c r="C320" s="19">
        <v>20</v>
      </c>
      <c r="F320" s="9">
        <f t="shared" si="4"/>
        <v>17015.729861724034</v>
      </c>
    </row>
    <row r="321" spans="1:6">
      <c r="A321" t="s">
        <v>13311</v>
      </c>
      <c r="B321" s="18" t="s">
        <v>6094</v>
      </c>
      <c r="C321" s="19">
        <v>2</v>
      </c>
      <c r="F321" s="9">
        <f t="shared" si="4"/>
        <v>1701.5729861724035</v>
      </c>
    </row>
    <row r="322" spans="1:6">
      <c r="A322" t="s">
        <v>13311</v>
      </c>
      <c r="B322" s="18" t="s">
        <v>6736</v>
      </c>
      <c r="C322" s="19">
        <v>12</v>
      </c>
      <c r="F322" s="9">
        <f t="shared" si="4"/>
        <v>10209.437917034422</v>
      </c>
    </row>
    <row r="323" spans="1:6">
      <c r="A323" t="s">
        <v>13311</v>
      </c>
      <c r="B323" s="18" t="s">
        <v>6358</v>
      </c>
      <c r="C323" s="19">
        <v>8</v>
      </c>
      <c r="F323" s="9">
        <f t="shared" si="4"/>
        <v>6806.291944689614</v>
      </c>
    </row>
    <row r="324" spans="1:6">
      <c r="A324" t="s">
        <v>13311</v>
      </c>
      <c r="B324" s="18" t="s">
        <v>18184</v>
      </c>
      <c r="C324" s="19">
        <v>5</v>
      </c>
      <c r="F324" s="9">
        <f t="shared" si="4"/>
        <v>4253.9324654310085</v>
      </c>
    </row>
    <row r="325" spans="1:6">
      <c r="A325" t="s">
        <v>13311</v>
      </c>
      <c r="B325" s="18" t="s">
        <v>6631</v>
      </c>
      <c r="C325" s="19">
        <v>1</v>
      </c>
      <c r="F325" s="9">
        <f t="shared" ref="F325:F388" si="5">C325*$F$3</f>
        <v>850.78649308620174</v>
      </c>
    </row>
    <row r="326" spans="1:6">
      <c r="A326" t="s">
        <v>13311</v>
      </c>
      <c r="B326" s="18" t="s">
        <v>6709</v>
      </c>
      <c r="C326" s="19">
        <v>4</v>
      </c>
      <c r="F326" s="9">
        <f t="shared" si="5"/>
        <v>3403.145972344807</v>
      </c>
    </row>
    <row r="327" spans="1:6">
      <c r="A327" t="s">
        <v>13311</v>
      </c>
      <c r="B327" s="18" t="s">
        <v>6727</v>
      </c>
      <c r="C327" s="19">
        <v>4</v>
      </c>
      <c r="F327" s="9">
        <f t="shared" si="5"/>
        <v>3403.145972344807</v>
      </c>
    </row>
    <row r="328" spans="1:6">
      <c r="A328" t="s">
        <v>13311</v>
      </c>
      <c r="B328" s="18" t="s">
        <v>6739</v>
      </c>
      <c r="C328" s="19">
        <v>5</v>
      </c>
      <c r="F328" s="9">
        <f t="shared" si="5"/>
        <v>4253.9324654310085</v>
      </c>
    </row>
    <row r="329" spans="1:6">
      <c r="A329" t="s">
        <v>13311</v>
      </c>
      <c r="B329" s="18" t="s">
        <v>6118</v>
      </c>
      <c r="C329" s="19">
        <v>3</v>
      </c>
      <c r="F329" s="9">
        <f t="shared" si="5"/>
        <v>2552.3594792586055</v>
      </c>
    </row>
    <row r="330" spans="1:6">
      <c r="A330" t="s">
        <v>13311</v>
      </c>
      <c r="B330" s="18" t="s">
        <v>6754</v>
      </c>
      <c r="C330" s="19">
        <v>5</v>
      </c>
      <c r="F330" s="9">
        <f t="shared" si="5"/>
        <v>4253.9324654310085</v>
      </c>
    </row>
    <row r="331" spans="1:6">
      <c r="A331" t="s">
        <v>13311</v>
      </c>
      <c r="B331" s="18" t="s">
        <v>6775</v>
      </c>
      <c r="C331" s="19">
        <v>22</v>
      </c>
      <c r="F331" s="9">
        <f t="shared" si="5"/>
        <v>18717.302847896437</v>
      </c>
    </row>
    <row r="332" spans="1:6">
      <c r="A332" t="s">
        <v>13311</v>
      </c>
      <c r="B332" s="18" t="s">
        <v>5374</v>
      </c>
      <c r="C332" s="19">
        <v>6</v>
      </c>
      <c r="F332" s="9">
        <f t="shared" si="5"/>
        <v>5104.7189585172109</v>
      </c>
    </row>
    <row r="333" spans="1:6">
      <c r="A333" t="s">
        <v>13311</v>
      </c>
      <c r="B333" s="18" t="s">
        <v>5389</v>
      </c>
      <c r="C333" s="19">
        <v>4</v>
      </c>
      <c r="F333" s="9">
        <f t="shared" si="5"/>
        <v>3403.145972344807</v>
      </c>
    </row>
    <row r="334" spans="1:6">
      <c r="A334" t="s">
        <v>13311</v>
      </c>
      <c r="B334" s="18" t="s">
        <v>5398</v>
      </c>
      <c r="C334" s="19">
        <v>89</v>
      </c>
      <c r="F334" s="9">
        <f t="shared" si="5"/>
        <v>75719.99788467196</v>
      </c>
    </row>
    <row r="335" spans="1:6">
      <c r="A335" t="s">
        <v>13311</v>
      </c>
      <c r="B335" s="18" t="s">
        <v>5407</v>
      </c>
      <c r="C335" s="19">
        <v>2</v>
      </c>
      <c r="F335" s="9">
        <f t="shared" si="5"/>
        <v>1701.5729861724035</v>
      </c>
    </row>
    <row r="336" spans="1:6">
      <c r="A336" t="s">
        <v>13311</v>
      </c>
      <c r="B336" s="18" t="s">
        <v>6844</v>
      </c>
      <c r="C336" s="19">
        <v>15</v>
      </c>
      <c r="F336" s="9">
        <f t="shared" si="5"/>
        <v>12761.797396293026</v>
      </c>
    </row>
    <row r="337" spans="1:6">
      <c r="A337" t="s">
        <v>13311</v>
      </c>
      <c r="B337" s="18" t="s">
        <v>5971</v>
      </c>
      <c r="C337" s="19">
        <v>31</v>
      </c>
      <c r="F337" s="9">
        <f t="shared" si="5"/>
        <v>26374.381285672254</v>
      </c>
    </row>
    <row r="338" spans="1:6">
      <c r="A338" t="s">
        <v>13311</v>
      </c>
      <c r="B338" s="18" t="s">
        <v>5977</v>
      </c>
      <c r="C338" s="19">
        <v>10</v>
      </c>
      <c r="F338" s="9">
        <f t="shared" si="5"/>
        <v>8507.864930862017</v>
      </c>
    </row>
    <row r="339" spans="1:6">
      <c r="A339" t="s">
        <v>13311</v>
      </c>
      <c r="B339" s="18" t="s">
        <v>5980</v>
      </c>
      <c r="C339" s="19">
        <v>6</v>
      </c>
      <c r="F339" s="9">
        <f t="shared" si="5"/>
        <v>5104.7189585172109</v>
      </c>
    </row>
    <row r="340" spans="1:6">
      <c r="A340" t="s">
        <v>13311</v>
      </c>
      <c r="B340" s="18" t="s">
        <v>5983</v>
      </c>
      <c r="C340" s="19">
        <v>10</v>
      </c>
      <c r="F340" s="9">
        <f t="shared" si="5"/>
        <v>8507.864930862017</v>
      </c>
    </row>
    <row r="341" spans="1:6">
      <c r="A341" t="s">
        <v>13311</v>
      </c>
      <c r="B341" s="18" t="s">
        <v>5989</v>
      </c>
      <c r="C341" s="19">
        <v>14</v>
      </c>
      <c r="F341" s="9">
        <f t="shared" si="5"/>
        <v>11911.010903206825</v>
      </c>
    </row>
    <row r="342" spans="1:6">
      <c r="A342" t="s">
        <v>13311</v>
      </c>
      <c r="B342" s="18" t="s">
        <v>5992</v>
      </c>
      <c r="C342" s="19">
        <v>10</v>
      </c>
      <c r="F342" s="9">
        <f t="shared" si="5"/>
        <v>8507.864930862017</v>
      </c>
    </row>
    <row r="343" spans="1:6">
      <c r="A343" t="s">
        <v>13311</v>
      </c>
      <c r="B343" s="18" t="s">
        <v>5995</v>
      </c>
      <c r="C343" s="19">
        <v>93</v>
      </c>
      <c r="F343" s="9">
        <f t="shared" si="5"/>
        <v>79123.143857016767</v>
      </c>
    </row>
    <row r="344" spans="1:6">
      <c r="A344" t="s">
        <v>13311</v>
      </c>
      <c r="B344" s="18" t="s">
        <v>6004</v>
      </c>
      <c r="C344" s="19">
        <v>12</v>
      </c>
      <c r="F344" s="9">
        <f t="shared" si="5"/>
        <v>10209.437917034422</v>
      </c>
    </row>
    <row r="345" spans="1:6">
      <c r="A345" t="s">
        <v>13311</v>
      </c>
      <c r="B345" s="18" t="s">
        <v>6001</v>
      </c>
      <c r="C345" s="19">
        <v>16</v>
      </c>
      <c r="F345" s="9">
        <f t="shared" si="5"/>
        <v>13612.583889379228</v>
      </c>
    </row>
    <row r="346" spans="1:6">
      <c r="A346" t="s">
        <v>13311</v>
      </c>
      <c r="B346" s="18" t="s">
        <v>6877</v>
      </c>
      <c r="C346" s="19">
        <v>4</v>
      </c>
      <c r="F346" s="9">
        <f t="shared" si="5"/>
        <v>3403.145972344807</v>
      </c>
    </row>
    <row r="347" spans="1:6">
      <c r="A347" t="s">
        <v>13311</v>
      </c>
      <c r="B347" s="18" t="s">
        <v>5186</v>
      </c>
      <c r="C347" s="19">
        <v>14</v>
      </c>
      <c r="F347" s="9">
        <f t="shared" si="5"/>
        <v>11911.010903206825</v>
      </c>
    </row>
    <row r="348" spans="1:6">
      <c r="A348" t="s">
        <v>13311</v>
      </c>
      <c r="B348" s="18" t="s">
        <v>6895</v>
      </c>
      <c r="C348" s="19">
        <v>20</v>
      </c>
      <c r="F348" s="9">
        <f t="shared" si="5"/>
        <v>17015.729861724034</v>
      </c>
    </row>
    <row r="349" spans="1:6">
      <c r="A349" t="s">
        <v>13311</v>
      </c>
      <c r="B349" s="18" t="s">
        <v>5558</v>
      </c>
      <c r="C349" s="19">
        <v>5</v>
      </c>
      <c r="F349" s="9">
        <f t="shared" si="5"/>
        <v>4253.9324654310085</v>
      </c>
    </row>
    <row r="350" spans="1:6">
      <c r="A350" t="s">
        <v>13311</v>
      </c>
      <c r="B350" s="18" t="s">
        <v>5642</v>
      </c>
      <c r="C350" s="19">
        <v>34</v>
      </c>
      <c r="F350" s="9">
        <f t="shared" si="5"/>
        <v>28926.740764930859</v>
      </c>
    </row>
    <row r="351" spans="1:6">
      <c r="A351" t="s">
        <v>13311</v>
      </c>
      <c r="B351" s="18" t="s">
        <v>6910</v>
      </c>
      <c r="C351" s="19">
        <v>8</v>
      </c>
      <c r="F351" s="9">
        <f t="shared" si="5"/>
        <v>6806.291944689614</v>
      </c>
    </row>
    <row r="352" spans="1:6">
      <c r="A352" t="s">
        <v>13311</v>
      </c>
      <c r="B352" s="18" t="s">
        <v>6913</v>
      </c>
      <c r="C352" s="19">
        <v>17</v>
      </c>
      <c r="F352" s="9">
        <f t="shared" si="5"/>
        <v>14463.370382465429</v>
      </c>
    </row>
    <row r="353" spans="1:6">
      <c r="A353" t="s">
        <v>13311</v>
      </c>
      <c r="B353" s="18" t="s">
        <v>6916</v>
      </c>
      <c r="C353" s="19">
        <v>26</v>
      </c>
      <c r="F353" s="9">
        <f t="shared" si="5"/>
        <v>22120.448820241247</v>
      </c>
    </row>
    <row r="354" spans="1:6">
      <c r="A354" t="s">
        <v>13311</v>
      </c>
      <c r="B354" s="18" t="s">
        <v>6919</v>
      </c>
      <c r="C354" s="19">
        <v>43</v>
      </c>
      <c r="F354" s="9">
        <f t="shared" si="5"/>
        <v>36583.819202706676</v>
      </c>
    </row>
    <row r="355" spans="1:6">
      <c r="A355" t="s">
        <v>13311</v>
      </c>
      <c r="B355" s="18" t="s">
        <v>5647</v>
      </c>
      <c r="C355" s="19">
        <v>38</v>
      </c>
      <c r="F355" s="9">
        <f t="shared" si="5"/>
        <v>32329.886737275665</v>
      </c>
    </row>
    <row r="356" spans="1:6">
      <c r="A356" t="s">
        <v>13311</v>
      </c>
      <c r="B356" s="18" t="s">
        <v>6928</v>
      </c>
      <c r="C356" s="19">
        <v>6</v>
      </c>
      <c r="F356" s="9">
        <f t="shared" si="5"/>
        <v>5104.7189585172109</v>
      </c>
    </row>
    <row r="357" spans="1:6">
      <c r="A357" t="s">
        <v>13311</v>
      </c>
      <c r="B357" s="18" t="s">
        <v>6931</v>
      </c>
      <c r="C357" s="19">
        <v>14</v>
      </c>
      <c r="F357" s="9">
        <f t="shared" si="5"/>
        <v>11911.010903206825</v>
      </c>
    </row>
    <row r="358" spans="1:6">
      <c r="A358" t="s">
        <v>13311</v>
      </c>
      <c r="B358" s="18" t="s">
        <v>5672</v>
      </c>
      <c r="C358" s="19">
        <v>18</v>
      </c>
      <c r="F358" s="9">
        <f t="shared" si="5"/>
        <v>15314.156875551631</v>
      </c>
    </row>
    <row r="359" spans="1:6">
      <c r="A359" t="s">
        <v>13311</v>
      </c>
      <c r="B359" s="18" t="s">
        <v>5715</v>
      </c>
      <c r="C359" s="19">
        <v>16</v>
      </c>
      <c r="F359" s="9">
        <f t="shared" si="5"/>
        <v>13612.583889379228</v>
      </c>
    </row>
    <row r="360" spans="1:6">
      <c r="A360" t="s">
        <v>13311</v>
      </c>
      <c r="B360" s="18" t="s">
        <v>5723</v>
      </c>
      <c r="C360" s="19">
        <v>9</v>
      </c>
      <c r="F360" s="9">
        <f t="shared" si="5"/>
        <v>7657.0784377758155</v>
      </c>
    </row>
    <row r="361" spans="1:6">
      <c r="A361" t="s">
        <v>13311</v>
      </c>
      <c r="B361" s="18" t="s">
        <v>5729</v>
      </c>
      <c r="C361" s="19">
        <v>12</v>
      </c>
      <c r="F361" s="9">
        <f t="shared" si="5"/>
        <v>10209.437917034422</v>
      </c>
    </row>
    <row r="362" spans="1:6">
      <c r="A362" t="s">
        <v>13311</v>
      </c>
      <c r="B362" s="18" t="s">
        <v>5732</v>
      </c>
      <c r="C362" s="19">
        <v>8</v>
      </c>
      <c r="F362" s="9">
        <f t="shared" si="5"/>
        <v>6806.291944689614</v>
      </c>
    </row>
    <row r="363" spans="1:6">
      <c r="A363" t="s">
        <v>13311</v>
      </c>
      <c r="B363" s="18" t="s">
        <v>5735</v>
      </c>
      <c r="C363" s="19">
        <v>47</v>
      </c>
      <c r="F363" s="9">
        <f t="shared" si="5"/>
        <v>39986.965175051482</v>
      </c>
    </row>
    <row r="364" spans="1:6">
      <c r="A364" t="s">
        <v>13311</v>
      </c>
      <c r="B364" s="18" t="s">
        <v>5748</v>
      </c>
      <c r="C364" s="19">
        <v>19</v>
      </c>
      <c r="F364" s="9">
        <f t="shared" si="5"/>
        <v>16164.943368637832</v>
      </c>
    </row>
    <row r="365" spans="1:6">
      <c r="A365" t="s">
        <v>13311</v>
      </c>
      <c r="B365" s="18" t="s">
        <v>5778</v>
      </c>
      <c r="C365" s="19">
        <v>10</v>
      </c>
      <c r="F365" s="9">
        <f t="shared" si="5"/>
        <v>8507.864930862017</v>
      </c>
    </row>
    <row r="366" spans="1:6">
      <c r="A366" t="s">
        <v>13311</v>
      </c>
      <c r="B366" s="18" t="s">
        <v>6967</v>
      </c>
      <c r="C366" s="19">
        <v>8</v>
      </c>
      <c r="F366" s="9">
        <f t="shared" si="5"/>
        <v>6806.291944689614</v>
      </c>
    </row>
    <row r="367" spans="1:6">
      <c r="A367" t="s">
        <v>13311</v>
      </c>
      <c r="B367" s="18" t="s">
        <v>6970</v>
      </c>
      <c r="C367" s="19">
        <v>20</v>
      </c>
      <c r="F367" s="9">
        <f t="shared" si="5"/>
        <v>17015.729861724034</v>
      </c>
    </row>
    <row r="368" spans="1:6">
      <c r="A368" t="s">
        <v>13311</v>
      </c>
      <c r="B368" s="18" t="s">
        <v>6973</v>
      </c>
      <c r="C368" s="19">
        <v>9</v>
      </c>
      <c r="F368" s="9">
        <f t="shared" si="5"/>
        <v>7657.0784377758155</v>
      </c>
    </row>
    <row r="369" spans="1:6">
      <c r="A369" t="s">
        <v>13311</v>
      </c>
      <c r="B369" s="18" t="s">
        <v>6976</v>
      </c>
      <c r="C369" s="19">
        <v>110</v>
      </c>
      <c r="F369" s="9">
        <f t="shared" si="5"/>
        <v>93586.514239482189</v>
      </c>
    </row>
    <row r="370" spans="1:6">
      <c r="A370" t="s">
        <v>13311</v>
      </c>
      <c r="B370" s="18" t="s">
        <v>6979</v>
      </c>
      <c r="C370" s="19">
        <v>31</v>
      </c>
      <c r="F370" s="9">
        <f t="shared" si="5"/>
        <v>26374.381285672254</v>
      </c>
    </row>
    <row r="371" spans="1:6">
      <c r="A371" t="s">
        <v>13311</v>
      </c>
      <c r="B371" s="18" t="s">
        <v>6982</v>
      </c>
      <c r="C371" s="19">
        <v>21</v>
      </c>
      <c r="F371" s="9">
        <f t="shared" si="5"/>
        <v>17866.516354810235</v>
      </c>
    </row>
    <row r="372" spans="1:6">
      <c r="A372" t="s">
        <v>13311</v>
      </c>
      <c r="B372" s="18" t="s">
        <v>6985</v>
      </c>
      <c r="C372" s="19">
        <v>150</v>
      </c>
      <c r="F372" s="9">
        <f t="shared" si="5"/>
        <v>127617.97396293026</v>
      </c>
    </row>
    <row r="373" spans="1:6">
      <c r="A373" t="s">
        <v>13311</v>
      </c>
      <c r="B373" s="18" t="s">
        <v>6988</v>
      </c>
      <c r="C373" s="19">
        <v>53</v>
      </c>
      <c r="F373" s="9">
        <f t="shared" si="5"/>
        <v>45091.684133568691</v>
      </c>
    </row>
    <row r="374" spans="1:6">
      <c r="A374" t="s">
        <v>13311</v>
      </c>
      <c r="B374" s="18" t="s">
        <v>6991</v>
      </c>
      <c r="C374" s="19">
        <v>10</v>
      </c>
      <c r="F374" s="9">
        <f t="shared" si="5"/>
        <v>8507.864930862017</v>
      </c>
    </row>
    <row r="375" spans="1:6">
      <c r="A375" t="s">
        <v>13311</v>
      </c>
      <c r="B375" s="18" t="s">
        <v>6999</v>
      </c>
      <c r="C375" s="19">
        <v>6</v>
      </c>
      <c r="F375" s="9">
        <f t="shared" si="5"/>
        <v>5104.7189585172109</v>
      </c>
    </row>
    <row r="376" spans="1:6">
      <c r="A376" t="s">
        <v>13311</v>
      </c>
      <c r="B376" s="18" t="s">
        <v>7002</v>
      </c>
      <c r="C376" s="19">
        <v>8</v>
      </c>
      <c r="F376" s="9">
        <f t="shared" si="5"/>
        <v>6806.291944689614</v>
      </c>
    </row>
    <row r="377" spans="1:6">
      <c r="A377" t="s">
        <v>13311</v>
      </c>
      <c r="B377" s="18" t="s">
        <v>7005</v>
      </c>
      <c r="C377" s="19">
        <v>7</v>
      </c>
      <c r="F377" s="9">
        <f t="shared" si="5"/>
        <v>5955.5054516034124</v>
      </c>
    </row>
    <row r="378" spans="1:6">
      <c r="A378" t="s">
        <v>13311</v>
      </c>
      <c r="B378" s="18" t="s">
        <v>5827</v>
      </c>
      <c r="C378" s="19">
        <v>5</v>
      </c>
      <c r="F378" s="9">
        <f t="shared" si="5"/>
        <v>4253.9324654310085</v>
      </c>
    </row>
    <row r="379" spans="1:6">
      <c r="A379" t="s">
        <v>13311</v>
      </c>
      <c r="B379" s="18" t="s">
        <v>7021</v>
      </c>
      <c r="C379" s="19">
        <v>12</v>
      </c>
      <c r="F379" s="9">
        <f t="shared" si="5"/>
        <v>10209.437917034422</v>
      </c>
    </row>
    <row r="380" spans="1:6">
      <c r="A380" t="s">
        <v>13311</v>
      </c>
      <c r="B380" s="18" t="s">
        <v>7024</v>
      </c>
      <c r="C380" s="19">
        <v>11</v>
      </c>
      <c r="F380" s="9">
        <f t="shared" si="5"/>
        <v>9358.6514239482185</v>
      </c>
    </row>
    <row r="381" spans="1:6">
      <c r="A381" t="s">
        <v>13311</v>
      </c>
      <c r="B381" s="18" t="s">
        <v>7027</v>
      </c>
      <c r="C381" s="19">
        <v>7</v>
      </c>
      <c r="F381" s="9">
        <f t="shared" si="5"/>
        <v>5955.5054516034124</v>
      </c>
    </row>
    <row r="382" spans="1:6">
      <c r="A382" t="s">
        <v>13311</v>
      </c>
      <c r="B382" s="18" t="s">
        <v>7033</v>
      </c>
      <c r="C382" s="19">
        <v>11</v>
      </c>
      <c r="F382" s="9">
        <f t="shared" si="5"/>
        <v>9358.6514239482185</v>
      </c>
    </row>
    <row r="383" spans="1:6">
      <c r="A383" t="s">
        <v>13311</v>
      </c>
      <c r="B383" s="18" t="s">
        <v>5851</v>
      </c>
      <c r="C383" s="19">
        <v>16</v>
      </c>
      <c r="F383" s="9">
        <f t="shared" si="5"/>
        <v>13612.583889379228</v>
      </c>
    </row>
    <row r="384" spans="1:6">
      <c r="A384" t="s">
        <v>13311</v>
      </c>
      <c r="B384" s="18" t="s">
        <v>5859</v>
      </c>
      <c r="C384" s="19">
        <v>26</v>
      </c>
      <c r="F384" s="9">
        <f t="shared" si="5"/>
        <v>22120.448820241247</v>
      </c>
    </row>
    <row r="385" spans="1:6">
      <c r="A385" t="s">
        <v>13311</v>
      </c>
      <c r="B385" s="18" t="s">
        <v>7044</v>
      </c>
      <c r="C385" s="19">
        <v>7</v>
      </c>
      <c r="F385" s="9">
        <f t="shared" si="5"/>
        <v>5955.5054516034124</v>
      </c>
    </row>
    <row r="386" spans="1:6">
      <c r="A386" t="s">
        <v>13311</v>
      </c>
      <c r="B386" s="18" t="s">
        <v>7047</v>
      </c>
      <c r="C386" s="19">
        <v>18</v>
      </c>
      <c r="F386" s="9">
        <f t="shared" si="5"/>
        <v>15314.156875551631</v>
      </c>
    </row>
    <row r="387" spans="1:6">
      <c r="A387" t="s">
        <v>13311</v>
      </c>
      <c r="B387" s="18" t="s">
        <v>5919</v>
      </c>
      <c r="C387" s="19">
        <v>1</v>
      </c>
      <c r="F387" s="9">
        <f t="shared" si="5"/>
        <v>850.78649308620174</v>
      </c>
    </row>
    <row r="388" spans="1:6">
      <c r="A388" t="s">
        <v>13311</v>
      </c>
      <c r="B388" s="18" t="s">
        <v>5933</v>
      </c>
      <c r="C388" s="19">
        <v>8</v>
      </c>
      <c r="F388" s="9">
        <f t="shared" si="5"/>
        <v>6806.291944689614</v>
      </c>
    </row>
    <row r="389" spans="1:6">
      <c r="A389" t="s">
        <v>13311</v>
      </c>
      <c r="B389" s="18" t="s">
        <v>6148</v>
      </c>
      <c r="C389" s="19">
        <v>8</v>
      </c>
      <c r="F389" s="9">
        <f t="shared" ref="F389:F452" si="6">C389*$F$3</f>
        <v>6806.291944689614</v>
      </c>
    </row>
    <row r="390" spans="1:6">
      <c r="A390" t="s">
        <v>13311</v>
      </c>
      <c r="B390" s="18" t="s">
        <v>6164</v>
      </c>
      <c r="C390" s="19">
        <v>3</v>
      </c>
      <c r="F390" s="9">
        <f t="shared" si="6"/>
        <v>2552.3594792586055</v>
      </c>
    </row>
    <row r="391" spans="1:6">
      <c r="A391" t="s">
        <v>13311</v>
      </c>
      <c r="B391" s="18" t="s">
        <v>6184</v>
      </c>
      <c r="C391" s="19">
        <v>8</v>
      </c>
      <c r="F391" s="9">
        <f t="shared" si="6"/>
        <v>6806.291944689614</v>
      </c>
    </row>
    <row r="392" spans="1:6">
      <c r="A392" t="s">
        <v>13311</v>
      </c>
      <c r="B392" s="18" t="s">
        <v>6189</v>
      </c>
      <c r="C392" s="19">
        <v>6</v>
      </c>
      <c r="F392" s="9">
        <f t="shared" si="6"/>
        <v>5104.7189585172109</v>
      </c>
    </row>
    <row r="393" spans="1:6">
      <c r="A393" t="s">
        <v>13311</v>
      </c>
      <c r="B393" s="18" t="s">
        <v>6273</v>
      </c>
      <c r="C393" s="19">
        <v>3</v>
      </c>
      <c r="F393" s="9">
        <f t="shared" si="6"/>
        <v>2552.3594792586055</v>
      </c>
    </row>
    <row r="394" spans="1:6">
      <c r="A394" t="s">
        <v>13311</v>
      </c>
      <c r="B394" s="18" t="s">
        <v>6276</v>
      </c>
      <c r="C394" s="19">
        <v>7</v>
      </c>
      <c r="F394" s="9">
        <f t="shared" si="6"/>
        <v>5955.5054516034124</v>
      </c>
    </row>
    <row r="395" spans="1:6">
      <c r="A395" t="s">
        <v>13311</v>
      </c>
      <c r="B395" s="18" t="s">
        <v>6279</v>
      </c>
      <c r="C395" s="19">
        <v>40</v>
      </c>
      <c r="F395" s="9">
        <f t="shared" si="6"/>
        <v>34031.459723448068</v>
      </c>
    </row>
    <row r="396" spans="1:6">
      <c r="A396" t="s">
        <v>13311</v>
      </c>
      <c r="B396" s="18" t="s">
        <v>6282</v>
      </c>
      <c r="C396" s="19">
        <v>10</v>
      </c>
      <c r="F396" s="9">
        <f t="shared" si="6"/>
        <v>8507.864930862017</v>
      </c>
    </row>
    <row r="397" spans="1:6">
      <c r="A397" t="s">
        <v>13311</v>
      </c>
      <c r="B397" s="18" t="s">
        <v>6343</v>
      </c>
      <c r="C397" s="19">
        <v>9</v>
      </c>
      <c r="F397" s="9">
        <f t="shared" si="6"/>
        <v>7657.0784377758155</v>
      </c>
    </row>
    <row r="398" spans="1:6">
      <c r="A398" t="s">
        <v>13311</v>
      </c>
      <c r="B398" s="18" t="s">
        <v>6346</v>
      </c>
      <c r="C398" s="19">
        <v>7</v>
      </c>
      <c r="F398" s="9">
        <f t="shared" si="6"/>
        <v>5955.5054516034124</v>
      </c>
    </row>
    <row r="399" spans="1:6">
      <c r="A399" t="s">
        <v>13311</v>
      </c>
      <c r="B399" s="18" t="s">
        <v>6352</v>
      </c>
      <c r="C399" s="19">
        <v>16</v>
      </c>
      <c r="F399" s="9">
        <f t="shared" si="6"/>
        <v>13612.583889379228</v>
      </c>
    </row>
    <row r="400" spans="1:6">
      <c r="A400" t="s">
        <v>13311</v>
      </c>
      <c r="B400" s="18" t="s">
        <v>6355</v>
      </c>
      <c r="C400" s="19">
        <v>36</v>
      </c>
      <c r="F400" s="9">
        <f t="shared" si="6"/>
        <v>30628.313751103262</v>
      </c>
    </row>
    <row r="401" spans="1:6">
      <c r="A401" t="s">
        <v>13311</v>
      </c>
      <c r="B401" s="18" t="s">
        <v>6364</v>
      </c>
      <c r="C401" s="19">
        <v>19</v>
      </c>
      <c r="F401" s="9">
        <f t="shared" si="6"/>
        <v>16164.943368637832</v>
      </c>
    </row>
    <row r="402" spans="1:6">
      <c r="A402" t="s">
        <v>13311</v>
      </c>
      <c r="B402" s="18" t="s">
        <v>6382</v>
      </c>
      <c r="C402" s="19">
        <v>11</v>
      </c>
      <c r="F402" s="9">
        <f t="shared" si="6"/>
        <v>9358.6514239482185</v>
      </c>
    </row>
    <row r="403" spans="1:6">
      <c r="A403" t="s">
        <v>13311</v>
      </c>
      <c r="B403" s="18" t="s">
        <v>6552</v>
      </c>
      <c r="C403" s="19">
        <v>33</v>
      </c>
      <c r="F403" s="9">
        <f t="shared" si="6"/>
        <v>28075.954271844657</v>
      </c>
    </row>
    <row r="404" spans="1:6">
      <c r="A404" t="s">
        <v>13311</v>
      </c>
      <c r="B404" s="18" t="s">
        <v>6742</v>
      </c>
      <c r="C404" s="19">
        <v>41</v>
      </c>
      <c r="F404" s="9">
        <f t="shared" si="6"/>
        <v>34882.246216534273</v>
      </c>
    </row>
    <row r="405" spans="1:6">
      <c r="A405" t="s">
        <v>13311</v>
      </c>
      <c r="B405" s="18" t="s">
        <v>6781</v>
      </c>
      <c r="C405" s="19">
        <v>40</v>
      </c>
      <c r="F405" s="9">
        <f t="shared" si="6"/>
        <v>34031.459723448068</v>
      </c>
    </row>
    <row r="406" spans="1:6">
      <c r="A406" t="s">
        <v>13311</v>
      </c>
      <c r="B406" s="18" t="s">
        <v>7118</v>
      </c>
      <c r="C406" s="19">
        <v>20</v>
      </c>
      <c r="F406" s="9">
        <f t="shared" si="6"/>
        <v>17015.729861724034</v>
      </c>
    </row>
    <row r="407" spans="1:6">
      <c r="A407" t="s">
        <v>13311</v>
      </c>
      <c r="B407" s="18" t="s">
        <v>7121</v>
      </c>
      <c r="C407" s="19">
        <v>2</v>
      </c>
      <c r="F407" s="9">
        <f t="shared" si="6"/>
        <v>1701.5729861724035</v>
      </c>
    </row>
    <row r="408" spans="1:6">
      <c r="A408" t="s">
        <v>13311</v>
      </c>
      <c r="B408" s="18" t="s">
        <v>7124</v>
      </c>
      <c r="C408" s="19">
        <v>17</v>
      </c>
      <c r="F408" s="9">
        <f t="shared" si="6"/>
        <v>14463.370382465429</v>
      </c>
    </row>
    <row r="409" spans="1:6">
      <c r="A409" t="s">
        <v>13311</v>
      </c>
      <c r="B409" s="18" t="s">
        <v>7127</v>
      </c>
      <c r="C409" s="19">
        <v>8</v>
      </c>
      <c r="F409" s="9">
        <f t="shared" si="6"/>
        <v>6806.291944689614</v>
      </c>
    </row>
    <row r="410" spans="1:6">
      <c r="A410" t="s">
        <v>13311</v>
      </c>
      <c r="B410" s="18" t="s">
        <v>7130</v>
      </c>
      <c r="C410" s="19">
        <v>3</v>
      </c>
      <c r="F410" s="9">
        <f t="shared" si="6"/>
        <v>2552.3594792586055</v>
      </c>
    </row>
    <row r="411" spans="1:6">
      <c r="A411" t="s">
        <v>13311</v>
      </c>
      <c r="B411" s="18" t="s">
        <v>6799</v>
      </c>
      <c r="C411" s="19">
        <v>48</v>
      </c>
      <c r="F411" s="9">
        <f t="shared" si="6"/>
        <v>40837.751668137687</v>
      </c>
    </row>
    <row r="412" spans="1:6">
      <c r="A412" t="s">
        <v>13311</v>
      </c>
      <c r="B412" s="18" t="s">
        <v>6802</v>
      </c>
      <c r="C412" s="19">
        <v>28</v>
      </c>
      <c r="F412" s="9">
        <f t="shared" si="6"/>
        <v>23822.02180641365</v>
      </c>
    </row>
    <row r="413" spans="1:6">
      <c r="A413" t="s">
        <v>13311</v>
      </c>
      <c r="B413" s="18" t="s">
        <v>7133</v>
      </c>
      <c r="C413" s="19">
        <v>198</v>
      </c>
      <c r="F413" s="9">
        <f t="shared" si="6"/>
        <v>168455.72563106794</v>
      </c>
    </row>
    <row r="414" spans="1:6">
      <c r="A414" t="s">
        <v>13311</v>
      </c>
      <c r="B414" s="18" t="s">
        <v>7139</v>
      </c>
      <c r="C414" s="19">
        <v>36</v>
      </c>
      <c r="F414" s="9">
        <f t="shared" si="6"/>
        <v>30628.313751103262</v>
      </c>
    </row>
    <row r="415" spans="1:6">
      <c r="A415" t="s">
        <v>13311</v>
      </c>
      <c r="B415" s="18" t="s">
        <v>7142</v>
      </c>
      <c r="C415" s="19">
        <v>12</v>
      </c>
      <c r="F415" s="9">
        <f t="shared" si="6"/>
        <v>10209.437917034422</v>
      </c>
    </row>
    <row r="416" spans="1:6">
      <c r="A416" t="s">
        <v>13311</v>
      </c>
      <c r="B416" s="18" t="s">
        <v>7145</v>
      </c>
      <c r="C416" s="19">
        <v>24</v>
      </c>
      <c r="F416" s="9">
        <f t="shared" si="6"/>
        <v>20418.875834068844</v>
      </c>
    </row>
    <row r="417" spans="1:6">
      <c r="A417" t="s">
        <v>13311</v>
      </c>
      <c r="B417" s="18" t="s">
        <v>7148</v>
      </c>
      <c r="C417" s="19">
        <v>8</v>
      </c>
      <c r="F417" s="9">
        <f t="shared" si="6"/>
        <v>6806.291944689614</v>
      </c>
    </row>
    <row r="418" spans="1:6">
      <c r="A418" t="s">
        <v>13311</v>
      </c>
      <c r="B418" s="18" t="s">
        <v>7151</v>
      </c>
      <c r="C418" s="19">
        <v>195</v>
      </c>
      <c r="F418" s="9">
        <f t="shared" si="6"/>
        <v>165903.36615180934</v>
      </c>
    </row>
    <row r="419" spans="1:6">
      <c r="A419" t="s">
        <v>13311</v>
      </c>
      <c r="B419" s="18" t="s">
        <v>7157</v>
      </c>
      <c r="C419" s="19">
        <v>40</v>
      </c>
      <c r="F419" s="9">
        <f t="shared" si="6"/>
        <v>34031.459723448068</v>
      </c>
    </row>
    <row r="420" spans="1:6">
      <c r="A420" t="s">
        <v>13311</v>
      </c>
      <c r="B420" s="18" t="s">
        <v>7160</v>
      </c>
      <c r="C420" s="19">
        <v>188</v>
      </c>
      <c r="F420" s="9">
        <f t="shared" si="6"/>
        <v>159947.86070020593</v>
      </c>
    </row>
    <row r="421" spans="1:6">
      <c r="A421" t="s">
        <v>13311</v>
      </c>
      <c r="B421" s="18" t="s">
        <v>7163</v>
      </c>
      <c r="C421" s="19">
        <v>95</v>
      </c>
      <c r="F421" s="9">
        <f t="shared" si="6"/>
        <v>80824.716843189162</v>
      </c>
    </row>
    <row r="422" spans="1:6">
      <c r="A422" t="s">
        <v>13311</v>
      </c>
      <c r="B422" s="18" t="s">
        <v>6814</v>
      </c>
      <c r="C422" s="19">
        <v>24</v>
      </c>
      <c r="F422" s="9">
        <f t="shared" si="6"/>
        <v>20418.875834068844</v>
      </c>
    </row>
    <row r="423" spans="1:6">
      <c r="A423" t="s">
        <v>13311</v>
      </c>
      <c r="B423" s="18" t="s">
        <v>6820</v>
      </c>
      <c r="C423" s="19">
        <v>7</v>
      </c>
      <c r="F423" s="9">
        <f t="shared" si="6"/>
        <v>5955.5054516034124</v>
      </c>
    </row>
    <row r="424" spans="1:6">
      <c r="A424" t="s">
        <v>13311</v>
      </c>
      <c r="B424" s="18" t="s">
        <v>7169</v>
      </c>
      <c r="C424" s="19">
        <v>2</v>
      </c>
      <c r="F424" s="9">
        <f t="shared" si="6"/>
        <v>1701.5729861724035</v>
      </c>
    </row>
    <row r="425" spans="1:6">
      <c r="A425" t="s">
        <v>13311</v>
      </c>
      <c r="B425" s="18" t="s">
        <v>7172</v>
      </c>
      <c r="C425" s="19">
        <v>39</v>
      </c>
      <c r="F425" s="9">
        <f t="shared" si="6"/>
        <v>33180.67323036187</v>
      </c>
    </row>
    <row r="426" spans="1:6">
      <c r="A426" t="s">
        <v>13311</v>
      </c>
      <c r="B426" s="18" t="s">
        <v>7175</v>
      </c>
      <c r="C426" s="19">
        <v>3</v>
      </c>
      <c r="F426" s="9">
        <f t="shared" si="6"/>
        <v>2552.3594792586055</v>
      </c>
    </row>
    <row r="427" spans="1:6">
      <c r="A427" t="s">
        <v>13311</v>
      </c>
      <c r="B427" s="18" t="s">
        <v>7178</v>
      </c>
      <c r="C427" s="19">
        <v>3</v>
      </c>
      <c r="F427" s="9">
        <f t="shared" si="6"/>
        <v>2552.3594792586055</v>
      </c>
    </row>
    <row r="428" spans="1:6">
      <c r="A428" t="s">
        <v>13311</v>
      </c>
      <c r="B428" s="18" t="s">
        <v>7181</v>
      </c>
      <c r="C428" s="19">
        <v>7</v>
      </c>
      <c r="F428" s="9">
        <f t="shared" si="6"/>
        <v>5955.5054516034124</v>
      </c>
    </row>
    <row r="429" spans="1:6">
      <c r="A429" t="s">
        <v>13311</v>
      </c>
      <c r="B429" s="18" t="s">
        <v>6838</v>
      </c>
      <c r="C429" s="19">
        <v>16</v>
      </c>
      <c r="F429" s="9">
        <f t="shared" si="6"/>
        <v>13612.583889379228</v>
      </c>
    </row>
    <row r="430" spans="1:6">
      <c r="A430" t="s">
        <v>13311</v>
      </c>
      <c r="B430" s="18" t="s">
        <v>7187</v>
      </c>
      <c r="C430" s="19">
        <v>22</v>
      </c>
      <c r="F430" s="9">
        <f t="shared" si="6"/>
        <v>18717.302847896437</v>
      </c>
    </row>
    <row r="431" spans="1:6">
      <c r="A431" t="s">
        <v>13311</v>
      </c>
      <c r="B431" s="18" t="s">
        <v>7190</v>
      </c>
      <c r="C431" s="19">
        <v>10</v>
      </c>
      <c r="F431" s="9">
        <f t="shared" si="6"/>
        <v>8507.864930862017</v>
      </c>
    </row>
    <row r="432" spans="1:6">
      <c r="A432" t="s">
        <v>13311</v>
      </c>
      <c r="B432" s="18" t="s">
        <v>7193</v>
      </c>
      <c r="C432" s="19">
        <v>180</v>
      </c>
      <c r="F432" s="9">
        <f t="shared" si="6"/>
        <v>153141.56875551632</v>
      </c>
    </row>
    <row r="433" spans="1:6">
      <c r="A433" t="s">
        <v>13311</v>
      </c>
      <c r="B433" s="18" t="s">
        <v>7196</v>
      </c>
      <c r="C433" s="19">
        <v>195</v>
      </c>
      <c r="F433" s="9">
        <f t="shared" si="6"/>
        <v>165903.36615180934</v>
      </c>
    </row>
    <row r="434" spans="1:6">
      <c r="A434" t="s">
        <v>13311</v>
      </c>
      <c r="B434" s="18" t="s">
        <v>7199</v>
      </c>
      <c r="C434" s="19">
        <v>24</v>
      </c>
      <c r="F434" s="9">
        <f t="shared" si="6"/>
        <v>20418.875834068844</v>
      </c>
    </row>
    <row r="435" spans="1:6">
      <c r="A435" t="s">
        <v>13311</v>
      </c>
      <c r="B435" s="18" t="s">
        <v>7202</v>
      </c>
      <c r="C435" s="19">
        <v>56</v>
      </c>
      <c r="F435" s="9">
        <f t="shared" si="6"/>
        <v>47644.0436128273</v>
      </c>
    </row>
    <row r="436" spans="1:6">
      <c r="A436" t="s">
        <v>13311</v>
      </c>
      <c r="B436" s="18" t="s">
        <v>7205</v>
      </c>
      <c r="C436" s="19">
        <v>10</v>
      </c>
      <c r="F436" s="9">
        <f t="shared" si="6"/>
        <v>8507.864930862017</v>
      </c>
    </row>
    <row r="437" spans="1:6">
      <c r="A437" t="s">
        <v>13311</v>
      </c>
      <c r="B437" s="18" t="s">
        <v>7211</v>
      </c>
      <c r="C437" s="19">
        <v>78</v>
      </c>
      <c r="F437" s="9">
        <f t="shared" si="6"/>
        <v>66361.34646072374</v>
      </c>
    </row>
    <row r="438" spans="1:6">
      <c r="A438" t="s">
        <v>13311</v>
      </c>
      <c r="B438" s="18" t="s">
        <v>7217</v>
      </c>
      <c r="C438" s="19">
        <v>2</v>
      </c>
      <c r="F438" s="9">
        <f t="shared" si="6"/>
        <v>1701.5729861724035</v>
      </c>
    </row>
    <row r="439" spans="1:6">
      <c r="A439" t="s">
        <v>13311</v>
      </c>
      <c r="B439" s="18" t="s">
        <v>7220</v>
      </c>
      <c r="C439" s="19">
        <v>30</v>
      </c>
      <c r="F439" s="9">
        <f t="shared" si="6"/>
        <v>25523.594792586053</v>
      </c>
    </row>
    <row r="440" spans="1:6">
      <c r="A440" t="s">
        <v>13311</v>
      </c>
      <c r="B440" s="18" t="s">
        <v>7223</v>
      </c>
      <c r="C440" s="19">
        <v>2</v>
      </c>
      <c r="F440" s="9">
        <f t="shared" si="6"/>
        <v>1701.5729861724035</v>
      </c>
    </row>
    <row r="441" spans="1:6">
      <c r="A441" t="s">
        <v>13311</v>
      </c>
      <c r="B441" s="18" t="s">
        <v>7226</v>
      </c>
      <c r="C441" s="19">
        <v>5</v>
      </c>
      <c r="F441" s="9">
        <f t="shared" si="6"/>
        <v>4253.9324654310085</v>
      </c>
    </row>
    <row r="442" spans="1:6">
      <c r="A442" t="s">
        <v>13311</v>
      </c>
      <c r="B442" s="18" t="s">
        <v>7232</v>
      </c>
      <c r="C442" s="19">
        <v>1</v>
      </c>
      <c r="F442" s="9">
        <f t="shared" si="6"/>
        <v>850.78649308620174</v>
      </c>
    </row>
    <row r="443" spans="1:6">
      <c r="A443" t="s">
        <v>13311</v>
      </c>
      <c r="B443" s="18" t="s">
        <v>7235</v>
      </c>
      <c r="C443" s="19">
        <v>6</v>
      </c>
      <c r="F443" s="9">
        <f t="shared" si="6"/>
        <v>5104.7189585172109</v>
      </c>
    </row>
    <row r="444" spans="1:6">
      <c r="A444" t="s">
        <v>13311</v>
      </c>
      <c r="B444" s="18" t="s">
        <v>7241</v>
      </c>
      <c r="C444" s="19">
        <v>31</v>
      </c>
      <c r="F444" s="9">
        <f t="shared" si="6"/>
        <v>26374.381285672254</v>
      </c>
    </row>
    <row r="445" spans="1:6">
      <c r="A445" t="s">
        <v>13311</v>
      </c>
      <c r="B445" s="18" t="s">
        <v>7244</v>
      </c>
      <c r="C445" s="19">
        <v>3</v>
      </c>
      <c r="F445" s="9">
        <f t="shared" si="6"/>
        <v>2552.3594792586055</v>
      </c>
    </row>
    <row r="446" spans="1:6">
      <c r="A446" t="s">
        <v>13311</v>
      </c>
      <c r="B446" s="18" t="s">
        <v>7247</v>
      </c>
      <c r="C446" s="19">
        <v>4</v>
      </c>
      <c r="F446" s="9">
        <f t="shared" si="6"/>
        <v>3403.145972344807</v>
      </c>
    </row>
    <row r="447" spans="1:6">
      <c r="A447" t="s">
        <v>13311</v>
      </c>
      <c r="B447" s="18" t="s">
        <v>7250</v>
      </c>
      <c r="C447" s="19">
        <v>5</v>
      </c>
      <c r="F447" s="9">
        <f t="shared" si="6"/>
        <v>4253.9324654310085</v>
      </c>
    </row>
    <row r="448" spans="1:6">
      <c r="A448" t="s">
        <v>13311</v>
      </c>
      <c r="B448" s="18" t="s">
        <v>7253</v>
      </c>
      <c r="C448" s="19">
        <v>14</v>
      </c>
      <c r="F448" s="9">
        <f t="shared" si="6"/>
        <v>11911.010903206825</v>
      </c>
    </row>
    <row r="449" spans="1:6">
      <c r="A449" t="s">
        <v>13311</v>
      </c>
      <c r="B449" s="18" t="s">
        <v>7262</v>
      </c>
      <c r="C449" s="19">
        <v>9</v>
      </c>
      <c r="F449" s="9">
        <f t="shared" si="6"/>
        <v>7657.0784377758155</v>
      </c>
    </row>
    <row r="450" spans="1:6">
      <c r="A450" t="s">
        <v>13311</v>
      </c>
      <c r="B450" s="18" t="s">
        <v>7265</v>
      </c>
      <c r="C450" s="19">
        <v>26</v>
      </c>
      <c r="F450" s="9">
        <f t="shared" si="6"/>
        <v>22120.448820241247</v>
      </c>
    </row>
    <row r="451" spans="1:6">
      <c r="A451" t="s">
        <v>13311</v>
      </c>
      <c r="B451" s="18" t="s">
        <v>7268</v>
      </c>
      <c r="C451" s="19">
        <v>51</v>
      </c>
      <c r="F451" s="9">
        <f t="shared" si="6"/>
        <v>43390.111147396288</v>
      </c>
    </row>
    <row r="452" spans="1:6">
      <c r="A452" t="s">
        <v>13311</v>
      </c>
      <c r="B452" s="18" t="s">
        <v>6847</v>
      </c>
      <c r="C452" s="19">
        <v>5</v>
      </c>
      <c r="F452" s="9">
        <f t="shared" si="6"/>
        <v>4253.9324654310085</v>
      </c>
    </row>
    <row r="453" spans="1:6">
      <c r="A453" t="s">
        <v>13311</v>
      </c>
      <c r="B453" s="18" t="s">
        <v>7274</v>
      </c>
      <c r="C453" s="19">
        <v>6</v>
      </c>
      <c r="F453" s="9">
        <f t="shared" ref="F453:F516" si="7">C453*$F$3</f>
        <v>5104.7189585172109</v>
      </c>
    </row>
    <row r="454" spans="1:6">
      <c r="A454" t="s">
        <v>13311</v>
      </c>
      <c r="B454" s="18" t="s">
        <v>5561</v>
      </c>
      <c r="C454" s="19">
        <v>21</v>
      </c>
      <c r="F454" s="9">
        <f t="shared" si="7"/>
        <v>17866.516354810235</v>
      </c>
    </row>
    <row r="455" spans="1:6">
      <c r="A455" t="s">
        <v>13311</v>
      </c>
      <c r="B455" s="18" t="s">
        <v>6388</v>
      </c>
      <c r="C455" s="19">
        <v>4</v>
      </c>
      <c r="F455" s="9">
        <f t="shared" si="7"/>
        <v>3403.145972344807</v>
      </c>
    </row>
    <row r="456" spans="1:6">
      <c r="A456" t="s">
        <v>13311</v>
      </c>
      <c r="B456" s="18" t="s">
        <v>6796</v>
      </c>
      <c r="C456" s="19">
        <v>4</v>
      </c>
      <c r="F456" s="9">
        <f t="shared" si="7"/>
        <v>3403.145972344807</v>
      </c>
    </row>
    <row r="457" spans="1:6">
      <c r="A457" t="s">
        <v>13311</v>
      </c>
      <c r="B457" s="18" t="s">
        <v>7367</v>
      </c>
      <c r="C457" s="19">
        <v>5</v>
      </c>
      <c r="F457" s="9">
        <f t="shared" si="7"/>
        <v>4253.9324654310085</v>
      </c>
    </row>
    <row r="458" spans="1:6">
      <c r="A458" t="s">
        <v>13311</v>
      </c>
      <c r="B458" s="18" t="s">
        <v>19775</v>
      </c>
      <c r="C458" s="19">
        <v>11</v>
      </c>
      <c r="F458" s="9">
        <f t="shared" si="7"/>
        <v>9358.6514239482185</v>
      </c>
    </row>
    <row r="459" spans="1:6">
      <c r="A459" t="s">
        <v>13311</v>
      </c>
      <c r="B459" s="18" t="s">
        <v>18185</v>
      </c>
      <c r="C459" s="19">
        <v>4</v>
      </c>
      <c r="F459" s="9">
        <f t="shared" si="7"/>
        <v>3403.145972344807</v>
      </c>
    </row>
    <row r="460" spans="1:6">
      <c r="A460" t="s">
        <v>13311</v>
      </c>
      <c r="B460" s="18" t="s">
        <v>6018</v>
      </c>
      <c r="C460" s="19">
        <v>49</v>
      </c>
      <c r="F460" s="9">
        <f t="shared" si="7"/>
        <v>41688.538161223885</v>
      </c>
    </row>
    <row r="461" spans="1:6">
      <c r="A461" t="s">
        <v>13311</v>
      </c>
      <c r="B461" s="18" t="s">
        <v>7388</v>
      </c>
      <c r="C461" s="19">
        <v>70</v>
      </c>
      <c r="F461" s="9">
        <f t="shared" si="7"/>
        <v>59555.054516034121</v>
      </c>
    </row>
    <row r="462" spans="1:6">
      <c r="A462" t="s">
        <v>13311</v>
      </c>
      <c r="B462" s="18" t="s">
        <v>7391</v>
      </c>
      <c r="C462" s="19">
        <v>9</v>
      </c>
      <c r="F462" s="9">
        <f t="shared" si="7"/>
        <v>7657.0784377758155</v>
      </c>
    </row>
    <row r="463" spans="1:6">
      <c r="A463" t="s">
        <v>13311</v>
      </c>
      <c r="B463" s="18" t="s">
        <v>7394</v>
      </c>
      <c r="C463" s="19">
        <v>17</v>
      </c>
      <c r="F463" s="9">
        <f t="shared" si="7"/>
        <v>14463.370382465429</v>
      </c>
    </row>
    <row r="464" spans="1:6">
      <c r="A464" t="s">
        <v>13311</v>
      </c>
      <c r="B464" s="18" t="s">
        <v>7397</v>
      </c>
      <c r="C464" s="19">
        <v>32</v>
      </c>
      <c r="F464" s="9">
        <f t="shared" si="7"/>
        <v>27225.167778758456</v>
      </c>
    </row>
    <row r="465" spans="1:6">
      <c r="A465" t="s">
        <v>13311</v>
      </c>
      <c r="B465" s="18" t="s">
        <v>7400</v>
      </c>
      <c r="C465" s="19">
        <v>8</v>
      </c>
      <c r="F465" s="9">
        <f t="shared" si="7"/>
        <v>6806.291944689614</v>
      </c>
    </row>
    <row r="466" spans="1:6">
      <c r="A466" t="s">
        <v>13311</v>
      </c>
      <c r="B466" s="18" t="s">
        <v>7403</v>
      </c>
      <c r="C466" s="19">
        <v>18</v>
      </c>
      <c r="F466" s="9">
        <f t="shared" si="7"/>
        <v>15314.156875551631</v>
      </c>
    </row>
    <row r="467" spans="1:6">
      <c r="A467" t="s">
        <v>13311</v>
      </c>
      <c r="B467" s="18" t="s">
        <v>3768</v>
      </c>
      <c r="C467" s="19">
        <v>38</v>
      </c>
      <c r="F467" s="9">
        <f t="shared" si="7"/>
        <v>32329.886737275665</v>
      </c>
    </row>
    <row r="468" spans="1:6">
      <c r="A468" t="s">
        <v>13311</v>
      </c>
      <c r="B468" s="18" t="s">
        <v>3754</v>
      </c>
      <c r="C468" s="19">
        <v>5</v>
      </c>
      <c r="F468" s="9">
        <f t="shared" si="7"/>
        <v>4253.9324654310085</v>
      </c>
    </row>
    <row r="469" spans="1:6">
      <c r="A469" t="s">
        <v>13311</v>
      </c>
      <c r="B469" s="18" t="s">
        <v>7432</v>
      </c>
      <c r="C469" s="19">
        <v>8</v>
      </c>
      <c r="F469" s="9">
        <f t="shared" si="7"/>
        <v>6806.291944689614</v>
      </c>
    </row>
    <row r="470" spans="1:6">
      <c r="A470" t="s">
        <v>13311</v>
      </c>
      <c r="B470" s="18" t="s">
        <v>7435</v>
      </c>
      <c r="C470" s="19">
        <v>1</v>
      </c>
      <c r="F470" s="9">
        <f t="shared" si="7"/>
        <v>850.78649308620174</v>
      </c>
    </row>
    <row r="471" spans="1:6">
      <c r="A471" t="s">
        <v>13311</v>
      </c>
      <c r="B471" s="18" t="s">
        <v>7438</v>
      </c>
      <c r="C471" s="19">
        <v>3</v>
      </c>
      <c r="F471" s="9">
        <f t="shared" si="7"/>
        <v>2552.3594792586055</v>
      </c>
    </row>
    <row r="472" spans="1:6">
      <c r="A472" t="s">
        <v>13311</v>
      </c>
      <c r="B472" s="18" t="s">
        <v>7441</v>
      </c>
      <c r="C472" s="19">
        <v>1</v>
      </c>
      <c r="F472" s="9">
        <f t="shared" si="7"/>
        <v>850.78649308620174</v>
      </c>
    </row>
    <row r="473" spans="1:6">
      <c r="A473" t="s">
        <v>13311</v>
      </c>
      <c r="B473" s="18" t="s">
        <v>7444</v>
      </c>
      <c r="C473" s="19">
        <v>24</v>
      </c>
      <c r="F473" s="9">
        <f t="shared" si="7"/>
        <v>20418.875834068844</v>
      </c>
    </row>
    <row r="474" spans="1:6">
      <c r="A474" t="s">
        <v>13311</v>
      </c>
      <c r="B474" s="18" t="s">
        <v>7447</v>
      </c>
      <c r="C474" s="19">
        <v>3</v>
      </c>
      <c r="F474" s="9">
        <f t="shared" si="7"/>
        <v>2552.3594792586055</v>
      </c>
    </row>
    <row r="475" spans="1:6">
      <c r="A475" t="s">
        <v>13311</v>
      </c>
      <c r="B475" s="18" t="s">
        <v>11966</v>
      </c>
      <c r="C475" s="19">
        <v>35</v>
      </c>
      <c r="F475" s="9">
        <f t="shared" si="7"/>
        <v>29777.52725801706</v>
      </c>
    </row>
    <row r="476" spans="1:6">
      <c r="A476" t="s">
        <v>13311</v>
      </c>
      <c r="B476" s="18" t="s">
        <v>7456</v>
      </c>
      <c r="C476" s="19">
        <v>5</v>
      </c>
      <c r="F476" s="9">
        <f t="shared" si="7"/>
        <v>4253.9324654310085</v>
      </c>
    </row>
    <row r="477" spans="1:6">
      <c r="A477" t="s">
        <v>13311</v>
      </c>
      <c r="B477" s="18" t="s">
        <v>7459</v>
      </c>
      <c r="C477" s="19">
        <v>36</v>
      </c>
      <c r="F477" s="9">
        <f t="shared" si="7"/>
        <v>30628.313751103262</v>
      </c>
    </row>
    <row r="478" spans="1:6">
      <c r="A478" t="s">
        <v>13311</v>
      </c>
      <c r="B478" s="18" t="s">
        <v>3748</v>
      </c>
      <c r="C478" s="19">
        <v>68</v>
      </c>
      <c r="F478" s="9">
        <f t="shared" si="7"/>
        <v>57853.481529861718</v>
      </c>
    </row>
    <row r="479" spans="1:6">
      <c r="A479" t="s">
        <v>13311</v>
      </c>
      <c r="B479" s="18" t="s">
        <v>7592</v>
      </c>
      <c r="C479" s="19">
        <v>1</v>
      </c>
      <c r="F479" s="9">
        <f t="shared" si="7"/>
        <v>850.78649308620174</v>
      </c>
    </row>
    <row r="480" spans="1:6">
      <c r="A480" t="s">
        <v>13311</v>
      </c>
      <c r="B480" s="18" t="s">
        <v>12050</v>
      </c>
      <c r="C480" s="19">
        <v>8</v>
      </c>
      <c r="F480" s="9">
        <f t="shared" si="7"/>
        <v>6806.291944689614</v>
      </c>
    </row>
    <row r="481" spans="1:6">
      <c r="A481" t="s">
        <v>13311</v>
      </c>
      <c r="B481" s="18" t="s">
        <v>12014</v>
      </c>
      <c r="C481" s="19">
        <v>3</v>
      </c>
      <c r="F481" s="9">
        <f t="shared" si="7"/>
        <v>2552.3594792586055</v>
      </c>
    </row>
    <row r="482" spans="1:6">
      <c r="A482" t="s">
        <v>13311</v>
      </c>
      <c r="B482" s="18" t="s">
        <v>7621</v>
      </c>
      <c r="C482" s="19">
        <v>10</v>
      </c>
      <c r="F482" s="9">
        <f t="shared" si="7"/>
        <v>8507.864930862017</v>
      </c>
    </row>
    <row r="483" spans="1:6">
      <c r="A483" t="s">
        <v>13311</v>
      </c>
      <c r="B483" s="18" t="s">
        <v>7624</v>
      </c>
      <c r="C483" s="19">
        <v>6</v>
      </c>
      <c r="F483" s="9">
        <f t="shared" si="7"/>
        <v>5104.7189585172109</v>
      </c>
    </row>
    <row r="484" spans="1:6">
      <c r="A484" t="s">
        <v>13311</v>
      </c>
      <c r="B484" s="18" t="s">
        <v>7627</v>
      </c>
      <c r="C484" s="19">
        <v>7</v>
      </c>
      <c r="F484" s="9">
        <f t="shared" si="7"/>
        <v>5955.5054516034124</v>
      </c>
    </row>
    <row r="485" spans="1:6">
      <c r="A485" t="s">
        <v>13311</v>
      </c>
      <c r="B485" s="18" t="s">
        <v>3607</v>
      </c>
      <c r="C485" s="19">
        <v>12</v>
      </c>
      <c r="F485" s="9">
        <f t="shared" si="7"/>
        <v>10209.437917034422</v>
      </c>
    </row>
    <row r="486" spans="1:6">
      <c r="A486" t="s">
        <v>13311</v>
      </c>
      <c r="B486" s="18" t="s">
        <v>7682</v>
      </c>
      <c r="C486" s="19">
        <v>8</v>
      </c>
      <c r="F486" s="9">
        <f t="shared" si="7"/>
        <v>6806.291944689614</v>
      </c>
    </row>
    <row r="487" spans="1:6">
      <c r="A487" t="s">
        <v>13311</v>
      </c>
      <c r="B487" s="18" t="s">
        <v>7685</v>
      </c>
      <c r="C487" s="19">
        <v>4</v>
      </c>
      <c r="F487" s="9">
        <f t="shared" si="7"/>
        <v>3403.145972344807</v>
      </c>
    </row>
    <row r="488" spans="1:6">
      <c r="A488" t="s">
        <v>13311</v>
      </c>
      <c r="B488" s="18" t="s">
        <v>7691</v>
      </c>
      <c r="C488" s="19">
        <v>16</v>
      </c>
      <c r="F488" s="9">
        <f t="shared" si="7"/>
        <v>13612.583889379228</v>
      </c>
    </row>
    <row r="489" spans="1:6">
      <c r="A489" t="s">
        <v>13311</v>
      </c>
      <c r="B489" s="18" t="s">
        <v>7694</v>
      </c>
      <c r="C489" s="19">
        <v>2</v>
      </c>
      <c r="F489" s="9">
        <f t="shared" si="7"/>
        <v>1701.5729861724035</v>
      </c>
    </row>
    <row r="490" spans="1:6">
      <c r="A490" t="s">
        <v>13311</v>
      </c>
      <c r="B490" s="18" t="s">
        <v>7697</v>
      </c>
      <c r="C490" s="19">
        <v>8</v>
      </c>
      <c r="F490" s="9">
        <f t="shared" si="7"/>
        <v>6806.291944689614</v>
      </c>
    </row>
    <row r="491" spans="1:6">
      <c r="A491" t="s">
        <v>13311</v>
      </c>
      <c r="B491" s="18" t="s">
        <v>7700</v>
      </c>
      <c r="C491" s="19">
        <v>6</v>
      </c>
      <c r="F491" s="9">
        <f t="shared" si="7"/>
        <v>5104.7189585172109</v>
      </c>
    </row>
    <row r="492" spans="1:6">
      <c r="A492" t="s">
        <v>13311</v>
      </c>
      <c r="B492" s="18" t="s">
        <v>7703</v>
      </c>
      <c r="C492" s="19">
        <v>4</v>
      </c>
      <c r="F492" s="9">
        <f t="shared" si="7"/>
        <v>3403.145972344807</v>
      </c>
    </row>
    <row r="493" spans="1:6">
      <c r="A493" t="s">
        <v>13311</v>
      </c>
      <c r="B493" s="18" t="s">
        <v>7705</v>
      </c>
      <c r="C493" s="19">
        <v>6</v>
      </c>
      <c r="F493" s="9">
        <f t="shared" si="7"/>
        <v>5104.7189585172109</v>
      </c>
    </row>
    <row r="494" spans="1:6">
      <c r="A494" t="s">
        <v>13311</v>
      </c>
      <c r="B494" s="18" t="s">
        <v>7708</v>
      </c>
      <c r="C494" s="19">
        <v>10</v>
      </c>
      <c r="F494" s="9">
        <f t="shared" si="7"/>
        <v>8507.864930862017</v>
      </c>
    </row>
    <row r="495" spans="1:6">
      <c r="A495" t="s">
        <v>13311</v>
      </c>
      <c r="B495" s="18" t="s">
        <v>7711</v>
      </c>
      <c r="C495" s="19">
        <v>7</v>
      </c>
      <c r="F495" s="9">
        <f t="shared" si="7"/>
        <v>5955.5054516034124</v>
      </c>
    </row>
    <row r="496" spans="1:6">
      <c r="A496" t="s">
        <v>13311</v>
      </c>
      <c r="B496" s="18" t="s">
        <v>7714</v>
      </c>
      <c r="C496" s="19">
        <v>8</v>
      </c>
      <c r="F496" s="9">
        <f t="shared" si="7"/>
        <v>6806.291944689614</v>
      </c>
    </row>
    <row r="497" spans="1:6">
      <c r="A497" t="s">
        <v>13311</v>
      </c>
      <c r="B497" s="18" t="s">
        <v>7717</v>
      </c>
      <c r="C497" s="19">
        <v>11</v>
      </c>
      <c r="F497" s="9">
        <f t="shared" si="7"/>
        <v>9358.6514239482185</v>
      </c>
    </row>
    <row r="498" spans="1:6">
      <c r="A498" t="s">
        <v>13311</v>
      </c>
      <c r="B498" s="18" t="s">
        <v>11611</v>
      </c>
      <c r="C498" s="19">
        <v>8</v>
      </c>
      <c r="F498" s="9">
        <f t="shared" si="7"/>
        <v>6806.291944689614</v>
      </c>
    </row>
    <row r="499" spans="1:6">
      <c r="A499" t="s">
        <v>13311</v>
      </c>
      <c r="B499" s="18" t="s">
        <v>7729</v>
      </c>
      <c r="C499" s="19">
        <v>10</v>
      </c>
      <c r="F499" s="9">
        <f t="shared" si="7"/>
        <v>8507.864930862017</v>
      </c>
    </row>
    <row r="500" spans="1:6">
      <c r="A500" t="s">
        <v>13311</v>
      </c>
      <c r="B500" s="18" t="s">
        <v>7777</v>
      </c>
      <c r="C500" s="19">
        <v>13</v>
      </c>
      <c r="F500" s="9">
        <f t="shared" si="7"/>
        <v>11060.224410120623</v>
      </c>
    </row>
    <row r="501" spans="1:6">
      <c r="A501" t="s">
        <v>13311</v>
      </c>
      <c r="B501" s="18" t="s">
        <v>5285</v>
      </c>
      <c r="C501" s="19">
        <v>2</v>
      </c>
      <c r="F501" s="9">
        <f t="shared" si="7"/>
        <v>1701.5729861724035</v>
      </c>
    </row>
    <row r="502" spans="1:6">
      <c r="A502" t="s">
        <v>13311</v>
      </c>
      <c r="B502" s="18" t="s">
        <v>7883</v>
      </c>
      <c r="C502" s="19">
        <v>6</v>
      </c>
      <c r="F502" s="9">
        <f t="shared" si="7"/>
        <v>5104.7189585172109</v>
      </c>
    </row>
    <row r="503" spans="1:6">
      <c r="A503" t="s">
        <v>13311</v>
      </c>
      <c r="B503" s="18" t="s">
        <v>7888</v>
      </c>
      <c r="C503" s="19">
        <v>11</v>
      </c>
      <c r="F503" s="9">
        <f t="shared" si="7"/>
        <v>9358.6514239482185</v>
      </c>
    </row>
    <row r="504" spans="1:6">
      <c r="A504" t="s">
        <v>13311</v>
      </c>
      <c r="B504" s="18" t="s">
        <v>7891</v>
      </c>
      <c r="C504" s="19">
        <v>10</v>
      </c>
      <c r="F504" s="9">
        <f t="shared" si="7"/>
        <v>8507.864930862017</v>
      </c>
    </row>
    <row r="505" spans="1:6">
      <c r="A505" t="s">
        <v>13311</v>
      </c>
      <c r="B505" s="18" t="s">
        <v>13098</v>
      </c>
      <c r="C505" s="19">
        <v>9</v>
      </c>
      <c r="F505" s="9">
        <f t="shared" si="7"/>
        <v>7657.0784377758155</v>
      </c>
    </row>
    <row r="506" spans="1:6">
      <c r="A506" t="s">
        <v>13311</v>
      </c>
      <c r="B506" s="18" t="s">
        <v>8033</v>
      </c>
      <c r="C506" s="19">
        <v>5</v>
      </c>
      <c r="F506" s="9">
        <f t="shared" si="7"/>
        <v>4253.9324654310085</v>
      </c>
    </row>
    <row r="507" spans="1:6">
      <c r="A507" t="s">
        <v>13311</v>
      </c>
      <c r="B507" s="18" t="s">
        <v>18186</v>
      </c>
      <c r="C507" s="19">
        <v>4</v>
      </c>
      <c r="F507" s="9">
        <f t="shared" si="7"/>
        <v>3403.145972344807</v>
      </c>
    </row>
    <row r="508" spans="1:6">
      <c r="A508" t="s">
        <v>13311</v>
      </c>
      <c r="B508" s="18" t="s">
        <v>18187</v>
      </c>
      <c r="C508" s="19">
        <v>4</v>
      </c>
      <c r="F508" s="9">
        <f t="shared" si="7"/>
        <v>3403.145972344807</v>
      </c>
    </row>
    <row r="509" spans="1:6">
      <c r="A509" t="s">
        <v>13311</v>
      </c>
      <c r="B509" s="18" t="s">
        <v>18188</v>
      </c>
      <c r="C509" s="19">
        <v>1</v>
      </c>
      <c r="F509" s="9">
        <f t="shared" si="7"/>
        <v>850.78649308620174</v>
      </c>
    </row>
    <row r="510" spans="1:6">
      <c r="A510" t="s">
        <v>13311</v>
      </c>
      <c r="B510" s="18" t="s">
        <v>8137</v>
      </c>
      <c r="C510" s="19">
        <v>4</v>
      </c>
      <c r="F510" s="9">
        <f t="shared" si="7"/>
        <v>3403.145972344807</v>
      </c>
    </row>
    <row r="511" spans="1:6">
      <c r="A511" t="s">
        <v>13311</v>
      </c>
      <c r="B511" s="18" t="s">
        <v>8143</v>
      </c>
      <c r="C511" s="19">
        <v>2</v>
      </c>
      <c r="F511" s="9">
        <f t="shared" si="7"/>
        <v>1701.5729861724035</v>
      </c>
    </row>
    <row r="512" spans="1:6">
      <c r="A512" t="s">
        <v>13311</v>
      </c>
      <c r="B512" s="18" t="s">
        <v>8149</v>
      </c>
      <c r="C512" s="19">
        <v>3</v>
      </c>
      <c r="F512" s="9">
        <f t="shared" si="7"/>
        <v>2552.3594792586055</v>
      </c>
    </row>
    <row r="513" spans="1:6">
      <c r="A513" t="s">
        <v>13311</v>
      </c>
      <c r="B513" s="18" t="s">
        <v>12991</v>
      </c>
      <c r="C513" s="19">
        <v>31</v>
      </c>
      <c r="F513" s="9">
        <f t="shared" si="7"/>
        <v>26374.381285672254</v>
      </c>
    </row>
    <row r="514" spans="1:6">
      <c r="A514" t="s">
        <v>13311</v>
      </c>
      <c r="B514" s="18" t="s">
        <v>8158</v>
      </c>
      <c r="C514" s="19">
        <v>10</v>
      </c>
      <c r="F514" s="9">
        <f t="shared" si="7"/>
        <v>8507.864930862017</v>
      </c>
    </row>
    <row r="515" spans="1:6">
      <c r="A515" t="s">
        <v>13311</v>
      </c>
      <c r="B515" s="18" t="s">
        <v>8161</v>
      </c>
      <c r="C515" s="19">
        <v>6</v>
      </c>
      <c r="F515" s="9">
        <f t="shared" si="7"/>
        <v>5104.7189585172109</v>
      </c>
    </row>
    <row r="516" spans="1:6">
      <c r="A516" t="s">
        <v>13311</v>
      </c>
      <c r="B516" s="18" t="s">
        <v>8164</v>
      </c>
      <c r="C516" s="19">
        <v>1</v>
      </c>
      <c r="F516" s="9">
        <f t="shared" si="7"/>
        <v>850.78649308620174</v>
      </c>
    </row>
    <row r="517" spans="1:6">
      <c r="A517" t="s">
        <v>13311</v>
      </c>
      <c r="B517" s="18" t="s">
        <v>8169</v>
      </c>
      <c r="C517" s="19">
        <v>41</v>
      </c>
      <c r="F517" s="9">
        <f t="shared" ref="F517:F580" si="8">C517*$F$3</f>
        <v>34882.246216534273</v>
      </c>
    </row>
    <row r="518" spans="1:6">
      <c r="A518" t="s">
        <v>13311</v>
      </c>
      <c r="B518" s="18" t="s">
        <v>8175</v>
      </c>
      <c r="C518" s="19">
        <v>1</v>
      </c>
      <c r="F518" s="9">
        <f t="shared" si="8"/>
        <v>850.78649308620174</v>
      </c>
    </row>
    <row r="519" spans="1:6">
      <c r="A519" t="s">
        <v>13311</v>
      </c>
      <c r="B519" s="18" t="s">
        <v>13137</v>
      </c>
      <c r="C519" s="19">
        <v>1</v>
      </c>
      <c r="F519" s="9">
        <f t="shared" si="8"/>
        <v>850.78649308620174</v>
      </c>
    </row>
    <row r="520" spans="1:6">
      <c r="A520" t="s">
        <v>13311</v>
      </c>
      <c r="B520" s="18" t="s">
        <v>13151</v>
      </c>
      <c r="C520" s="19">
        <v>10</v>
      </c>
      <c r="F520" s="9">
        <f t="shared" si="8"/>
        <v>8507.864930862017</v>
      </c>
    </row>
    <row r="521" spans="1:6">
      <c r="A521" t="s">
        <v>13311</v>
      </c>
      <c r="B521" s="18" t="s">
        <v>8191</v>
      </c>
      <c r="C521" s="19">
        <v>1</v>
      </c>
      <c r="F521" s="9">
        <f t="shared" si="8"/>
        <v>850.78649308620174</v>
      </c>
    </row>
    <row r="522" spans="1:6">
      <c r="A522" t="s">
        <v>13311</v>
      </c>
      <c r="B522" s="18" t="s">
        <v>8194</v>
      </c>
      <c r="C522" s="19">
        <v>21</v>
      </c>
      <c r="F522" s="9">
        <f t="shared" si="8"/>
        <v>17866.516354810235</v>
      </c>
    </row>
    <row r="523" spans="1:6">
      <c r="A523" t="s">
        <v>13311</v>
      </c>
      <c r="B523" s="18" t="s">
        <v>8200</v>
      </c>
      <c r="C523" s="19">
        <v>1</v>
      </c>
      <c r="F523" s="9">
        <f t="shared" si="8"/>
        <v>850.78649308620174</v>
      </c>
    </row>
    <row r="524" spans="1:6">
      <c r="A524" t="s">
        <v>13311</v>
      </c>
      <c r="B524" s="18" t="s">
        <v>13113</v>
      </c>
      <c r="C524" s="19">
        <v>1</v>
      </c>
      <c r="F524" s="9">
        <f t="shared" si="8"/>
        <v>850.78649308620174</v>
      </c>
    </row>
    <row r="525" spans="1:6">
      <c r="A525" t="s">
        <v>13311</v>
      </c>
      <c r="B525" s="18" t="s">
        <v>8249</v>
      </c>
      <c r="C525" s="19">
        <v>5</v>
      </c>
      <c r="F525" s="9">
        <f t="shared" si="8"/>
        <v>4253.9324654310085</v>
      </c>
    </row>
    <row r="526" spans="1:6">
      <c r="A526" t="s">
        <v>13311</v>
      </c>
      <c r="B526" s="18" t="s">
        <v>8255</v>
      </c>
      <c r="C526" s="19">
        <v>9</v>
      </c>
      <c r="F526" s="9">
        <f t="shared" si="8"/>
        <v>7657.0784377758155</v>
      </c>
    </row>
    <row r="527" spans="1:6">
      <c r="A527" t="s">
        <v>13311</v>
      </c>
      <c r="B527" s="18" t="s">
        <v>20144</v>
      </c>
      <c r="C527" s="19">
        <v>5</v>
      </c>
      <c r="F527" s="9">
        <f t="shared" si="8"/>
        <v>4253.9324654310085</v>
      </c>
    </row>
    <row r="528" spans="1:6">
      <c r="A528" t="s">
        <v>13311</v>
      </c>
      <c r="B528" s="18" t="s">
        <v>18189</v>
      </c>
      <c r="C528" s="19">
        <v>4</v>
      </c>
      <c r="F528" s="9">
        <f t="shared" si="8"/>
        <v>3403.145972344807</v>
      </c>
    </row>
    <row r="529" spans="1:6">
      <c r="A529" t="s">
        <v>13311</v>
      </c>
      <c r="B529" s="18" t="s">
        <v>8279</v>
      </c>
      <c r="C529" s="19">
        <v>6</v>
      </c>
      <c r="F529" s="9">
        <f t="shared" si="8"/>
        <v>5104.7189585172109</v>
      </c>
    </row>
    <row r="530" spans="1:6">
      <c r="A530" t="s">
        <v>13311</v>
      </c>
      <c r="B530" s="18" t="s">
        <v>12646</v>
      </c>
      <c r="C530" s="19">
        <v>19</v>
      </c>
      <c r="F530" s="9">
        <f t="shared" si="8"/>
        <v>16164.943368637832</v>
      </c>
    </row>
    <row r="531" spans="1:6">
      <c r="A531" t="s">
        <v>13311</v>
      </c>
      <c r="B531" s="18" t="s">
        <v>8295</v>
      </c>
      <c r="C531" s="19">
        <v>21</v>
      </c>
      <c r="F531" s="9">
        <f t="shared" si="8"/>
        <v>17866.516354810235</v>
      </c>
    </row>
    <row r="532" spans="1:6">
      <c r="A532" t="s">
        <v>13311</v>
      </c>
      <c r="B532" s="18" t="s">
        <v>8304</v>
      </c>
      <c r="C532" s="19">
        <v>6</v>
      </c>
      <c r="F532" s="9">
        <f t="shared" si="8"/>
        <v>5104.7189585172109</v>
      </c>
    </row>
    <row r="533" spans="1:6">
      <c r="A533" t="s">
        <v>13311</v>
      </c>
      <c r="B533" s="18" t="s">
        <v>8307</v>
      </c>
      <c r="C533" s="19">
        <v>2</v>
      </c>
      <c r="F533" s="9">
        <f t="shared" si="8"/>
        <v>1701.5729861724035</v>
      </c>
    </row>
    <row r="534" spans="1:6">
      <c r="A534" t="s">
        <v>13311</v>
      </c>
      <c r="B534" s="18" t="s">
        <v>8313</v>
      </c>
      <c r="C534" s="19">
        <v>1</v>
      </c>
      <c r="F534" s="9">
        <f t="shared" si="8"/>
        <v>850.78649308620174</v>
      </c>
    </row>
    <row r="535" spans="1:6">
      <c r="A535" t="s">
        <v>13311</v>
      </c>
      <c r="B535" s="18" t="s">
        <v>8316</v>
      </c>
      <c r="C535" s="19">
        <v>69</v>
      </c>
      <c r="F535" s="9">
        <f t="shared" si="8"/>
        <v>58704.268022947923</v>
      </c>
    </row>
    <row r="536" spans="1:6">
      <c r="A536" t="s">
        <v>13311</v>
      </c>
      <c r="B536" s="18" t="s">
        <v>8319</v>
      </c>
      <c r="C536" s="19">
        <v>24</v>
      </c>
      <c r="F536" s="9">
        <f t="shared" si="8"/>
        <v>20418.875834068844</v>
      </c>
    </row>
    <row r="537" spans="1:6">
      <c r="A537" t="s">
        <v>13311</v>
      </c>
      <c r="B537" s="18" t="s">
        <v>8322</v>
      </c>
      <c r="C537" s="19">
        <v>26</v>
      </c>
      <c r="F537" s="9">
        <f t="shared" si="8"/>
        <v>22120.448820241247</v>
      </c>
    </row>
    <row r="538" spans="1:6">
      <c r="A538" t="s">
        <v>13311</v>
      </c>
      <c r="B538" s="18" t="s">
        <v>12691</v>
      </c>
      <c r="C538" s="19">
        <v>4</v>
      </c>
      <c r="F538" s="9">
        <f t="shared" si="8"/>
        <v>3403.145972344807</v>
      </c>
    </row>
    <row r="539" spans="1:6">
      <c r="A539" t="s">
        <v>13311</v>
      </c>
      <c r="B539" s="18" t="s">
        <v>8330</v>
      </c>
      <c r="C539" s="19">
        <v>20</v>
      </c>
      <c r="F539" s="9">
        <f t="shared" si="8"/>
        <v>17015.729861724034</v>
      </c>
    </row>
    <row r="540" spans="1:6">
      <c r="A540" t="s">
        <v>13311</v>
      </c>
      <c r="B540" s="18" t="s">
        <v>8333</v>
      </c>
      <c r="C540" s="19">
        <v>5</v>
      </c>
      <c r="F540" s="9">
        <f t="shared" si="8"/>
        <v>4253.9324654310085</v>
      </c>
    </row>
    <row r="541" spans="1:6">
      <c r="A541" t="s">
        <v>13311</v>
      </c>
      <c r="B541" s="18" t="s">
        <v>8336</v>
      </c>
      <c r="C541" s="19">
        <v>4</v>
      </c>
      <c r="F541" s="9">
        <f t="shared" si="8"/>
        <v>3403.145972344807</v>
      </c>
    </row>
    <row r="542" spans="1:6">
      <c r="A542" t="s">
        <v>13311</v>
      </c>
      <c r="B542" s="18" t="s">
        <v>8339</v>
      </c>
      <c r="C542" s="19">
        <v>14</v>
      </c>
      <c r="F542" s="9">
        <f t="shared" si="8"/>
        <v>11911.010903206825</v>
      </c>
    </row>
    <row r="543" spans="1:6">
      <c r="A543" t="s">
        <v>13311</v>
      </c>
      <c r="B543" s="18" t="s">
        <v>12697</v>
      </c>
      <c r="C543" s="19">
        <v>2</v>
      </c>
      <c r="F543" s="9">
        <f t="shared" si="8"/>
        <v>1701.5729861724035</v>
      </c>
    </row>
    <row r="544" spans="1:6">
      <c r="A544" t="s">
        <v>13311</v>
      </c>
      <c r="B544" s="18" t="s">
        <v>12704</v>
      </c>
      <c r="C544" s="19">
        <v>2</v>
      </c>
      <c r="F544" s="9">
        <f t="shared" si="8"/>
        <v>1701.5729861724035</v>
      </c>
    </row>
    <row r="545" spans="1:6">
      <c r="A545" t="s">
        <v>13311</v>
      </c>
      <c r="B545" s="18" t="s">
        <v>12726</v>
      </c>
      <c r="C545" s="19">
        <v>1</v>
      </c>
      <c r="F545" s="9">
        <f t="shared" si="8"/>
        <v>850.78649308620174</v>
      </c>
    </row>
    <row r="546" spans="1:6">
      <c r="A546" t="s">
        <v>13311</v>
      </c>
      <c r="B546" s="18" t="s">
        <v>8356</v>
      </c>
      <c r="C546" s="19">
        <v>2</v>
      </c>
      <c r="F546" s="9">
        <f t="shared" si="8"/>
        <v>1701.5729861724035</v>
      </c>
    </row>
    <row r="547" spans="1:6">
      <c r="A547" t="s">
        <v>13311</v>
      </c>
      <c r="B547" s="18" t="s">
        <v>8359</v>
      </c>
      <c r="C547" s="19">
        <v>19</v>
      </c>
      <c r="F547" s="9">
        <f t="shared" si="8"/>
        <v>16164.943368637832</v>
      </c>
    </row>
    <row r="548" spans="1:6">
      <c r="A548" t="s">
        <v>13311</v>
      </c>
      <c r="B548" s="18" t="s">
        <v>8364</v>
      </c>
      <c r="C548" s="19">
        <v>3</v>
      </c>
      <c r="F548" s="9">
        <f t="shared" si="8"/>
        <v>2552.3594792586055</v>
      </c>
    </row>
    <row r="549" spans="1:6">
      <c r="A549" t="s">
        <v>13311</v>
      </c>
      <c r="B549" s="18" t="s">
        <v>8373</v>
      </c>
      <c r="C549" s="19">
        <v>27</v>
      </c>
      <c r="F549" s="9">
        <f t="shared" si="8"/>
        <v>22971.235313327448</v>
      </c>
    </row>
    <row r="550" spans="1:6">
      <c r="A550" t="s">
        <v>13311</v>
      </c>
      <c r="B550" s="18" t="s">
        <v>8376</v>
      </c>
      <c r="C550" s="19">
        <v>10</v>
      </c>
      <c r="F550" s="9">
        <f t="shared" si="8"/>
        <v>8507.864930862017</v>
      </c>
    </row>
    <row r="551" spans="1:6">
      <c r="A551" t="s">
        <v>13311</v>
      </c>
      <c r="B551" s="18" t="s">
        <v>8403</v>
      </c>
      <c r="C551" s="19">
        <v>1</v>
      </c>
      <c r="F551" s="9">
        <f t="shared" si="8"/>
        <v>850.78649308620174</v>
      </c>
    </row>
    <row r="552" spans="1:6">
      <c r="A552" t="s">
        <v>13311</v>
      </c>
      <c r="B552" s="18" t="s">
        <v>8420</v>
      </c>
      <c r="C552" s="19">
        <v>7</v>
      </c>
      <c r="F552" s="9">
        <f t="shared" si="8"/>
        <v>5955.5054516034124</v>
      </c>
    </row>
    <row r="553" spans="1:6">
      <c r="A553" t="s">
        <v>13311</v>
      </c>
      <c r="B553" s="18" t="s">
        <v>8431</v>
      </c>
      <c r="C553" s="19">
        <v>13</v>
      </c>
      <c r="F553" s="9">
        <f t="shared" si="8"/>
        <v>11060.224410120623</v>
      </c>
    </row>
    <row r="554" spans="1:6">
      <c r="A554" t="s">
        <v>13311</v>
      </c>
      <c r="B554" s="18" t="s">
        <v>8441</v>
      </c>
      <c r="C554" s="19">
        <v>5</v>
      </c>
      <c r="F554" s="9">
        <f t="shared" si="8"/>
        <v>4253.9324654310085</v>
      </c>
    </row>
    <row r="555" spans="1:6">
      <c r="A555" t="s">
        <v>13311</v>
      </c>
      <c r="B555" s="18" t="s">
        <v>19772</v>
      </c>
      <c r="C555" s="19">
        <v>4</v>
      </c>
      <c r="F555" s="9">
        <f t="shared" si="8"/>
        <v>3403.145972344807</v>
      </c>
    </row>
    <row r="556" spans="1:6">
      <c r="A556" t="s">
        <v>13311</v>
      </c>
      <c r="B556" s="18" t="s">
        <v>20153</v>
      </c>
      <c r="C556" s="19">
        <v>16</v>
      </c>
      <c r="F556" s="9">
        <f t="shared" si="8"/>
        <v>13612.583889379228</v>
      </c>
    </row>
    <row r="557" spans="1:6">
      <c r="A557" t="s">
        <v>13311</v>
      </c>
      <c r="B557" s="18" t="s">
        <v>20154</v>
      </c>
      <c r="C557" s="19">
        <v>2</v>
      </c>
      <c r="F557" s="9">
        <f t="shared" si="8"/>
        <v>1701.5729861724035</v>
      </c>
    </row>
    <row r="558" spans="1:6">
      <c r="A558" t="s">
        <v>13311</v>
      </c>
      <c r="B558" s="18" t="s">
        <v>20165</v>
      </c>
      <c r="C558" s="19">
        <v>5</v>
      </c>
      <c r="F558" s="9">
        <f t="shared" si="8"/>
        <v>4253.9324654310085</v>
      </c>
    </row>
    <row r="559" spans="1:6">
      <c r="A559" t="s">
        <v>13311</v>
      </c>
      <c r="B559" s="18" t="s">
        <v>20166</v>
      </c>
      <c r="C559" s="19">
        <v>4</v>
      </c>
      <c r="F559" s="9">
        <f t="shared" si="8"/>
        <v>3403.145972344807</v>
      </c>
    </row>
    <row r="560" spans="1:6">
      <c r="A560" t="s">
        <v>13311</v>
      </c>
      <c r="B560" s="18" t="s">
        <v>8448</v>
      </c>
      <c r="C560" s="19">
        <v>224</v>
      </c>
      <c r="F560" s="9">
        <f t="shared" si="8"/>
        <v>190576.1744513092</v>
      </c>
    </row>
    <row r="561" spans="1:6">
      <c r="A561" t="s">
        <v>13311</v>
      </c>
      <c r="B561" s="18" t="s">
        <v>12736</v>
      </c>
      <c r="C561" s="19">
        <v>69</v>
      </c>
      <c r="F561" s="9">
        <f t="shared" si="8"/>
        <v>58704.268022947923</v>
      </c>
    </row>
    <row r="562" spans="1:6">
      <c r="A562" t="s">
        <v>13311</v>
      </c>
      <c r="B562" s="18" t="s">
        <v>8455</v>
      </c>
      <c r="C562" s="19">
        <v>16</v>
      </c>
      <c r="F562" s="9">
        <f t="shared" si="8"/>
        <v>13612.583889379228</v>
      </c>
    </row>
    <row r="563" spans="1:6">
      <c r="A563" t="s">
        <v>13311</v>
      </c>
      <c r="B563" s="18" t="s">
        <v>8458</v>
      </c>
      <c r="C563" s="19">
        <v>24</v>
      </c>
      <c r="F563" s="9">
        <f t="shared" si="8"/>
        <v>20418.875834068844</v>
      </c>
    </row>
    <row r="564" spans="1:6">
      <c r="A564" t="s">
        <v>13311</v>
      </c>
      <c r="B564" s="18" t="s">
        <v>8461</v>
      </c>
      <c r="C564" s="19">
        <v>6</v>
      </c>
      <c r="F564" s="9">
        <f t="shared" si="8"/>
        <v>5104.7189585172109</v>
      </c>
    </row>
    <row r="565" spans="1:6">
      <c r="A565" t="s">
        <v>13311</v>
      </c>
      <c r="B565" s="18" t="s">
        <v>8464</v>
      </c>
      <c r="C565" s="19">
        <v>5</v>
      </c>
      <c r="F565" s="9">
        <f t="shared" si="8"/>
        <v>4253.9324654310085</v>
      </c>
    </row>
    <row r="566" spans="1:6">
      <c r="A566" t="s">
        <v>13311</v>
      </c>
      <c r="B566" s="18" t="s">
        <v>8470</v>
      </c>
      <c r="C566" s="19">
        <v>1</v>
      </c>
      <c r="F566" s="9">
        <f t="shared" si="8"/>
        <v>850.78649308620174</v>
      </c>
    </row>
    <row r="567" spans="1:6">
      <c r="A567" t="s">
        <v>13311</v>
      </c>
      <c r="B567" s="18" t="s">
        <v>12761</v>
      </c>
      <c r="C567" s="19">
        <v>10</v>
      </c>
      <c r="F567" s="9">
        <f t="shared" si="8"/>
        <v>8507.864930862017</v>
      </c>
    </row>
    <row r="568" spans="1:6">
      <c r="A568" t="s">
        <v>13311</v>
      </c>
      <c r="B568" s="18" t="s">
        <v>8475</v>
      </c>
      <c r="C568" s="19">
        <v>11</v>
      </c>
      <c r="F568" s="9">
        <f t="shared" si="8"/>
        <v>9358.6514239482185</v>
      </c>
    </row>
    <row r="569" spans="1:6">
      <c r="A569" t="s">
        <v>13311</v>
      </c>
      <c r="B569" s="18" t="s">
        <v>8478</v>
      </c>
      <c r="C569" s="19">
        <v>17</v>
      </c>
      <c r="F569" s="9">
        <f t="shared" si="8"/>
        <v>14463.370382465429</v>
      </c>
    </row>
    <row r="570" spans="1:6">
      <c r="A570" t="s">
        <v>13311</v>
      </c>
      <c r="B570" s="18" t="s">
        <v>8484</v>
      </c>
      <c r="C570" s="19">
        <v>5</v>
      </c>
      <c r="F570" s="9">
        <f t="shared" si="8"/>
        <v>4253.9324654310085</v>
      </c>
    </row>
    <row r="571" spans="1:6">
      <c r="A571" t="s">
        <v>13311</v>
      </c>
      <c r="B571" s="18" t="s">
        <v>8487</v>
      </c>
      <c r="C571" s="19">
        <v>8</v>
      </c>
      <c r="F571" s="9">
        <f t="shared" si="8"/>
        <v>6806.291944689614</v>
      </c>
    </row>
    <row r="572" spans="1:6">
      <c r="A572" t="s">
        <v>13311</v>
      </c>
      <c r="B572" s="18" t="s">
        <v>8492</v>
      </c>
      <c r="C572" s="19">
        <v>5</v>
      </c>
      <c r="F572" s="9">
        <f t="shared" si="8"/>
        <v>4253.9324654310085</v>
      </c>
    </row>
    <row r="573" spans="1:6">
      <c r="A573" t="s">
        <v>13311</v>
      </c>
      <c r="B573" s="18" t="s">
        <v>12825</v>
      </c>
      <c r="C573" s="19">
        <v>1</v>
      </c>
      <c r="F573" s="9">
        <f t="shared" si="8"/>
        <v>850.78649308620174</v>
      </c>
    </row>
    <row r="574" spans="1:6">
      <c r="A574" t="s">
        <v>13311</v>
      </c>
      <c r="B574" s="18" t="s">
        <v>12828</v>
      </c>
      <c r="C574" s="19">
        <v>25</v>
      </c>
      <c r="F574" s="9">
        <f t="shared" si="8"/>
        <v>21269.662327155045</v>
      </c>
    </row>
    <row r="575" spans="1:6">
      <c r="A575" t="s">
        <v>13311</v>
      </c>
      <c r="B575" s="18" t="s">
        <v>12831</v>
      </c>
      <c r="C575" s="19">
        <v>20</v>
      </c>
      <c r="F575" s="9">
        <f t="shared" si="8"/>
        <v>17015.729861724034</v>
      </c>
    </row>
    <row r="576" spans="1:6">
      <c r="A576" t="s">
        <v>13311</v>
      </c>
      <c r="B576" s="18" t="s">
        <v>12857</v>
      </c>
      <c r="C576" s="19">
        <v>27</v>
      </c>
      <c r="F576" s="9">
        <f t="shared" si="8"/>
        <v>22971.235313327448</v>
      </c>
    </row>
    <row r="577" spans="1:6">
      <c r="A577" t="s">
        <v>13311</v>
      </c>
      <c r="B577" s="18" t="s">
        <v>8515</v>
      </c>
      <c r="C577" s="19">
        <v>1</v>
      </c>
      <c r="F577" s="9">
        <f t="shared" si="8"/>
        <v>850.78649308620174</v>
      </c>
    </row>
    <row r="578" spans="1:6">
      <c r="A578" t="s">
        <v>13311</v>
      </c>
      <c r="B578" s="18" t="s">
        <v>8518</v>
      </c>
      <c r="C578" s="19">
        <v>2</v>
      </c>
      <c r="F578" s="9">
        <f t="shared" si="8"/>
        <v>1701.5729861724035</v>
      </c>
    </row>
    <row r="579" spans="1:6">
      <c r="A579" t="s">
        <v>13311</v>
      </c>
      <c r="B579" s="18" t="s">
        <v>12810</v>
      </c>
      <c r="C579" s="19">
        <v>1</v>
      </c>
      <c r="F579" s="9">
        <f t="shared" si="8"/>
        <v>850.78649308620174</v>
      </c>
    </row>
    <row r="580" spans="1:6">
      <c r="A580" t="s">
        <v>13311</v>
      </c>
      <c r="B580" s="18" t="s">
        <v>19779</v>
      </c>
      <c r="C580" s="19">
        <v>2</v>
      </c>
      <c r="F580" s="9">
        <f t="shared" si="8"/>
        <v>1701.5729861724035</v>
      </c>
    </row>
    <row r="581" spans="1:6">
      <c r="A581" t="s">
        <v>13311</v>
      </c>
      <c r="B581" s="18" t="s">
        <v>12863</v>
      </c>
      <c r="C581" s="19">
        <v>30</v>
      </c>
      <c r="F581" s="9">
        <f t="shared" ref="F581:F644" si="9">C581*$F$3</f>
        <v>25523.594792586053</v>
      </c>
    </row>
    <row r="582" spans="1:6">
      <c r="A582" t="s">
        <v>13311</v>
      </c>
      <c r="B582" s="18" t="s">
        <v>12952</v>
      </c>
      <c r="C582" s="19">
        <v>4</v>
      </c>
      <c r="F582" s="9">
        <f t="shared" si="9"/>
        <v>3403.145972344807</v>
      </c>
    </row>
    <row r="583" spans="1:6">
      <c r="A583" t="s">
        <v>13311</v>
      </c>
      <c r="B583" s="18" t="s">
        <v>5012</v>
      </c>
      <c r="C583" s="19">
        <v>7</v>
      </c>
      <c r="F583" s="9">
        <f t="shared" si="9"/>
        <v>5955.5054516034124</v>
      </c>
    </row>
    <row r="584" spans="1:6">
      <c r="A584" t="s">
        <v>13311</v>
      </c>
      <c r="B584" s="18" t="s">
        <v>3730</v>
      </c>
      <c r="C584" s="19">
        <v>3</v>
      </c>
      <c r="F584" s="9">
        <f t="shared" si="9"/>
        <v>2552.3594792586055</v>
      </c>
    </row>
    <row r="585" spans="1:6">
      <c r="A585" t="s">
        <v>13311</v>
      </c>
      <c r="B585" s="18" t="s">
        <v>5218</v>
      </c>
      <c r="C585" s="19">
        <v>48</v>
      </c>
      <c r="F585" s="9">
        <f t="shared" si="9"/>
        <v>40837.751668137687</v>
      </c>
    </row>
    <row r="586" spans="1:6">
      <c r="A586" t="s">
        <v>13311</v>
      </c>
      <c r="B586" s="18" t="s">
        <v>8616</v>
      </c>
      <c r="C586" s="19">
        <v>5</v>
      </c>
      <c r="F586" s="9">
        <f t="shared" si="9"/>
        <v>4253.9324654310085</v>
      </c>
    </row>
    <row r="587" spans="1:6">
      <c r="A587" t="s">
        <v>13311</v>
      </c>
      <c r="B587" s="18" t="s">
        <v>3745</v>
      </c>
      <c r="C587" s="19">
        <v>2</v>
      </c>
      <c r="F587" s="9">
        <f t="shared" si="9"/>
        <v>1701.5729861724035</v>
      </c>
    </row>
    <row r="588" spans="1:6">
      <c r="A588" t="s">
        <v>13311</v>
      </c>
      <c r="B588" s="18" t="s">
        <v>6373</v>
      </c>
      <c r="C588" s="19">
        <v>1</v>
      </c>
      <c r="F588" s="9">
        <f t="shared" si="9"/>
        <v>850.78649308620174</v>
      </c>
    </row>
    <row r="589" spans="1:6">
      <c r="A589" t="s">
        <v>13311</v>
      </c>
      <c r="B589" s="18" t="s">
        <v>8631</v>
      </c>
      <c r="C589" s="19">
        <v>8</v>
      </c>
      <c r="F589" s="9">
        <f t="shared" si="9"/>
        <v>6806.291944689614</v>
      </c>
    </row>
    <row r="590" spans="1:6">
      <c r="A590" t="s">
        <v>13311</v>
      </c>
      <c r="B590" s="18" t="s">
        <v>8634</v>
      </c>
      <c r="C590" s="19">
        <v>12</v>
      </c>
      <c r="F590" s="9">
        <f t="shared" si="9"/>
        <v>10209.437917034422</v>
      </c>
    </row>
    <row r="591" spans="1:6">
      <c r="A591" t="s">
        <v>13311</v>
      </c>
      <c r="B591" s="18" t="s">
        <v>12330</v>
      </c>
      <c r="C591" s="19">
        <v>40</v>
      </c>
      <c r="F591" s="9">
        <f t="shared" si="9"/>
        <v>34031.459723448068</v>
      </c>
    </row>
    <row r="592" spans="1:6">
      <c r="A592" t="s">
        <v>13311</v>
      </c>
      <c r="B592" s="18" t="s">
        <v>12353</v>
      </c>
      <c r="C592" s="19">
        <v>16</v>
      </c>
      <c r="F592" s="9">
        <f t="shared" si="9"/>
        <v>13612.583889379228</v>
      </c>
    </row>
    <row r="593" spans="1:6">
      <c r="A593" t="s">
        <v>13311</v>
      </c>
      <c r="B593" s="18" t="s">
        <v>8657</v>
      </c>
      <c r="C593" s="19">
        <v>15</v>
      </c>
      <c r="F593" s="9">
        <f t="shared" si="9"/>
        <v>12761.797396293026</v>
      </c>
    </row>
    <row r="594" spans="1:6">
      <c r="A594" t="s">
        <v>13311</v>
      </c>
      <c r="B594" s="18" t="s">
        <v>8660</v>
      </c>
      <c r="C594" s="19">
        <v>28</v>
      </c>
      <c r="F594" s="9">
        <f t="shared" si="9"/>
        <v>23822.02180641365</v>
      </c>
    </row>
    <row r="595" spans="1:6">
      <c r="A595" t="s">
        <v>13311</v>
      </c>
      <c r="B595" s="18" t="s">
        <v>6865</v>
      </c>
      <c r="C595" s="19">
        <v>6</v>
      </c>
      <c r="F595" s="9">
        <f t="shared" si="9"/>
        <v>5104.7189585172109</v>
      </c>
    </row>
    <row r="596" spans="1:6">
      <c r="A596" t="s">
        <v>13311</v>
      </c>
      <c r="B596" s="18" t="s">
        <v>6868</v>
      </c>
      <c r="C596" s="19">
        <v>7</v>
      </c>
      <c r="F596" s="9">
        <f t="shared" si="9"/>
        <v>5955.5054516034124</v>
      </c>
    </row>
    <row r="597" spans="1:6">
      <c r="A597" t="s">
        <v>13311</v>
      </c>
      <c r="B597" s="18" t="s">
        <v>20173</v>
      </c>
      <c r="C597" s="19">
        <v>12</v>
      </c>
      <c r="F597" s="9">
        <f t="shared" si="9"/>
        <v>10209.437917034422</v>
      </c>
    </row>
    <row r="598" spans="1:6">
      <c r="A598" t="s">
        <v>13311</v>
      </c>
      <c r="B598" s="18" t="s">
        <v>20174</v>
      </c>
      <c r="C598" s="19">
        <v>22</v>
      </c>
      <c r="F598" s="9">
        <f t="shared" si="9"/>
        <v>18717.302847896437</v>
      </c>
    </row>
    <row r="599" spans="1:6">
      <c r="A599" t="s">
        <v>13311</v>
      </c>
      <c r="B599" s="18" t="s">
        <v>3629</v>
      </c>
      <c r="C599" s="19">
        <v>3</v>
      </c>
      <c r="F599" s="9">
        <f t="shared" si="9"/>
        <v>2552.3594792586055</v>
      </c>
    </row>
    <row r="600" spans="1:6">
      <c r="A600" t="s">
        <v>13311</v>
      </c>
      <c r="B600" s="18" t="s">
        <v>5236</v>
      </c>
      <c r="C600" s="19">
        <v>13</v>
      </c>
      <c r="F600" s="9">
        <f t="shared" si="9"/>
        <v>11060.224410120623</v>
      </c>
    </row>
    <row r="601" spans="1:6">
      <c r="A601" t="s">
        <v>13311</v>
      </c>
      <c r="B601" s="18" t="s">
        <v>5243</v>
      </c>
      <c r="C601" s="19">
        <v>16</v>
      </c>
      <c r="F601" s="9">
        <f t="shared" si="9"/>
        <v>13612.583889379228</v>
      </c>
    </row>
    <row r="602" spans="1:6">
      <c r="A602" t="s">
        <v>13311</v>
      </c>
      <c r="B602" s="18" t="s">
        <v>8903</v>
      </c>
      <c r="C602" s="19">
        <v>4</v>
      </c>
      <c r="F602" s="9">
        <f t="shared" si="9"/>
        <v>3403.145972344807</v>
      </c>
    </row>
    <row r="603" spans="1:6">
      <c r="A603" t="s">
        <v>13311</v>
      </c>
      <c r="B603" s="18" t="s">
        <v>8906</v>
      </c>
      <c r="C603" s="19">
        <v>11</v>
      </c>
      <c r="F603" s="9">
        <f t="shared" si="9"/>
        <v>9358.6514239482185</v>
      </c>
    </row>
    <row r="604" spans="1:6">
      <c r="A604" t="s">
        <v>13311</v>
      </c>
      <c r="B604" s="18" t="s">
        <v>8909</v>
      </c>
      <c r="C604" s="19">
        <v>8</v>
      </c>
      <c r="F604" s="9">
        <f t="shared" si="9"/>
        <v>6806.291944689614</v>
      </c>
    </row>
    <row r="605" spans="1:6">
      <c r="A605" t="s">
        <v>13311</v>
      </c>
      <c r="B605" s="18" t="s">
        <v>12318</v>
      </c>
      <c r="C605" s="19">
        <v>13</v>
      </c>
      <c r="F605" s="9">
        <f t="shared" si="9"/>
        <v>11060.224410120623</v>
      </c>
    </row>
    <row r="606" spans="1:6">
      <c r="A606" t="s">
        <v>13311</v>
      </c>
      <c r="B606" s="18" t="s">
        <v>8916</v>
      </c>
      <c r="C606" s="19">
        <v>9</v>
      </c>
      <c r="F606" s="9">
        <f t="shared" si="9"/>
        <v>7657.0784377758155</v>
      </c>
    </row>
    <row r="607" spans="1:6">
      <c r="A607" t="s">
        <v>13311</v>
      </c>
      <c r="B607" s="18" t="s">
        <v>8919</v>
      </c>
      <c r="C607" s="19">
        <v>4</v>
      </c>
      <c r="F607" s="9">
        <f t="shared" si="9"/>
        <v>3403.145972344807</v>
      </c>
    </row>
    <row r="608" spans="1:6">
      <c r="A608" t="s">
        <v>13311</v>
      </c>
      <c r="B608" s="18" t="s">
        <v>5252</v>
      </c>
      <c r="C608" s="19">
        <v>16</v>
      </c>
      <c r="F608" s="9">
        <f t="shared" si="9"/>
        <v>13612.583889379228</v>
      </c>
    </row>
    <row r="609" spans="1:6">
      <c r="A609" t="s">
        <v>13311</v>
      </c>
      <c r="B609" s="18" t="s">
        <v>5273</v>
      </c>
      <c r="C609" s="19">
        <v>27</v>
      </c>
      <c r="F609" s="9">
        <f t="shared" si="9"/>
        <v>22971.235313327448</v>
      </c>
    </row>
    <row r="610" spans="1:6">
      <c r="A610" t="s">
        <v>13311</v>
      </c>
      <c r="B610" s="18" t="s">
        <v>5282</v>
      </c>
      <c r="C610" s="19">
        <v>4</v>
      </c>
      <c r="F610" s="9">
        <f t="shared" si="9"/>
        <v>3403.145972344807</v>
      </c>
    </row>
    <row r="611" spans="1:6">
      <c r="A611" t="s">
        <v>13311</v>
      </c>
      <c r="B611" s="18" t="s">
        <v>9011</v>
      </c>
      <c r="C611" s="19">
        <v>7</v>
      </c>
      <c r="F611" s="9">
        <f t="shared" si="9"/>
        <v>5955.5054516034124</v>
      </c>
    </row>
    <row r="612" spans="1:6">
      <c r="A612" t="s">
        <v>13311</v>
      </c>
      <c r="B612" s="18" t="s">
        <v>9017</v>
      </c>
      <c r="C612" s="19">
        <v>9</v>
      </c>
      <c r="F612" s="9">
        <f t="shared" si="9"/>
        <v>7657.0784377758155</v>
      </c>
    </row>
    <row r="613" spans="1:6">
      <c r="A613" t="s">
        <v>13311</v>
      </c>
      <c r="B613" s="18" t="s">
        <v>9020</v>
      </c>
      <c r="C613" s="19">
        <v>12</v>
      </c>
      <c r="F613" s="9">
        <f t="shared" si="9"/>
        <v>10209.437917034422</v>
      </c>
    </row>
    <row r="614" spans="1:6">
      <c r="A614" t="s">
        <v>13311</v>
      </c>
      <c r="B614" s="18" t="s">
        <v>9023</v>
      </c>
      <c r="C614" s="19">
        <v>108</v>
      </c>
      <c r="F614" s="9">
        <f t="shared" si="9"/>
        <v>91884.941253309793</v>
      </c>
    </row>
    <row r="615" spans="1:6">
      <c r="A615" t="s">
        <v>13311</v>
      </c>
      <c r="B615" s="18" t="s">
        <v>9026</v>
      </c>
      <c r="C615" s="19">
        <v>21</v>
      </c>
      <c r="F615" s="9">
        <f t="shared" si="9"/>
        <v>17866.516354810235</v>
      </c>
    </row>
    <row r="616" spans="1:6">
      <c r="A616" t="s">
        <v>13311</v>
      </c>
      <c r="B616" s="18" t="s">
        <v>12739</v>
      </c>
      <c r="C616" s="19">
        <v>5</v>
      </c>
      <c r="F616" s="9">
        <f t="shared" si="9"/>
        <v>4253.9324654310085</v>
      </c>
    </row>
    <row r="617" spans="1:6">
      <c r="A617" t="s">
        <v>13311</v>
      </c>
      <c r="B617" s="18" t="s">
        <v>9032</v>
      </c>
      <c r="C617" s="19">
        <v>54</v>
      </c>
      <c r="F617" s="9">
        <f t="shared" si="9"/>
        <v>45942.470626654896</v>
      </c>
    </row>
    <row r="618" spans="1:6">
      <c r="A618" t="s">
        <v>13311</v>
      </c>
      <c r="B618" s="18" t="s">
        <v>9039</v>
      </c>
      <c r="C618" s="19">
        <v>11</v>
      </c>
      <c r="F618" s="9">
        <f t="shared" si="9"/>
        <v>9358.6514239482185</v>
      </c>
    </row>
    <row r="619" spans="1:6">
      <c r="A619" t="s">
        <v>13311</v>
      </c>
      <c r="B619" s="18" t="s">
        <v>9042</v>
      </c>
      <c r="C619" s="19">
        <v>7</v>
      </c>
      <c r="F619" s="9">
        <f t="shared" si="9"/>
        <v>5955.5054516034124</v>
      </c>
    </row>
    <row r="620" spans="1:6">
      <c r="A620" t="s">
        <v>13311</v>
      </c>
      <c r="B620" s="18" t="s">
        <v>9045</v>
      </c>
      <c r="C620" s="19">
        <v>27</v>
      </c>
      <c r="F620" s="9">
        <f t="shared" si="9"/>
        <v>22971.235313327448</v>
      </c>
    </row>
    <row r="621" spans="1:6">
      <c r="A621" t="s">
        <v>13311</v>
      </c>
      <c r="B621" s="18" t="s">
        <v>9055</v>
      </c>
      <c r="C621" s="19">
        <v>9</v>
      </c>
      <c r="F621" s="9">
        <f t="shared" si="9"/>
        <v>7657.0784377758155</v>
      </c>
    </row>
    <row r="622" spans="1:6">
      <c r="A622" t="s">
        <v>13311</v>
      </c>
      <c r="B622" s="18" t="s">
        <v>9105</v>
      </c>
      <c r="C622" s="19">
        <v>13</v>
      </c>
      <c r="F622" s="9">
        <f t="shared" si="9"/>
        <v>11060.224410120623</v>
      </c>
    </row>
    <row r="623" spans="1:6">
      <c r="A623" t="s">
        <v>13311</v>
      </c>
      <c r="B623" s="18" t="s">
        <v>9108</v>
      </c>
      <c r="C623" s="19">
        <v>8</v>
      </c>
      <c r="F623" s="9">
        <f t="shared" si="9"/>
        <v>6806.291944689614</v>
      </c>
    </row>
    <row r="624" spans="1:6">
      <c r="A624" t="s">
        <v>13311</v>
      </c>
      <c r="B624" s="18" t="s">
        <v>9111</v>
      </c>
      <c r="C624" s="19">
        <v>3</v>
      </c>
      <c r="F624" s="9">
        <f t="shared" si="9"/>
        <v>2552.3594792586055</v>
      </c>
    </row>
    <row r="625" spans="1:6">
      <c r="A625" t="s">
        <v>13311</v>
      </c>
      <c r="B625" s="18" t="s">
        <v>9114</v>
      </c>
      <c r="C625" s="19">
        <v>3</v>
      </c>
      <c r="F625" s="9">
        <f t="shared" si="9"/>
        <v>2552.3594792586055</v>
      </c>
    </row>
    <row r="626" spans="1:6">
      <c r="A626" t="s">
        <v>13311</v>
      </c>
      <c r="B626" s="18" t="s">
        <v>9117</v>
      </c>
      <c r="C626" s="19">
        <v>60</v>
      </c>
      <c r="F626" s="9">
        <f t="shared" si="9"/>
        <v>51047.189585172106</v>
      </c>
    </row>
    <row r="627" spans="1:6">
      <c r="A627" t="s">
        <v>13311</v>
      </c>
      <c r="B627" s="18" t="s">
        <v>9119</v>
      </c>
      <c r="C627" s="19">
        <v>20</v>
      </c>
      <c r="F627" s="9">
        <f t="shared" si="9"/>
        <v>17015.729861724034</v>
      </c>
    </row>
    <row r="628" spans="1:6">
      <c r="A628" t="s">
        <v>13311</v>
      </c>
      <c r="B628" s="18" t="s">
        <v>9122</v>
      </c>
      <c r="C628" s="19">
        <v>2</v>
      </c>
      <c r="F628" s="9">
        <f t="shared" si="9"/>
        <v>1701.5729861724035</v>
      </c>
    </row>
    <row r="629" spans="1:6">
      <c r="A629" t="s">
        <v>13311</v>
      </c>
      <c r="B629" s="18" t="s">
        <v>9124</v>
      </c>
      <c r="C629" s="19">
        <v>13</v>
      </c>
      <c r="F629" s="9">
        <f t="shared" si="9"/>
        <v>11060.224410120623</v>
      </c>
    </row>
    <row r="630" spans="1:6">
      <c r="A630" t="s">
        <v>13311</v>
      </c>
      <c r="B630" s="18" t="s">
        <v>9126</v>
      </c>
      <c r="C630" s="19">
        <v>3</v>
      </c>
      <c r="F630" s="9">
        <f t="shared" si="9"/>
        <v>2552.3594792586055</v>
      </c>
    </row>
    <row r="631" spans="1:6">
      <c r="A631" t="s">
        <v>13311</v>
      </c>
      <c r="B631" s="18" t="s">
        <v>11617</v>
      </c>
      <c r="C631" s="19">
        <v>52</v>
      </c>
      <c r="F631" s="9">
        <f t="shared" si="9"/>
        <v>44240.897640482493</v>
      </c>
    </row>
    <row r="632" spans="1:6">
      <c r="A632" t="s">
        <v>13311</v>
      </c>
      <c r="B632" s="18" t="s">
        <v>9133</v>
      </c>
      <c r="C632" s="19">
        <v>29</v>
      </c>
      <c r="F632" s="9">
        <f t="shared" si="9"/>
        <v>24672.808299499851</v>
      </c>
    </row>
    <row r="633" spans="1:6">
      <c r="A633" t="s">
        <v>13311</v>
      </c>
      <c r="B633" s="18" t="s">
        <v>9135</v>
      </c>
      <c r="C633" s="19">
        <v>42</v>
      </c>
      <c r="F633" s="9">
        <f t="shared" si="9"/>
        <v>35733.032709620471</v>
      </c>
    </row>
    <row r="634" spans="1:6">
      <c r="A634" t="s">
        <v>13311</v>
      </c>
      <c r="B634" s="18" t="s">
        <v>9137</v>
      </c>
      <c r="C634" s="19">
        <v>1</v>
      </c>
      <c r="F634" s="9">
        <f t="shared" si="9"/>
        <v>850.78649308620174</v>
      </c>
    </row>
    <row r="635" spans="1:6">
      <c r="A635" t="s">
        <v>13311</v>
      </c>
      <c r="B635" s="18" t="s">
        <v>9139</v>
      </c>
      <c r="C635" s="19">
        <v>8</v>
      </c>
      <c r="F635" s="9">
        <f t="shared" si="9"/>
        <v>6806.291944689614</v>
      </c>
    </row>
    <row r="636" spans="1:6">
      <c r="A636" t="s">
        <v>13311</v>
      </c>
      <c r="B636" s="18" t="s">
        <v>9141</v>
      </c>
      <c r="C636" s="19">
        <v>6</v>
      </c>
      <c r="F636" s="9">
        <f t="shared" si="9"/>
        <v>5104.7189585172109</v>
      </c>
    </row>
    <row r="637" spans="1:6">
      <c r="A637" t="s">
        <v>13311</v>
      </c>
      <c r="B637" s="18" t="s">
        <v>19742</v>
      </c>
      <c r="C637" s="19">
        <v>92</v>
      </c>
      <c r="F637" s="9">
        <f t="shared" si="9"/>
        <v>78272.357363930554</v>
      </c>
    </row>
    <row r="638" spans="1:6">
      <c r="A638" t="s">
        <v>13311</v>
      </c>
      <c r="B638" s="18" t="s">
        <v>10510</v>
      </c>
      <c r="C638" s="19">
        <v>1</v>
      </c>
      <c r="F638" s="9">
        <f t="shared" si="9"/>
        <v>850.78649308620174</v>
      </c>
    </row>
    <row r="639" spans="1:6">
      <c r="A639" t="s">
        <v>13311</v>
      </c>
      <c r="B639" s="18" t="s">
        <v>19746</v>
      </c>
      <c r="C639" s="19">
        <v>102</v>
      </c>
      <c r="F639" s="9">
        <f t="shared" si="9"/>
        <v>86780.222294792577</v>
      </c>
    </row>
    <row r="640" spans="1:6">
      <c r="A640" t="s">
        <v>13311</v>
      </c>
      <c r="B640" s="18" t="s">
        <v>18190</v>
      </c>
      <c r="C640" s="19">
        <v>2</v>
      </c>
      <c r="F640" s="9">
        <f t="shared" si="9"/>
        <v>1701.5729861724035</v>
      </c>
    </row>
    <row r="641" spans="1:6">
      <c r="A641" t="s">
        <v>13311</v>
      </c>
      <c r="B641" s="18" t="s">
        <v>19753</v>
      </c>
      <c r="C641" s="19">
        <v>15</v>
      </c>
      <c r="F641" s="9">
        <f t="shared" si="9"/>
        <v>12761.797396293026</v>
      </c>
    </row>
    <row r="642" spans="1:6">
      <c r="A642" t="s">
        <v>13311</v>
      </c>
      <c r="B642" s="18" t="s">
        <v>19757</v>
      </c>
      <c r="C642" s="19">
        <v>6</v>
      </c>
      <c r="F642" s="9">
        <f t="shared" si="9"/>
        <v>5104.7189585172109</v>
      </c>
    </row>
    <row r="643" spans="1:6">
      <c r="A643" t="s">
        <v>13311</v>
      </c>
      <c r="B643" s="18" t="s">
        <v>19761</v>
      </c>
      <c r="C643" s="19">
        <v>9</v>
      </c>
      <c r="F643" s="9">
        <f t="shared" si="9"/>
        <v>7657.0784377758155</v>
      </c>
    </row>
    <row r="644" spans="1:6">
      <c r="A644" t="s">
        <v>13311</v>
      </c>
      <c r="B644" s="18" t="s">
        <v>5192</v>
      </c>
      <c r="C644" s="19">
        <v>7</v>
      </c>
      <c r="F644" s="9">
        <f t="shared" si="9"/>
        <v>5955.5054516034124</v>
      </c>
    </row>
    <row r="645" spans="1:6">
      <c r="A645" t="s">
        <v>13311</v>
      </c>
      <c r="B645" s="18" t="s">
        <v>5966</v>
      </c>
      <c r="C645" s="19">
        <v>11</v>
      </c>
      <c r="F645" s="9">
        <f t="shared" ref="F645:F708" si="10">C645*$F$3</f>
        <v>9358.6514239482185</v>
      </c>
    </row>
    <row r="646" spans="1:6">
      <c r="A646" t="s">
        <v>13311</v>
      </c>
      <c r="B646" s="18" t="s">
        <v>11787</v>
      </c>
      <c r="C646" s="19">
        <v>3</v>
      </c>
      <c r="F646" s="9">
        <f t="shared" si="10"/>
        <v>2552.3594792586055</v>
      </c>
    </row>
    <row r="647" spans="1:6">
      <c r="A647" t="s">
        <v>13311</v>
      </c>
      <c r="B647" s="18" t="s">
        <v>5174</v>
      </c>
      <c r="C647" s="19">
        <v>3</v>
      </c>
      <c r="F647" s="9">
        <f t="shared" si="10"/>
        <v>2552.3594792586055</v>
      </c>
    </row>
    <row r="648" spans="1:6">
      <c r="A648" t="s">
        <v>13311</v>
      </c>
      <c r="B648" s="18" t="s">
        <v>11840</v>
      </c>
      <c r="C648" s="19">
        <v>1</v>
      </c>
      <c r="F648" s="9">
        <f t="shared" si="10"/>
        <v>850.78649308620174</v>
      </c>
    </row>
    <row r="649" spans="1:6">
      <c r="A649" t="s">
        <v>13311</v>
      </c>
      <c r="B649" s="18" t="s">
        <v>11846</v>
      </c>
      <c r="C649" s="19">
        <v>6</v>
      </c>
      <c r="F649" s="9">
        <f t="shared" si="10"/>
        <v>5104.7189585172109</v>
      </c>
    </row>
    <row r="650" spans="1:6">
      <c r="A650" t="s">
        <v>13311</v>
      </c>
      <c r="B650" s="18" t="s">
        <v>12072</v>
      </c>
      <c r="C650" s="19">
        <v>2</v>
      </c>
      <c r="F650" s="9">
        <f t="shared" si="10"/>
        <v>1701.5729861724035</v>
      </c>
    </row>
    <row r="651" spans="1:6">
      <c r="A651" t="s">
        <v>13311</v>
      </c>
      <c r="B651" s="18" t="s">
        <v>12075</v>
      </c>
      <c r="C651" s="19">
        <v>3</v>
      </c>
      <c r="F651" s="9">
        <f t="shared" si="10"/>
        <v>2552.3594792586055</v>
      </c>
    </row>
    <row r="652" spans="1:6">
      <c r="A652" t="s">
        <v>13311</v>
      </c>
      <c r="B652" s="18" t="s">
        <v>7067</v>
      </c>
      <c r="C652" s="19">
        <v>6</v>
      </c>
      <c r="F652" s="9">
        <f t="shared" si="10"/>
        <v>5104.7189585172109</v>
      </c>
    </row>
    <row r="653" spans="1:6">
      <c r="A653" t="s">
        <v>13311</v>
      </c>
      <c r="B653" s="18" t="s">
        <v>12281</v>
      </c>
      <c r="C653" s="19">
        <v>9</v>
      </c>
      <c r="F653" s="9">
        <f t="shared" si="10"/>
        <v>7657.0784377758155</v>
      </c>
    </row>
    <row r="654" spans="1:6">
      <c r="A654" t="s">
        <v>13311</v>
      </c>
      <c r="B654" s="18" t="s">
        <v>6135</v>
      </c>
      <c r="C654" s="19">
        <v>31</v>
      </c>
      <c r="F654" s="9">
        <f t="shared" si="10"/>
        <v>26374.381285672254</v>
      </c>
    </row>
    <row r="655" spans="1:6">
      <c r="A655" t="s">
        <v>13311</v>
      </c>
      <c r="B655" s="18" t="s">
        <v>12340</v>
      </c>
      <c r="C655" s="19">
        <v>2</v>
      </c>
      <c r="F655" s="9">
        <f t="shared" si="10"/>
        <v>1701.5729861724035</v>
      </c>
    </row>
    <row r="656" spans="1:6">
      <c r="A656" t="s">
        <v>13311</v>
      </c>
      <c r="B656" s="18" t="s">
        <v>12343</v>
      </c>
      <c r="C656" s="19">
        <v>6</v>
      </c>
      <c r="F656" s="9">
        <f t="shared" si="10"/>
        <v>5104.7189585172109</v>
      </c>
    </row>
    <row r="657" spans="1:6">
      <c r="A657" t="s">
        <v>13311</v>
      </c>
      <c r="B657" s="18" t="s">
        <v>12707</v>
      </c>
      <c r="C657" s="19">
        <v>29</v>
      </c>
      <c r="F657" s="9">
        <f t="shared" si="10"/>
        <v>24672.808299499851</v>
      </c>
    </row>
    <row r="658" spans="1:6">
      <c r="A658" t="s">
        <v>13311</v>
      </c>
      <c r="B658" s="18" t="s">
        <v>12742</v>
      </c>
      <c r="C658" s="19">
        <v>10</v>
      </c>
      <c r="F658" s="9">
        <f t="shared" si="10"/>
        <v>8507.864930862017</v>
      </c>
    </row>
    <row r="659" spans="1:6">
      <c r="A659" t="s">
        <v>13311</v>
      </c>
      <c r="B659" s="18" t="s">
        <v>13004</v>
      </c>
      <c r="C659" s="19">
        <v>6</v>
      </c>
      <c r="F659" s="9">
        <f t="shared" si="10"/>
        <v>5104.7189585172109</v>
      </c>
    </row>
    <row r="660" spans="1:6">
      <c r="A660" t="s">
        <v>13311</v>
      </c>
      <c r="B660" s="18" t="s">
        <v>13037</v>
      </c>
      <c r="C660" s="19">
        <v>3</v>
      </c>
      <c r="F660" s="9">
        <f t="shared" si="10"/>
        <v>2552.3594792586055</v>
      </c>
    </row>
    <row r="661" spans="1:6">
      <c r="A661" t="s">
        <v>13311</v>
      </c>
      <c r="B661" s="18" t="s">
        <v>12932</v>
      </c>
      <c r="C661" s="19">
        <v>40</v>
      </c>
      <c r="F661" s="9">
        <f t="shared" si="10"/>
        <v>34031.459723448068</v>
      </c>
    </row>
    <row r="662" spans="1:6">
      <c r="A662" t="s">
        <v>13311</v>
      </c>
      <c r="B662" s="18" t="s">
        <v>13168</v>
      </c>
      <c r="C662" s="19">
        <v>7</v>
      </c>
      <c r="F662" s="9">
        <f t="shared" si="10"/>
        <v>5955.5054516034124</v>
      </c>
    </row>
    <row r="663" spans="1:6">
      <c r="A663" t="s">
        <v>13311</v>
      </c>
      <c r="B663" s="18" t="s">
        <v>12748</v>
      </c>
      <c r="C663" s="19">
        <v>45</v>
      </c>
      <c r="F663" s="9">
        <f t="shared" si="10"/>
        <v>38285.392188879079</v>
      </c>
    </row>
    <row r="664" spans="1:6">
      <c r="A664" t="s">
        <v>13311</v>
      </c>
      <c r="B664" s="18" t="s">
        <v>3924</v>
      </c>
      <c r="C664" s="19">
        <v>1</v>
      </c>
      <c r="F664" s="9">
        <f t="shared" si="10"/>
        <v>850.78649308620174</v>
      </c>
    </row>
    <row r="665" spans="1:6">
      <c r="A665" t="s">
        <v>13311</v>
      </c>
      <c r="B665" s="18" t="s">
        <v>20189</v>
      </c>
      <c r="C665" s="19">
        <v>2</v>
      </c>
      <c r="F665" s="9">
        <f t="shared" si="10"/>
        <v>1701.5729861724035</v>
      </c>
    </row>
    <row r="666" spans="1:6">
      <c r="A666" t="s">
        <v>13311</v>
      </c>
      <c r="B666" s="18" t="s">
        <v>20190</v>
      </c>
      <c r="C666" s="19">
        <v>13</v>
      </c>
      <c r="F666" s="9">
        <f t="shared" si="10"/>
        <v>11060.224410120623</v>
      </c>
    </row>
    <row r="667" spans="1:6">
      <c r="A667" t="s">
        <v>13311</v>
      </c>
      <c r="B667" s="18" t="s">
        <v>20191</v>
      </c>
      <c r="C667" s="19">
        <v>1</v>
      </c>
      <c r="F667" s="9">
        <f t="shared" si="10"/>
        <v>850.78649308620174</v>
      </c>
    </row>
    <row r="668" spans="1:6">
      <c r="A668" t="s">
        <v>13311</v>
      </c>
      <c r="B668" s="18" t="s">
        <v>3814</v>
      </c>
      <c r="C668" s="19">
        <v>38</v>
      </c>
      <c r="F668" s="9">
        <f t="shared" si="10"/>
        <v>32329.886737275665</v>
      </c>
    </row>
    <row r="669" spans="1:6">
      <c r="A669" t="s">
        <v>13311</v>
      </c>
      <c r="B669" s="18" t="s">
        <v>20192</v>
      </c>
      <c r="C669" s="19">
        <v>54</v>
      </c>
      <c r="F669" s="9">
        <f t="shared" si="10"/>
        <v>45942.470626654896</v>
      </c>
    </row>
    <row r="670" spans="1:6">
      <c r="A670" t="s">
        <v>13311</v>
      </c>
      <c r="B670" s="18" t="s">
        <v>20193</v>
      </c>
      <c r="C670" s="19">
        <v>33</v>
      </c>
      <c r="F670" s="9">
        <f t="shared" si="10"/>
        <v>28075.954271844657</v>
      </c>
    </row>
    <row r="671" spans="1:6">
      <c r="A671" t="s">
        <v>13311</v>
      </c>
      <c r="B671" s="18" t="s">
        <v>20194</v>
      </c>
      <c r="C671" s="19">
        <v>17</v>
      </c>
      <c r="F671" s="9">
        <f t="shared" si="10"/>
        <v>14463.370382465429</v>
      </c>
    </row>
    <row r="672" spans="1:6">
      <c r="A672" t="s">
        <v>13311</v>
      </c>
      <c r="B672" s="18" t="s">
        <v>20195</v>
      </c>
      <c r="C672" s="19">
        <v>27</v>
      </c>
      <c r="F672" s="9">
        <f t="shared" si="10"/>
        <v>22971.235313327448</v>
      </c>
    </row>
    <row r="673" spans="1:6">
      <c r="A673" t="s">
        <v>13311</v>
      </c>
      <c r="B673" s="18" t="s">
        <v>20196</v>
      </c>
      <c r="C673" s="19">
        <v>21</v>
      </c>
      <c r="F673" s="9">
        <f t="shared" si="10"/>
        <v>17866.516354810235</v>
      </c>
    </row>
    <row r="674" spans="1:6">
      <c r="A674" t="s">
        <v>13311</v>
      </c>
      <c r="B674" s="18" t="s">
        <v>12729</v>
      </c>
      <c r="C674" s="19">
        <v>14</v>
      </c>
      <c r="F674" s="9">
        <f t="shared" si="10"/>
        <v>11911.010903206825</v>
      </c>
    </row>
    <row r="675" spans="1:6">
      <c r="A675" t="s">
        <v>13311</v>
      </c>
      <c r="B675" s="18" t="s">
        <v>20197</v>
      </c>
      <c r="C675" s="19">
        <v>35</v>
      </c>
      <c r="F675" s="9">
        <f t="shared" si="10"/>
        <v>29777.52725801706</v>
      </c>
    </row>
    <row r="676" spans="1:6">
      <c r="A676" t="s">
        <v>13311</v>
      </c>
      <c r="B676" s="18" t="s">
        <v>20199</v>
      </c>
      <c r="C676" s="19">
        <v>4</v>
      </c>
      <c r="F676" s="9">
        <f t="shared" si="10"/>
        <v>3403.145972344807</v>
      </c>
    </row>
    <row r="677" spans="1:6">
      <c r="A677" t="s">
        <v>13311</v>
      </c>
      <c r="B677" s="18" t="s">
        <v>20207</v>
      </c>
      <c r="C677" s="19">
        <v>4</v>
      </c>
      <c r="F677" s="9">
        <f t="shared" si="10"/>
        <v>3403.145972344807</v>
      </c>
    </row>
    <row r="678" spans="1:6">
      <c r="A678" t="s">
        <v>13311</v>
      </c>
      <c r="B678" s="18" t="s">
        <v>20208</v>
      </c>
      <c r="C678" s="19">
        <v>3</v>
      </c>
      <c r="F678" s="9">
        <f t="shared" si="10"/>
        <v>2552.3594792586055</v>
      </c>
    </row>
    <row r="679" spans="1:6">
      <c r="A679" t="s">
        <v>13311</v>
      </c>
      <c r="B679" s="18" t="s">
        <v>7429</v>
      </c>
      <c r="C679" s="19">
        <v>3</v>
      </c>
      <c r="F679" s="9">
        <f t="shared" si="10"/>
        <v>2552.3594792586055</v>
      </c>
    </row>
    <row r="680" spans="1:6">
      <c r="A680" t="s">
        <v>13311</v>
      </c>
      <c r="B680" s="18" t="s">
        <v>20209</v>
      </c>
      <c r="C680" s="19">
        <v>62</v>
      </c>
      <c r="F680" s="9">
        <f t="shared" si="10"/>
        <v>52748.762571344509</v>
      </c>
    </row>
    <row r="681" spans="1:6">
      <c r="A681" t="s">
        <v>13311</v>
      </c>
      <c r="B681" s="18" t="s">
        <v>20210</v>
      </c>
      <c r="C681" s="19">
        <v>26</v>
      </c>
      <c r="F681" s="9">
        <f t="shared" si="10"/>
        <v>22120.448820241247</v>
      </c>
    </row>
    <row r="682" spans="1:6">
      <c r="A682" t="s">
        <v>13311</v>
      </c>
      <c r="B682" s="18" t="s">
        <v>7774</v>
      </c>
      <c r="C682" s="19">
        <v>6</v>
      </c>
      <c r="F682" s="9">
        <f t="shared" si="10"/>
        <v>5104.7189585172109</v>
      </c>
    </row>
    <row r="683" spans="1:6">
      <c r="A683" t="s">
        <v>13311</v>
      </c>
      <c r="B683" s="18" t="s">
        <v>20230</v>
      </c>
      <c r="C683" s="19">
        <v>33</v>
      </c>
      <c r="F683" s="9">
        <f t="shared" si="10"/>
        <v>28075.954271844657</v>
      </c>
    </row>
    <row r="684" spans="1:6">
      <c r="A684" t="s">
        <v>13311</v>
      </c>
      <c r="B684" s="18" t="s">
        <v>20233</v>
      </c>
      <c r="C684" s="41">
        <v>37</v>
      </c>
      <c r="F684" s="9">
        <f t="shared" si="10"/>
        <v>31479.100244189463</v>
      </c>
    </row>
    <row r="685" spans="1:6">
      <c r="A685" t="s">
        <v>13311</v>
      </c>
      <c r="B685" s="18" t="s">
        <v>20234</v>
      </c>
      <c r="C685" s="41">
        <v>22</v>
      </c>
      <c r="F685" s="9">
        <f t="shared" si="10"/>
        <v>18717.302847896437</v>
      </c>
    </row>
    <row r="686" spans="1:6">
      <c r="A686" t="s">
        <v>13311</v>
      </c>
      <c r="B686" s="18" t="s">
        <v>20235</v>
      </c>
      <c r="C686" s="41">
        <v>6</v>
      </c>
      <c r="F686" s="9">
        <f t="shared" si="10"/>
        <v>5104.7189585172109</v>
      </c>
    </row>
    <row r="687" spans="1:6">
      <c r="A687" t="s">
        <v>13311</v>
      </c>
      <c r="B687" s="18" t="s">
        <v>20236</v>
      </c>
      <c r="C687" s="41">
        <v>13</v>
      </c>
      <c r="F687" s="9">
        <f t="shared" si="10"/>
        <v>11060.224410120623</v>
      </c>
    </row>
    <row r="688" spans="1:6">
      <c r="A688" s="38" t="s">
        <v>13311</v>
      </c>
      <c r="B688" s="18" t="s">
        <v>5150</v>
      </c>
      <c r="C688" s="41">
        <v>1</v>
      </c>
      <c r="F688" s="9">
        <f t="shared" si="10"/>
        <v>850.78649308620174</v>
      </c>
    </row>
    <row r="689" spans="1:6">
      <c r="A689" s="38" t="s">
        <v>13311</v>
      </c>
      <c r="B689" s="18" t="s">
        <v>20245</v>
      </c>
      <c r="C689" s="41">
        <v>24</v>
      </c>
      <c r="F689" s="9">
        <f t="shared" si="10"/>
        <v>20418.875834068844</v>
      </c>
    </row>
    <row r="690" spans="1:6">
      <c r="A690" s="38" t="s">
        <v>13311</v>
      </c>
      <c r="B690" s="18" t="s">
        <v>20246</v>
      </c>
      <c r="C690" s="41">
        <v>6</v>
      </c>
      <c r="F690" s="9">
        <f t="shared" si="10"/>
        <v>5104.7189585172109</v>
      </c>
    </row>
    <row r="691" spans="1:6">
      <c r="A691" s="38" t="s">
        <v>13311</v>
      </c>
      <c r="B691" s="18" t="s">
        <v>8370</v>
      </c>
      <c r="C691" s="41">
        <v>1</v>
      </c>
      <c r="F691" s="9">
        <f t="shared" si="10"/>
        <v>850.78649308620174</v>
      </c>
    </row>
    <row r="692" spans="1:6">
      <c r="A692" s="38" t="s">
        <v>13311</v>
      </c>
      <c r="B692" s="18" t="s">
        <v>20253</v>
      </c>
      <c r="C692" s="41">
        <v>8</v>
      </c>
      <c r="F692" s="9">
        <f t="shared" si="10"/>
        <v>6806.291944689614</v>
      </c>
    </row>
    <row r="693" spans="1:6">
      <c r="A693" s="38" t="s">
        <v>13311</v>
      </c>
      <c r="B693" s="18" t="s">
        <v>7154</v>
      </c>
      <c r="C693" s="41">
        <v>202</v>
      </c>
      <c r="F693" s="9">
        <f t="shared" si="10"/>
        <v>171858.87160341276</v>
      </c>
    </row>
    <row r="694" spans="1:6">
      <c r="A694" s="38" t="s">
        <v>13311</v>
      </c>
      <c r="B694" s="18" t="s">
        <v>7208</v>
      </c>
      <c r="C694" s="41">
        <v>138</v>
      </c>
      <c r="F694" s="9">
        <f t="shared" si="10"/>
        <v>117408.53604589585</v>
      </c>
    </row>
    <row r="695" spans="1:6">
      <c r="A695" s="38" t="s">
        <v>13311</v>
      </c>
      <c r="B695" s="18" t="s">
        <v>20254</v>
      </c>
      <c r="C695" s="41">
        <v>2</v>
      </c>
      <c r="F695" s="9">
        <f t="shared" si="10"/>
        <v>1701.5729861724035</v>
      </c>
    </row>
    <row r="696" spans="1:6">
      <c r="A696" s="38" t="s">
        <v>13311</v>
      </c>
      <c r="B696" s="18" t="s">
        <v>8172</v>
      </c>
      <c r="C696" s="41">
        <v>1</v>
      </c>
      <c r="F696" s="9">
        <f t="shared" si="10"/>
        <v>850.78649308620174</v>
      </c>
    </row>
    <row r="697" spans="1:6">
      <c r="A697" s="38" t="s">
        <v>13311</v>
      </c>
      <c r="B697" s="18" t="s">
        <v>20259</v>
      </c>
      <c r="C697" s="41">
        <v>10</v>
      </c>
      <c r="F697" s="9">
        <f t="shared" si="10"/>
        <v>8507.864930862017</v>
      </c>
    </row>
    <row r="698" spans="1:6">
      <c r="A698" s="38" t="s">
        <v>13311</v>
      </c>
      <c r="B698" s="18" t="s">
        <v>20260</v>
      </c>
      <c r="C698" s="41">
        <v>8</v>
      </c>
      <c r="F698" s="9">
        <f t="shared" si="10"/>
        <v>6806.291944689614</v>
      </c>
    </row>
    <row r="699" spans="1:6">
      <c r="A699" s="38" t="s">
        <v>13311</v>
      </c>
      <c r="B699" s="18" t="s">
        <v>20261</v>
      </c>
      <c r="C699" s="41">
        <v>8</v>
      </c>
      <c r="F699" s="9">
        <f t="shared" si="10"/>
        <v>6806.291944689614</v>
      </c>
    </row>
    <row r="700" spans="1:6">
      <c r="A700" s="38" t="s">
        <v>13311</v>
      </c>
      <c r="B700" s="18" t="s">
        <v>20262</v>
      </c>
      <c r="C700" s="41">
        <v>2</v>
      </c>
      <c r="F700" s="9">
        <f t="shared" si="10"/>
        <v>1701.5729861724035</v>
      </c>
    </row>
    <row r="701" spans="1:6">
      <c r="A701" s="38" t="s">
        <v>13311</v>
      </c>
      <c r="B701" s="18" t="s">
        <v>20263</v>
      </c>
      <c r="C701" s="41">
        <v>5</v>
      </c>
      <c r="F701" s="9">
        <f t="shared" si="10"/>
        <v>4253.9324654310085</v>
      </c>
    </row>
    <row r="702" spans="1:6">
      <c r="A702" s="38" t="s">
        <v>13311</v>
      </c>
      <c r="B702" s="18" t="s">
        <v>20264</v>
      </c>
      <c r="C702" s="41">
        <v>11</v>
      </c>
      <c r="F702" s="9">
        <f t="shared" si="10"/>
        <v>9358.6514239482185</v>
      </c>
    </row>
    <row r="703" spans="1:6">
      <c r="A703" s="38" t="s">
        <v>13311</v>
      </c>
      <c r="B703" s="18" t="s">
        <v>20265</v>
      </c>
      <c r="C703" s="41">
        <v>4</v>
      </c>
      <c r="F703" s="9">
        <f t="shared" si="10"/>
        <v>3403.145972344807</v>
      </c>
    </row>
    <row r="704" spans="1:6">
      <c r="A704" s="38" t="s">
        <v>13311</v>
      </c>
      <c r="B704" s="18" t="s">
        <v>20266</v>
      </c>
      <c r="C704" s="41">
        <v>6</v>
      </c>
      <c r="F704" s="9">
        <f t="shared" si="10"/>
        <v>5104.7189585172109</v>
      </c>
    </row>
    <row r="705" spans="1:6">
      <c r="A705" s="38" t="s">
        <v>13311</v>
      </c>
      <c r="B705" s="18" t="s">
        <v>20267</v>
      </c>
      <c r="C705" s="41">
        <v>9</v>
      </c>
      <c r="F705" s="9">
        <f t="shared" si="10"/>
        <v>7657.0784377758155</v>
      </c>
    </row>
    <row r="706" spans="1:6">
      <c r="A706" s="38" t="s">
        <v>13311</v>
      </c>
      <c r="B706" s="18" t="s">
        <v>20268</v>
      </c>
      <c r="C706" s="41">
        <v>2</v>
      </c>
      <c r="F706" s="9">
        <f t="shared" si="10"/>
        <v>1701.5729861724035</v>
      </c>
    </row>
    <row r="707" spans="1:6">
      <c r="A707" s="38" t="s">
        <v>13311</v>
      </c>
      <c r="B707" s="18" t="s">
        <v>20269</v>
      </c>
      <c r="C707" s="41">
        <v>3</v>
      </c>
      <c r="F707" s="9">
        <f t="shared" si="10"/>
        <v>2552.3594792586055</v>
      </c>
    </row>
    <row r="708" spans="1:6">
      <c r="A708" s="38" t="s">
        <v>13311</v>
      </c>
      <c r="B708" s="18" t="s">
        <v>20270</v>
      </c>
      <c r="C708" s="41">
        <v>1</v>
      </c>
      <c r="F708" s="9">
        <f t="shared" si="10"/>
        <v>850.78649308620174</v>
      </c>
    </row>
    <row r="709" spans="1:6">
      <c r="A709" s="38" t="s">
        <v>13311</v>
      </c>
      <c r="B709" s="18" t="s">
        <v>8495</v>
      </c>
      <c r="C709" s="41">
        <v>1</v>
      </c>
      <c r="F709" s="9">
        <f t="shared" ref="F709:F710" si="11">C709*$F$3</f>
        <v>850.78649308620174</v>
      </c>
    </row>
    <row r="710" spans="1:6">
      <c r="A710" s="38" t="s">
        <v>13311</v>
      </c>
      <c r="B710" s="18" t="s">
        <v>20288</v>
      </c>
      <c r="C710" s="41">
        <v>1</v>
      </c>
      <c r="F710" s="9">
        <f t="shared" si="11"/>
        <v>850.78649308620174</v>
      </c>
    </row>
    <row r="711" spans="1:6">
      <c r="C711">
        <f>SUM(C4:C710)</f>
        <v>10197</v>
      </c>
    </row>
  </sheetData>
  <autoFilter ref="A3:C711" xr:uid="{07FFE4D3-0F19-4086-BEB6-2A2E783B1435}"/>
  <mergeCells count="1"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B9B3-A8ED-4C11-A491-7989F7037646}">
  <dimension ref="A2:E36"/>
  <sheetViews>
    <sheetView workbookViewId="0">
      <selection activeCell="A13" sqref="A13"/>
    </sheetView>
  </sheetViews>
  <sheetFormatPr defaultRowHeight="12.75"/>
  <cols>
    <col min="1" max="1" width="53.5703125" bestFit="1" customWidth="1"/>
    <col min="2" max="2" width="17" bestFit="1" customWidth="1"/>
    <col min="3" max="3" width="12.85546875" bestFit="1" customWidth="1"/>
    <col min="4" max="5" width="14" bestFit="1" customWidth="1"/>
  </cols>
  <sheetData>
    <row r="2" spans="1:3">
      <c r="A2" s="1" t="s">
        <v>18233</v>
      </c>
      <c r="B2" t="s" vm="1">
        <v>18234</v>
      </c>
    </row>
    <row r="3" spans="1:3">
      <c r="A3" s="1" t="s">
        <v>18235</v>
      </c>
      <c r="B3" t="s" vm="2">
        <v>18236</v>
      </c>
    </row>
    <row r="4" spans="1:3">
      <c r="A4" s="1" t="s">
        <v>18237</v>
      </c>
      <c r="B4" t="s" vm="3">
        <v>18234</v>
      </c>
    </row>
    <row r="5" spans="1:3">
      <c r="A5" s="1" t="s">
        <v>18238</v>
      </c>
      <c r="B5" t="s" vm="4">
        <v>18234</v>
      </c>
    </row>
    <row r="7" spans="1:3">
      <c r="B7" s="1" t="s">
        <v>1923</v>
      </c>
    </row>
    <row r="8" spans="1:3">
      <c r="B8" t="s">
        <v>20162</v>
      </c>
    </row>
    <row r="9" spans="1:3">
      <c r="B9" t="s">
        <v>20285</v>
      </c>
    </row>
    <row r="10" spans="1:3">
      <c r="A10" s="1" t="s">
        <v>1897</v>
      </c>
      <c r="B10" t="s">
        <v>18239</v>
      </c>
      <c r="C10" t="s">
        <v>18240</v>
      </c>
    </row>
    <row r="11" spans="1:3">
      <c r="A11" s="45" t="s">
        <v>18241</v>
      </c>
      <c r="B11" s="9"/>
      <c r="C11" s="9"/>
    </row>
    <row r="12" spans="1:3">
      <c r="A12" s="26" t="s">
        <v>18242</v>
      </c>
      <c r="B12" s="9"/>
      <c r="C12" s="9"/>
    </row>
    <row r="13" spans="1:3">
      <c r="A13" s="27" t="s">
        <v>18243</v>
      </c>
      <c r="B13" s="9"/>
      <c r="C13" s="9"/>
    </row>
    <row r="14" spans="1:3">
      <c r="A14" s="46" t="s">
        <v>18244</v>
      </c>
      <c r="B14" s="9">
        <v>8675469.8699999992</v>
      </c>
      <c r="C14" s="9">
        <v>8675469.8699999992</v>
      </c>
    </row>
    <row r="15" spans="1:3">
      <c r="A15" s="46" t="s">
        <v>18245</v>
      </c>
      <c r="B15" s="9">
        <v>722467.74</v>
      </c>
      <c r="C15" s="9">
        <v>722467.74</v>
      </c>
    </row>
    <row r="19" spans="2:4">
      <c r="C19" s="9"/>
    </row>
    <row r="21" spans="2:4">
      <c r="B21" s="28"/>
      <c r="D21" s="20"/>
    </row>
    <row r="22" spans="2:4">
      <c r="D22" s="20"/>
    </row>
    <row r="32" spans="2:4">
      <c r="B32" s="33"/>
      <c r="C32" s="4"/>
    </row>
    <row r="33" spans="2:5">
      <c r="B33" s="33"/>
      <c r="C33" s="4"/>
    </row>
    <row r="34" spans="2:5">
      <c r="B34" s="2"/>
      <c r="C34" s="20"/>
    </row>
    <row r="35" spans="2:5">
      <c r="B35" s="2"/>
    </row>
    <row r="36" spans="2:5">
      <c r="C36" s="20"/>
      <c r="D36" s="4"/>
      <c r="E36" s="4"/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B808-630D-47E3-BC5F-C121EEB8EF99}">
  <dimension ref="A1:K2630"/>
  <sheetViews>
    <sheetView workbookViewId="0">
      <pane ySplit="1" topLeftCell="A2" activePane="bottomLeft" state="frozen"/>
      <selection pane="bottomLeft" activeCell="D16" sqref="D16"/>
    </sheetView>
  </sheetViews>
  <sheetFormatPr defaultRowHeight="12.75"/>
  <cols>
    <col min="1" max="1" width="36.85546875" bestFit="1" customWidth="1"/>
    <col min="2" max="2" width="59.28515625" bestFit="1" customWidth="1"/>
    <col min="3" max="3" width="20.5703125" bestFit="1" customWidth="1"/>
    <col min="4" max="4" width="51.140625" bestFit="1" customWidth="1"/>
    <col min="5" max="5" width="14.85546875" bestFit="1" customWidth="1"/>
    <col min="6" max="6" width="10.85546875" bestFit="1" customWidth="1"/>
    <col min="7" max="8" width="11.5703125" bestFit="1" customWidth="1"/>
    <col min="9" max="9" width="20.5703125" bestFit="1" customWidth="1"/>
    <col min="10" max="10" width="24.7109375" bestFit="1" customWidth="1"/>
    <col min="11" max="11" width="14.85546875" bestFit="1" customWidth="1"/>
  </cols>
  <sheetData>
    <row r="1" spans="1:11">
      <c r="A1" s="35" t="s">
        <v>13238</v>
      </c>
      <c r="B1" t="s">
        <v>13239</v>
      </c>
      <c r="C1" s="40" t="s">
        <v>13240</v>
      </c>
      <c r="D1" t="s">
        <v>13241</v>
      </c>
      <c r="E1" t="s">
        <v>13242</v>
      </c>
      <c r="I1" t="s">
        <v>13243</v>
      </c>
      <c r="J1" t="s">
        <v>13244</v>
      </c>
      <c r="K1" t="s">
        <v>3599</v>
      </c>
    </row>
    <row r="2" spans="1:11">
      <c r="A2" t="s">
        <v>13245</v>
      </c>
      <c r="B2" t="s">
        <v>13246</v>
      </c>
      <c r="C2">
        <v>12060000</v>
      </c>
      <c r="D2" t="s">
        <v>13247</v>
      </c>
      <c r="J2" t="s">
        <v>13245</v>
      </c>
      <c r="K2" t="s">
        <v>3605</v>
      </c>
    </row>
    <row r="3" spans="1:11">
      <c r="A3" t="s">
        <v>13248</v>
      </c>
      <c r="B3" t="s">
        <v>13249</v>
      </c>
      <c r="C3">
        <v>12062000</v>
      </c>
      <c r="J3" t="s">
        <v>13248</v>
      </c>
      <c r="K3" t="s">
        <v>3605</v>
      </c>
    </row>
    <row r="4" spans="1:11">
      <c r="A4" t="s">
        <v>13250</v>
      </c>
      <c r="B4" t="s">
        <v>13251</v>
      </c>
      <c r="C4">
        <v>12062000</v>
      </c>
      <c r="D4" t="s">
        <v>13252</v>
      </c>
      <c r="J4" t="s">
        <v>13250</v>
      </c>
      <c r="K4" t="s">
        <v>3605</v>
      </c>
    </row>
    <row r="5" spans="1:11">
      <c r="A5" t="s">
        <v>13253</v>
      </c>
      <c r="B5" t="s">
        <v>13254</v>
      </c>
      <c r="C5">
        <v>12062000</v>
      </c>
      <c r="D5" t="s">
        <v>13255</v>
      </c>
      <c r="J5" t="s">
        <v>13253</v>
      </c>
      <c r="K5" t="s">
        <v>3605</v>
      </c>
    </row>
    <row r="6" spans="1:11">
      <c r="A6" t="s">
        <v>13256</v>
      </c>
      <c r="B6" t="s">
        <v>13257</v>
      </c>
      <c r="C6">
        <v>10500000</v>
      </c>
      <c r="D6" t="s">
        <v>13258</v>
      </c>
      <c r="J6" t="s">
        <v>13256</v>
      </c>
      <c r="K6" t="s">
        <v>3605</v>
      </c>
    </row>
    <row r="7" spans="1:11">
      <c r="A7" t="s">
        <v>13259</v>
      </c>
      <c r="B7" t="s">
        <v>13260</v>
      </c>
      <c r="C7">
        <v>10480001</v>
      </c>
      <c r="J7" t="s">
        <v>13259</v>
      </c>
      <c r="K7" t="s">
        <v>3605</v>
      </c>
    </row>
    <row r="8" spans="1:11">
      <c r="A8" t="s">
        <v>13261</v>
      </c>
      <c r="B8" t="s">
        <v>13262</v>
      </c>
      <c r="C8">
        <v>10500100</v>
      </c>
      <c r="J8" t="s">
        <v>13261</v>
      </c>
      <c r="K8" t="s">
        <v>3605</v>
      </c>
    </row>
    <row r="9" spans="1:11">
      <c r="A9" t="s">
        <v>13263</v>
      </c>
      <c r="B9" t="s">
        <v>13264</v>
      </c>
      <c r="C9">
        <v>10500200</v>
      </c>
      <c r="J9" t="s">
        <v>13263</v>
      </c>
      <c r="K9" t="s">
        <v>3605</v>
      </c>
    </row>
    <row r="10" spans="1:11">
      <c r="A10" t="s">
        <v>13265</v>
      </c>
      <c r="B10" t="s">
        <v>13266</v>
      </c>
      <c r="C10">
        <v>10500600</v>
      </c>
      <c r="J10" t="s">
        <v>13265</v>
      </c>
      <c r="K10" t="s">
        <v>3605</v>
      </c>
    </row>
    <row r="11" spans="1:11">
      <c r="A11" t="s">
        <v>13267</v>
      </c>
      <c r="B11" t="s">
        <v>13268</v>
      </c>
      <c r="C11">
        <v>10099000</v>
      </c>
      <c r="J11" t="s">
        <v>13267</v>
      </c>
      <c r="K11" t="s">
        <v>3605</v>
      </c>
    </row>
    <row r="12" spans="1:11">
      <c r="A12" t="s">
        <v>13269</v>
      </c>
      <c r="B12" t="s">
        <v>13270</v>
      </c>
      <c r="C12">
        <v>10800000</v>
      </c>
      <c r="J12" t="s">
        <v>13269</v>
      </c>
      <c r="K12" t="s">
        <v>3605</v>
      </c>
    </row>
    <row r="13" spans="1:11">
      <c r="A13" t="s">
        <v>13271</v>
      </c>
      <c r="B13" t="s">
        <v>13272</v>
      </c>
      <c r="C13">
        <v>10899000</v>
      </c>
      <c r="J13" t="s">
        <v>13271</v>
      </c>
      <c r="K13" t="s">
        <v>3605</v>
      </c>
    </row>
    <row r="14" spans="1:11">
      <c r="A14" t="s">
        <v>13273</v>
      </c>
      <c r="B14" t="s">
        <v>13274</v>
      </c>
      <c r="C14">
        <v>14300000</v>
      </c>
      <c r="D14" t="s">
        <v>13275</v>
      </c>
      <c r="J14" t="s">
        <v>13273</v>
      </c>
      <c r="K14" t="s">
        <v>3605</v>
      </c>
    </row>
    <row r="15" spans="1:11">
      <c r="A15" t="s">
        <v>13273</v>
      </c>
      <c r="B15" t="s">
        <v>13274</v>
      </c>
      <c r="C15">
        <v>14208101</v>
      </c>
      <c r="D15" t="s">
        <v>13276</v>
      </c>
      <c r="J15" t="s">
        <v>13273</v>
      </c>
      <c r="K15" t="s">
        <v>3605</v>
      </c>
    </row>
    <row r="16" spans="1:11">
      <c r="A16" t="s">
        <v>13273</v>
      </c>
      <c r="B16" t="s">
        <v>13274</v>
      </c>
      <c r="C16">
        <v>14208186</v>
      </c>
      <c r="D16" t="s">
        <v>13277</v>
      </c>
      <c r="J16" t="s">
        <v>13273</v>
      </c>
      <c r="K16" t="s">
        <v>3605</v>
      </c>
    </row>
    <row r="17" spans="1:11">
      <c r="A17" t="s">
        <v>13273</v>
      </c>
      <c r="B17" t="s">
        <v>13274</v>
      </c>
      <c r="C17">
        <v>14208530</v>
      </c>
      <c r="D17" t="s">
        <v>13278</v>
      </c>
      <c r="J17" t="s">
        <v>13273</v>
      </c>
      <c r="K17" t="s">
        <v>3605</v>
      </c>
    </row>
    <row r="18" spans="1:11">
      <c r="A18" t="s">
        <v>13273</v>
      </c>
      <c r="B18" t="s">
        <v>13274</v>
      </c>
      <c r="C18">
        <v>14208532</v>
      </c>
      <c r="D18" t="s">
        <v>13279</v>
      </c>
      <c r="J18" t="s">
        <v>13273</v>
      </c>
      <c r="K18" t="s">
        <v>3605</v>
      </c>
    </row>
    <row r="19" spans="1:11">
      <c r="A19" t="s">
        <v>13273</v>
      </c>
      <c r="B19" t="s">
        <v>13274</v>
      </c>
      <c r="C19">
        <v>14208534</v>
      </c>
      <c r="D19" t="s">
        <v>13279</v>
      </c>
      <c r="J19" t="s">
        <v>13273</v>
      </c>
      <c r="K19" t="s">
        <v>3605</v>
      </c>
    </row>
    <row r="20" spans="1:11">
      <c r="A20" t="s">
        <v>13273</v>
      </c>
      <c r="B20" t="s">
        <v>13274</v>
      </c>
      <c r="C20">
        <v>14208640</v>
      </c>
      <c r="D20" t="s">
        <v>13280</v>
      </c>
      <c r="J20" t="s">
        <v>13273</v>
      </c>
      <c r="K20" t="s">
        <v>3605</v>
      </c>
    </row>
    <row r="21" spans="1:11">
      <c r="A21" t="s">
        <v>13273</v>
      </c>
      <c r="B21" t="s">
        <v>13274</v>
      </c>
      <c r="C21">
        <v>14301000</v>
      </c>
      <c r="D21" t="s">
        <v>13281</v>
      </c>
      <c r="J21" t="s">
        <v>13273</v>
      </c>
      <c r="K21" t="s">
        <v>3605</v>
      </c>
    </row>
    <row r="22" spans="1:11">
      <c r="A22" t="s">
        <v>13273</v>
      </c>
      <c r="B22" t="s">
        <v>13274</v>
      </c>
      <c r="C22">
        <v>14308001</v>
      </c>
      <c r="D22" t="s">
        <v>13282</v>
      </c>
      <c r="J22" t="s">
        <v>13273</v>
      </c>
      <c r="K22" t="s">
        <v>3605</v>
      </c>
    </row>
    <row r="23" spans="1:11">
      <c r="A23" t="s">
        <v>13273</v>
      </c>
      <c r="B23" t="s">
        <v>13274</v>
      </c>
      <c r="C23">
        <v>14308005</v>
      </c>
      <c r="D23" t="s">
        <v>13283</v>
      </c>
      <c r="J23" t="s">
        <v>13273</v>
      </c>
      <c r="K23" t="s">
        <v>3605</v>
      </c>
    </row>
    <row r="24" spans="1:11">
      <c r="A24" t="s">
        <v>13273</v>
      </c>
      <c r="B24" t="s">
        <v>13274</v>
      </c>
      <c r="C24">
        <v>14308008</v>
      </c>
      <c r="D24" t="s">
        <v>13284</v>
      </c>
      <c r="J24" t="s">
        <v>13273</v>
      </c>
      <c r="K24" t="s">
        <v>3605</v>
      </c>
    </row>
    <row r="25" spans="1:11">
      <c r="A25" t="s">
        <v>13273</v>
      </c>
      <c r="B25" t="s">
        <v>13274</v>
      </c>
      <c r="C25">
        <v>14308101</v>
      </c>
      <c r="D25" t="s">
        <v>13276</v>
      </c>
      <c r="J25" t="s">
        <v>13273</v>
      </c>
      <c r="K25" t="s">
        <v>3605</v>
      </c>
    </row>
    <row r="26" spans="1:11">
      <c r="A26" t="s">
        <v>13273</v>
      </c>
      <c r="B26" t="s">
        <v>13274</v>
      </c>
      <c r="C26">
        <v>14308121</v>
      </c>
      <c r="D26" t="s">
        <v>13285</v>
      </c>
      <c r="J26" t="s">
        <v>13273</v>
      </c>
      <c r="K26" t="s">
        <v>3605</v>
      </c>
    </row>
    <row r="27" spans="1:11">
      <c r="A27" t="s">
        <v>13273</v>
      </c>
      <c r="B27" t="s">
        <v>13274</v>
      </c>
      <c r="C27">
        <v>14308122</v>
      </c>
      <c r="D27" t="s">
        <v>13286</v>
      </c>
      <c r="J27" t="s">
        <v>13273</v>
      </c>
      <c r="K27" t="s">
        <v>3605</v>
      </c>
    </row>
    <row r="28" spans="1:11">
      <c r="A28" t="s">
        <v>13273</v>
      </c>
      <c r="B28" t="s">
        <v>13274</v>
      </c>
      <c r="C28">
        <v>14308168</v>
      </c>
      <c r="D28" t="s">
        <v>13287</v>
      </c>
      <c r="J28" t="s">
        <v>13273</v>
      </c>
      <c r="K28" t="s">
        <v>3605</v>
      </c>
    </row>
    <row r="29" spans="1:11">
      <c r="A29" t="s">
        <v>13273</v>
      </c>
      <c r="B29" t="s">
        <v>13274</v>
      </c>
      <c r="C29">
        <v>14308169</v>
      </c>
      <c r="D29" t="s">
        <v>13288</v>
      </c>
      <c r="J29" t="s">
        <v>13273</v>
      </c>
      <c r="K29" t="s">
        <v>3605</v>
      </c>
    </row>
    <row r="30" spans="1:11">
      <c r="A30" t="s">
        <v>13273</v>
      </c>
      <c r="B30" t="s">
        <v>13274</v>
      </c>
      <c r="C30">
        <v>14308170</v>
      </c>
      <c r="D30" t="s">
        <v>13289</v>
      </c>
      <c r="J30" t="s">
        <v>13273</v>
      </c>
      <c r="K30" t="s">
        <v>3605</v>
      </c>
    </row>
    <row r="31" spans="1:11">
      <c r="A31" t="s">
        <v>13273</v>
      </c>
      <c r="B31" t="s">
        <v>13274</v>
      </c>
      <c r="C31">
        <v>14308181</v>
      </c>
      <c r="D31" t="s">
        <v>13290</v>
      </c>
      <c r="J31" t="s">
        <v>13273</v>
      </c>
      <c r="K31" t="s">
        <v>3605</v>
      </c>
    </row>
    <row r="32" spans="1:11">
      <c r="A32" t="s">
        <v>13273</v>
      </c>
      <c r="B32" t="s">
        <v>13274</v>
      </c>
      <c r="C32">
        <v>14308185</v>
      </c>
      <c r="D32" t="s">
        <v>13291</v>
      </c>
      <c r="J32" t="s">
        <v>13273</v>
      </c>
      <c r="K32" t="s">
        <v>3605</v>
      </c>
    </row>
    <row r="33" spans="1:11">
      <c r="A33" t="s">
        <v>13273</v>
      </c>
      <c r="B33" t="s">
        <v>13274</v>
      </c>
      <c r="C33">
        <v>14308186</v>
      </c>
      <c r="D33" t="s">
        <v>13277</v>
      </c>
      <c r="J33" t="s">
        <v>13273</v>
      </c>
      <c r="K33" t="s">
        <v>3605</v>
      </c>
    </row>
    <row r="34" spans="1:11">
      <c r="A34" t="s">
        <v>13273</v>
      </c>
      <c r="B34" t="s">
        <v>13274</v>
      </c>
      <c r="C34">
        <v>14308189</v>
      </c>
      <c r="D34" t="s">
        <v>13292</v>
      </c>
      <c r="J34" t="s">
        <v>13273</v>
      </c>
      <c r="K34" t="s">
        <v>3605</v>
      </c>
    </row>
    <row r="35" spans="1:11">
      <c r="A35" t="s">
        <v>13273</v>
      </c>
      <c r="B35" t="s">
        <v>13274</v>
      </c>
      <c r="C35">
        <v>14308197</v>
      </c>
      <c r="D35" t="s">
        <v>13293</v>
      </c>
      <c r="J35" t="s">
        <v>13273</v>
      </c>
      <c r="K35" t="s">
        <v>3605</v>
      </c>
    </row>
    <row r="36" spans="1:11">
      <c r="A36" t="s">
        <v>13273</v>
      </c>
      <c r="B36" t="s">
        <v>13274</v>
      </c>
      <c r="C36">
        <v>14308199</v>
      </c>
      <c r="D36" t="s">
        <v>13294</v>
      </c>
      <c r="J36" t="s">
        <v>13273</v>
      </c>
      <c r="K36" t="s">
        <v>3605</v>
      </c>
    </row>
    <row r="37" spans="1:11">
      <c r="A37" t="s">
        <v>13273</v>
      </c>
      <c r="B37" t="s">
        <v>13274</v>
      </c>
      <c r="C37">
        <v>14308210</v>
      </c>
      <c r="D37" t="s">
        <v>13295</v>
      </c>
      <c r="J37" t="s">
        <v>13273</v>
      </c>
      <c r="K37" t="s">
        <v>3605</v>
      </c>
    </row>
    <row r="38" spans="1:11">
      <c r="A38" t="s">
        <v>13273</v>
      </c>
      <c r="B38" t="s">
        <v>13274</v>
      </c>
      <c r="C38">
        <v>14308211</v>
      </c>
      <c r="D38" t="s">
        <v>13296</v>
      </c>
      <c r="J38" t="s">
        <v>13273</v>
      </c>
      <c r="K38" t="s">
        <v>3605</v>
      </c>
    </row>
    <row r="39" spans="1:11">
      <c r="A39" t="s">
        <v>13273</v>
      </c>
      <c r="B39" t="s">
        <v>13274</v>
      </c>
      <c r="C39">
        <v>14308212</v>
      </c>
      <c r="D39" t="s">
        <v>13297</v>
      </c>
      <c r="J39" t="s">
        <v>13273</v>
      </c>
      <c r="K39" t="s">
        <v>3605</v>
      </c>
    </row>
    <row r="40" spans="1:11">
      <c r="A40" t="s">
        <v>13273</v>
      </c>
      <c r="B40" t="s">
        <v>13274</v>
      </c>
      <c r="C40">
        <v>14308213</v>
      </c>
      <c r="D40" t="s">
        <v>13298</v>
      </c>
      <c r="J40" t="s">
        <v>13273</v>
      </c>
      <c r="K40" t="s">
        <v>3605</v>
      </c>
    </row>
    <row r="41" spans="1:11">
      <c r="A41" t="s">
        <v>13273</v>
      </c>
      <c r="B41" t="s">
        <v>13274</v>
      </c>
      <c r="C41">
        <v>14308215</v>
      </c>
      <c r="D41" t="s">
        <v>13299</v>
      </c>
      <c r="J41" t="s">
        <v>13273</v>
      </c>
      <c r="K41" t="s">
        <v>3605</v>
      </c>
    </row>
    <row r="42" spans="1:11">
      <c r="A42" t="s">
        <v>13273</v>
      </c>
      <c r="B42" t="s">
        <v>13274</v>
      </c>
      <c r="C42">
        <v>14308221</v>
      </c>
      <c r="D42" t="s">
        <v>13300</v>
      </c>
      <c r="J42" t="s">
        <v>13273</v>
      </c>
      <c r="K42" t="s">
        <v>3605</v>
      </c>
    </row>
    <row r="43" spans="1:11">
      <c r="A43" t="s">
        <v>13273</v>
      </c>
      <c r="B43" t="s">
        <v>13274</v>
      </c>
      <c r="C43">
        <v>14308261</v>
      </c>
      <c r="D43" t="s">
        <v>13301</v>
      </c>
      <c r="J43" t="s">
        <v>13273</v>
      </c>
      <c r="K43" t="s">
        <v>3605</v>
      </c>
    </row>
    <row r="44" spans="1:11">
      <c r="A44" t="s">
        <v>13273</v>
      </c>
      <c r="B44" t="s">
        <v>13274</v>
      </c>
      <c r="C44">
        <v>14308262</v>
      </c>
      <c r="D44" t="s">
        <v>13302</v>
      </c>
      <c r="J44" t="s">
        <v>13273</v>
      </c>
      <c r="K44" t="s">
        <v>3605</v>
      </c>
    </row>
    <row r="45" spans="1:11">
      <c r="A45" t="s">
        <v>13273</v>
      </c>
      <c r="B45" t="s">
        <v>13274</v>
      </c>
      <c r="C45">
        <v>14308308</v>
      </c>
      <c r="D45" t="s">
        <v>13303</v>
      </c>
      <c r="J45" t="s">
        <v>13273</v>
      </c>
      <c r="K45" t="s">
        <v>3605</v>
      </c>
    </row>
    <row r="46" spans="1:11">
      <c r="A46" t="s">
        <v>13273</v>
      </c>
      <c r="B46" t="s">
        <v>13274</v>
      </c>
      <c r="C46">
        <v>14308309</v>
      </c>
      <c r="D46" t="s">
        <v>13304</v>
      </c>
      <c r="J46" t="s">
        <v>13273</v>
      </c>
      <c r="K46" t="s">
        <v>3605</v>
      </c>
    </row>
    <row r="47" spans="1:11">
      <c r="A47" t="s">
        <v>13273</v>
      </c>
      <c r="B47" t="s">
        <v>13274</v>
      </c>
      <c r="C47">
        <v>14308313</v>
      </c>
      <c r="D47" t="s">
        <v>13305</v>
      </c>
      <c r="J47" t="s">
        <v>13273</v>
      </c>
      <c r="K47" t="s">
        <v>3605</v>
      </c>
    </row>
    <row r="48" spans="1:11">
      <c r="A48" t="s">
        <v>13273</v>
      </c>
      <c r="B48" t="s">
        <v>13274</v>
      </c>
      <c r="C48">
        <v>14308314</v>
      </c>
      <c r="D48" t="s">
        <v>13306</v>
      </c>
      <c r="J48" t="s">
        <v>13273</v>
      </c>
      <c r="K48" t="s">
        <v>3605</v>
      </c>
    </row>
    <row r="49" spans="1:11">
      <c r="A49" t="s">
        <v>13273</v>
      </c>
      <c r="B49" t="s">
        <v>13274</v>
      </c>
      <c r="C49">
        <v>14308315</v>
      </c>
      <c r="D49" t="s">
        <v>13307</v>
      </c>
      <c r="J49" t="s">
        <v>13273</v>
      </c>
      <c r="K49" t="s">
        <v>3605</v>
      </c>
    </row>
    <row r="50" spans="1:11">
      <c r="A50" t="s">
        <v>13273</v>
      </c>
      <c r="B50" t="s">
        <v>13274</v>
      </c>
      <c r="C50">
        <v>14308316</v>
      </c>
      <c r="D50" t="s">
        <v>13307</v>
      </c>
      <c r="J50" t="s">
        <v>13273</v>
      </c>
      <c r="K50" t="s">
        <v>3605</v>
      </c>
    </row>
    <row r="51" spans="1:11">
      <c r="A51" t="s">
        <v>13273</v>
      </c>
      <c r="B51" t="s">
        <v>13274</v>
      </c>
      <c r="C51">
        <v>14308318</v>
      </c>
      <c r="D51" t="s">
        <v>13303</v>
      </c>
      <c r="J51" t="s">
        <v>13273</v>
      </c>
      <c r="K51" t="s">
        <v>3605</v>
      </c>
    </row>
    <row r="52" spans="1:11">
      <c r="A52" t="s">
        <v>13273</v>
      </c>
      <c r="B52" t="s">
        <v>13274</v>
      </c>
      <c r="C52">
        <v>14308319</v>
      </c>
      <c r="D52" t="s">
        <v>13308</v>
      </c>
      <c r="J52" t="s">
        <v>13273</v>
      </c>
      <c r="K52" t="s">
        <v>3605</v>
      </c>
    </row>
    <row r="53" spans="1:11">
      <c r="A53" t="s">
        <v>13273</v>
      </c>
      <c r="B53" t="s">
        <v>13274</v>
      </c>
      <c r="C53">
        <v>14308350</v>
      </c>
      <c r="D53" t="s">
        <v>13309</v>
      </c>
      <c r="J53" t="s">
        <v>13273</v>
      </c>
      <c r="K53" t="s">
        <v>3605</v>
      </c>
    </row>
    <row r="54" spans="1:11">
      <c r="A54" t="s">
        <v>13273</v>
      </c>
      <c r="B54" t="s">
        <v>13274</v>
      </c>
      <c r="C54">
        <v>14308351</v>
      </c>
      <c r="D54" t="s">
        <v>13310</v>
      </c>
      <c r="J54" t="s">
        <v>13273</v>
      </c>
      <c r="K54" t="s">
        <v>3605</v>
      </c>
    </row>
    <row r="55" spans="1:11">
      <c r="A55" t="s">
        <v>13273</v>
      </c>
      <c r="B55" t="s">
        <v>13274</v>
      </c>
      <c r="C55">
        <v>14308509</v>
      </c>
      <c r="D55" t="s">
        <v>13311</v>
      </c>
      <c r="J55" t="s">
        <v>13273</v>
      </c>
      <c r="K55" t="s">
        <v>3605</v>
      </c>
    </row>
    <row r="56" spans="1:11">
      <c r="A56" t="s">
        <v>13273</v>
      </c>
      <c r="B56" t="s">
        <v>13274</v>
      </c>
      <c r="C56">
        <v>14308514</v>
      </c>
      <c r="D56" t="s">
        <v>13312</v>
      </c>
      <c r="J56" t="s">
        <v>13273</v>
      </c>
      <c r="K56" t="s">
        <v>3605</v>
      </c>
    </row>
    <row r="57" spans="1:11">
      <c r="A57" t="s">
        <v>13273</v>
      </c>
      <c r="B57" t="s">
        <v>13274</v>
      </c>
      <c r="C57">
        <v>14308515</v>
      </c>
      <c r="D57" t="s">
        <v>13313</v>
      </c>
      <c r="J57" t="s">
        <v>13273</v>
      </c>
      <c r="K57" t="s">
        <v>3605</v>
      </c>
    </row>
    <row r="58" spans="1:11">
      <c r="A58" t="s">
        <v>13273</v>
      </c>
      <c r="B58" t="s">
        <v>13274</v>
      </c>
      <c r="C58">
        <v>14308523</v>
      </c>
      <c r="D58" t="s">
        <v>13314</v>
      </c>
      <c r="J58" t="s">
        <v>13273</v>
      </c>
      <c r="K58" t="s">
        <v>3605</v>
      </c>
    </row>
    <row r="59" spans="1:11">
      <c r="A59" t="s">
        <v>13273</v>
      </c>
      <c r="B59" t="s">
        <v>13274</v>
      </c>
      <c r="C59">
        <v>14308524</v>
      </c>
      <c r="D59" t="s">
        <v>13282</v>
      </c>
      <c r="J59" t="s">
        <v>13273</v>
      </c>
      <c r="K59" t="s">
        <v>3605</v>
      </c>
    </row>
    <row r="60" spans="1:11">
      <c r="A60" t="s">
        <v>13273</v>
      </c>
      <c r="B60" t="s">
        <v>13274</v>
      </c>
      <c r="C60">
        <v>14308530</v>
      </c>
      <c r="D60" t="s">
        <v>13278</v>
      </c>
      <c r="J60" t="s">
        <v>13273</v>
      </c>
      <c r="K60" t="s">
        <v>3605</v>
      </c>
    </row>
    <row r="61" spans="1:11">
      <c r="A61" t="s">
        <v>13273</v>
      </c>
      <c r="B61" t="s">
        <v>13274</v>
      </c>
      <c r="C61">
        <v>14308532</v>
      </c>
      <c r="D61" t="s">
        <v>13279</v>
      </c>
      <c r="J61" t="s">
        <v>13273</v>
      </c>
      <c r="K61" t="s">
        <v>3605</v>
      </c>
    </row>
    <row r="62" spans="1:11">
      <c r="A62" t="s">
        <v>13273</v>
      </c>
      <c r="B62" t="s">
        <v>13274</v>
      </c>
      <c r="C62">
        <v>14308534</v>
      </c>
      <c r="D62" t="s">
        <v>13315</v>
      </c>
      <c r="J62" t="s">
        <v>13273</v>
      </c>
      <c r="K62" t="s">
        <v>3605</v>
      </c>
    </row>
    <row r="63" spans="1:11">
      <c r="A63" t="s">
        <v>13273</v>
      </c>
      <c r="B63" t="s">
        <v>13274</v>
      </c>
      <c r="C63">
        <v>14308569</v>
      </c>
      <c r="D63" t="s">
        <v>13316</v>
      </c>
      <c r="J63" t="s">
        <v>13273</v>
      </c>
      <c r="K63" t="s">
        <v>3605</v>
      </c>
    </row>
    <row r="64" spans="1:11">
      <c r="A64" t="s">
        <v>13273</v>
      </c>
      <c r="B64" t="s">
        <v>13274</v>
      </c>
      <c r="C64">
        <v>14308580</v>
      </c>
      <c r="D64" t="s">
        <v>13317</v>
      </c>
      <c r="J64" t="s">
        <v>13273</v>
      </c>
      <c r="K64" t="s">
        <v>3605</v>
      </c>
    </row>
    <row r="65" spans="1:11">
      <c r="A65" t="s">
        <v>13273</v>
      </c>
      <c r="B65" t="s">
        <v>13274</v>
      </c>
      <c r="C65">
        <v>14308581</v>
      </c>
      <c r="D65" t="s">
        <v>13318</v>
      </c>
      <c r="J65" t="s">
        <v>13273</v>
      </c>
      <c r="K65" t="s">
        <v>3605</v>
      </c>
    </row>
    <row r="66" spans="1:11">
      <c r="A66" t="s">
        <v>13273</v>
      </c>
      <c r="B66" t="s">
        <v>13274</v>
      </c>
      <c r="C66">
        <v>14308589</v>
      </c>
      <c r="D66" t="s">
        <v>13311</v>
      </c>
      <c r="J66" t="s">
        <v>13273</v>
      </c>
      <c r="K66" t="s">
        <v>3605</v>
      </c>
    </row>
    <row r="67" spans="1:11">
      <c r="A67" t="s">
        <v>13273</v>
      </c>
      <c r="B67" t="s">
        <v>13274</v>
      </c>
      <c r="C67">
        <v>14308614</v>
      </c>
      <c r="D67" t="s">
        <v>13319</v>
      </c>
      <c r="J67" t="s">
        <v>13273</v>
      </c>
      <c r="K67" t="s">
        <v>3605</v>
      </c>
    </row>
    <row r="68" spans="1:11">
      <c r="A68" t="s">
        <v>13273</v>
      </c>
      <c r="B68" t="s">
        <v>13274</v>
      </c>
      <c r="C68">
        <v>14308616</v>
      </c>
      <c r="D68" t="s">
        <v>13320</v>
      </c>
      <c r="J68" t="s">
        <v>13273</v>
      </c>
      <c r="K68" t="s">
        <v>3605</v>
      </c>
    </row>
    <row r="69" spans="1:11">
      <c r="A69" t="s">
        <v>13273</v>
      </c>
      <c r="B69" t="s">
        <v>13274</v>
      </c>
      <c r="C69">
        <v>14308640</v>
      </c>
      <c r="D69" t="s">
        <v>13280</v>
      </c>
      <c r="J69" t="s">
        <v>13273</v>
      </c>
      <c r="K69" t="s">
        <v>3605</v>
      </c>
    </row>
    <row r="70" spans="1:11">
      <c r="A70" t="s">
        <v>13273</v>
      </c>
      <c r="B70" t="s">
        <v>13274</v>
      </c>
      <c r="C70">
        <v>14308641</v>
      </c>
      <c r="D70" t="s">
        <v>13321</v>
      </c>
      <c r="J70" t="s">
        <v>13273</v>
      </c>
      <c r="K70" t="s">
        <v>3605</v>
      </c>
    </row>
    <row r="71" spans="1:11">
      <c r="A71" t="s">
        <v>13273</v>
      </c>
      <c r="B71" t="s">
        <v>13274</v>
      </c>
      <c r="C71">
        <v>14308644</v>
      </c>
      <c r="D71" t="s">
        <v>13322</v>
      </c>
      <c r="J71" t="s">
        <v>13273</v>
      </c>
      <c r="K71" t="s">
        <v>3605</v>
      </c>
    </row>
    <row r="72" spans="1:11">
      <c r="A72" t="s">
        <v>13273</v>
      </c>
      <c r="B72" t="s">
        <v>13274</v>
      </c>
      <c r="C72">
        <v>14308656</v>
      </c>
      <c r="D72" t="s">
        <v>13323</v>
      </c>
      <c r="J72" t="s">
        <v>13273</v>
      </c>
      <c r="K72" t="s">
        <v>3605</v>
      </c>
    </row>
    <row r="73" spans="1:11">
      <c r="A73" t="s">
        <v>13273</v>
      </c>
      <c r="B73" t="s">
        <v>13274</v>
      </c>
      <c r="C73">
        <v>14308665</v>
      </c>
      <c r="D73" t="s">
        <v>13324</v>
      </c>
      <c r="J73" t="s">
        <v>13273</v>
      </c>
      <c r="K73" t="s">
        <v>3605</v>
      </c>
    </row>
    <row r="74" spans="1:11">
      <c r="A74" t="s">
        <v>13273</v>
      </c>
      <c r="B74" t="s">
        <v>13274</v>
      </c>
      <c r="C74">
        <v>14308669</v>
      </c>
      <c r="D74" t="s">
        <v>13324</v>
      </c>
      <c r="J74" t="s">
        <v>13273</v>
      </c>
      <c r="K74" t="s">
        <v>3605</v>
      </c>
    </row>
    <row r="75" spans="1:11">
      <c r="A75" t="s">
        <v>13273</v>
      </c>
      <c r="B75" t="s">
        <v>13274</v>
      </c>
      <c r="C75">
        <v>14308695</v>
      </c>
      <c r="D75" t="s">
        <v>13325</v>
      </c>
      <c r="J75" t="s">
        <v>13273</v>
      </c>
      <c r="K75" t="s">
        <v>3605</v>
      </c>
    </row>
    <row r="76" spans="1:11">
      <c r="A76" t="s">
        <v>13273</v>
      </c>
      <c r="B76" t="s">
        <v>13274</v>
      </c>
      <c r="C76">
        <v>14308701</v>
      </c>
      <c r="D76" t="s">
        <v>13326</v>
      </c>
      <c r="J76" t="s">
        <v>13273</v>
      </c>
      <c r="K76" t="s">
        <v>3605</v>
      </c>
    </row>
    <row r="77" spans="1:11">
      <c r="A77" t="s">
        <v>13273</v>
      </c>
      <c r="B77" t="s">
        <v>13274</v>
      </c>
      <c r="C77">
        <v>14308702</v>
      </c>
      <c r="D77" t="s">
        <v>13327</v>
      </c>
      <c r="J77" t="s">
        <v>13273</v>
      </c>
      <c r="K77" t="s">
        <v>3605</v>
      </c>
    </row>
    <row r="78" spans="1:11">
      <c r="A78" t="s">
        <v>13273</v>
      </c>
      <c r="B78" t="s">
        <v>13274</v>
      </c>
      <c r="C78">
        <v>14308703</v>
      </c>
      <c r="D78" t="s">
        <v>13328</v>
      </c>
      <c r="J78" t="s">
        <v>13273</v>
      </c>
      <c r="K78" t="s">
        <v>3605</v>
      </c>
    </row>
    <row r="79" spans="1:11">
      <c r="A79" t="s">
        <v>13273</v>
      </c>
      <c r="B79" t="s">
        <v>13274</v>
      </c>
      <c r="C79">
        <v>14308704</v>
      </c>
      <c r="D79" t="s">
        <v>13329</v>
      </c>
      <c r="J79" t="s">
        <v>13273</v>
      </c>
      <c r="K79" t="s">
        <v>3605</v>
      </c>
    </row>
    <row r="80" spans="1:11">
      <c r="A80" t="s">
        <v>13273</v>
      </c>
      <c r="B80" t="s">
        <v>13274</v>
      </c>
      <c r="C80">
        <v>14308705</v>
      </c>
      <c r="D80" t="s">
        <v>13330</v>
      </c>
      <c r="J80" t="s">
        <v>13273</v>
      </c>
      <c r="K80" t="s">
        <v>3605</v>
      </c>
    </row>
    <row r="81" spans="1:11">
      <c r="A81" t="s">
        <v>13273</v>
      </c>
      <c r="B81" t="s">
        <v>13274</v>
      </c>
      <c r="C81">
        <v>14308706</v>
      </c>
      <c r="D81" t="s">
        <v>13331</v>
      </c>
      <c r="J81" t="s">
        <v>13273</v>
      </c>
      <c r="K81" t="s">
        <v>3605</v>
      </c>
    </row>
    <row r="82" spans="1:11">
      <c r="A82" t="s">
        <v>13273</v>
      </c>
      <c r="B82" t="s">
        <v>13274</v>
      </c>
      <c r="C82">
        <v>14308716</v>
      </c>
      <c r="D82" t="s">
        <v>13332</v>
      </c>
      <c r="J82" t="s">
        <v>13273</v>
      </c>
      <c r="K82" t="s">
        <v>3605</v>
      </c>
    </row>
    <row r="83" spans="1:11">
      <c r="A83" t="s">
        <v>13273</v>
      </c>
      <c r="B83" t="s">
        <v>13274</v>
      </c>
      <c r="C83">
        <v>14308717</v>
      </c>
      <c r="D83" t="s">
        <v>13333</v>
      </c>
      <c r="J83" t="s">
        <v>13273</v>
      </c>
      <c r="K83" t="s">
        <v>3605</v>
      </c>
    </row>
    <row r="84" spans="1:11">
      <c r="A84" t="s">
        <v>13273</v>
      </c>
      <c r="B84" t="s">
        <v>13274</v>
      </c>
      <c r="C84">
        <v>14308718</v>
      </c>
      <c r="D84" t="s">
        <v>13333</v>
      </c>
      <c r="J84" t="s">
        <v>13273</v>
      </c>
      <c r="K84" t="s">
        <v>3605</v>
      </c>
    </row>
    <row r="85" spans="1:11">
      <c r="A85" t="s">
        <v>13273</v>
      </c>
      <c r="B85" t="s">
        <v>13274</v>
      </c>
      <c r="C85">
        <v>14308719</v>
      </c>
      <c r="D85" t="s">
        <v>13334</v>
      </c>
      <c r="J85" t="s">
        <v>13273</v>
      </c>
      <c r="K85" t="s">
        <v>3605</v>
      </c>
    </row>
    <row r="86" spans="1:11">
      <c r="A86" t="s">
        <v>13273</v>
      </c>
      <c r="B86" t="s">
        <v>13274</v>
      </c>
      <c r="C86">
        <v>14308720</v>
      </c>
      <c r="D86" t="s">
        <v>13335</v>
      </c>
      <c r="J86" t="s">
        <v>13273</v>
      </c>
      <c r="K86" t="s">
        <v>3605</v>
      </c>
    </row>
    <row r="87" spans="1:11">
      <c r="A87" t="s">
        <v>13273</v>
      </c>
      <c r="B87" t="s">
        <v>13274</v>
      </c>
      <c r="C87">
        <v>14308721</v>
      </c>
      <c r="D87" t="s">
        <v>13336</v>
      </c>
      <c r="J87" t="s">
        <v>13273</v>
      </c>
      <c r="K87" t="s">
        <v>3605</v>
      </c>
    </row>
    <row r="88" spans="1:11">
      <c r="A88" t="s">
        <v>13273</v>
      </c>
      <c r="B88" t="s">
        <v>13274</v>
      </c>
      <c r="C88">
        <v>14308722</v>
      </c>
      <c r="D88" t="s">
        <v>13333</v>
      </c>
      <c r="J88" t="s">
        <v>13273</v>
      </c>
      <c r="K88" t="s">
        <v>3605</v>
      </c>
    </row>
    <row r="89" spans="1:11">
      <c r="A89" t="s">
        <v>13273</v>
      </c>
      <c r="B89" t="s">
        <v>13274</v>
      </c>
      <c r="C89">
        <v>14308725</v>
      </c>
      <c r="D89" t="s">
        <v>13333</v>
      </c>
      <c r="J89" t="s">
        <v>13273</v>
      </c>
      <c r="K89" t="s">
        <v>3605</v>
      </c>
    </row>
    <row r="90" spans="1:11">
      <c r="A90" t="s">
        <v>13273</v>
      </c>
      <c r="B90" t="s">
        <v>13274</v>
      </c>
      <c r="C90">
        <v>14308728</v>
      </c>
      <c r="D90" t="s">
        <v>13333</v>
      </c>
      <c r="J90" t="s">
        <v>13273</v>
      </c>
      <c r="K90" t="s">
        <v>3605</v>
      </c>
    </row>
    <row r="91" spans="1:11">
      <c r="A91" t="s">
        <v>13273</v>
      </c>
      <c r="B91" t="s">
        <v>13274</v>
      </c>
      <c r="C91">
        <v>14308729</v>
      </c>
      <c r="D91" t="s">
        <v>13333</v>
      </c>
      <c r="J91" t="s">
        <v>13273</v>
      </c>
      <c r="K91" t="s">
        <v>3605</v>
      </c>
    </row>
    <row r="92" spans="1:11">
      <c r="A92" t="s">
        <v>13273</v>
      </c>
      <c r="B92" t="s">
        <v>13274</v>
      </c>
      <c r="C92">
        <v>14308733</v>
      </c>
      <c r="D92" t="s">
        <v>13337</v>
      </c>
      <c r="J92" t="s">
        <v>13273</v>
      </c>
      <c r="K92" t="s">
        <v>3605</v>
      </c>
    </row>
    <row r="93" spans="1:11">
      <c r="A93" t="s">
        <v>13273</v>
      </c>
      <c r="B93" t="s">
        <v>13274</v>
      </c>
      <c r="C93">
        <v>14308734</v>
      </c>
      <c r="D93" t="s">
        <v>13338</v>
      </c>
      <c r="J93" t="s">
        <v>13273</v>
      </c>
      <c r="K93" t="s">
        <v>3605</v>
      </c>
    </row>
    <row r="94" spans="1:11">
      <c r="A94" t="s">
        <v>13273</v>
      </c>
      <c r="B94" t="s">
        <v>13274</v>
      </c>
      <c r="C94">
        <v>14308735</v>
      </c>
      <c r="D94" t="s">
        <v>13337</v>
      </c>
      <c r="J94" t="s">
        <v>13273</v>
      </c>
      <c r="K94" t="s">
        <v>3605</v>
      </c>
    </row>
    <row r="95" spans="1:11">
      <c r="A95" t="s">
        <v>13273</v>
      </c>
      <c r="B95" t="s">
        <v>13274</v>
      </c>
      <c r="C95">
        <v>14308736</v>
      </c>
      <c r="D95" t="s">
        <v>13339</v>
      </c>
      <c r="J95" t="s">
        <v>13273</v>
      </c>
      <c r="K95" t="s">
        <v>3605</v>
      </c>
    </row>
    <row r="96" spans="1:11">
      <c r="A96" t="s">
        <v>13273</v>
      </c>
      <c r="B96" t="s">
        <v>13274</v>
      </c>
      <c r="C96">
        <v>14308738</v>
      </c>
      <c r="D96" t="s">
        <v>13340</v>
      </c>
      <c r="J96" t="s">
        <v>13273</v>
      </c>
      <c r="K96" t="s">
        <v>3605</v>
      </c>
    </row>
    <row r="97" spans="1:11">
      <c r="A97" t="s">
        <v>13273</v>
      </c>
      <c r="B97" t="s">
        <v>13274</v>
      </c>
      <c r="C97">
        <v>14308739</v>
      </c>
      <c r="D97" t="s">
        <v>13341</v>
      </c>
      <c r="J97" t="s">
        <v>13273</v>
      </c>
      <c r="K97" t="s">
        <v>3605</v>
      </c>
    </row>
    <row r="98" spans="1:11">
      <c r="A98" t="s">
        <v>13273</v>
      </c>
      <c r="B98" t="s">
        <v>13274</v>
      </c>
      <c r="C98">
        <v>14308740</v>
      </c>
      <c r="D98" t="s">
        <v>13342</v>
      </c>
      <c r="J98" t="s">
        <v>13273</v>
      </c>
      <c r="K98" t="s">
        <v>3605</v>
      </c>
    </row>
    <row r="99" spans="1:11">
      <c r="A99" t="s">
        <v>13273</v>
      </c>
      <c r="B99" t="s">
        <v>13274</v>
      </c>
      <c r="C99">
        <v>14308744</v>
      </c>
      <c r="D99" t="s">
        <v>13343</v>
      </c>
      <c r="J99" t="s">
        <v>13273</v>
      </c>
      <c r="K99" t="s">
        <v>3605</v>
      </c>
    </row>
    <row r="100" spans="1:11">
      <c r="A100" t="s">
        <v>13273</v>
      </c>
      <c r="B100" t="s">
        <v>13274</v>
      </c>
      <c r="C100">
        <v>14308745</v>
      </c>
      <c r="D100" t="s">
        <v>13344</v>
      </c>
      <c r="J100" t="s">
        <v>13273</v>
      </c>
      <c r="K100" t="s">
        <v>3605</v>
      </c>
    </row>
    <row r="101" spans="1:11">
      <c r="A101" t="s">
        <v>13273</v>
      </c>
      <c r="B101" t="s">
        <v>13274</v>
      </c>
      <c r="C101">
        <v>14308746</v>
      </c>
      <c r="D101" t="s">
        <v>13345</v>
      </c>
      <c r="J101" t="s">
        <v>13273</v>
      </c>
      <c r="K101" t="s">
        <v>3605</v>
      </c>
    </row>
    <row r="102" spans="1:11">
      <c r="A102" t="s">
        <v>13273</v>
      </c>
      <c r="B102" t="s">
        <v>13274</v>
      </c>
      <c r="C102">
        <v>14308747</v>
      </c>
      <c r="D102" t="s">
        <v>13346</v>
      </c>
      <c r="J102" t="s">
        <v>13273</v>
      </c>
      <c r="K102" t="s">
        <v>3605</v>
      </c>
    </row>
    <row r="103" spans="1:11">
      <c r="A103" t="s">
        <v>13273</v>
      </c>
      <c r="B103" t="s">
        <v>13274</v>
      </c>
      <c r="C103">
        <v>14308748</v>
      </c>
      <c r="D103" t="s">
        <v>13347</v>
      </c>
      <c r="J103" t="s">
        <v>13273</v>
      </c>
      <c r="K103" t="s">
        <v>3605</v>
      </c>
    </row>
    <row r="104" spans="1:11">
      <c r="A104" t="s">
        <v>13273</v>
      </c>
      <c r="B104" t="s">
        <v>13274</v>
      </c>
      <c r="C104">
        <v>14308749</v>
      </c>
      <c r="D104" t="s">
        <v>13348</v>
      </c>
      <c r="J104" t="s">
        <v>13273</v>
      </c>
      <c r="K104" t="s">
        <v>3605</v>
      </c>
    </row>
    <row r="105" spans="1:11">
      <c r="A105" t="s">
        <v>13273</v>
      </c>
      <c r="B105" t="s">
        <v>13274</v>
      </c>
      <c r="C105">
        <v>14308751</v>
      </c>
      <c r="D105" t="s">
        <v>13349</v>
      </c>
      <c r="J105" t="s">
        <v>13273</v>
      </c>
      <c r="K105" t="s">
        <v>3605</v>
      </c>
    </row>
    <row r="106" spans="1:11">
      <c r="A106" t="s">
        <v>13273</v>
      </c>
      <c r="B106" t="s">
        <v>13274</v>
      </c>
      <c r="C106">
        <v>14308752</v>
      </c>
      <c r="D106" t="s">
        <v>13350</v>
      </c>
      <c r="J106" t="s">
        <v>13273</v>
      </c>
      <c r="K106" t="s">
        <v>3605</v>
      </c>
    </row>
    <row r="107" spans="1:11">
      <c r="A107" t="s">
        <v>13273</v>
      </c>
      <c r="B107" t="s">
        <v>13274</v>
      </c>
      <c r="C107">
        <v>14308753</v>
      </c>
      <c r="D107" t="s">
        <v>13351</v>
      </c>
      <c r="J107" t="s">
        <v>13273</v>
      </c>
      <c r="K107" t="s">
        <v>3605</v>
      </c>
    </row>
    <row r="108" spans="1:11">
      <c r="A108" t="s">
        <v>13273</v>
      </c>
      <c r="B108" t="s">
        <v>13274</v>
      </c>
      <c r="C108">
        <v>14308754</v>
      </c>
      <c r="D108" t="s">
        <v>13352</v>
      </c>
      <c r="J108" t="s">
        <v>13273</v>
      </c>
      <c r="K108" t="s">
        <v>3605</v>
      </c>
    </row>
    <row r="109" spans="1:11">
      <c r="A109" t="s">
        <v>13273</v>
      </c>
      <c r="B109" t="s">
        <v>13274</v>
      </c>
      <c r="C109">
        <v>14308755</v>
      </c>
      <c r="D109" t="s">
        <v>13353</v>
      </c>
      <c r="J109" t="s">
        <v>13273</v>
      </c>
      <c r="K109" t="s">
        <v>3605</v>
      </c>
    </row>
    <row r="110" spans="1:11">
      <c r="A110" t="s">
        <v>13273</v>
      </c>
      <c r="B110" t="s">
        <v>13274</v>
      </c>
      <c r="C110">
        <v>14308756</v>
      </c>
      <c r="D110" t="s">
        <v>13354</v>
      </c>
      <c r="J110" t="s">
        <v>13273</v>
      </c>
      <c r="K110" t="s">
        <v>3605</v>
      </c>
    </row>
    <row r="111" spans="1:11">
      <c r="A111" t="s">
        <v>13273</v>
      </c>
      <c r="B111" t="s">
        <v>13274</v>
      </c>
      <c r="C111">
        <v>14308757</v>
      </c>
      <c r="D111" t="s">
        <v>13355</v>
      </c>
      <c r="J111" t="s">
        <v>13273</v>
      </c>
      <c r="K111" t="s">
        <v>3605</v>
      </c>
    </row>
    <row r="112" spans="1:11">
      <c r="A112" t="s">
        <v>13273</v>
      </c>
      <c r="B112" t="s">
        <v>13274</v>
      </c>
      <c r="C112">
        <v>14308758</v>
      </c>
      <c r="D112" t="s">
        <v>13356</v>
      </c>
      <c r="J112" t="s">
        <v>13273</v>
      </c>
      <c r="K112" t="s">
        <v>3605</v>
      </c>
    </row>
    <row r="113" spans="1:11">
      <c r="A113" t="s">
        <v>13273</v>
      </c>
      <c r="B113" t="s">
        <v>13274</v>
      </c>
      <c r="C113">
        <v>14308759</v>
      </c>
      <c r="D113" t="s">
        <v>13357</v>
      </c>
      <c r="J113" t="s">
        <v>13273</v>
      </c>
      <c r="K113" t="s">
        <v>3605</v>
      </c>
    </row>
    <row r="114" spans="1:11">
      <c r="A114" t="s">
        <v>13273</v>
      </c>
      <c r="B114" t="s">
        <v>13274</v>
      </c>
      <c r="C114">
        <v>14308761</v>
      </c>
      <c r="D114" t="s">
        <v>13358</v>
      </c>
      <c r="J114" t="s">
        <v>13273</v>
      </c>
      <c r="K114" t="s">
        <v>3605</v>
      </c>
    </row>
    <row r="115" spans="1:11">
      <c r="A115" t="s">
        <v>13273</v>
      </c>
      <c r="B115" t="s">
        <v>13274</v>
      </c>
      <c r="C115">
        <v>14308762</v>
      </c>
      <c r="D115" t="s">
        <v>13359</v>
      </c>
      <c r="J115" t="s">
        <v>13273</v>
      </c>
      <c r="K115" t="s">
        <v>3605</v>
      </c>
    </row>
    <row r="116" spans="1:11">
      <c r="A116" t="s">
        <v>13273</v>
      </c>
      <c r="B116" t="s">
        <v>13274</v>
      </c>
      <c r="C116">
        <v>14308763</v>
      </c>
      <c r="D116" t="s">
        <v>13360</v>
      </c>
      <c r="J116" t="s">
        <v>13273</v>
      </c>
      <c r="K116" t="s">
        <v>3605</v>
      </c>
    </row>
    <row r="117" spans="1:11">
      <c r="A117" t="s">
        <v>13273</v>
      </c>
      <c r="B117" t="s">
        <v>13274</v>
      </c>
      <c r="C117">
        <v>14308764</v>
      </c>
      <c r="D117" t="s">
        <v>13361</v>
      </c>
      <c r="J117" t="s">
        <v>13273</v>
      </c>
      <c r="K117" t="s">
        <v>3605</v>
      </c>
    </row>
    <row r="118" spans="1:11">
      <c r="A118" t="s">
        <v>13273</v>
      </c>
      <c r="B118" t="s">
        <v>13274</v>
      </c>
      <c r="C118">
        <v>14308765</v>
      </c>
      <c r="D118" t="s">
        <v>13362</v>
      </c>
      <c r="J118" t="s">
        <v>13273</v>
      </c>
      <c r="K118" t="s">
        <v>3605</v>
      </c>
    </row>
    <row r="119" spans="1:11">
      <c r="A119" t="s">
        <v>13273</v>
      </c>
      <c r="B119" t="s">
        <v>13274</v>
      </c>
      <c r="C119">
        <v>14308766</v>
      </c>
      <c r="D119" t="s">
        <v>13363</v>
      </c>
      <c r="J119" t="s">
        <v>13273</v>
      </c>
      <c r="K119" t="s">
        <v>3605</v>
      </c>
    </row>
    <row r="120" spans="1:11">
      <c r="A120" t="s">
        <v>13273</v>
      </c>
      <c r="B120" t="s">
        <v>13274</v>
      </c>
      <c r="C120">
        <v>14308767</v>
      </c>
      <c r="D120" t="s">
        <v>13364</v>
      </c>
      <c r="J120" t="s">
        <v>13273</v>
      </c>
      <c r="K120" t="s">
        <v>3605</v>
      </c>
    </row>
    <row r="121" spans="1:11">
      <c r="A121" t="s">
        <v>13273</v>
      </c>
      <c r="B121" t="s">
        <v>13274</v>
      </c>
      <c r="C121">
        <v>14308768</v>
      </c>
      <c r="D121" t="s">
        <v>13365</v>
      </c>
      <c r="J121" t="s">
        <v>13273</v>
      </c>
      <c r="K121" t="s">
        <v>3605</v>
      </c>
    </row>
    <row r="122" spans="1:11">
      <c r="A122" t="s">
        <v>13273</v>
      </c>
      <c r="B122" t="s">
        <v>13274</v>
      </c>
      <c r="C122">
        <v>14308769</v>
      </c>
      <c r="D122" t="s">
        <v>13366</v>
      </c>
      <c r="J122" t="s">
        <v>13273</v>
      </c>
      <c r="K122" t="s">
        <v>3605</v>
      </c>
    </row>
    <row r="123" spans="1:11">
      <c r="A123" t="s">
        <v>13273</v>
      </c>
      <c r="B123" t="s">
        <v>13274</v>
      </c>
      <c r="C123">
        <v>14308774</v>
      </c>
      <c r="D123" t="s">
        <v>13367</v>
      </c>
      <c r="J123" t="s">
        <v>13273</v>
      </c>
      <c r="K123" t="s">
        <v>3605</v>
      </c>
    </row>
    <row r="124" spans="1:11">
      <c r="A124" t="s">
        <v>13273</v>
      </c>
      <c r="B124" t="s">
        <v>13274</v>
      </c>
      <c r="C124">
        <v>14308775</v>
      </c>
      <c r="D124" t="s">
        <v>13368</v>
      </c>
      <c r="J124" t="s">
        <v>13273</v>
      </c>
      <c r="K124" t="s">
        <v>3605</v>
      </c>
    </row>
    <row r="125" spans="1:11">
      <c r="A125" t="s">
        <v>13273</v>
      </c>
      <c r="B125" t="s">
        <v>13274</v>
      </c>
      <c r="C125">
        <v>14308776</v>
      </c>
      <c r="D125" t="s">
        <v>13369</v>
      </c>
      <c r="J125" t="s">
        <v>13273</v>
      </c>
      <c r="K125" t="s">
        <v>3605</v>
      </c>
    </row>
    <row r="126" spans="1:11">
      <c r="A126" t="s">
        <v>13273</v>
      </c>
      <c r="B126" t="s">
        <v>13274</v>
      </c>
      <c r="C126">
        <v>14308777</v>
      </c>
      <c r="D126" t="s">
        <v>13370</v>
      </c>
      <c r="J126" t="s">
        <v>13273</v>
      </c>
      <c r="K126" t="s">
        <v>3605</v>
      </c>
    </row>
    <row r="127" spans="1:11">
      <c r="A127" t="s">
        <v>13273</v>
      </c>
      <c r="B127" t="s">
        <v>13274</v>
      </c>
      <c r="C127">
        <v>14308778</v>
      </c>
      <c r="D127" t="s">
        <v>13371</v>
      </c>
      <c r="J127" t="s">
        <v>13273</v>
      </c>
      <c r="K127" t="s">
        <v>3605</v>
      </c>
    </row>
    <row r="128" spans="1:11">
      <c r="A128" t="s">
        <v>13273</v>
      </c>
      <c r="B128" t="s">
        <v>13274</v>
      </c>
      <c r="C128">
        <v>14308779</v>
      </c>
      <c r="D128" t="s">
        <v>13372</v>
      </c>
      <c r="J128" t="s">
        <v>13273</v>
      </c>
      <c r="K128" t="s">
        <v>3605</v>
      </c>
    </row>
    <row r="129" spans="1:11">
      <c r="A129" t="s">
        <v>13273</v>
      </c>
      <c r="B129" t="s">
        <v>13274</v>
      </c>
      <c r="C129">
        <v>14308784</v>
      </c>
      <c r="D129" t="s">
        <v>13373</v>
      </c>
      <c r="J129" t="s">
        <v>13273</v>
      </c>
      <c r="K129" t="s">
        <v>3605</v>
      </c>
    </row>
    <row r="130" spans="1:11">
      <c r="A130" t="s">
        <v>13273</v>
      </c>
      <c r="B130" t="s">
        <v>13274</v>
      </c>
      <c r="C130">
        <v>14308799</v>
      </c>
      <c r="D130" t="s">
        <v>13333</v>
      </c>
      <c r="J130" t="s">
        <v>13273</v>
      </c>
      <c r="K130" t="s">
        <v>3605</v>
      </c>
    </row>
    <row r="131" spans="1:11">
      <c r="A131" t="s">
        <v>13273</v>
      </c>
      <c r="B131" t="s">
        <v>13274</v>
      </c>
      <c r="C131">
        <v>14308801</v>
      </c>
      <c r="D131" t="s">
        <v>13333</v>
      </c>
      <c r="J131" t="s">
        <v>13273</v>
      </c>
      <c r="K131" t="s">
        <v>3605</v>
      </c>
    </row>
    <row r="132" spans="1:11">
      <c r="A132" t="s">
        <v>13273</v>
      </c>
      <c r="B132" t="s">
        <v>13274</v>
      </c>
      <c r="C132">
        <v>14308802</v>
      </c>
      <c r="D132" t="s">
        <v>13335</v>
      </c>
      <c r="J132" t="s">
        <v>13273</v>
      </c>
      <c r="K132" t="s">
        <v>3605</v>
      </c>
    </row>
    <row r="133" spans="1:11">
      <c r="A133" t="s">
        <v>13273</v>
      </c>
      <c r="B133" t="s">
        <v>13274</v>
      </c>
      <c r="C133">
        <v>14308803</v>
      </c>
      <c r="D133" t="s">
        <v>13336</v>
      </c>
      <c r="J133" t="s">
        <v>13273</v>
      </c>
      <c r="K133" t="s">
        <v>3605</v>
      </c>
    </row>
    <row r="134" spans="1:11">
      <c r="A134" t="s">
        <v>13273</v>
      </c>
      <c r="B134" t="s">
        <v>13274</v>
      </c>
      <c r="C134">
        <v>14308804</v>
      </c>
      <c r="D134" t="s">
        <v>13374</v>
      </c>
      <c r="J134" t="s">
        <v>13273</v>
      </c>
      <c r="K134" t="s">
        <v>3605</v>
      </c>
    </row>
    <row r="135" spans="1:11">
      <c r="A135" t="s">
        <v>13273</v>
      </c>
      <c r="B135" t="s">
        <v>13274</v>
      </c>
      <c r="C135">
        <v>14308855</v>
      </c>
      <c r="D135" t="s">
        <v>13375</v>
      </c>
      <c r="J135" t="s">
        <v>13273</v>
      </c>
      <c r="K135" t="s">
        <v>3605</v>
      </c>
    </row>
    <row r="136" spans="1:11">
      <c r="A136" t="s">
        <v>13273</v>
      </c>
      <c r="B136" t="s">
        <v>13274</v>
      </c>
      <c r="C136">
        <v>14308879</v>
      </c>
      <c r="D136" t="s">
        <v>13376</v>
      </c>
      <c r="J136" t="s">
        <v>13273</v>
      </c>
      <c r="K136" t="s">
        <v>3605</v>
      </c>
    </row>
    <row r="137" spans="1:11">
      <c r="A137" t="s">
        <v>13273</v>
      </c>
      <c r="B137" t="s">
        <v>13274</v>
      </c>
      <c r="C137">
        <v>14308880</v>
      </c>
      <c r="D137" t="s">
        <v>13377</v>
      </c>
      <c r="J137" t="s">
        <v>13273</v>
      </c>
      <c r="K137" t="s">
        <v>3605</v>
      </c>
    </row>
    <row r="138" spans="1:11">
      <c r="A138" t="s">
        <v>13273</v>
      </c>
      <c r="B138" t="s">
        <v>13274</v>
      </c>
      <c r="C138">
        <v>14308881</v>
      </c>
      <c r="D138" t="s">
        <v>13378</v>
      </c>
      <c r="J138" t="s">
        <v>13273</v>
      </c>
      <c r="K138" t="s">
        <v>3605</v>
      </c>
    </row>
    <row r="139" spans="1:11">
      <c r="A139" t="s">
        <v>13273</v>
      </c>
      <c r="B139" t="s">
        <v>13274</v>
      </c>
      <c r="C139">
        <v>14308901</v>
      </c>
      <c r="D139" t="s">
        <v>13379</v>
      </c>
      <c r="J139" t="s">
        <v>13273</v>
      </c>
      <c r="K139" t="s">
        <v>3605</v>
      </c>
    </row>
    <row r="140" spans="1:11">
      <c r="A140" t="s">
        <v>13273</v>
      </c>
      <c r="B140" t="s">
        <v>13274</v>
      </c>
      <c r="C140">
        <v>14308902</v>
      </c>
      <c r="D140" t="s">
        <v>13380</v>
      </c>
      <c r="J140" t="s">
        <v>13273</v>
      </c>
      <c r="K140" t="s">
        <v>3605</v>
      </c>
    </row>
    <row r="141" spans="1:11">
      <c r="A141" t="s">
        <v>13273</v>
      </c>
      <c r="B141" t="s">
        <v>13274</v>
      </c>
      <c r="C141">
        <v>14308913</v>
      </c>
      <c r="D141" t="s">
        <v>13381</v>
      </c>
      <c r="J141" t="s">
        <v>13273</v>
      </c>
      <c r="K141" t="s">
        <v>3605</v>
      </c>
    </row>
    <row r="142" spans="1:11">
      <c r="A142" t="s">
        <v>13273</v>
      </c>
      <c r="B142" t="s">
        <v>13274</v>
      </c>
      <c r="C142">
        <v>14308916</v>
      </c>
      <c r="D142" t="s">
        <v>13382</v>
      </c>
      <c r="J142" t="s">
        <v>13273</v>
      </c>
      <c r="K142" t="s">
        <v>3605</v>
      </c>
    </row>
    <row r="143" spans="1:11">
      <c r="A143" t="s">
        <v>13273</v>
      </c>
      <c r="B143" t="s">
        <v>13274</v>
      </c>
      <c r="C143">
        <v>14308922</v>
      </c>
      <c r="D143" t="s">
        <v>13383</v>
      </c>
      <c r="J143" t="s">
        <v>13273</v>
      </c>
      <c r="K143" t="s">
        <v>3605</v>
      </c>
    </row>
    <row r="144" spans="1:11">
      <c r="A144" t="s">
        <v>13273</v>
      </c>
      <c r="B144" t="s">
        <v>13274</v>
      </c>
      <c r="C144">
        <v>14308927</v>
      </c>
      <c r="D144" t="s">
        <v>13384</v>
      </c>
      <c r="J144" t="s">
        <v>13273</v>
      </c>
      <c r="K144" t="s">
        <v>3605</v>
      </c>
    </row>
    <row r="145" spans="1:11">
      <c r="A145" t="s">
        <v>13273</v>
      </c>
      <c r="B145" t="s">
        <v>13274</v>
      </c>
      <c r="C145">
        <v>14308989</v>
      </c>
      <c r="D145" t="s">
        <v>13333</v>
      </c>
      <c r="J145" t="s">
        <v>13273</v>
      </c>
      <c r="K145" t="s">
        <v>3605</v>
      </c>
    </row>
    <row r="146" spans="1:11">
      <c r="A146" t="s">
        <v>13273</v>
      </c>
      <c r="B146" t="s">
        <v>13274</v>
      </c>
      <c r="C146" t="s">
        <v>13385</v>
      </c>
      <c r="D146" t="s">
        <v>13386</v>
      </c>
      <c r="J146" t="s">
        <v>13273</v>
      </c>
      <c r="K146" t="s">
        <v>3605</v>
      </c>
    </row>
    <row r="147" spans="1:11">
      <c r="A147" t="s">
        <v>13273</v>
      </c>
      <c r="B147" t="s">
        <v>13274</v>
      </c>
      <c r="C147" t="s">
        <v>13387</v>
      </c>
      <c r="D147" t="s">
        <v>13388</v>
      </c>
      <c r="J147" t="s">
        <v>13273</v>
      </c>
      <c r="K147" t="s">
        <v>3605</v>
      </c>
    </row>
    <row r="148" spans="1:11">
      <c r="A148" t="s">
        <v>13273</v>
      </c>
      <c r="B148" t="s">
        <v>13274</v>
      </c>
      <c r="C148" t="s">
        <v>13389</v>
      </c>
      <c r="D148" t="s">
        <v>13390</v>
      </c>
      <c r="J148" t="s">
        <v>13273</v>
      </c>
      <c r="K148" t="s">
        <v>3605</v>
      </c>
    </row>
    <row r="149" spans="1:11">
      <c r="A149" t="s">
        <v>13273</v>
      </c>
      <c r="B149" t="s">
        <v>13274</v>
      </c>
      <c r="C149" t="s">
        <v>13391</v>
      </c>
      <c r="D149" t="s">
        <v>13392</v>
      </c>
      <c r="J149" t="s">
        <v>13273</v>
      </c>
      <c r="K149" t="s">
        <v>3605</v>
      </c>
    </row>
    <row r="150" spans="1:11">
      <c r="A150" t="s">
        <v>13273</v>
      </c>
      <c r="B150" t="s">
        <v>13274</v>
      </c>
      <c r="C150" t="s">
        <v>13393</v>
      </c>
      <c r="D150" t="s">
        <v>13394</v>
      </c>
      <c r="J150" t="s">
        <v>13273</v>
      </c>
      <c r="K150" t="s">
        <v>3605</v>
      </c>
    </row>
    <row r="151" spans="1:11">
      <c r="A151" t="s">
        <v>13273</v>
      </c>
      <c r="B151" t="s">
        <v>13274</v>
      </c>
      <c r="C151" t="s">
        <v>13395</v>
      </c>
      <c r="D151" t="s">
        <v>13396</v>
      </c>
      <c r="J151" t="s">
        <v>13273</v>
      </c>
      <c r="K151" t="s">
        <v>3605</v>
      </c>
    </row>
    <row r="152" spans="1:11">
      <c r="A152" t="s">
        <v>13273</v>
      </c>
      <c r="B152" t="s">
        <v>13274</v>
      </c>
      <c r="C152" t="s">
        <v>13397</v>
      </c>
      <c r="D152" t="s">
        <v>13398</v>
      </c>
      <c r="J152" t="s">
        <v>13273</v>
      </c>
      <c r="K152" t="s">
        <v>3605</v>
      </c>
    </row>
    <row r="153" spans="1:11">
      <c r="A153" t="s">
        <v>13273</v>
      </c>
      <c r="B153" t="s">
        <v>13274</v>
      </c>
      <c r="C153" t="s">
        <v>13399</v>
      </c>
      <c r="D153" t="s">
        <v>13400</v>
      </c>
      <c r="J153" t="s">
        <v>13273</v>
      </c>
      <c r="K153" t="s">
        <v>3605</v>
      </c>
    </row>
    <row r="154" spans="1:11">
      <c r="A154" t="s">
        <v>13273</v>
      </c>
      <c r="B154" t="s">
        <v>13274</v>
      </c>
      <c r="C154" t="s">
        <v>13401</v>
      </c>
      <c r="D154" t="s">
        <v>13402</v>
      </c>
      <c r="J154" t="s">
        <v>13273</v>
      </c>
      <c r="K154" t="s">
        <v>3605</v>
      </c>
    </row>
    <row r="155" spans="1:11">
      <c r="A155" t="s">
        <v>13273</v>
      </c>
      <c r="B155" t="s">
        <v>13274</v>
      </c>
      <c r="C155" t="s">
        <v>13403</v>
      </c>
      <c r="D155" t="s">
        <v>13340</v>
      </c>
      <c r="J155" t="s">
        <v>13273</v>
      </c>
      <c r="K155" t="s">
        <v>3605</v>
      </c>
    </row>
    <row r="156" spans="1:11">
      <c r="A156" t="s">
        <v>13273</v>
      </c>
      <c r="B156" t="s">
        <v>13274</v>
      </c>
      <c r="C156" t="s">
        <v>13404</v>
      </c>
      <c r="D156" t="s">
        <v>13405</v>
      </c>
      <c r="J156" t="s">
        <v>13273</v>
      </c>
      <c r="K156" t="s">
        <v>3605</v>
      </c>
    </row>
    <row r="157" spans="1:11">
      <c r="A157" t="s">
        <v>13273</v>
      </c>
      <c r="B157" t="s">
        <v>13274</v>
      </c>
      <c r="C157" t="s">
        <v>13406</v>
      </c>
      <c r="D157" t="s">
        <v>13407</v>
      </c>
      <c r="J157" t="s">
        <v>13273</v>
      </c>
      <c r="K157" t="s">
        <v>3605</v>
      </c>
    </row>
    <row r="158" spans="1:11">
      <c r="A158" t="s">
        <v>13273</v>
      </c>
      <c r="B158" t="s">
        <v>13274</v>
      </c>
      <c r="C158" t="s">
        <v>13408</v>
      </c>
      <c r="D158" t="s">
        <v>13409</v>
      </c>
      <c r="J158" t="s">
        <v>13273</v>
      </c>
      <c r="K158" t="s">
        <v>3605</v>
      </c>
    </row>
    <row r="159" spans="1:11">
      <c r="A159" t="s">
        <v>13273</v>
      </c>
      <c r="B159" t="s">
        <v>13274</v>
      </c>
      <c r="C159" t="s">
        <v>13410</v>
      </c>
      <c r="D159" t="s">
        <v>13411</v>
      </c>
      <c r="J159" t="s">
        <v>13273</v>
      </c>
      <c r="K159" t="s">
        <v>3605</v>
      </c>
    </row>
    <row r="160" spans="1:11">
      <c r="A160" t="s">
        <v>13273</v>
      </c>
      <c r="B160" t="s">
        <v>13274</v>
      </c>
      <c r="C160" t="s">
        <v>13412</v>
      </c>
      <c r="D160" t="s">
        <v>13413</v>
      </c>
      <c r="J160" t="s">
        <v>13273</v>
      </c>
      <c r="K160" t="s">
        <v>3605</v>
      </c>
    </row>
    <row r="161" spans="1:11">
      <c r="A161" t="s">
        <v>13273</v>
      </c>
      <c r="B161" t="s">
        <v>13274</v>
      </c>
      <c r="C161" t="s">
        <v>13414</v>
      </c>
      <c r="D161" t="s">
        <v>13415</v>
      </c>
      <c r="J161" t="s">
        <v>13273</v>
      </c>
      <c r="K161" t="s">
        <v>3605</v>
      </c>
    </row>
    <row r="162" spans="1:11">
      <c r="A162" t="s">
        <v>13273</v>
      </c>
      <c r="B162" t="s">
        <v>13274</v>
      </c>
      <c r="C162" t="s">
        <v>13416</v>
      </c>
      <c r="D162" t="s">
        <v>13417</v>
      </c>
      <c r="J162" t="s">
        <v>13273</v>
      </c>
      <c r="K162" t="s">
        <v>3605</v>
      </c>
    </row>
    <row r="163" spans="1:11">
      <c r="A163" t="s">
        <v>13273</v>
      </c>
      <c r="B163" t="s">
        <v>13274</v>
      </c>
      <c r="C163" t="s">
        <v>13418</v>
      </c>
      <c r="D163" t="s">
        <v>13419</v>
      </c>
      <c r="J163" t="s">
        <v>13273</v>
      </c>
      <c r="K163" t="s">
        <v>3605</v>
      </c>
    </row>
    <row r="164" spans="1:11">
      <c r="A164" t="s">
        <v>13273</v>
      </c>
      <c r="B164" t="s">
        <v>13274</v>
      </c>
      <c r="C164" t="s">
        <v>13420</v>
      </c>
      <c r="D164" t="s">
        <v>13421</v>
      </c>
      <c r="J164" t="s">
        <v>13273</v>
      </c>
      <c r="K164" t="s">
        <v>3605</v>
      </c>
    </row>
    <row r="165" spans="1:11">
      <c r="A165" t="s">
        <v>13273</v>
      </c>
      <c r="B165" t="s">
        <v>13274</v>
      </c>
      <c r="C165" t="s">
        <v>13422</v>
      </c>
      <c r="D165" t="s">
        <v>13423</v>
      </c>
      <c r="J165" t="s">
        <v>13273</v>
      </c>
      <c r="K165" t="s">
        <v>3605</v>
      </c>
    </row>
    <row r="166" spans="1:11">
      <c r="A166" t="s">
        <v>13273</v>
      </c>
      <c r="B166" t="s">
        <v>13274</v>
      </c>
      <c r="C166" t="s">
        <v>13424</v>
      </c>
      <c r="D166" t="s">
        <v>13425</v>
      </c>
      <c r="J166" t="s">
        <v>13273</v>
      </c>
      <c r="K166" t="s">
        <v>3605</v>
      </c>
    </row>
    <row r="167" spans="1:11">
      <c r="A167" t="s">
        <v>13273</v>
      </c>
      <c r="B167" t="s">
        <v>13274</v>
      </c>
      <c r="C167" t="s">
        <v>13426</v>
      </c>
      <c r="D167" t="s">
        <v>13427</v>
      </c>
      <c r="J167" t="s">
        <v>13273</v>
      </c>
      <c r="K167" t="s">
        <v>3605</v>
      </c>
    </row>
    <row r="168" spans="1:11">
      <c r="A168" t="s">
        <v>13273</v>
      </c>
      <c r="B168" t="s">
        <v>13274</v>
      </c>
      <c r="C168" t="s">
        <v>13428</v>
      </c>
      <c r="D168" t="s">
        <v>13429</v>
      </c>
      <c r="J168" t="s">
        <v>13273</v>
      </c>
      <c r="K168" t="s">
        <v>3605</v>
      </c>
    </row>
    <row r="169" spans="1:11">
      <c r="A169" t="s">
        <v>13273</v>
      </c>
      <c r="B169" t="s">
        <v>13274</v>
      </c>
      <c r="C169" t="s">
        <v>13430</v>
      </c>
      <c r="D169" t="s">
        <v>13431</v>
      </c>
      <c r="J169" t="s">
        <v>13273</v>
      </c>
      <c r="K169" t="s">
        <v>3605</v>
      </c>
    </row>
    <row r="170" spans="1:11">
      <c r="A170" t="s">
        <v>13273</v>
      </c>
      <c r="B170" t="s">
        <v>13274</v>
      </c>
      <c r="C170" t="s">
        <v>13432</v>
      </c>
      <c r="D170" t="s">
        <v>13433</v>
      </c>
      <c r="J170" t="s">
        <v>13273</v>
      </c>
      <c r="K170" t="s">
        <v>3605</v>
      </c>
    </row>
    <row r="171" spans="1:11">
      <c r="A171" t="s">
        <v>13273</v>
      </c>
      <c r="B171" t="s">
        <v>13274</v>
      </c>
      <c r="C171" t="s">
        <v>13434</v>
      </c>
      <c r="D171" t="s">
        <v>13435</v>
      </c>
      <c r="J171" t="s">
        <v>13273</v>
      </c>
      <c r="K171" t="s">
        <v>3605</v>
      </c>
    </row>
    <row r="172" spans="1:11">
      <c r="A172" t="s">
        <v>13273</v>
      </c>
      <c r="B172" t="s">
        <v>13274</v>
      </c>
      <c r="C172" t="s">
        <v>13436</v>
      </c>
      <c r="D172" t="s">
        <v>13437</v>
      </c>
      <c r="J172" t="s">
        <v>13273</v>
      </c>
      <c r="K172" t="s">
        <v>3605</v>
      </c>
    </row>
    <row r="173" spans="1:11">
      <c r="A173" t="s">
        <v>13273</v>
      </c>
      <c r="B173" t="s">
        <v>13274</v>
      </c>
      <c r="C173" t="s">
        <v>13438</v>
      </c>
      <c r="D173" t="s">
        <v>13439</v>
      </c>
      <c r="J173" t="s">
        <v>13273</v>
      </c>
      <c r="K173" t="s">
        <v>3605</v>
      </c>
    </row>
    <row r="174" spans="1:11">
      <c r="A174" t="s">
        <v>13273</v>
      </c>
      <c r="B174" t="s">
        <v>13274</v>
      </c>
      <c r="C174" t="s">
        <v>13440</v>
      </c>
      <c r="D174" t="s">
        <v>13441</v>
      </c>
      <c r="J174" t="s">
        <v>13273</v>
      </c>
      <c r="K174" t="s">
        <v>3605</v>
      </c>
    </row>
    <row r="175" spans="1:11">
      <c r="A175" t="s">
        <v>13273</v>
      </c>
      <c r="B175" t="s">
        <v>13274</v>
      </c>
      <c r="C175" t="s">
        <v>13442</v>
      </c>
      <c r="D175" t="s">
        <v>13443</v>
      </c>
      <c r="J175" t="s">
        <v>13273</v>
      </c>
      <c r="K175" t="s">
        <v>3605</v>
      </c>
    </row>
    <row r="176" spans="1:11">
      <c r="A176" t="s">
        <v>13273</v>
      </c>
      <c r="B176" t="s">
        <v>13274</v>
      </c>
      <c r="C176" t="s">
        <v>13444</v>
      </c>
      <c r="D176" t="s">
        <v>13445</v>
      </c>
      <c r="J176" t="s">
        <v>13273</v>
      </c>
      <c r="K176" t="s">
        <v>3605</v>
      </c>
    </row>
    <row r="177" spans="1:11">
      <c r="A177" t="s">
        <v>13273</v>
      </c>
      <c r="B177" t="s">
        <v>13274</v>
      </c>
      <c r="C177" t="s">
        <v>13446</v>
      </c>
      <c r="D177" t="s">
        <v>13447</v>
      </c>
      <c r="J177" t="s">
        <v>13273</v>
      </c>
      <c r="K177" t="s">
        <v>3605</v>
      </c>
    </row>
    <row r="178" spans="1:11">
      <c r="A178" t="s">
        <v>13273</v>
      </c>
      <c r="B178" t="s">
        <v>13274</v>
      </c>
      <c r="C178" t="s">
        <v>13448</v>
      </c>
      <c r="D178" t="s">
        <v>13449</v>
      </c>
      <c r="J178" t="s">
        <v>13273</v>
      </c>
      <c r="K178" t="s">
        <v>3605</v>
      </c>
    </row>
    <row r="179" spans="1:11">
      <c r="A179" t="s">
        <v>13273</v>
      </c>
      <c r="B179" t="s">
        <v>13274</v>
      </c>
      <c r="C179" t="s">
        <v>13450</v>
      </c>
      <c r="D179" t="s">
        <v>13451</v>
      </c>
      <c r="J179" t="s">
        <v>13273</v>
      </c>
      <c r="K179" t="s">
        <v>3605</v>
      </c>
    </row>
    <row r="180" spans="1:11">
      <c r="A180" t="s">
        <v>13273</v>
      </c>
      <c r="B180" t="s">
        <v>13274</v>
      </c>
      <c r="C180" t="s">
        <v>13452</v>
      </c>
      <c r="D180" t="s">
        <v>13453</v>
      </c>
      <c r="J180" t="s">
        <v>13273</v>
      </c>
      <c r="K180" t="s">
        <v>3605</v>
      </c>
    </row>
    <row r="181" spans="1:11">
      <c r="A181" t="s">
        <v>13273</v>
      </c>
      <c r="B181" t="s">
        <v>13274</v>
      </c>
      <c r="C181" t="s">
        <v>13454</v>
      </c>
      <c r="D181" t="s">
        <v>13455</v>
      </c>
      <c r="J181" t="s">
        <v>13273</v>
      </c>
      <c r="K181" t="s">
        <v>3605</v>
      </c>
    </row>
    <row r="182" spans="1:11">
      <c r="A182" t="s">
        <v>13273</v>
      </c>
      <c r="B182" t="s">
        <v>13274</v>
      </c>
      <c r="C182" t="s">
        <v>13456</v>
      </c>
      <c r="D182" t="s">
        <v>13457</v>
      </c>
      <c r="J182" t="s">
        <v>13273</v>
      </c>
      <c r="K182" t="s">
        <v>3605</v>
      </c>
    </row>
    <row r="183" spans="1:11">
      <c r="A183" t="s">
        <v>13273</v>
      </c>
      <c r="B183" t="s">
        <v>13274</v>
      </c>
      <c r="C183" t="s">
        <v>13458</v>
      </c>
      <c r="D183" t="s">
        <v>13459</v>
      </c>
      <c r="J183" t="s">
        <v>13273</v>
      </c>
      <c r="K183" t="s">
        <v>3605</v>
      </c>
    </row>
    <row r="184" spans="1:11">
      <c r="A184" t="s">
        <v>13273</v>
      </c>
      <c r="B184" t="s">
        <v>13274</v>
      </c>
      <c r="C184" t="s">
        <v>13460</v>
      </c>
      <c r="D184" t="s">
        <v>13461</v>
      </c>
      <c r="J184" t="s">
        <v>13273</v>
      </c>
      <c r="K184" t="s">
        <v>3605</v>
      </c>
    </row>
    <row r="185" spans="1:11">
      <c r="A185" t="s">
        <v>13273</v>
      </c>
      <c r="B185" t="s">
        <v>13274</v>
      </c>
      <c r="C185" t="s">
        <v>13462</v>
      </c>
      <c r="D185" t="s">
        <v>13463</v>
      </c>
      <c r="J185" t="s">
        <v>13273</v>
      </c>
      <c r="K185" t="s">
        <v>3605</v>
      </c>
    </row>
    <row r="186" spans="1:11">
      <c r="A186" t="s">
        <v>13273</v>
      </c>
      <c r="B186" t="s">
        <v>13274</v>
      </c>
      <c r="C186" t="s">
        <v>13464</v>
      </c>
      <c r="D186" t="s">
        <v>13465</v>
      </c>
      <c r="J186" t="s">
        <v>13273</v>
      </c>
      <c r="K186" t="s">
        <v>3605</v>
      </c>
    </row>
    <row r="187" spans="1:11">
      <c r="A187" t="s">
        <v>13273</v>
      </c>
      <c r="B187" t="s">
        <v>13274</v>
      </c>
      <c r="C187" t="s">
        <v>13466</v>
      </c>
      <c r="D187" t="s">
        <v>13467</v>
      </c>
      <c r="J187" t="s">
        <v>13273</v>
      </c>
      <c r="K187" t="s">
        <v>3605</v>
      </c>
    </row>
    <row r="188" spans="1:11">
      <c r="A188" t="s">
        <v>13273</v>
      </c>
      <c r="B188" t="s">
        <v>13274</v>
      </c>
      <c r="C188" t="s">
        <v>13468</v>
      </c>
      <c r="D188" t="s">
        <v>13463</v>
      </c>
      <c r="J188" t="s">
        <v>13273</v>
      </c>
      <c r="K188" t="s">
        <v>3605</v>
      </c>
    </row>
    <row r="189" spans="1:11">
      <c r="A189" t="s">
        <v>13273</v>
      </c>
      <c r="B189" t="s">
        <v>13274</v>
      </c>
      <c r="C189" t="s">
        <v>13469</v>
      </c>
      <c r="D189" t="s">
        <v>13470</v>
      </c>
      <c r="J189" t="s">
        <v>13273</v>
      </c>
      <c r="K189" t="s">
        <v>3605</v>
      </c>
    </row>
    <row r="190" spans="1:11">
      <c r="A190" t="s">
        <v>13273</v>
      </c>
      <c r="B190" t="s">
        <v>13274</v>
      </c>
      <c r="C190" t="s">
        <v>13471</v>
      </c>
      <c r="D190" t="s">
        <v>13472</v>
      </c>
      <c r="J190" t="s">
        <v>13273</v>
      </c>
      <c r="K190" t="s">
        <v>3605</v>
      </c>
    </row>
    <row r="191" spans="1:11">
      <c r="A191" t="s">
        <v>13273</v>
      </c>
      <c r="B191" t="s">
        <v>13274</v>
      </c>
      <c r="C191" t="s">
        <v>13473</v>
      </c>
      <c r="D191" t="s">
        <v>13474</v>
      </c>
      <c r="J191" t="s">
        <v>13273</v>
      </c>
      <c r="K191" t="s">
        <v>3605</v>
      </c>
    </row>
    <row r="192" spans="1:11">
      <c r="A192" t="s">
        <v>13273</v>
      </c>
      <c r="B192" t="s">
        <v>13274</v>
      </c>
      <c r="C192" t="s">
        <v>13475</v>
      </c>
      <c r="D192" t="s">
        <v>13476</v>
      </c>
      <c r="J192" t="s">
        <v>13273</v>
      </c>
      <c r="K192" t="s">
        <v>3605</v>
      </c>
    </row>
    <row r="193" spans="1:11">
      <c r="A193" t="s">
        <v>13273</v>
      </c>
      <c r="B193" t="s">
        <v>13274</v>
      </c>
      <c r="C193" t="s">
        <v>13477</v>
      </c>
      <c r="D193" t="s">
        <v>13478</v>
      </c>
      <c r="J193" t="s">
        <v>13273</v>
      </c>
      <c r="K193" t="s">
        <v>3605</v>
      </c>
    </row>
    <row r="194" spans="1:11">
      <c r="A194" t="s">
        <v>13273</v>
      </c>
      <c r="B194" t="s">
        <v>13274</v>
      </c>
      <c r="C194" t="s">
        <v>13479</v>
      </c>
      <c r="D194" t="s">
        <v>13480</v>
      </c>
      <c r="J194" t="s">
        <v>13273</v>
      </c>
      <c r="K194" t="s">
        <v>3605</v>
      </c>
    </row>
    <row r="195" spans="1:11">
      <c r="A195" t="s">
        <v>13273</v>
      </c>
      <c r="B195" t="s">
        <v>13274</v>
      </c>
      <c r="C195" t="s">
        <v>13481</v>
      </c>
      <c r="D195" t="s">
        <v>13482</v>
      </c>
      <c r="J195" t="s">
        <v>13273</v>
      </c>
      <c r="K195" t="s">
        <v>3605</v>
      </c>
    </row>
    <row r="196" spans="1:11">
      <c r="A196" t="s">
        <v>13273</v>
      </c>
      <c r="B196" t="s">
        <v>13483</v>
      </c>
      <c r="C196" t="s">
        <v>13484</v>
      </c>
      <c r="D196" t="s">
        <v>13485</v>
      </c>
      <c r="J196" t="s">
        <v>13273</v>
      </c>
      <c r="K196" t="s">
        <v>3605</v>
      </c>
    </row>
    <row r="197" spans="1:11">
      <c r="A197" t="s">
        <v>13273</v>
      </c>
      <c r="B197" t="s">
        <v>13274</v>
      </c>
      <c r="C197" t="s">
        <v>13486</v>
      </c>
      <c r="D197" t="s">
        <v>13388</v>
      </c>
      <c r="J197" t="s">
        <v>13273</v>
      </c>
      <c r="K197" t="s">
        <v>3605</v>
      </c>
    </row>
    <row r="198" spans="1:11">
      <c r="A198" t="s">
        <v>13273</v>
      </c>
      <c r="B198" t="s">
        <v>13274</v>
      </c>
      <c r="C198">
        <v>14301020</v>
      </c>
      <c r="D198" t="s">
        <v>13487</v>
      </c>
      <c r="J198" t="s">
        <v>13273</v>
      </c>
      <c r="K198" t="s">
        <v>3605</v>
      </c>
    </row>
    <row r="199" spans="1:11">
      <c r="A199" t="s">
        <v>13273</v>
      </c>
      <c r="B199" t="s">
        <v>13274</v>
      </c>
      <c r="C199">
        <v>14301004</v>
      </c>
      <c r="D199" t="s">
        <v>13487</v>
      </c>
      <c r="J199" t="s">
        <v>13273</v>
      </c>
      <c r="K199" t="s">
        <v>3605</v>
      </c>
    </row>
    <row r="200" spans="1:11">
      <c r="A200" t="s">
        <v>13273</v>
      </c>
      <c r="B200" t="s">
        <v>13274</v>
      </c>
      <c r="C200" t="s">
        <v>13488</v>
      </c>
      <c r="D200" t="s">
        <v>13489</v>
      </c>
      <c r="J200" t="s">
        <v>13273</v>
      </c>
      <c r="K200" t="s">
        <v>3605</v>
      </c>
    </row>
    <row r="201" spans="1:11">
      <c r="A201" t="s">
        <v>13273</v>
      </c>
      <c r="B201" t="s">
        <v>13274</v>
      </c>
      <c r="C201">
        <v>14301010</v>
      </c>
      <c r="D201" t="s">
        <v>13487</v>
      </c>
      <c r="J201" t="s">
        <v>13273</v>
      </c>
      <c r="K201" t="s">
        <v>3605</v>
      </c>
    </row>
    <row r="202" spans="1:11">
      <c r="A202" t="s">
        <v>13273</v>
      </c>
      <c r="B202" t="s">
        <v>13274</v>
      </c>
      <c r="C202">
        <v>14305000</v>
      </c>
      <c r="D202" t="s">
        <v>13490</v>
      </c>
      <c r="J202" t="s">
        <v>13273</v>
      </c>
      <c r="K202" t="s">
        <v>3605</v>
      </c>
    </row>
    <row r="203" spans="1:11">
      <c r="A203" t="s">
        <v>13273</v>
      </c>
      <c r="B203" t="s">
        <v>13274</v>
      </c>
      <c r="C203">
        <v>14308002</v>
      </c>
      <c r="D203" t="s">
        <v>13314</v>
      </c>
      <c r="J203" t="s">
        <v>13273</v>
      </c>
      <c r="K203" t="s">
        <v>3605</v>
      </c>
    </row>
    <row r="204" spans="1:11">
      <c r="A204" t="s">
        <v>13273</v>
      </c>
      <c r="B204" t="s">
        <v>13274</v>
      </c>
      <c r="C204">
        <v>14308526</v>
      </c>
      <c r="D204" t="s">
        <v>13491</v>
      </c>
      <c r="J204" t="s">
        <v>13273</v>
      </c>
      <c r="K204" t="s">
        <v>3605</v>
      </c>
    </row>
    <row r="205" spans="1:11">
      <c r="A205" t="s">
        <v>13273</v>
      </c>
      <c r="B205" t="s">
        <v>13274</v>
      </c>
      <c r="C205">
        <v>14308548</v>
      </c>
      <c r="D205" t="s">
        <v>13492</v>
      </c>
      <c r="J205" t="s">
        <v>13273</v>
      </c>
      <c r="K205" t="s">
        <v>3605</v>
      </c>
    </row>
    <row r="206" spans="1:11">
      <c r="A206" t="s">
        <v>13273</v>
      </c>
      <c r="B206" t="s">
        <v>13274</v>
      </c>
      <c r="C206" t="s">
        <v>13493</v>
      </c>
      <c r="D206" t="s">
        <v>13494</v>
      </c>
      <c r="J206" t="s">
        <v>13273</v>
      </c>
      <c r="K206" t="s">
        <v>3605</v>
      </c>
    </row>
    <row r="207" spans="1:11">
      <c r="A207" t="s">
        <v>13273</v>
      </c>
      <c r="B207" t="s">
        <v>13274</v>
      </c>
      <c r="C207" t="s">
        <v>13495</v>
      </c>
      <c r="D207" t="s">
        <v>13496</v>
      </c>
      <c r="J207" t="s">
        <v>13273</v>
      </c>
      <c r="K207" t="s">
        <v>3605</v>
      </c>
    </row>
    <row r="208" spans="1:11">
      <c r="A208" t="s">
        <v>13273</v>
      </c>
      <c r="B208" t="s">
        <v>13274</v>
      </c>
      <c r="C208">
        <v>14317250</v>
      </c>
      <c r="D208" t="s">
        <v>13309</v>
      </c>
      <c r="J208" t="s">
        <v>13273</v>
      </c>
      <c r="K208" t="s">
        <v>3605</v>
      </c>
    </row>
    <row r="209" spans="1:11">
      <c r="A209" t="s">
        <v>13273</v>
      </c>
      <c r="B209" t="s">
        <v>13274</v>
      </c>
      <c r="C209">
        <v>14317251</v>
      </c>
      <c r="D209" t="s">
        <v>13310</v>
      </c>
      <c r="J209" t="s">
        <v>13273</v>
      </c>
      <c r="K209" t="s">
        <v>3605</v>
      </c>
    </row>
    <row r="210" spans="1:11">
      <c r="A210" t="s">
        <v>13273</v>
      </c>
      <c r="B210" t="s">
        <v>13274</v>
      </c>
      <c r="C210">
        <v>14317252</v>
      </c>
      <c r="D210" t="s">
        <v>13308</v>
      </c>
      <c r="J210" t="s">
        <v>13273</v>
      </c>
      <c r="K210" t="s">
        <v>3605</v>
      </c>
    </row>
    <row r="211" spans="1:11">
      <c r="A211" t="s">
        <v>13497</v>
      </c>
      <c r="B211" t="s">
        <v>13498</v>
      </c>
      <c r="C211">
        <v>14300600</v>
      </c>
      <c r="J211" t="s">
        <v>13497</v>
      </c>
      <c r="K211" t="s">
        <v>3605</v>
      </c>
    </row>
    <row r="212" spans="1:11">
      <c r="A212" t="s">
        <v>13499</v>
      </c>
      <c r="B212" t="s">
        <v>13500</v>
      </c>
      <c r="D212" t="s">
        <v>13501</v>
      </c>
      <c r="J212" t="s">
        <v>13499</v>
      </c>
      <c r="K212" t="s">
        <v>3605</v>
      </c>
    </row>
    <row r="213" spans="1:11">
      <c r="A213" t="s">
        <v>13502</v>
      </c>
      <c r="B213" t="s">
        <v>13503</v>
      </c>
      <c r="C213">
        <v>12400000</v>
      </c>
      <c r="J213" t="s">
        <v>13502</v>
      </c>
      <c r="K213" t="s">
        <v>3605</v>
      </c>
    </row>
    <row r="214" spans="1:11">
      <c r="A214" t="s">
        <v>13504</v>
      </c>
      <c r="B214" t="s">
        <v>13505</v>
      </c>
      <c r="C214">
        <v>12400000</v>
      </c>
      <c r="J214" t="s">
        <v>13504</v>
      </c>
      <c r="K214" t="s">
        <v>3605</v>
      </c>
    </row>
    <row r="215" spans="1:11">
      <c r="A215" t="s">
        <v>13506</v>
      </c>
      <c r="B215" t="s">
        <v>13507</v>
      </c>
      <c r="C215">
        <v>12404000</v>
      </c>
      <c r="J215" t="s">
        <v>13506</v>
      </c>
      <c r="K215" t="s">
        <v>3605</v>
      </c>
    </row>
    <row r="216" spans="1:11">
      <c r="A216" t="s">
        <v>13508</v>
      </c>
      <c r="B216" t="s">
        <v>13509</v>
      </c>
      <c r="J216" t="s">
        <v>13508</v>
      </c>
      <c r="K216" t="s">
        <v>3605</v>
      </c>
    </row>
    <row r="217" spans="1:11">
      <c r="A217" t="s">
        <v>13510</v>
      </c>
      <c r="B217" t="s">
        <v>13511</v>
      </c>
      <c r="C217">
        <v>12800000</v>
      </c>
      <c r="J217" t="s">
        <v>13510</v>
      </c>
      <c r="K217" t="s">
        <v>3605</v>
      </c>
    </row>
    <row r="218" spans="1:11">
      <c r="A218" t="s">
        <v>13512</v>
      </c>
      <c r="B218" t="s">
        <v>13513</v>
      </c>
      <c r="C218">
        <v>12804000</v>
      </c>
      <c r="J218" t="s">
        <v>13512</v>
      </c>
      <c r="K218" t="s">
        <v>3605</v>
      </c>
    </row>
    <row r="219" spans="1:11">
      <c r="A219" t="s">
        <v>13514</v>
      </c>
      <c r="B219" t="s">
        <v>13515</v>
      </c>
      <c r="C219">
        <v>19852000</v>
      </c>
      <c r="J219" t="s">
        <v>13514</v>
      </c>
      <c r="K219" t="s">
        <v>3605</v>
      </c>
    </row>
    <row r="220" spans="1:11">
      <c r="A220" t="s">
        <v>13516</v>
      </c>
      <c r="B220" t="s">
        <v>13517</v>
      </c>
      <c r="C220">
        <v>12400100</v>
      </c>
      <c r="J220" t="s">
        <v>13516</v>
      </c>
      <c r="K220" t="s">
        <v>3605</v>
      </c>
    </row>
    <row r="221" spans="1:11">
      <c r="A221" t="s">
        <v>13518</v>
      </c>
      <c r="B221" t="s">
        <v>13519</v>
      </c>
      <c r="C221">
        <v>12400100</v>
      </c>
      <c r="J221" t="s">
        <v>13518</v>
      </c>
      <c r="K221" t="s">
        <v>3605</v>
      </c>
    </row>
    <row r="222" spans="1:11">
      <c r="A222" t="s">
        <v>13520</v>
      </c>
      <c r="B222" t="s">
        <v>13521</v>
      </c>
      <c r="C222">
        <v>12800100</v>
      </c>
      <c r="J222" t="s">
        <v>13520</v>
      </c>
      <c r="K222" t="s">
        <v>3605</v>
      </c>
    </row>
    <row r="223" spans="1:11">
      <c r="A223" t="s">
        <v>13522</v>
      </c>
      <c r="B223" t="s">
        <v>13523</v>
      </c>
      <c r="C223">
        <v>12800100</v>
      </c>
      <c r="J223" t="s">
        <v>13522</v>
      </c>
      <c r="K223" t="s">
        <v>3605</v>
      </c>
    </row>
    <row r="224" spans="1:11">
      <c r="A224" t="s">
        <v>13524</v>
      </c>
      <c r="B224" t="s">
        <v>13525</v>
      </c>
      <c r="C224">
        <v>12804100</v>
      </c>
      <c r="J224" t="s">
        <v>13524</v>
      </c>
      <c r="K224" t="s">
        <v>3605</v>
      </c>
    </row>
    <row r="225" spans="1:11">
      <c r="A225" t="s">
        <v>13526</v>
      </c>
      <c r="B225" t="s">
        <v>13527</v>
      </c>
      <c r="C225">
        <v>12400200</v>
      </c>
      <c r="J225" t="s">
        <v>13526</v>
      </c>
      <c r="K225" t="s">
        <v>3605</v>
      </c>
    </row>
    <row r="226" spans="1:11">
      <c r="A226" t="s">
        <v>13528</v>
      </c>
      <c r="B226" t="s">
        <v>13529</v>
      </c>
      <c r="C226">
        <v>12400200</v>
      </c>
      <c r="J226" t="s">
        <v>13528</v>
      </c>
      <c r="K226" t="s">
        <v>3605</v>
      </c>
    </row>
    <row r="227" spans="1:11">
      <c r="A227" t="s">
        <v>13530</v>
      </c>
      <c r="B227" t="s">
        <v>13531</v>
      </c>
      <c r="C227">
        <v>12404200</v>
      </c>
      <c r="J227" t="s">
        <v>13530</v>
      </c>
      <c r="K227" t="s">
        <v>3605</v>
      </c>
    </row>
    <row r="228" spans="1:11">
      <c r="A228" t="s">
        <v>13532</v>
      </c>
      <c r="B228" t="s">
        <v>13533</v>
      </c>
      <c r="C228">
        <v>12400000</v>
      </c>
      <c r="J228" t="s">
        <v>13532</v>
      </c>
      <c r="K228" t="s">
        <v>3605</v>
      </c>
    </row>
    <row r="229" spans="1:11">
      <c r="A229" t="s">
        <v>13534</v>
      </c>
      <c r="B229" t="s">
        <v>13535</v>
      </c>
      <c r="C229">
        <v>12400000</v>
      </c>
      <c r="J229" t="s">
        <v>13534</v>
      </c>
      <c r="K229" t="s">
        <v>3605</v>
      </c>
    </row>
    <row r="230" spans="1:11">
      <c r="A230" t="s">
        <v>13536</v>
      </c>
      <c r="B230" t="s">
        <v>13537</v>
      </c>
      <c r="C230">
        <v>12400000</v>
      </c>
      <c r="J230" t="s">
        <v>13536</v>
      </c>
      <c r="K230" t="s">
        <v>3605</v>
      </c>
    </row>
    <row r="231" spans="1:11">
      <c r="A231" t="s">
        <v>13538</v>
      </c>
      <c r="B231" t="s">
        <v>13539</v>
      </c>
      <c r="C231">
        <v>12404600</v>
      </c>
      <c r="J231" t="s">
        <v>13538</v>
      </c>
      <c r="K231" t="s">
        <v>3605</v>
      </c>
    </row>
    <row r="232" spans="1:11">
      <c r="A232" t="s">
        <v>13538</v>
      </c>
      <c r="B232" t="s">
        <v>13539</v>
      </c>
      <c r="C232">
        <v>12400600</v>
      </c>
      <c r="D232" t="s">
        <v>13540</v>
      </c>
      <c r="E232" t="s">
        <v>13541</v>
      </c>
      <c r="F232" t="s">
        <v>13542</v>
      </c>
      <c r="G232" t="s">
        <v>13543</v>
      </c>
      <c r="H232" t="s">
        <v>13544</v>
      </c>
      <c r="J232" t="s">
        <v>13538</v>
      </c>
      <c r="K232" t="s">
        <v>3605</v>
      </c>
    </row>
    <row r="233" spans="1:11">
      <c r="A233" t="s">
        <v>13545</v>
      </c>
      <c r="B233" t="s">
        <v>13546</v>
      </c>
      <c r="C233">
        <v>16000000</v>
      </c>
      <c r="D233" t="s">
        <v>13547</v>
      </c>
      <c r="E233" t="s">
        <v>13548</v>
      </c>
      <c r="F233" t="s">
        <v>13549</v>
      </c>
      <c r="H233" t="s">
        <v>13550</v>
      </c>
      <c r="J233" t="s">
        <v>13545</v>
      </c>
      <c r="K233" t="s">
        <v>3605</v>
      </c>
    </row>
    <row r="234" spans="1:11">
      <c r="A234" t="s">
        <v>13551</v>
      </c>
      <c r="B234" t="s">
        <v>13552</v>
      </c>
      <c r="C234">
        <v>16000000</v>
      </c>
      <c r="D234" t="s">
        <v>13553</v>
      </c>
      <c r="E234" t="s">
        <v>13554</v>
      </c>
      <c r="F234" t="s">
        <v>13555</v>
      </c>
      <c r="H234" t="s">
        <v>13556</v>
      </c>
      <c r="J234" t="s">
        <v>13551</v>
      </c>
      <c r="K234" t="s">
        <v>3605</v>
      </c>
    </row>
    <row r="235" spans="1:11">
      <c r="A235" t="s">
        <v>13557</v>
      </c>
      <c r="B235" t="s">
        <v>13558</v>
      </c>
      <c r="C235">
        <v>16000000</v>
      </c>
      <c r="D235" t="s">
        <v>13559</v>
      </c>
      <c r="E235" t="s">
        <v>13560</v>
      </c>
      <c r="F235" t="s">
        <v>13561</v>
      </c>
      <c r="H235" t="s">
        <v>13562</v>
      </c>
      <c r="J235" t="s">
        <v>13557</v>
      </c>
      <c r="K235" t="s">
        <v>3605</v>
      </c>
    </row>
    <row r="236" spans="1:11">
      <c r="A236" t="s">
        <v>13563</v>
      </c>
      <c r="B236" t="s">
        <v>13564</v>
      </c>
      <c r="C236">
        <v>16000000</v>
      </c>
      <c r="D236" t="s">
        <v>13565</v>
      </c>
      <c r="F236" t="s">
        <v>13566</v>
      </c>
      <c r="J236" t="s">
        <v>13563</v>
      </c>
      <c r="K236" t="s">
        <v>3605</v>
      </c>
    </row>
    <row r="237" spans="1:11">
      <c r="A237" t="s">
        <v>13567</v>
      </c>
      <c r="B237" t="s">
        <v>13568</v>
      </c>
      <c r="C237">
        <v>16012000</v>
      </c>
      <c r="J237" t="s">
        <v>13567</v>
      </c>
      <c r="K237" t="s">
        <v>3605</v>
      </c>
    </row>
    <row r="238" spans="1:11">
      <c r="A238" t="s">
        <v>13569</v>
      </c>
      <c r="B238" t="s">
        <v>13570</v>
      </c>
      <c r="C238">
        <v>16000000</v>
      </c>
      <c r="D238">
        <v>1282001</v>
      </c>
      <c r="J238" t="s">
        <v>13569</v>
      </c>
      <c r="K238" t="s">
        <v>3605</v>
      </c>
    </row>
    <row r="239" spans="1:11">
      <c r="A239" t="s">
        <v>13571</v>
      </c>
      <c r="B239" t="s">
        <v>13572</v>
      </c>
      <c r="C239">
        <v>16000000</v>
      </c>
      <c r="J239" t="s">
        <v>13571</v>
      </c>
      <c r="K239" t="s">
        <v>3605</v>
      </c>
    </row>
    <row r="240" spans="1:11">
      <c r="A240" t="s">
        <v>13573</v>
      </c>
      <c r="B240" t="s">
        <v>13574</v>
      </c>
      <c r="C240">
        <v>16000000</v>
      </c>
      <c r="J240" t="s">
        <v>13573</v>
      </c>
      <c r="K240" t="s">
        <v>3605</v>
      </c>
    </row>
    <row r="241" spans="1:11">
      <c r="A241" t="s">
        <v>13575</v>
      </c>
      <c r="B241" t="s">
        <v>13576</v>
      </c>
      <c r="C241">
        <v>16000000</v>
      </c>
      <c r="J241" t="s">
        <v>13575</v>
      </c>
      <c r="K241" t="s">
        <v>3605</v>
      </c>
    </row>
    <row r="242" spans="1:11">
      <c r="A242" t="s">
        <v>13577</v>
      </c>
      <c r="B242" t="s">
        <v>13578</v>
      </c>
      <c r="C242">
        <v>16000000</v>
      </c>
      <c r="J242" t="s">
        <v>13577</v>
      </c>
      <c r="K242" t="s">
        <v>3605</v>
      </c>
    </row>
    <row r="243" spans="1:11">
      <c r="A243" t="s">
        <v>13579</v>
      </c>
      <c r="B243" t="s">
        <v>13580</v>
      </c>
      <c r="C243">
        <v>16000000</v>
      </c>
      <c r="J243" t="s">
        <v>13579</v>
      </c>
      <c r="K243" t="s">
        <v>3605</v>
      </c>
    </row>
    <row r="244" spans="1:11">
      <c r="A244" t="s">
        <v>13581</v>
      </c>
      <c r="B244" t="s">
        <v>13582</v>
      </c>
      <c r="C244">
        <v>16008000</v>
      </c>
      <c r="D244" t="s">
        <v>13583</v>
      </c>
      <c r="J244" t="s">
        <v>13581</v>
      </c>
      <c r="K244" t="s">
        <v>3605</v>
      </c>
    </row>
    <row r="245" spans="1:11">
      <c r="A245" t="s">
        <v>13581</v>
      </c>
      <c r="B245" t="s">
        <v>13582</v>
      </c>
      <c r="C245">
        <v>16000000</v>
      </c>
      <c r="D245" t="s">
        <v>13584</v>
      </c>
      <c r="J245" t="s">
        <v>13581</v>
      </c>
      <c r="K245" t="s">
        <v>3605</v>
      </c>
    </row>
    <row r="246" spans="1:11">
      <c r="A246" t="s">
        <v>13585</v>
      </c>
      <c r="B246" t="s">
        <v>13586</v>
      </c>
      <c r="C246">
        <v>16008000</v>
      </c>
      <c r="J246" t="s">
        <v>13585</v>
      </c>
      <c r="K246" t="s">
        <v>3605</v>
      </c>
    </row>
    <row r="247" spans="1:11">
      <c r="A247" t="s">
        <v>13587</v>
      </c>
      <c r="B247" t="s">
        <v>13588</v>
      </c>
      <c r="C247">
        <v>16008000</v>
      </c>
      <c r="D247" t="s">
        <v>13589</v>
      </c>
      <c r="J247" t="s">
        <v>13587</v>
      </c>
      <c r="K247" t="s">
        <v>3605</v>
      </c>
    </row>
    <row r="248" spans="1:11">
      <c r="A248" t="s">
        <v>13590</v>
      </c>
      <c r="B248" t="s">
        <v>13591</v>
      </c>
      <c r="C248">
        <v>16008000</v>
      </c>
      <c r="J248" t="s">
        <v>13590</v>
      </c>
      <c r="K248" t="s">
        <v>3605</v>
      </c>
    </row>
    <row r="249" spans="1:11">
      <c r="A249" t="s">
        <v>13592</v>
      </c>
      <c r="B249" t="s">
        <v>13593</v>
      </c>
      <c r="C249">
        <v>16014000</v>
      </c>
      <c r="J249" t="s">
        <v>13592</v>
      </c>
      <c r="K249" t="s">
        <v>3605</v>
      </c>
    </row>
    <row r="250" spans="1:11">
      <c r="A250" t="s">
        <v>13594</v>
      </c>
      <c r="B250" t="s">
        <v>13595</v>
      </c>
      <c r="C250">
        <v>16008000</v>
      </c>
      <c r="D250" t="s">
        <v>13596</v>
      </c>
      <c r="G250" t="s">
        <v>13597</v>
      </c>
      <c r="J250" t="s">
        <v>13594</v>
      </c>
      <c r="K250" t="s">
        <v>3605</v>
      </c>
    </row>
    <row r="251" spans="1:11">
      <c r="A251" t="s">
        <v>13598</v>
      </c>
      <c r="B251" t="s">
        <v>13599</v>
      </c>
      <c r="C251">
        <v>16008000</v>
      </c>
      <c r="D251" t="s">
        <v>13600</v>
      </c>
      <c r="G251" t="s">
        <v>13601</v>
      </c>
      <c r="J251" t="s">
        <v>13598</v>
      </c>
      <c r="K251" t="s">
        <v>3605</v>
      </c>
    </row>
    <row r="252" spans="1:11">
      <c r="A252" t="s">
        <v>13602</v>
      </c>
      <c r="B252" t="s">
        <v>13603</v>
      </c>
      <c r="C252">
        <v>16008000</v>
      </c>
      <c r="D252" t="s">
        <v>13604</v>
      </c>
      <c r="G252" t="s">
        <v>13605</v>
      </c>
      <c r="J252" t="s">
        <v>13602</v>
      </c>
      <c r="K252" t="s">
        <v>3605</v>
      </c>
    </row>
    <row r="253" spans="1:11">
      <c r="A253" t="s">
        <v>13606</v>
      </c>
      <c r="B253" t="s">
        <v>13607</v>
      </c>
      <c r="C253">
        <v>16008000</v>
      </c>
      <c r="D253" t="s">
        <v>13608</v>
      </c>
      <c r="G253" t="s">
        <v>13609</v>
      </c>
      <c r="J253" t="s">
        <v>13606</v>
      </c>
      <c r="K253" t="s">
        <v>3605</v>
      </c>
    </row>
    <row r="254" spans="1:11">
      <c r="A254" t="s">
        <v>13610</v>
      </c>
      <c r="B254" t="s">
        <v>13611</v>
      </c>
      <c r="C254">
        <v>16008000</v>
      </c>
      <c r="D254" t="s">
        <v>13612</v>
      </c>
      <c r="G254" t="s">
        <v>13613</v>
      </c>
      <c r="J254" t="s">
        <v>13610</v>
      </c>
      <c r="K254" t="s">
        <v>3605</v>
      </c>
    </row>
    <row r="255" spans="1:11">
      <c r="A255" t="s">
        <v>13614</v>
      </c>
      <c r="B255" t="s">
        <v>13615</v>
      </c>
      <c r="C255">
        <v>16008000</v>
      </c>
      <c r="D255" t="s">
        <v>13616</v>
      </c>
      <c r="G255" t="s">
        <v>13617</v>
      </c>
      <c r="J255" t="s">
        <v>13614</v>
      </c>
      <c r="K255" t="s">
        <v>3605</v>
      </c>
    </row>
    <row r="256" spans="1:11">
      <c r="A256" t="s">
        <v>13618</v>
      </c>
      <c r="B256" t="s">
        <v>13619</v>
      </c>
      <c r="C256">
        <v>16008000</v>
      </c>
      <c r="D256" t="s">
        <v>13620</v>
      </c>
      <c r="J256" t="s">
        <v>13618</v>
      </c>
      <c r="K256" t="s">
        <v>3605</v>
      </c>
    </row>
    <row r="257" spans="1:11">
      <c r="A257" t="s">
        <v>13621</v>
      </c>
      <c r="B257" t="s">
        <v>13622</v>
      </c>
      <c r="C257">
        <v>16008000</v>
      </c>
      <c r="D257" t="s">
        <v>13623</v>
      </c>
      <c r="J257" t="s">
        <v>13621</v>
      </c>
      <c r="K257" t="s">
        <v>3605</v>
      </c>
    </row>
    <row r="258" spans="1:11">
      <c r="A258" t="s">
        <v>13624</v>
      </c>
      <c r="B258" t="s">
        <v>13625</v>
      </c>
      <c r="C258">
        <v>16008000</v>
      </c>
      <c r="D258" t="s">
        <v>13626</v>
      </c>
      <c r="J258" t="s">
        <v>13624</v>
      </c>
      <c r="K258" t="s">
        <v>3605</v>
      </c>
    </row>
    <row r="259" spans="1:11">
      <c r="A259" t="s">
        <v>13627</v>
      </c>
      <c r="B259" t="s">
        <v>13628</v>
      </c>
      <c r="C259" t="s">
        <v>13629</v>
      </c>
      <c r="D259" t="s">
        <v>13583</v>
      </c>
      <c r="J259" t="s">
        <v>13627</v>
      </c>
      <c r="K259" t="s">
        <v>3605</v>
      </c>
    </row>
    <row r="260" spans="1:11">
      <c r="A260" t="s">
        <v>13630</v>
      </c>
      <c r="B260" t="s">
        <v>13631</v>
      </c>
      <c r="C260">
        <v>16000100</v>
      </c>
      <c r="J260" t="s">
        <v>13630</v>
      </c>
      <c r="K260" t="s">
        <v>3605</v>
      </c>
    </row>
    <row r="261" spans="1:11">
      <c r="A261" t="s">
        <v>13632</v>
      </c>
      <c r="B261" t="s">
        <v>13633</v>
      </c>
      <c r="C261">
        <v>16002000</v>
      </c>
      <c r="J261" t="s">
        <v>13632</v>
      </c>
      <c r="K261" t="s">
        <v>3605</v>
      </c>
    </row>
    <row r="262" spans="1:11">
      <c r="A262" t="s">
        <v>13632</v>
      </c>
      <c r="B262" t="s">
        <v>13633</v>
      </c>
      <c r="C262">
        <v>16008200</v>
      </c>
      <c r="J262" t="s">
        <v>13632</v>
      </c>
      <c r="K262" t="s">
        <v>3605</v>
      </c>
    </row>
    <row r="263" spans="1:11">
      <c r="A263" t="s">
        <v>13634</v>
      </c>
      <c r="B263" t="s">
        <v>13635</v>
      </c>
      <c r="C263">
        <v>12400200</v>
      </c>
      <c r="J263" t="s">
        <v>13634</v>
      </c>
      <c r="K263" t="s">
        <v>3605</v>
      </c>
    </row>
    <row r="264" spans="1:11">
      <c r="A264" t="s">
        <v>13636</v>
      </c>
      <c r="B264" t="s">
        <v>13637</v>
      </c>
      <c r="C264">
        <v>16000000</v>
      </c>
      <c r="J264" t="s">
        <v>13636</v>
      </c>
      <c r="K264" t="s">
        <v>3605</v>
      </c>
    </row>
    <row r="265" spans="1:11">
      <c r="A265" t="s">
        <v>13638</v>
      </c>
      <c r="B265" t="s">
        <v>13639</v>
      </c>
      <c r="C265">
        <v>16000000</v>
      </c>
      <c r="J265" t="s">
        <v>13638</v>
      </c>
      <c r="K265" t="s">
        <v>3605</v>
      </c>
    </row>
    <row r="266" spans="1:11">
      <c r="A266" t="s">
        <v>13640</v>
      </c>
      <c r="B266" t="s">
        <v>13641</v>
      </c>
      <c r="C266">
        <v>16004000</v>
      </c>
      <c r="J266" t="s">
        <v>13640</v>
      </c>
      <c r="K266" t="s">
        <v>3605</v>
      </c>
    </row>
    <row r="267" spans="1:11">
      <c r="A267" t="s">
        <v>13640</v>
      </c>
      <c r="B267" t="s">
        <v>13641</v>
      </c>
      <c r="C267">
        <v>14436400</v>
      </c>
      <c r="D267" t="s">
        <v>13642</v>
      </c>
      <c r="J267" t="s">
        <v>13640</v>
      </c>
      <c r="K267" t="s">
        <v>3605</v>
      </c>
    </row>
    <row r="268" spans="1:11">
      <c r="A268" t="s">
        <v>13643</v>
      </c>
      <c r="B268" t="s">
        <v>13644</v>
      </c>
      <c r="C268">
        <v>16000600</v>
      </c>
      <c r="J268" t="s">
        <v>13643</v>
      </c>
      <c r="K268" t="s">
        <v>3605</v>
      </c>
    </row>
    <row r="269" spans="1:11">
      <c r="A269" t="s">
        <v>13645</v>
      </c>
      <c r="B269" t="s">
        <v>13646</v>
      </c>
      <c r="C269">
        <v>16014600</v>
      </c>
      <c r="J269" t="s">
        <v>13645</v>
      </c>
      <c r="K269" t="s">
        <v>3605</v>
      </c>
    </row>
    <row r="270" spans="1:11">
      <c r="A270" t="s">
        <v>13647</v>
      </c>
      <c r="B270" t="s">
        <v>13648</v>
      </c>
      <c r="C270">
        <v>19808600</v>
      </c>
      <c r="J270" t="s">
        <v>13647</v>
      </c>
      <c r="K270" t="s">
        <v>3605</v>
      </c>
    </row>
    <row r="271" spans="1:11">
      <c r="A271" t="s">
        <v>13649</v>
      </c>
      <c r="B271" t="s">
        <v>13650</v>
      </c>
      <c r="C271">
        <v>16008600</v>
      </c>
      <c r="J271" t="s">
        <v>13649</v>
      </c>
      <c r="K271" t="s">
        <v>3605</v>
      </c>
    </row>
    <row r="272" spans="1:11">
      <c r="A272" t="s">
        <v>13651</v>
      </c>
      <c r="B272" t="s">
        <v>13652</v>
      </c>
      <c r="C272">
        <v>16000600</v>
      </c>
      <c r="J272" t="s">
        <v>13651</v>
      </c>
      <c r="K272" t="s">
        <v>3605</v>
      </c>
    </row>
    <row r="273" spans="1:11">
      <c r="A273" t="s">
        <v>13653</v>
      </c>
      <c r="B273" t="s">
        <v>13654</v>
      </c>
      <c r="C273">
        <v>16000600</v>
      </c>
      <c r="J273" t="s">
        <v>13653</v>
      </c>
      <c r="K273" t="s">
        <v>3605</v>
      </c>
    </row>
    <row r="274" spans="1:11">
      <c r="A274" t="s">
        <v>13655</v>
      </c>
      <c r="B274" t="s">
        <v>13656</v>
      </c>
      <c r="C274">
        <v>14436000</v>
      </c>
      <c r="D274" t="s">
        <v>13657</v>
      </c>
      <c r="J274" t="s">
        <v>13655</v>
      </c>
      <c r="K274" t="s">
        <v>3605</v>
      </c>
    </row>
    <row r="275" spans="1:11">
      <c r="A275" t="s">
        <v>13658</v>
      </c>
      <c r="B275" t="s">
        <v>13659</v>
      </c>
      <c r="C275">
        <v>14407000</v>
      </c>
      <c r="J275" t="s">
        <v>13658</v>
      </c>
      <c r="K275" t="s">
        <v>3605</v>
      </c>
    </row>
    <row r="276" spans="1:11">
      <c r="A276" t="s">
        <v>13660</v>
      </c>
      <c r="B276" t="s">
        <v>13661</v>
      </c>
      <c r="C276">
        <v>14436000</v>
      </c>
      <c r="D276">
        <v>1530476</v>
      </c>
      <c r="J276" t="s">
        <v>13660</v>
      </c>
      <c r="K276" t="s">
        <v>3605</v>
      </c>
    </row>
    <row r="277" spans="1:11">
      <c r="A277" t="s">
        <v>13662</v>
      </c>
      <c r="B277" t="s">
        <v>13663</v>
      </c>
      <c r="C277">
        <v>14436000</v>
      </c>
      <c r="D277" t="s">
        <v>13664</v>
      </c>
      <c r="J277" t="s">
        <v>13662</v>
      </c>
      <c r="K277" t="s">
        <v>3605</v>
      </c>
    </row>
    <row r="278" spans="1:11">
      <c r="A278" t="s">
        <v>13665</v>
      </c>
      <c r="B278" t="s">
        <v>13666</v>
      </c>
      <c r="C278">
        <v>14402000</v>
      </c>
      <c r="J278" t="s">
        <v>13665</v>
      </c>
      <c r="K278" t="s">
        <v>3605</v>
      </c>
    </row>
    <row r="279" spans="1:11">
      <c r="A279" t="s">
        <v>13667</v>
      </c>
      <c r="B279" t="s">
        <v>13668</v>
      </c>
      <c r="C279">
        <v>14407600</v>
      </c>
      <c r="J279" t="s">
        <v>13667</v>
      </c>
      <c r="K279" t="s">
        <v>3605</v>
      </c>
    </row>
    <row r="280" spans="1:11">
      <c r="A280" t="s">
        <v>13669</v>
      </c>
      <c r="B280" t="s">
        <v>13670</v>
      </c>
      <c r="C280">
        <v>14410000</v>
      </c>
      <c r="J280" t="s">
        <v>13669</v>
      </c>
      <c r="K280" t="s">
        <v>3605</v>
      </c>
    </row>
    <row r="281" spans="1:11">
      <c r="A281" t="s">
        <v>13671</v>
      </c>
      <c r="B281" t="s">
        <v>13672</v>
      </c>
      <c r="C281">
        <v>14410000</v>
      </c>
      <c r="J281" t="s">
        <v>13671</v>
      </c>
      <c r="K281" t="s">
        <v>3605</v>
      </c>
    </row>
    <row r="282" spans="1:11">
      <c r="A282" t="s">
        <v>13673</v>
      </c>
      <c r="B282" t="s">
        <v>13674</v>
      </c>
      <c r="C282">
        <v>14412001</v>
      </c>
      <c r="J282" t="s">
        <v>13673</v>
      </c>
      <c r="K282" t="s">
        <v>3605</v>
      </c>
    </row>
    <row r="283" spans="1:11">
      <c r="A283" t="s">
        <v>13675</v>
      </c>
      <c r="B283" t="s">
        <v>13676</v>
      </c>
      <c r="C283">
        <v>19899000</v>
      </c>
      <c r="D283" t="s">
        <v>13677</v>
      </c>
      <c r="J283" t="s">
        <v>13675</v>
      </c>
      <c r="K283" t="s">
        <v>3605</v>
      </c>
    </row>
    <row r="284" spans="1:11">
      <c r="A284" t="s">
        <v>13678</v>
      </c>
      <c r="B284" t="s">
        <v>13679</v>
      </c>
      <c r="C284">
        <v>11215000</v>
      </c>
      <c r="J284" t="s">
        <v>13678</v>
      </c>
      <c r="K284" t="s">
        <v>3605</v>
      </c>
    </row>
    <row r="285" spans="1:11">
      <c r="A285" t="s">
        <v>13680</v>
      </c>
      <c r="B285" t="s">
        <v>13679</v>
      </c>
      <c r="C285">
        <v>14436000</v>
      </c>
      <c r="D285" t="s">
        <v>13681</v>
      </c>
      <c r="J285" t="s">
        <v>13680</v>
      </c>
      <c r="K285" t="s">
        <v>3605</v>
      </c>
    </row>
    <row r="286" spans="1:11">
      <c r="A286" t="s">
        <v>13682</v>
      </c>
      <c r="B286" t="s">
        <v>13683</v>
      </c>
      <c r="C286">
        <v>14414000</v>
      </c>
      <c r="J286" t="s">
        <v>13682</v>
      </c>
      <c r="K286" t="s">
        <v>3605</v>
      </c>
    </row>
    <row r="287" spans="1:11">
      <c r="A287" t="s">
        <v>13684</v>
      </c>
      <c r="B287" t="s">
        <v>13685</v>
      </c>
      <c r="C287">
        <v>14416000</v>
      </c>
      <c r="J287" t="s">
        <v>13684</v>
      </c>
      <c r="K287" t="s">
        <v>3605</v>
      </c>
    </row>
    <row r="288" spans="1:11">
      <c r="A288" t="s">
        <v>13686</v>
      </c>
      <c r="B288" t="s">
        <v>13687</v>
      </c>
      <c r="C288">
        <v>14412000</v>
      </c>
      <c r="J288" t="s">
        <v>13686</v>
      </c>
      <c r="K288" t="s">
        <v>3605</v>
      </c>
    </row>
    <row r="289" spans="1:11">
      <c r="A289" t="s">
        <v>13688</v>
      </c>
      <c r="B289" t="s">
        <v>13689</v>
      </c>
      <c r="C289">
        <v>14416600</v>
      </c>
      <c r="J289" t="s">
        <v>13688</v>
      </c>
      <c r="K289" t="s">
        <v>3605</v>
      </c>
    </row>
    <row r="290" spans="1:11">
      <c r="A290" t="s">
        <v>13690</v>
      </c>
      <c r="B290" t="s">
        <v>13691</v>
      </c>
      <c r="C290">
        <v>14436002</v>
      </c>
      <c r="J290" t="s">
        <v>13690</v>
      </c>
      <c r="K290" t="s">
        <v>3605</v>
      </c>
    </row>
    <row r="291" spans="1:11">
      <c r="A291" t="s">
        <v>13692</v>
      </c>
      <c r="B291" t="s">
        <v>13693</v>
      </c>
      <c r="C291">
        <v>14436049</v>
      </c>
      <c r="J291" t="s">
        <v>13692</v>
      </c>
      <c r="K291" t="s">
        <v>3605</v>
      </c>
    </row>
    <row r="292" spans="1:11">
      <c r="A292" t="s">
        <v>13694</v>
      </c>
      <c r="B292" t="s">
        <v>13695</v>
      </c>
      <c r="C292">
        <v>14440000</v>
      </c>
      <c r="J292" t="s">
        <v>13694</v>
      </c>
      <c r="K292" t="s">
        <v>3605</v>
      </c>
    </row>
    <row r="293" spans="1:11">
      <c r="A293" t="s">
        <v>13696</v>
      </c>
      <c r="B293" t="s">
        <v>13697</v>
      </c>
      <c r="C293">
        <v>14436003</v>
      </c>
      <c r="D293" t="s">
        <v>13698</v>
      </c>
      <c r="J293" t="s">
        <v>13696</v>
      </c>
      <c r="K293" t="s">
        <v>3605</v>
      </c>
    </row>
    <row r="294" spans="1:11">
      <c r="A294" t="s">
        <v>13699</v>
      </c>
      <c r="B294" t="s">
        <v>13700</v>
      </c>
      <c r="C294">
        <v>14436003</v>
      </c>
      <c r="D294" t="s">
        <v>13701</v>
      </c>
      <c r="J294" t="s">
        <v>13699</v>
      </c>
      <c r="K294" t="s">
        <v>3605</v>
      </c>
    </row>
    <row r="295" spans="1:11">
      <c r="A295" t="s">
        <v>13702</v>
      </c>
      <c r="B295" t="s">
        <v>13703</v>
      </c>
      <c r="C295">
        <v>14436003</v>
      </c>
      <c r="J295" t="s">
        <v>13702</v>
      </c>
      <c r="K295" t="s">
        <v>3605</v>
      </c>
    </row>
    <row r="296" spans="1:11">
      <c r="A296" t="s">
        <v>13704</v>
      </c>
      <c r="B296" t="s">
        <v>13705</v>
      </c>
      <c r="C296">
        <v>14436003</v>
      </c>
      <c r="J296" t="s">
        <v>13704</v>
      </c>
      <c r="K296" t="s">
        <v>3605</v>
      </c>
    </row>
    <row r="297" spans="1:11">
      <c r="A297" t="s">
        <v>13706</v>
      </c>
      <c r="B297" t="s">
        <v>13707</v>
      </c>
      <c r="C297">
        <v>12404100</v>
      </c>
      <c r="J297" t="s">
        <v>13706</v>
      </c>
      <c r="K297" t="s">
        <v>3605</v>
      </c>
    </row>
    <row r="298" spans="1:11">
      <c r="A298" t="s">
        <v>13708</v>
      </c>
      <c r="B298" t="s">
        <v>13709</v>
      </c>
      <c r="C298">
        <v>14424000</v>
      </c>
      <c r="J298" t="s">
        <v>13708</v>
      </c>
      <c r="K298" t="s">
        <v>3605</v>
      </c>
    </row>
    <row r="299" spans="1:11">
      <c r="A299" t="s">
        <v>13710</v>
      </c>
      <c r="B299" t="s">
        <v>13711</v>
      </c>
      <c r="C299">
        <v>14424000</v>
      </c>
      <c r="J299" t="s">
        <v>13710</v>
      </c>
      <c r="K299" t="s">
        <v>3605</v>
      </c>
    </row>
    <row r="300" spans="1:11">
      <c r="A300" t="s">
        <v>13712</v>
      </c>
      <c r="B300" t="s">
        <v>13713</v>
      </c>
      <c r="C300">
        <v>14424000</v>
      </c>
      <c r="J300" t="s">
        <v>13712</v>
      </c>
      <c r="K300" t="s">
        <v>3605</v>
      </c>
    </row>
    <row r="301" spans="1:11">
      <c r="A301" t="s">
        <v>13714</v>
      </c>
      <c r="B301" t="s">
        <v>13715</v>
      </c>
      <c r="C301">
        <v>14424000</v>
      </c>
      <c r="J301" t="s">
        <v>13714</v>
      </c>
      <c r="K301" t="s">
        <v>3605</v>
      </c>
    </row>
    <row r="302" spans="1:11">
      <c r="A302" t="s">
        <v>13716</v>
      </c>
      <c r="B302" t="s">
        <v>13717</v>
      </c>
      <c r="C302">
        <v>14424000</v>
      </c>
      <c r="J302" t="s">
        <v>13716</v>
      </c>
      <c r="K302" t="s">
        <v>3605</v>
      </c>
    </row>
    <row r="303" spans="1:11">
      <c r="A303" t="s">
        <v>13718</v>
      </c>
      <c r="B303" t="s">
        <v>13719</v>
      </c>
      <c r="C303">
        <v>14424000</v>
      </c>
      <c r="J303" t="s">
        <v>13718</v>
      </c>
      <c r="K303" t="s">
        <v>3605</v>
      </c>
    </row>
    <row r="304" spans="1:11">
      <c r="A304" t="s">
        <v>13720</v>
      </c>
      <c r="B304" t="s">
        <v>13721</v>
      </c>
      <c r="C304">
        <v>14424000</v>
      </c>
      <c r="J304" t="s">
        <v>13720</v>
      </c>
      <c r="K304" t="s">
        <v>3605</v>
      </c>
    </row>
    <row r="305" spans="1:11">
      <c r="A305" t="s">
        <v>13722</v>
      </c>
      <c r="B305" t="s">
        <v>13723</v>
      </c>
      <c r="C305">
        <v>14424000</v>
      </c>
      <c r="J305" t="s">
        <v>13722</v>
      </c>
      <c r="K305" t="s">
        <v>3605</v>
      </c>
    </row>
    <row r="306" spans="1:11">
      <c r="A306" t="s">
        <v>13724</v>
      </c>
      <c r="B306" t="s">
        <v>13725</v>
      </c>
      <c r="C306">
        <v>14424000</v>
      </c>
      <c r="J306" t="s">
        <v>13724</v>
      </c>
      <c r="K306" t="s">
        <v>3605</v>
      </c>
    </row>
    <row r="307" spans="1:11">
      <c r="A307" t="s">
        <v>13726</v>
      </c>
      <c r="B307" t="s">
        <v>13727</v>
      </c>
      <c r="C307">
        <v>14436003</v>
      </c>
      <c r="J307" t="s">
        <v>13726</v>
      </c>
      <c r="K307" t="s">
        <v>3605</v>
      </c>
    </row>
    <row r="308" spans="1:11">
      <c r="A308" t="s">
        <v>13728</v>
      </c>
      <c r="B308" t="s">
        <v>13729</v>
      </c>
      <c r="C308">
        <v>14424999</v>
      </c>
      <c r="J308" t="s">
        <v>13728</v>
      </c>
      <c r="K308" t="s">
        <v>3605</v>
      </c>
    </row>
    <row r="309" spans="1:11">
      <c r="A309" t="s">
        <v>13730</v>
      </c>
      <c r="B309" t="s">
        <v>13731</v>
      </c>
      <c r="C309">
        <v>14436400</v>
      </c>
      <c r="D309" t="s">
        <v>13732</v>
      </c>
      <c r="J309" t="s">
        <v>13730</v>
      </c>
      <c r="K309" t="s">
        <v>3605</v>
      </c>
    </row>
    <row r="310" spans="1:11">
      <c r="A310" t="s">
        <v>13733</v>
      </c>
      <c r="B310" t="s">
        <v>13734</v>
      </c>
      <c r="C310">
        <v>14424600</v>
      </c>
      <c r="J310" t="s">
        <v>13733</v>
      </c>
      <c r="K310" t="s">
        <v>3605</v>
      </c>
    </row>
    <row r="311" spans="1:11">
      <c r="A311" t="s">
        <v>13735</v>
      </c>
      <c r="B311" t="s">
        <v>13736</v>
      </c>
      <c r="C311">
        <v>14436604</v>
      </c>
      <c r="J311" t="s">
        <v>13735</v>
      </c>
      <c r="K311" t="s">
        <v>3605</v>
      </c>
    </row>
    <row r="312" spans="1:11">
      <c r="A312" t="s">
        <v>13737</v>
      </c>
      <c r="B312" t="s">
        <v>13738</v>
      </c>
      <c r="C312">
        <v>14436007</v>
      </c>
      <c r="J312" t="s">
        <v>13737</v>
      </c>
      <c r="K312" t="s">
        <v>3605</v>
      </c>
    </row>
    <row r="313" spans="1:11">
      <c r="A313" t="s">
        <v>13739</v>
      </c>
      <c r="B313" t="s">
        <v>13740</v>
      </c>
      <c r="C313">
        <v>14436007</v>
      </c>
      <c r="J313" t="s">
        <v>13739</v>
      </c>
      <c r="K313" t="s">
        <v>3605</v>
      </c>
    </row>
    <row r="314" spans="1:11">
      <c r="A314" t="s">
        <v>13741</v>
      </c>
      <c r="B314" t="s">
        <v>13742</v>
      </c>
      <c r="C314">
        <v>14436005</v>
      </c>
      <c r="J314" t="s">
        <v>13741</v>
      </c>
      <c r="K314" t="s">
        <v>3605</v>
      </c>
    </row>
    <row r="315" spans="1:11">
      <c r="A315" t="s">
        <v>13743</v>
      </c>
      <c r="B315" t="s">
        <v>13744</v>
      </c>
      <c r="C315">
        <v>14436605</v>
      </c>
      <c r="D315" t="s">
        <v>13745</v>
      </c>
      <c r="E315">
        <v>45366</v>
      </c>
      <c r="J315" t="s">
        <v>13743</v>
      </c>
      <c r="K315" t="s">
        <v>3605</v>
      </c>
    </row>
    <row r="316" spans="1:11">
      <c r="A316" t="s">
        <v>13746</v>
      </c>
      <c r="B316" t="s">
        <v>13747</v>
      </c>
      <c r="C316">
        <v>11299000</v>
      </c>
      <c r="J316" t="s">
        <v>13746</v>
      </c>
      <c r="K316" t="s">
        <v>3605</v>
      </c>
    </row>
    <row r="317" spans="1:11">
      <c r="A317" t="s">
        <v>13748</v>
      </c>
      <c r="B317" t="s">
        <v>13749</v>
      </c>
      <c r="C317">
        <v>11200000</v>
      </c>
      <c r="D317" t="s">
        <v>13750</v>
      </c>
      <c r="J317" t="s">
        <v>13748</v>
      </c>
      <c r="K317" t="s">
        <v>3605</v>
      </c>
    </row>
    <row r="318" spans="1:11">
      <c r="A318" t="s">
        <v>13751</v>
      </c>
      <c r="B318" t="s">
        <v>13752</v>
      </c>
      <c r="C318">
        <v>11299000</v>
      </c>
      <c r="J318" t="s">
        <v>13751</v>
      </c>
      <c r="K318" t="s">
        <v>3605</v>
      </c>
    </row>
    <row r="319" spans="1:11">
      <c r="A319" t="s">
        <v>13753</v>
      </c>
      <c r="B319" t="s">
        <v>13754</v>
      </c>
      <c r="C319">
        <v>11212000</v>
      </c>
      <c r="J319" t="s">
        <v>13753</v>
      </c>
      <c r="K319" t="s">
        <v>3605</v>
      </c>
    </row>
    <row r="320" spans="1:11">
      <c r="A320" t="s">
        <v>13755</v>
      </c>
      <c r="B320" t="s">
        <v>13756</v>
      </c>
      <c r="C320">
        <v>11212400</v>
      </c>
      <c r="J320" t="s">
        <v>13755</v>
      </c>
      <c r="K320" t="s">
        <v>3605</v>
      </c>
    </row>
    <row r="321" spans="1:11">
      <c r="A321" t="s">
        <v>13757</v>
      </c>
      <c r="B321" t="s">
        <v>13758</v>
      </c>
      <c r="C321">
        <v>11212400</v>
      </c>
      <c r="D321" t="s">
        <v>13732</v>
      </c>
      <c r="J321" t="s">
        <v>13757</v>
      </c>
      <c r="K321" t="s">
        <v>3605</v>
      </c>
    </row>
    <row r="322" spans="1:11">
      <c r="A322" t="s">
        <v>13759</v>
      </c>
      <c r="B322" t="s">
        <v>13760</v>
      </c>
      <c r="C322">
        <v>20600200</v>
      </c>
      <c r="J322" t="s">
        <v>13759</v>
      </c>
      <c r="K322" t="s">
        <v>3605</v>
      </c>
    </row>
    <row r="323" spans="1:11">
      <c r="A323" t="s">
        <v>13761</v>
      </c>
      <c r="B323" t="s">
        <v>13762</v>
      </c>
      <c r="C323">
        <v>20205200</v>
      </c>
      <c r="J323" t="s">
        <v>13761</v>
      </c>
      <c r="K323" t="s">
        <v>3605</v>
      </c>
    </row>
    <row r="324" spans="1:11">
      <c r="A324" t="s">
        <v>13763</v>
      </c>
      <c r="B324" t="s">
        <v>13764</v>
      </c>
      <c r="C324">
        <v>20207200</v>
      </c>
      <c r="J324" t="s">
        <v>13763</v>
      </c>
      <c r="K324" t="s">
        <v>3605</v>
      </c>
    </row>
    <row r="325" spans="1:11">
      <c r="A325" t="s">
        <v>13765</v>
      </c>
      <c r="B325" t="s">
        <v>13766</v>
      </c>
      <c r="C325">
        <v>20228200</v>
      </c>
      <c r="J325" t="s">
        <v>13765</v>
      </c>
      <c r="K325" t="s">
        <v>3605</v>
      </c>
    </row>
    <row r="326" spans="1:11">
      <c r="A326" t="s">
        <v>13767</v>
      </c>
      <c r="B326" t="s">
        <v>13768</v>
      </c>
      <c r="C326">
        <v>20024200</v>
      </c>
      <c r="J326" t="s">
        <v>13767</v>
      </c>
      <c r="K326" t="s">
        <v>3605</v>
      </c>
    </row>
    <row r="327" spans="1:11">
      <c r="A327" t="s">
        <v>13769</v>
      </c>
      <c r="B327" t="s">
        <v>13770</v>
      </c>
      <c r="C327">
        <v>20204200</v>
      </c>
      <c r="J327" t="s">
        <v>13769</v>
      </c>
      <c r="K327" t="s">
        <v>3605</v>
      </c>
    </row>
    <row r="328" spans="1:11">
      <c r="A328" t="s">
        <v>13771</v>
      </c>
      <c r="B328" t="s">
        <v>13772</v>
      </c>
      <c r="C328">
        <v>20008200</v>
      </c>
      <c r="J328" t="s">
        <v>13771</v>
      </c>
      <c r="K328" t="s">
        <v>3605</v>
      </c>
    </row>
    <row r="329" spans="1:11">
      <c r="A329" t="s">
        <v>13773</v>
      </c>
      <c r="B329" t="s">
        <v>13774</v>
      </c>
      <c r="C329">
        <v>20010200</v>
      </c>
      <c r="J329" t="s">
        <v>13773</v>
      </c>
      <c r="K329" t="s">
        <v>3605</v>
      </c>
    </row>
    <row r="330" spans="1:11">
      <c r="A330" t="s">
        <v>13775</v>
      </c>
      <c r="B330" t="s">
        <v>13776</v>
      </c>
      <c r="C330">
        <v>20208200</v>
      </c>
      <c r="J330" t="s">
        <v>13775</v>
      </c>
      <c r="K330" t="s">
        <v>3605</v>
      </c>
    </row>
    <row r="331" spans="1:11">
      <c r="A331" t="s">
        <v>13777</v>
      </c>
      <c r="B331" t="s">
        <v>13778</v>
      </c>
      <c r="C331">
        <v>11200000</v>
      </c>
      <c r="D331" t="s">
        <v>13750</v>
      </c>
      <c r="J331" t="s">
        <v>13777</v>
      </c>
      <c r="K331" t="s">
        <v>3605</v>
      </c>
    </row>
    <row r="332" spans="1:11">
      <c r="A332" t="s">
        <v>13777</v>
      </c>
      <c r="B332" t="s">
        <v>13779</v>
      </c>
      <c r="C332">
        <v>11270000</v>
      </c>
      <c r="J332" t="s">
        <v>13777</v>
      </c>
      <c r="K332" t="s">
        <v>3605</v>
      </c>
    </row>
    <row r="333" spans="1:11">
      <c r="A333" t="s">
        <v>13780</v>
      </c>
      <c r="B333" t="s">
        <v>13779</v>
      </c>
      <c r="C333">
        <v>11299000</v>
      </c>
      <c r="J333" t="s">
        <v>13780</v>
      </c>
      <c r="K333" t="s">
        <v>3605</v>
      </c>
    </row>
    <row r="334" spans="1:11">
      <c r="A334" t="s">
        <v>13781</v>
      </c>
      <c r="B334" t="s">
        <v>13782</v>
      </c>
      <c r="C334">
        <v>11212000</v>
      </c>
      <c r="J334" t="s">
        <v>13781</v>
      </c>
      <c r="K334" t="s">
        <v>3605</v>
      </c>
    </row>
    <row r="335" spans="1:11">
      <c r="A335" t="s">
        <v>13783</v>
      </c>
      <c r="B335" t="s">
        <v>13784</v>
      </c>
      <c r="C335">
        <v>11212400</v>
      </c>
      <c r="J335" t="s">
        <v>13783</v>
      </c>
      <c r="K335" t="s">
        <v>3605</v>
      </c>
    </row>
    <row r="336" spans="1:11">
      <c r="A336" t="s">
        <v>13785</v>
      </c>
      <c r="B336" t="s">
        <v>13786</v>
      </c>
      <c r="C336">
        <v>20600200</v>
      </c>
      <c r="J336" t="s">
        <v>13785</v>
      </c>
      <c r="K336" t="s">
        <v>3605</v>
      </c>
    </row>
    <row r="337" spans="1:11">
      <c r="A337" t="s">
        <v>13787</v>
      </c>
      <c r="B337" t="s">
        <v>13786</v>
      </c>
      <c r="C337" t="s">
        <v>13788</v>
      </c>
      <c r="J337" t="s">
        <v>13787</v>
      </c>
      <c r="K337" t="s">
        <v>3605</v>
      </c>
    </row>
    <row r="338" spans="1:11">
      <c r="A338" t="s">
        <v>13789</v>
      </c>
      <c r="B338" t="s">
        <v>13790</v>
      </c>
      <c r="C338">
        <v>11200600</v>
      </c>
      <c r="J338" t="s">
        <v>13789</v>
      </c>
      <c r="K338" t="s">
        <v>3605</v>
      </c>
    </row>
    <row r="339" spans="1:11">
      <c r="A339" t="s">
        <v>13791</v>
      </c>
      <c r="B339" t="s">
        <v>13792</v>
      </c>
      <c r="C339">
        <v>19900000</v>
      </c>
      <c r="J339" t="s">
        <v>13791</v>
      </c>
      <c r="K339" t="s">
        <v>3605</v>
      </c>
    </row>
    <row r="340" spans="1:11">
      <c r="A340" t="s">
        <v>13793</v>
      </c>
      <c r="B340" t="s">
        <v>13794</v>
      </c>
      <c r="C340">
        <v>19900000</v>
      </c>
      <c r="J340" t="s">
        <v>13793</v>
      </c>
      <c r="K340" t="s">
        <v>3605</v>
      </c>
    </row>
    <row r="341" spans="1:11">
      <c r="A341" t="s">
        <v>13795</v>
      </c>
      <c r="B341" t="s">
        <v>13796</v>
      </c>
      <c r="C341">
        <v>14820000</v>
      </c>
      <c r="J341" t="s">
        <v>13795</v>
      </c>
      <c r="K341" t="s">
        <v>3605</v>
      </c>
    </row>
    <row r="342" spans="1:11">
      <c r="A342" t="s">
        <v>13797</v>
      </c>
      <c r="B342" t="s">
        <v>13798</v>
      </c>
      <c r="C342">
        <v>14000000</v>
      </c>
      <c r="J342" t="s">
        <v>13797</v>
      </c>
      <c r="K342" t="s">
        <v>3605</v>
      </c>
    </row>
    <row r="343" spans="1:11">
      <c r="A343" t="s">
        <v>13799</v>
      </c>
      <c r="B343" t="s">
        <v>13800</v>
      </c>
      <c r="C343">
        <v>14000000</v>
      </c>
      <c r="J343" t="s">
        <v>13799</v>
      </c>
      <c r="K343" t="s">
        <v>3605</v>
      </c>
    </row>
    <row r="344" spans="1:11">
      <c r="A344" t="s">
        <v>13799</v>
      </c>
      <c r="B344" t="s">
        <v>13800</v>
      </c>
      <c r="C344">
        <v>14000004</v>
      </c>
      <c r="J344" t="s">
        <v>13799</v>
      </c>
      <c r="K344" t="s">
        <v>3605</v>
      </c>
    </row>
    <row r="345" spans="1:11">
      <c r="A345" t="s">
        <v>13799</v>
      </c>
      <c r="B345" t="s">
        <v>13800</v>
      </c>
      <c r="C345">
        <v>14000007</v>
      </c>
      <c r="J345" t="s">
        <v>13799</v>
      </c>
      <c r="K345" t="s">
        <v>3605</v>
      </c>
    </row>
    <row r="346" spans="1:11">
      <c r="A346" t="s">
        <v>13801</v>
      </c>
      <c r="B346" t="s">
        <v>13802</v>
      </c>
      <c r="C346">
        <v>14000001</v>
      </c>
      <c r="J346" t="s">
        <v>13801</v>
      </c>
      <c r="K346" t="s">
        <v>3605</v>
      </c>
    </row>
    <row r="347" spans="1:11">
      <c r="A347" t="s">
        <v>13803</v>
      </c>
      <c r="B347" t="s">
        <v>13804</v>
      </c>
      <c r="C347">
        <v>14000000</v>
      </c>
      <c r="D347" t="s">
        <v>13698</v>
      </c>
      <c r="J347" t="s">
        <v>13803</v>
      </c>
      <c r="K347" t="s">
        <v>3605</v>
      </c>
    </row>
    <row r="348" spans="1:11">
      <c r="A348" t="s">
        <v>13803</v>
      </c>
      <c r="B348" t="s">
        <v>13804</v>
      </c>
      <c r="C348">
        <v>14001901</v>
      </c>
      <c r="J348" t="s">
        <v>13803</v>
      </c>
      <c r="K348" t="s">
        <v>3605</v>
      </c>
    </row>
    <row r="349" spans="1:11">
      <c r="A349" t="s">
        <v>13805</v>
      </c>
      <c r="B349" t="s">
        <v>13806</v>
      </c>
      <c r="C349">
        <v>14000034</v>
      </c>
      <c r="J349" t="s">
        <v>13805</v>
      </c>
      <c r="K349" t="s">
        <v>3605</v>
      </c>
    </row>
    <row r="350" spans="1:11">
      <c r="A350" t="s">
        <v>13805</v>
      </c>
      <c r="B350" t="s">
        <v>13806</v>
      </c>
      <c r="C350">
        <v>14000035</v>
      </c>
      <c r="J350" t="s">
        <v>13805</v>
      </c>
      <c r="K350" t="s">
        <v>3605</v>
      </c>
    </row>
    <row r="351" spans="1:11">
      <c r="A351" t="s">
        <v>13807</v>
      </c>
      <c r="B351" t="s">
        <v>13808</v>
      </c>
      <c r="C351">
        <v>14020001</v>
      </c>
      <c r="J351" t="s">
        <v>13807</v>
      </c>
      <c r="K351" t="s">
        <v>3605</v>
      </c>
    </row>
    <row r="352" spans="1:11">
      <c r="A352" t="s">
        <v>13809</v>
      </c>
      <c r="B352" t="s">
        <v>13810</v>
      </c>
      <c r="C352">
        <v>14000003</v>
      </c>
      <c r="J352" t="s">
        <v>13809</v>
      </c>
      <c r="K352" t="s">
        <v>3605</v>
      </c>
    </row>
    <row r="353" spans="1:11">
      <c r="A353" t="s">
        <v>13811</v>
      </c>
      <c r="B353" t="s">
        <v>13812</v>
      </c>
      <c r="C353">
        <v>14001907</v>
      </c>
      <c r="J353" t="s">
        <v>13811</v>
      </c>
      <c r="K353" t="s">
        <v>3605</v>
      </c>
    </row>
    <row r="354" spans="1:11">
      <c r="A354" t="s">
        <v>13813</v>
      </c>
      <c r="B354" t="s">
        <v>13814</v>
      </c>
      <c r="C354">
        <v>14000003</v>
      </c>
      <c r="J354" t="s">
        <v>13813</v>
      </c>
      <c r="K354" t="s">
        <v>3605</v>
      </c>
    </row>
    <row r="355" spans="1:11">
      <c r="A355" t="s">
        <v>13815</v>
      </c>
      <c r="B355" t="s">
        <v>13816</v>
      </c>
      <c r="C355">
        <v>14000003</v>
      </c>
      <c r="J355" t="s">
        <v>13815</v>
      </c>
      <c r="K355" t="s">
        <v>3605</v>
      </c>
    </row>
    <row r="356" spans="1:11">
      <c r="A356" t="s">
        <v>13817</v>
      </c>
      <c r="B356" t="s">
        <v>13818</v>
      </c>
      <c r="C356">
        <v>14001908</v>
      </c>
      <c r="J356" t="s">
        <v>13817</v>
      </c>
      <c r="K356" t="s">
        <v>3605</v>
      </c>
    </row>
    <row r="357" spans="1:11">
      <c r="A357" t="s">
        <v>13819</v>
      </c>
      <c r="B357" t="s">
        <v>13820</v>
      </c>
      <c r="C357">
        <v>14008000</v>
      </c>
      <c r="J357" t="s">
        <v>13819</v>
      </c>
      <c r="K357" t="s">
        <v>3605</v>
      </c>
    </row>
    <row r="358" spans="1:11">
      <c r="A358" t="s">
        <v>13821</v>
      </c>
      <c r="B358" t="s">
        <v>13822</v>
      </c>
      <c r="C358">
        <v>14005000</v>
      </c>
      <c r="J358" t="s">
        <v>13821</v>
      </c>
      <c r="K358" t="s">
        <v>3605</v>
      </c>
    </row>
    <row r="359" spans="1:11">
      <c r="A359" t="s">
        <v>13823</v>
      </c>
      <c r="B359" t="s">
        <v>13824</v>
      </c>
      <c r="C359">
        <v>14006000</v>
      </c>
      <c r="J359" t="s">
        <v>13823</v>
      </c>
      <c r="K359" t="s">
        <v>3605</v>
      </c>
    </row>
    <row r="360" spans="1:11">
      <c r="A360" t="s">
        <v>13825</v>
      </c>
      <c r="B360" t="s">
        <v>13826</v>
      </c>
      <c r="C360">
        <v>14008000</v>
      </c>
      <c r="J360" t="s">
        <v>13825</v>
      </c>
      <c r="K360" t="s">
        <v>3605</v>
      </c>
    </row>
    <row r="361" spans="1:11">
      <c r="A361" t="s">
        <v>13827</v>
      </c>
      <c r="B361" t="s">
        <v>13828</v>
      </c>
      <c r="C361">
        <v>14016000</v>
      </c>
      <c r="J361" t="s">
        <v>13827</v>
      </c>
      <c r="K361" t="s">
        <v>3605</v>
      </c>
    </row>
    <row r="362" spans="1:11">
      <c r="A362" t="s">
        <v>13829</v>
      </c>
      <c r="B362" t="s">
        <v>13830</v>
      </c>
      <c r="C362">
        <v>14000100</v>
      </c>
      <c r="J362" t="s">
        <v>13829</v>
      </c>
      <c r="K362" t="s">
        <v>3605</v>
      </c>
    </row>
    <row r="363" spans="1:11">
      <c r="A363" t="s">
        <v>13829</v>
      </c>
      <c r="B363" t="s">
        <v>13830</v>
      </c>
      <c r="C363">
        <v>14000010</v>
      </c>
      <c r="J363" t="s">
        <v>13829</v>
      </c>
      <c r="K363" t="s">
        <v>3605</v>
      </c>
    </row>
    <row r="364" spans="1:11">
      <c r="A364" t="s">
        <v>13831</v>
      </c>
      <c r="B364" t="s">
        <v>13832</v>
      </c>
      <c r="C364">
        <v>14016000</v>
      </c>
      <c r="J364" t="s">
        <v>13831</v>
      </c>
      <c r="K364" t="s">
        <v>3605</v>
      </c>
    </row>
    <row r="365" spans="1:11">
      <c r="A365" t="s">
        <v>13833</v>
      </c>
      <c r="B365" t="s">
        <v>13834</v>
      </c>
      <c r="C365">
        <v>14000200</v>
      </c>
      <c r="J365" t="s">
        <v>13833</v>
      </c>
      <c r="K365" t="s">
        <v>3605</v>
      </c>
    </row>
    <row r="366" spans="1:11">
      <c r="A366" t="s">
        <v>13835</v>
      </c>
      <c r="B366" t="s">
        <v>13836</v>
      </c>
      <c r="C366">
        <v>14020000</v>
      </c>
      <c r="J366" t="s">
        <v>13835</v>
      </c>
      <c r="K366" t="s">
        <v>3605</v>
      </c>
    </row>
    <row r="367" spans="1:11">
      <c r="A367" t="s">
        <v>13837</v>
      </c>
      <c r="B367" t="s">
        <v>13838</v>
      </c>
      <c r="C367">
        <v>14016020</v>
      </c>
      <c r="J367" t="s">
        <v>13837</v>
      </c>
      <c r="K367" t="s">
        <v>3605</v>
      </c>
    </row>
    <row r="368" spans="1:11">
      <c r="A368" t="s">
        <v>13839</v>
      </c>
      <c r="B368" t="s">
        <v>13840</v>
      </c>
      <c r="C368">
        <v>14000010</v>
      </c>
      <c r="J368" t="s">
        <v>13839</v>
      </c>
      <c r="K368" t="s">
        <v>3605</v>
      </c>
    </row>
    <row r="369" spans="1:11">
      <c r="A369" t="s">
        <v>13841</v>
      </c>
      <c r="B369" t="s">
        <v>13842</v>
      </c>
      <c r="C369">
        <v>14016000</v>
      </c>
      <c r="J369" t="s">
        <v>13841</v>
      </c>
      <c r="K369" t="s">
        <v>3605</v>
      </c>
    </row>
    <row r="370" spans="1:11">
      <c r="A370" t="s">
        <v>13843</v>
      </c>
      <c r="B370" t="s">
        <v>13844</v>
      </c>
      <c r="C370">
        <v>14000200</v>
      </c>
      <c r="J370" t="s">
        <v>13843</v>
      </c>
      <c r="K370" t="s">
        <v>3605</v>
      </c>
    </row>
    <row r="371" spans="1:11">
      <c r="A371" t="s">
        <v>13845</v>
      </c>
      <c r="B371" t="s">
        <v>13846</v>
      </c>
      <c r="C371">
        <v>14020000</v>
      </c>
      <c r="J371" t="s">
        <v>13845</v>
      </c>
      <c r="K371" t="s">
        <v>3605</v>
      </c>
    </row>
    <row r="372" spans="1:11">
      <c r="A372" t="s">
        <v>13847</v>
      </c>
      <c r="B372" t="s">
        <v>13848</v>
      </c>
      <c r="C372">
        <v>14020001</v>
      </c>
      <c r="J372" t="s">
        <v>13847</v>
      </c>
      <c r="K372" t="s">
        <v>3605</v>
      </c>
    </row>
    <row r="373" spans="1:11">
      <c r="A373" t="s">
        <v>13849</v>
      </c>
      <c r="B373" t="s">
        <v>13850</v>
      </c>
      <c r="C373">
        <v>14016020</v>
      </c>
      <c r="J373" t="s">
        <v>13849</v>
      </c>
      <c r="K373" t="s">
        <v>3605</v>
      </c>
    </row>
    <row r="374" spans="1:11">
      <c r="A374" t="s">
        <v>13851</v>
      </c>
      <c r="B374" t="s">
        <v>13852</v>
      </c>
      <c r="C374">
        <v>14020007</v>
      </c>
      <c r="J374" t="s">
        <v>13851</v>
      </c>
      <c r="K374" t="s">
        <v>3605</v>
      </c>
    </row>
    <row r="375" spans="1:11">
      <c r="A375" t="s">
        <v>13853</v>
      </c>
      <c r="B375" t="s">
        <v>13854</v>
      </c>
      <c r="C375">
        <v>14025001</v>
      </c>
      <c r="J375" t="s">
        <v>13853</v>
      </c>
      <c r="K375" t="s">
        <v>3605</v>
      </c>
    </row>
    <row r="376" spans="1:11">
      <c r="A376" t="s">
        <v>13855</v>
      </c>
      <c r="B376" t="s">
        <v>13856</v>
      </c>
      <c r="C376">
        <v>14025000</v>
      </c>
      <c r="J376" t="s">
        <v>13855</v>
      </c>
      <c r="K376" t="s">
        <v>3605</v>
      </c>
    </row>
    <row r="377" spans="1:11">
      <c r="A377" t="s">
        <v>13857</v>
      </c>
      <c r="B377" t="s">
        <v>13856</v>
      </c>
      <c r="C377">
        <v>14025000</v>
      </c>
      <c r="J377" t="s">
        <v>13857</v>
      </c>
      <c r="K377" t="s">
        <v>3605</v>
      </c>
    </row>
    <row r="378" spans="1:11">
      <c r="A378" t="s">
        <v>13858</v>
      </c>
      <c r="B378" t="s">
        <v>13859</v>
      </c>
      <c r="C378">
        <v>14024100</v>
      </c>
      <c r="J378" t="s">
        <v>13858</v>
      </c>
      <c r="K378" t="s">
        <v>3605</v>
      </c>
    </row>
    <row r="379" spans="1:11">
      <c r="A379" t="s">
        <v>13860</v>
      </c>
      <c r="B379" t="s">
        <v>13861</v>
      </c>
      <c r="C379">
        <v>14024000</v>
      </c>
      <c r="J379" t="s">
        <v>13860</v>
      </c>
      <c r="K379" t="s">
        <v>3605</v>
      </c>
    </row>
    <row r="380" spans="1:11">
      <c r="A380" t="s">
        <v>13862</v>
      </c>
      <c r="B380" t="s">
        <v>13863</v>
      </c>
      <c r="C380">
        <v>14026000</v>
      </c>
      <c r="J380" t="s">
        <v>13862</v>
      </c>
      <c r="K380" t="s">
        <v>3605</v>
      </c>
    </row>
    <row r="381" spans="1:11">
      <c r="A381" t="s">
        <v>13864</v>
      </c>
      <c r="B381" t="s">
        <v>13865</v>
      </c>
      <c r="C381">
        <v>14024101</v>
      </c>
      <c r="J381" t="s">
        <v>13864</v>
      </c>
      <c r="K381" t="s">
        <v>3605</v>
      </c>
    </row>
    <row r="382" spans="1:11">
      <c r="A382" t="s">
        <v>13866</v>
      </c>
      <c r="B382" t="s">
        <v>13867</v>
      </c>
      <c r="C382">
        <v>14822001</v>
      </c>
      <c r="J382" t="s">
        <v>13866</v>
      </c>
      <c r="K382" t="s">
        <v>3605</v>
      </c>
    </row>
    <row r="383" spans="1:11">
      <c r="A383" t="s">
        <v>13868</v>
      </c>
      <c r="B383" t="s">
        <v>13869</v>
      </c>
      <c r="C383">
        <v>14823001</v>
      </c>
      <c r="J383" t="s">
        <v>13868</v>
      </c>
      <c r="K383" t="s">
        <v>3605</v>
      </c>
    </row>
    <row r="384" spans="1:11">
      <c r="A384" t="s">
        <v>13870</v>
      </c>
      <c r="B384" t="s">
        <v>13871</v>
      </c>
      <c r="J384" t="s">
        <v>13870</v>
      </c>
      <c r="K384" t="s">
        <v>3605</v>
      </c>
    </row>
    <row r="385" spans="1:11">
      <c r="A385" t="s">
        <v>13872</v>
      </c>
      <c r="B385" t="s">
        <v>13873</v>
      </c>
      <c r="C385">
        <v>14804001</v>
      </c>
      <c r="J385" t="s">
        <v>13872</v>
      </c>
      <c r="K385" t="s">
        <v>3605</v>
      </c>
    </row>
    <row r="386" spans="1:11">
      <c r="A386" t="s">
        <v>13874</v>
      </c>
      <c r="B386" t="s">
        <v>13875</v>
      </c>
      <c r="C386">
        <v>14804101</v>
      </c>
      <c r="J386" t="s">
        <v>13874</v>
      </c>
      <c r="K386" t="s">
        <v>3605</v>
      </c>
    </row>
    <row r="387" spans="1:11">
      <c r="A387" t="s">
        <v>13876</v>
      </c>
      <c r="B387" t="s">
        <v>13877</v>
      </c>
      <c r="J387" t="s">
        <v>13876</v>
      </c>
      <c r="K387" t="s">
        <v>3605</v>
      </c>
    </row>
    <row r="388" spans="1:11">
      <c r="A388" t="s">
        <v>13878</v>
      </c>
      <c r="B388" t="s">
        <v>13879</v>
      </c>
      <c r="C388">
        <v>14808001</v>
      </c>
      <c r="J388" t="s">
        <v>13878</v>
      </c>
      <c r="K388" t="s">
        <v>3605</v>
      </c>
    </row>
    <row r="389" spans="1:11">
      <c r="A389" t="s">
        <v>13880</v>
      </c>
      <c r="B389" t="s">
        <v>13881</v>
      </c>
      <c r="C389">
        <v>14808101</v>
      </c>
      <c r="J389" t="s">
        <v>13880</v>
      </c>
      <c r="K389" t="s">
        <v>3605</v>
      </c>
    </row>
    <row r="390" spans="1:11">
      <c r="A390" t="s">
        <v>13882</v>
      </c>
      <c r="B390" t="s">
        <v>13883</v>
      </c>
      <c r="J390" t="s">
        <v>13882</v>
      </c>
      <c r="K390" t="s">
        <v>3605</v>
      </c>
    </row>
    <row r="391" spans="1:11">
      <c r="A391" t="s">
        <v>13884</v>
      </c>
      <c r="B391" t="s">
        <v>13885</v>
      </c>
      <c r="C391">
        <v>14805001</v>
      </c>
      <c r="J391" t="s">
        <v>13884</v>
      </c>
      <c r="K391" t="s">
        <v>3605</v>
      </c>
    </row>
    <row r="392" spans="1:11">
      <c r="A392" t="s">
        <v>13886</v>
      </c>
      <c r="B392" t="s">
        <v>13887</v>
      </c>
      <c r="C392">
        <v>14805101</v>
      </c>
      <c r="J392" t="s">
        <v>13886</v>
      </c>
      <c r="K392" t="s">
        <v>3605</v>
      </c>
    </row>
    <row r="393" spans="1:11">
      <c r="A393" t="s">
        <v>13888</v>
      </c>
      <c r="B393" t="s">
        <v>13889</v>
      </c>
      <c r="J393" t="s">
        <v>13888</v>
      </c>
      <c r="K393" t="s">
        <v>3605</v>
      </c>
    </row>
    <row r="394" spans="1:11">
      <c r="A394" t="s">
        <v>13890</v>
      </c>
      <c r="B394" t="s">
        <v>13891</v>
      </c>
      <c r="C394">
        <v>14804600</v>
      </c>
      <c r="J394" t="s">
        <v>13890</v>
      </c>
      <c r="K394" t="s">
        <v>3605</v>
      </c>
    </row>
    <row r="395" spans="1:11">
      <c r="A395" t="s">
        <v>13892</v>
      </c>
      <c r="B395" t="s">
        <v>13893</v>
      </c>
      <c r="C395">
        <v>10602000</v>
      </c>
      <c r="J395" t="s">
        <v>13892</v>
      </c>
      <c r="K395" t="s">
        <v>3605</v>
      </c>
    </row>
    <row r="396" spans="1:11">
      <c r="A396" t="s">
        <v>13894</v>
      </c>
      <c r="B396" t="s">
        <v>13895</v>
      </c>
      <c r="C396">
        <v>10603000</v>
      </c>
      <c r="J396" t="s">
        <v>13894</v>
      </c>
      <c r="K396" t="s">
        <v>3605</v>
      </c>
    </row>
    <row r="397" spans="1:11">
      <c r="A397" t="s">
        <v>13896</v>
      </c>
      <c r="B397" t="s">
        <v>13897</v>
      </c>
      <c r="J397" t="s">
        <v>13896</v>
      </c>
      <c r="K397" t="s">
        <v>3605</v>
      </c>
    </row>
    <row r="398" spans="1:11">
      <c r="A398" t="s">
        <v>13898</v>
      </c>
      <c r="B398" t="s">
        <v>13899</v>
      </c>
      <c r="J398" t="s">
        <v>13898</v>
      </c>
      <c r="K398" t="s">
        <v>3605</v>
      </c>
    </row>
    <row r="399" spans="1:11">
      <c r="A399" t="s">
        <v>13900</v>
      </c>
      <c r="B399" t="s">
        <v>13901</v>
      </c>
      <c r="C399">
        <v>10600000</v>
      </c>
      <c r="J399" t="s">
        <v>13900</v>
      </c>
      <c r="K399" t="s">
        <v>3605</v>
      </c>
    </row>
    <row r="400" spans="1:11">
      <c r="A400" t="s">
        <v>13902</v>
      </c>
      <c r="B400" t="s">
        <v>13903</v>
      </c>
      <c r="J400" t="s">
        <v>13902</v>
      </c>
      <c r="K400" t="s">
        <v>3605</v>
      </c>
    </row>
    <row r="401" spans="1:11">
      <c r="A401" t="s">
        <v>13904</v>
      </c>
      <c r="B401" t="s">
        <v>13905</v>
      </c>
      <c r="J401" t="s">
        <v>13904</v>
      </c>
      <c r="K401" t="s">
        <v>3605</v>
      </c>
    </row>
    <row r="402" spans="1:11">
      <c r="A402" t="s">
        <v>13906</v>
      </c>
      <c r="B402" t="s">
        <v>13907</v>
      </c>
      <c r="J402" t="s">
        <v>13906</v>
      </c>
      <c r="K402" t="s">
        <v>3605</v>
      </c>
    </row>
    <row r="403" spans="1:11">
      <c r="A403" t="s">
        <v>13908</v>
      </c>
      <c r="B403" t="s">
        <v>13909</v>
      </c>
      <c r="J403" t="s">
        <v>13908</v>
      </c>
      <c r="K403" t="s">
        <v>3605</v>
      </c>
    </row>
    <row r="404" spans="1:11">
      <c r="A404" t="s">
        <v>13910</v>
      </c>
      <c r="B404" t="s">
        <v>13911</v>
      </c>
      <c r="J404" t="s">
        <v>13910</v>
      </c>
      <c r="K404" t="s">
        <v>3605</v>
      </c>
    </row>
    <row r="405" spans="1:11">
      <c r="A405" t="s">
        <v>13912</v>
      </c>
      <c r="B405" t="s">
        <v>13913</v>
      </c>
      <c r="J405" t="s">
        <v>13912</v>
      </c>
      <c r="K405" t="s">
        <v>3605</v>
      </c>
    </row>
    <row r="406" spans="1:11">
      <c r="A406" t="s">
        <v>13914</v>
      </c>
      <c r="B406" t="s">
        <v>13915</v>
      </c>
      <c r="C406">
        <v>11600000</v>
      </c>
      <c r="J406" t="s">
        <v>13914</v>
      </c>
      <c r="K406" t="s">
        <v>3605</v>
      </c>
    </row>
    <row r="407" spans="1:11">
      <c r="A407" t="s">
        <v>13916</v>
      </c>
      <c r="B407" t="s">
        <v>13917</v>
      </c>
      <c r="C407">
        <v>10612000</v>
      </c>
      <c r="J407" t="s">
        <v>13916</v>
      </c>
      <c r="K407" t="s">
        <v>3605</v>
      </c>
    </row>
    <row r="408" spans="1:11">
      <c r="A408" t="s">
        <v>13918</v>
      </c>
      <c r="B408" t="s">
        <v>13919</v>
      </c>
      <c r="C408">
        <v>14800000</v>
      </c>
      <c r="J408" t="s">
        <v>13918</v>
      </c>
      <c r="K408" t="s">
        <v>3605</v>
      </c>
    </row>
    <row r="409" spans="1:11">
      <c r="A409" t="s">
        <v>13920</v>
      </c>
      <c r="B409" t="s">
        <v>13921</v>
      </c>
      <c r="C409">
        <v>14800000</v>
      </c>
      <c r="D409" t="s">
        <v>13745</v>
      </c>
      <c r="E409">
        <v>45362</v>
      </c>
      <c r="J409" t="s">
        <v>13920</v>
      </c>
      <c r="K409" t="s">
        <v>3605</v>
      </c>
    </row>
    <row r="410" spans="1:11">
      <c r="A410" t="s">
        <v>13922</v>
      </c>
      <c r="B410" t="s">
        <v>13923</v>
      </c>
      <c r="C410">
        <v>14800000</v>
      </c>
      <c r="D410" t="s">
        <v>13745</v>
      </c>
      <c r="E410">
        <v>45362</v>
      </c>
      <c r="J410" t="s">
        <v>13922</v>
      </c>
      <c r="K410" t="s">
        <v>3605</v>
      </c>
    </row>
    <row r="411" spans="1:11">
      <c r="A411" t="s">
        <v>13924</v>
      </c>
      <c r="B411" t="s">
        <v>13925</v>
      </c>
      <c r="C411">
        <v>14800000</v>
      </c>
      <c r="D411" t="s">
        <v>13745</v>
      </c>
      <c r="E411">
        <v>45362</v>
      </c>
      <c r="J411" t="s">
        <v>13924</v>
      </c>
      <c r="K411" t="s">
        <v>3605</v>
      </c>
    </row>
    <row r="412" spans="1:11">
      <c r="A412" t="s">
        <v>13926</v>
      </c>
      <c r="B412" t="s">
        <v>13927</v>
      </c>
      <c r="C412">
        <v>14800000</v>
      </c>
      <c r="D412" t="s">
        <v>13745</v>
      </c>
      <c r="E412">
        <v>45362</v>
      </c>
      <c r="J412" t="s">
        <v>13926</v>
      </c>
      <c r="K412" t="s">
        <v>3605</v>
      </c>
    </row>
    <row r="413" spans="1:11">
      <c r="A413" t="s">
        <v>13928</v>
      </c>
      <c r="B413" t="s">
        <v>13929</v>
      </c>
      <c r="C413">
        <v>14800000</v>
      </c>
      <c r="D413" t="s">
        <v>13745</v>
      </c>
      <c r="E413">
        <v>45362</v>
      </c>
      <c r="J413" t="s">
        <v>13928</v>
      </c>
      <c r="K413" t="s">
        <v>3605</v>
      </c>
    </row>
    <row r="414" spans="1:11">
      <c r="A414" t="s">
        <v>13930</v>
      </c>
      <c r="B414" t="s">
        <v>13931</v>
      </c>
      <c r="C414">
        <v>14800000</v>
      </c>
      <c r="D414" t="s">
        <v>13745</v>
      </c>
      <c r="E414">
        <v>45362</v>
      </c>
      <c r="J414" t="s">
        <v>13930</v>
      </c>
      <c r="K414" t="s">
        <v>3605</v>
      </c>
    </row>
    <row r="415" spans="1:11">
      <c r="A415" t="s">
        <v>13932</v>
      </c>
      <c r="B415" t="s">
        <v>13933</v>
      </c>
      <c r="C415">
        <v>14800000</v>
      </c>
      <c r="D415" t="s">
        <v>13745</v>
      </c>
      <c r="E415">
        <v>45362</v>
      </c>
      <c r="J415" t="s">
        <v>13932</v>
      </c>
      <c r="K415" t="s">
        <v>3605</v>
      </c>
    </row>
    <row r="416" spans="1:11">
      <c r="A416" t="s">
        <v>13934</v>
      </c>
      <c r="B416" t="s">
        <v>13935</v>
      </c>
      <c r="C416">
        <v>14800100</v>
      </c>
      <c r="J416" t="s">
        <v>13934</v>
      </c>
      <c r="K416" t="s">
        <v>3605</v>
      </c>
    </row>
    <row r="417" spans="1:11">
      <c r="A417" t="s">
        <v>13936</v>
      </c>
      <c r="B417" t="s">
        <v>13937</v>
      </c>
      <c r="C417">
        <v>10612100</v>
      </c>
      <c r="J417" t="s">
        <v>13936</v>
      </c>
      <c r="K417" t="s">
        <v>3605</v>
      </c>
    </row>
    <row r="418" spans="1:11">
      <c r="A418" t="s">
        <v>13938</v>
      </c>
      <c r="B418" t="s">
        <v>13939</v>
      </c>
      <c r="C418">
        <v>14840100</v>
      </c>
      <c r="J418" t="s">
        <v>13938</v>
      </c>
      <c r="K418" t="s">
        <v>3605</v>
      </c>
    </row>
    <row r="419" spans="1:11">
      <c r="A419" t="s">
        <v>13940</v>
      </c>
      <c r="B419" t="s">
        <v>13941</v>
      </c>
      <c r="C419">
        <v>14800100</v>
      </c>
      <c r="D419" t="s">
        <v>13745</v>
      </c>
      <c r="E419">
        <v>45362</v>
      </c>
      <c r="J419" t="s">
        <v>13940</v>
      </c>
      <c r="K419" t="s">
        <v>3605</v>
      </c>
    </row>
    <row r="420" spans="1:11">
      <c r="A420" t="s">
        <v>13942</v>
      </c>
      <c r="B420" t="s">
        <v>13943</v>
      </c>
      <c r="C420">
        <v>14800100</v>
      </c>
      <c r="D420" t="s">
        <v>13745</v>
      </c>
      <c r="E420">
        <v>45362</v>
      </c>
      <c r="J420" t="s">
        <v>13942</v>
      </c>
      <c r="K420" t="s">
        <v>3605</v>
      </c>
    </row>
    <row r="421" spans="1:11">
      <c r="A421" t="s">
        <v>13944</v>
      </c>
      <c r="B421" t="s">
        <v>13945</v>
      </c>
      <c r="C421">
        <v>10600100</v>
      </c>
      <c r="J421" t="s">
        <v>13944</v>
      </c>
      <c r="K421" t="s">
        <v>3605</v>
      </c>
    </row>
    <row r="422" spans="1:11">
      <c r="A422" t="s">
        <v>13946</v>
      </c>
      <c r="B422" t="s">
        <v>13947</v>
      </c>
      <c r="C422">
        <v>10600700</v>
      </c>
      <c r="J422" t="s">
        <v>13946</v>
      </c>
      <c r="K422" t="s">
        <v>3605</v>
      </c>
    </row>
    <row r="423" spans="1:11">
      <c r="A423" t="s">
        <v>13948</v>
      </c>
      <c r="B423" t="s">
        <v>13949</v>
      </c>
      <c r="C423">
        <v>10603100</v>
      </c>
      <c r="J423" t="s">
        <v>13948</v>
      </c>
      <c r="K423" t="s">
        <v>3605</v>
      </c>
    </row>
    <row r="424" spans="1:11">
      <c r="A424" t="s">
        <v>13950</v>
      </c>
      <c r="B424" t="s">
        <v>13951</v>
      </c>
      <c r="C424">
        <v>10612000</v>
      </c>
      <c r="J424" t="s">
        <v>13950</v>
      </c>
      <c r="K424" t="s">
        <v>3605</v>
      </c>
    </row>
    <row r="425" spans="1:11">
      <c r="A425" t="s">
        <v>13952</v>
      </c>
      <c r="B425" t="s">
        <v>13953</v>
      </c>
      <c r="C425">
        <v>10612600</v>
      </c>
      <c r="J425" t="s">
        <v>13952</v>
      </c>
      <c r="K425" t="s">
        <v>3605</v>
      </c>
    </row>
    <row r="426" spans="1:11">
      <c r="A426" t="s">
        <v>13954</v>
      </c>
      <c r="B426" t="s">
        <v>13955</v>
      </c>
      <c r="C426">
        <v>11600100</v>
      </c>
      <c r="J426" t="s">
        <v>13954</v>
      </c>
      <c r="K426" t="s">
        <v>3605</v>
      </c>
    </row>
    <row r="427" spans="1:11">
      <c r="A427" t="s">
        <v>13956</v>
      </c>
      <c r="B427" t="s">
        <v>13957</v>
      </c>
      <c r="C427">
        <v>10600001</v>
      </c>
      <c r="J427" t="s">
        <v>13956</v>
      </c>
      <c r="K427" t="s">
        <v>3605</v>
      </c>
    </row>
    <row r="428" spans="1:11">
      <c r="A428" t="s">
        <v>13958</v>
      </c>
      <c r="B428" t="s">
        <v>13959</v>
      </c>
      <c r="C428">
        <v>10612001</v>
      </c>
      <c r="J428" t="s">
        <v>13958</v>
      </c>
      <c r="K428" t="s">
        <v>3605</v>
      </c>
    </row>
    <row r="429" spans="1:11">
      <c r="A429" t="s">
        <v>13960</v>
      </c>
      <c r="B429" t="s">
        <v>13961</v>
      </c>
      <c r="C429">
        <v>11600002</v>
      </c>
      <c r="J429" t="s">
        <v>13960</v>
      </c>
      <c r="K429" t="s">
        <v>3605</v>
      </c>
    </row>
    <row r="430" spans="1:11">
      <c r="A430" t="s">
        <v>13962</v>
      </c>
      <c r="B430" t="s">
        <v>13963</v>
      </c>
      <c r="C430">
        <v>14800001</v>
      </c>
      <c r="J430" t="s">
        <v>13962</v>
      </c>
      <c r="K430" t="s">
        <v>3605</v>
      </c>
    </row>
    <row r="431" spans="1:11">
      <c r="A431" t="s">
        <v>13964</v>
      </c>
      <c r="B431" t="s">
        <v>13965</v>
      </c>
      <c r="C431">
        <v>14800001</v>
      </c>
      <c r="J431" t="s">
        <v>13964</v>
      </c>
      <c r="K431" t="s">
        <v>3605</v>
      </c>
    </row>
    <row r="432" spans="1:11">
      <c r="A432" t="s">
        <v>13966</v>
      </c>
      <c r="B432" t="s">
        <v>13967</v>
      </c>
      <c r="C432">
        <v>14850001</v>
      </c>
      <c r="J432" t="s">
        <v>13966</v>
      </c>
      <c r="K432" t="s">
        <v>3605</v>
      </c>
    </row>
    <row r="433" spans="1:11">
      <c r="A433" t="s">
        <v>13968</v>
      </c>
      <c r="B433" t="s">
        <v>13969</v>
      </c>
      <c r="C433">
        <v>14800000</v>
      </c>
      <c r="J433" t="s">
        <v>13968</v>
      </c>
      <c r="K433" t="s">
        <v>3605</v>
      </c>
    </row>
    <row r="434" spans="1:11">
      <c r="A434" t="s">
        <v>13970</v>
      </c>
      <c r="B434" t="s">
        <v>13971</v>
      </c>
      <c r="C434">
        <v>14800600</v>
      </c>
      <c r="J434" t="s">
        <v>13970</v>
      </c>
      <c r="K434" t="s">
        <v>3605</v>
      </c>
    </row>
    <row r="435" spans="1:11">
      <c r="A435" t="s">
        <v>13972</v>
      </c>
      <c r="B435" t="s">
        <v>13973</v>
      </c>
      <c r="C435">
        <v>14830000</v>
      </c>
      <c r="J435" t="s">
        <v>13972</v>
      </c>
      <c r="K435" t="s">
        <v>3605</v>
      </c>
    </row>
    <row r="436" spans="1:11">
      <c r="A436" t="s">
        <v>13974</v>
      </c>
      <c r="B436" t="s">
        <v>13975</v>
      </c>
      <c r="C436">
        <v>14840000</v>
      </c>
      <c r="J436" t="s">
        <v>13974</v>
      </c>
      <c r="K436" t="s">
        <v>3605</v>
      </c>
    </row>
    <row r="437" spans="1:11">
      <c r="A437" t="s">
        <v>13976</v>
      </c>
      <c r="B437" t="s">
        <v>13977</v>
      </c>
      <c r="C437">
        <v>14830600</v>
      </c>
      <c r="J437" t="s">
        <v>13976</v>
      </c>
      <c r="K437" t="s">
        <v>3605</v>
      </c>
    </row>
    <row r="438" spans="1:11">
      <c r="A438" t="s">
        <v>13978</v>
      </c>
      <c r="B438" t="s">
        <v>13979</v>
      </c>
      <c r="C438">
        <v>14850100</v>
      </c>
      <c r="J438" t="s">
        <v>13978</v>
      </c>
      <c r="K438" t="s">
        <v>3605</v>
      </c>
    </row>
    <row r="439" spans="1:11">
      <c r="A439" t="s">
        <v>13980</v>
      </c>
      <c r="B439" t="s">
        <v>13981</v>
      </c>
      <c r="C439">
        <v>14840600</v>
      </c>
      <c r="J439" t="s">
        <v>13980</v>
      </c>
      <c r="K439" t="s">
        <v>3605</v>
      </c>
    </row>
    <row r="440" spans="1:11">
      <c r="A440" t="s">
        <v>13982</v>
      </c>
      <c r="B440" t="s">
        <v>13983</v>
      </c>
      <c r="C440">
        <v>11600600</v>
      </c>
      <c r="J440" t="s">
        <v>13982</v>
      </c>
      <c r="K440" t="s">
        <v>3605</v>
      </c>
    </row>
    <row r="441" spans="1:11">
      <c r="A441" t="s">
        <v>13984</v>
      </c>
      <c r="B441" t="s">
        <v>13985</v>
      </c>
      <c r="C441">
        <v>14850600</v>
      </c>
      <c r="J441" t="s">
        <v>13984</v>
      </c>
      <c r="K441" t="s">
        <v>3605</v>
      </c>
    </row>
    <row r="442" spans="1:11">
      <c r="A442" t="s">
        <v>13986</v>
      </c>
      <c r="B442" t="s">
        <v>13987</v>
      </c>
      <c r="C442">
        <v>19816000</v>
      </c>
      <c r="J442" t="s">
        <v>13986</v>
      </c>
      <c r="K442" t="s">
        <v>3605</v>
      </c>
    </row>
    <row r="443" spans="1:11">
      <c r="A443" t="s">
        <v>13988</v>
      </c>
      <c r="B443" t="s">
        <v>13989</v>
      </c>
      <c r="C443">
        <v>19816000</v>
      </c>
      <c r="D443" t="s">
        <v>13990</v>
      </c>
      <c r="J443" t="s">
        <v>13988</v>
      </c>
      <c r="K443" t="s">
        <v>3605</v>
      </c>
    </row>
    <row r="444" spans="1:11">
      <c r="A444" t="s">
        <v>13991</v>
      </c>
      <c r="B444" t="s">
        <v>13992</v>
      </c>
      <c r="C444">
        <v>19816000</v>
      </c>
      <c r="D444" t="s">
        <v>13993</v>
      </c>
      <c r="J444" t="s">
        <v>13991</v>
      </c>
      <c r="K444" t="s">
        <v>3605</v>
      </c>
    </row>
    <row r="445" spans="1:11">
      <c r="A445" t="s">
        <v>13994</v>
      </c>
      <c r="B445" t="s">
        <v>13995</v>
      </c>
      <c r="C445">
        <v>19816000</v>
      </c>
      <c r="D445" t="s">
        <v>13996</v>
      </c>
      <c r="J445" t="s">
        <v>13994</v>
      </c>
      <c r="K445" t="s">
        <v>3605</v>
      </c>
    </row>
    <row r="446" spans="1:11">
      <c r="A446" t="s">
        <v>13997</v>
      </c>
      <c r="B446" t="s">
        <v>13998</v>
      </c>
      <c r="C446">
        <v>19816000</v>
      </c>
      <c r="D446" t="s">
        <v>13999</v>
      </c>
      <c r="J446" t="s">
        <v>13997</v>
      </c>
      <c r="K446" t="s">
        <v>3605</v>
      </c>
    </row>
    <row r="447" spans="1:11">
      <c r="A447" t="s">
        <v>14000</v>
      </c>
      <c r="B447" t="s">
        <v>14001</v>
      </c>
      <c r="C447">
        <v>19816000</v>
      </c>
      <c r="J447" t="s">
        <v>14000</v>
      </c>
      <c r="K447" t="s">
        <v>3605</v>
      </c>
    </row>
    <row r="448" spans="1:11">
      <c r="A448" t="s">
        <v>14002</v>
      </c>
      <c r="B448" t="s">
        <v>14003</v>
      </c>
      <c r="C448">
        <v>14100000</v>
      </c>
      <c r="D448">
        <v>1530429</v>
      </c>
      <c r="J448" t="s">
        <v>14002</v>
      </c>
      <c r="K448" t="s">
        <v>3605</v>
      </c>
    </row>
    <row r="449" spans="1:11">
      <c r="A449" t="s">
        <v>14004</v>
      </c>
      <c r="B449" t="s">
        <v>14005</v>
      </c>
      <c r="C449">
        <v>19899003</v>
      </c>
      <c r="J449" t="s">
        <v>14004</v>
      </c>
      <c r="K449" t="s">
        <v>3605</v>
      </c>
    </row>
    <row r="450" spans="1:11">
      <c r="A450" t="s">
        <v>14006</v>
      </c>
      <c r="B450" t="s">
        <v>14007</v>
      </c>
      <c r="C450">
        <v>15000000</v>
      </c>
      <c r="J450" t="s">
        <v>14006</v>
      </c>
      <c r="K450" t="s">
        <v>3605</v>
      </c>
    </row>
    <row r="451" spans="1:11">
      <c r="A451" t="s">
        <v>14008</v>
      </c>
      <c r="B451" t="s">
        <v>14009</v>
      </c>
      <c r="C451">
        <v>19899000</v>
      </c>
      <c r="J451" t="s">
        <v>14008</v>
      </c>
      <c r="K451" t="s">
        <v>3605</v>
      </c>
    </row>
    <row r="452" spans="1:11">
      <c r="A452" t="s">
        <v>14010</v>
      </c>
      <c r="B452" t="s">
        <v>14011</v>
      </c>
      <c r="C452">
        <v>19899100</v>
      </c>
      <c r="J452" t="s">
        <v>14010</v>
      </c>
      <c r="K452" t="s">
        <v>3605</v>
      </c>
    </row>
    <row r="453" spans="1:11">
      <c r="A453" t="s">
        <v>14012</v>
      </c>
      <c r="B453" t="s">
        <v>14013</v>
      </c>
      <c r="C453">
        <v>19845000</v>
      </c>
      <c r="D453" t="s">
        <v>14014</v>
      </c>
      <c r="J453" t="s">
        <v>14012</v>
      </c>
      <c r="K453" t="s">
        <v>3605</v>
      </c>
    </row>
    <row r="454" spans="1:11">
      <c r="A454" t="s">
        <v>14015</v>
      </c>
      <c r="B454" t="s">
        <v>14016</v>
      </c>
      <c r="C454">
        <v>19845000</v>
      </c>
      <c r="D454" t="s">
        <v>14017</v>
      </c>
      <c r="J454" t="s">
        <v>14015</v>
      </c>
      <c r="K454" t="s">
        <v>3605</v>
      </c>
    </row>
    <row r="455" spans="1:11">
      <c r="A455" t="s">
        <v>14018</v>
      </c>
      <c r="B455" t="s">
        <v>14019</v>
      </c>
      <c r="C455">
        <v>19845000</v>
      </c>
      <c r="D455" t="s">
        <v>14020</v>
      </c>
      <c r="J455" t="s">
        <v>14018</v>
      </c>
      <c r="K455" t="s">
        <v>3605</v>
      </c>
    </row>
    <row r="456" spans="1:11">
      <c r="A456" t="s">
        <v>14021</v>
      </c>
      <c r="B456" t="s">
        <v>14022</v>
      </c>
      <c r="C456">
        <v>19846000</v>
      </c>
      <c r="D456" t="s">
        <v>14014</v>
      </c>
      <c r="J456" t="s">
        <v>14021</v>
      </c>
      <c r="K456" t="s">
        <v>3605</v>
      </c>
    </row>
    <row r="457" spans="1:11">
      <c r="A457" t="s">
        <v>14023</v>
      </c>
      <c r="B457" t="s">
        <v>14024</v>
      </c>
      <c r="C457">
        <v>19846000</v>
      </c>
      <c r="D457" t="s">
        <v>14017</v>
      </c>
      <c r="J457" t="s">
        <v>14023</v>
      </c>
      <c r="K457" t="s">
        <v>3605</v>
      </c>
    </row>
    <row r="458" spans="1:11">
      <c r="A458" t="s">
        <v>14025</v>
      </c>
      <c r="B458" t="s">
        <v>14026</v>
      </c>
      <c r="C458">
        <v>19846000</v>
      </c>
      <c r="D458" t="s">
        <v>14020</v>
      </c>
      <c r="J458" t="s">
        <v>14025</v>
      </c>
      <c r="K458" t="s">
        <v>3605</v>
      </c>
    </row>
    <row r="459" spans="1:11">
      <c r="A459" t="s">
        <v>14027</v>
      </c>
      <c r="B459" t="s">
        <v>14028</v>
      </c>
      <c r="C459">
        <v>19850000</v>
      </c>
      <c r="J459" t="s">
        <v>14027</v>
      </c>
      <c r="K459" t="s">
        <v>3605</v>
      </c>
    </row>
    <row r="460" spans="1:11">
      <c r="A460" t="s">
        <v>14029</v>
      </c>
      <c r="B460" t="s">
        <v>14030</v>
      </c>
      <c r="C460">
        <v>10499100</v>
      </c>
      <c r="J460" t="s">
        <v>14029</v>
      </c>
      <c r="K460" t="s">
        <v>3605</v>
      </c>
    </row>
    <row r="461" spans="1:11">
      <c r="A461" t="s">
        <v>14031</v>
      </c>
      <c r="B461" t="s">
        <v>14032</v>
      </c>
      <c r="C461">
        <v>19898000</v>
      </c>
      <c r="J461" t="s">
        <v>14031</v>
      </c>
      <c r="K461" t="s">
        <v>3605</v>
      </c>
    </row>
    <row r="462" spans="1:11">
      <c r="A462" t="s">
        <v>14033</v>
      </c>
      <c r="B462" t="s">
        <v>14034</v>
      </c>
      <c r="C462">
        <v>19816000</v>
      </c>
      <c r="D462" t="s">
        <v>13677</v>
      </c>
      <c r="J462" t="s">
        <v>14033</v>
      </c>
      <c r="K462" t="s">
        <v>3605</v>
      </c>
    </row>
    <row r="463" spans="1:11">
      <c r="A463" t="s">
        <v>14035</v>
      </c>
      <c r="B463" t="s">
        <v>14036</v>
      </c>
      <c r="C463">
        <v>19816100</v>
      </c>
      <c r="D463" t="s">
        <v>14037</v>
      </c>
      <c r="J463" t="s">
        <v>14035</v>
      </c>
      <c r="K463" t="s">
        <v>3605</v>
      </c>
    </row>
    <row r="464" spans="1:11">
      <c r="A464" t="s">
        <v>14038</v>
      </c>
      <c r="B464" t="s">
        <v>14039</v>
      </c>
      <c r="C464">
        <v>19816000</v>
      </c>
      <c r="D464" t="s">
        <v>14040</v>
      </c>
      <c r="J464" t="s">
        <v>14038</v>
      </c>
      <c r="K464" t="s">
        <v>3605</v>
      </c>
    </row>
    <row r="465" spans="1:11">
      <c r="A465" t="s">
        <v>14041</v>
      </c>
      <c r="B465" t="s">
        <v>14042</v>
      </c>
      <c r="C465">
        <v>19816000</v>
      </c>
      <c r="D465" t="s">
        <v>14043</v>
      </c>
      <c r="J465" t="s">
        <v>14041</v>
      </c>
      <c r="K465" t="s">
        <v>3605</v>
      </c>
    </row>
    <row r="466" spans="1:11">
      <c r="A466" t="s">
        <v>14044</v>
      </c>
      <c r="B466" t="s">
        <v>14045</v>
      </c>
      <c r="C466">
        <v>19816000</v>
      </c>
      <c r="D466" t="s">
        <v>14046</v>
      </c>
      <c r="J466" t="s">
        <v>14044</v>
      </c>
      <c r="K466" t="s">
        <v>3605</v>
      </c>
    </row>
    <row r="467" spans="1:11">
      <c r="A467" t="s">
        <v>14047</v>
      </c>
      <c r="B467" t="s">
        <v>14048</v>
      </c>
      <c r="C467">
        <v>19816000</v>
      </c>
      <c r="D467" t="s">
        <v>14049</v>
      </c>
      <c r="J467" t="s">
        <v>14047</v>
      </c>
      <c r="K467" t="s">
        <v>3605</v>
      </c>
    </row>
    <row r="468" spans="1:11">
      <c r="A468" t="s">
        <v>14050</v>
      </c>
      <c r="B468" t="s">
        <v>14051</v>
      </c>
      <c r="C468">
        <v>19816002</v>
      </c>
      <c r="J468" t="s">
        <v>14050</v>
      </c>
      <c r="K468" t="s">
        <v>3605</v>
      </c>
    </row>
    <row r="469" spans="1:11">
      <c r="A469" t="s">
        <v>14052</v>
      </c>
      <c r="B469" t="s">
        <v>14053</v>
      </c>
      <c r="C469">
        <v>19816003</v>
      </c>
      <c r="J469" t="s">
        <v>14052</v>
      </c>
      <c r="K469" t="s">
        <v>3605</v>
      </c>
    </row>
    <row r="470" spans="1:11">
      <c r="A470" t="s">
        <v>14054</v>
      </c>
      <c r="B470" t="s">
        <v>14055</v>
      </c>
      <c r="C470">
        <v>19816003</v>
      </c>
      <c r="D470">
        <v>1530420</v>
      </c>
      <c r="J470" t="s">
        <v>14054</v>
      </c>
      <c r="K470" t="s">
        <v>3605</v>
      </c>
    </row>
    <row r="471" spans="1:11">
      <c r="A471" t="s">
        <v>14056</v>
      </c>
      <c r="B471" t="s">
        <v>14057</v>
      </c>
      <c r="C471">
        <v>19817000</v>
      </c>
      <c r="D471" t="s">
        <v>13745</v>
      </c>
      <c r="E471">
        <v>45369</v>
      </c>
      <c r="J471" t="s">
        <v>14056</v>
      </c>
      <c r="K471" t="s">
        <v>3605</v>
      </c>
    </row>
    <row r="472" spans="1:11">
      <c r="A472" t="s">
        <v>14058</v>
      </c>
      <c r="B472" t="s">
        <v>14059</v>
      </c>
      <c r="J472" t="s">
        <v>14058</v>
      </c>
      <c r="K472" t="s">
        <v>3605</v>
      </c>
    </row>
    <row r="473" spans="1:11">
      <c r="A473" t="s">
        <v>14060</v>
      </c>
      <c r="B473" t="s">
        <v>14061</v>
      </c>
      <c r="J473" t="s">
        <v>14060</v>
      </c>
      <c r="K473" t="s">
        <v>3605</v>
      </c>
    </row>
    <row r="474" spans="1:11">
      <c r="A474" t="s">
        <v>14062</v>
      </c>
      <c r="B474" t="s">
        <v>14063</v>
      </c>
      <c r="C474">
        <v>19816000</v>
      </c>
      <c r="J474" t="s">
        <v>14062</v>
      </c>
      <c r="K474" t="s">
        <v>3605</v>
      </c>
    </row>
    <row r="475" spans="1:11">
      <c r="A475" t="s">
        <v>14064</v>
      </c>
      <c r="B475" t="s">
        <v>14065</v>
      </c>
      <c r="C475">
        <v>12004200</v>
      </c>
      <c r="J475" t="s">
        <v>14064</v>
      </c>
      <c r="K475" t="s">
        <v>3605</v>
      </c>
    </row>
    <row r="476" spans="1:11">
      <c r="A476" t="s">
        <v>14066</v>
      </c>
      <c r="B476" t="s">
        <v>14067</v>
      </c>
      <c r="C476">
        <v>12012200</v>
      </c>
      <c r="J476" t="s">
        <v>14066</v>
      </c>
      <c r="K476" t="s">
        <v>3605</v>
      </c>
    </row>
    <row r="477" spans="1:11">
      <c r="A477" t="s">
        <v>14068</v>
      </c>
      <c r="B477" t="s">
        <v>14069</v>
      </c>
      <c r="C477">
        <v>12003200</v>
      </c>
      <c r="J477" t="s">
        <v>14068</v>
      </c>
      <c r="K477" t="s">
        <v>3605</v>
      </c>
    </row>
    <row r="478" spans="1:11">
      <c r="A478" t="s">
        <v>14070</v>
      </c>
      <c r="B478" t="s">
        <v>14071</v>
      </c>
      <c r="C478">
        <v>14436004</v>
      </c>
      <c r="J478" t="s">
        <v>14070</v>
      </c>
      <c r="K478" t="s">
        <v>3605</v>
      </c>
    </row>
    <row r="479" spans="1:11">
      <c r="A479" t="s">
        <v>14072</v>
      </c>
      <c r="B479" t="s">
        <v>14073</v>
      </c>
      <c r="C479">
        <v>12004000</v>
      </c>
      <c r="J479" t="s">
        <v>14072</v>
      </c>
      <c r="K479" t="s">
        <v>3605</v>
      </c>
    </row>
    <row r="480" spans="1:11">
      <c r="A480" t="s">
        <v>14074</v>
      </c>
      <c r="B480" t="s">
        <v>14075</v>
      </c>
      <c r="C480">
        <v>12004001</v>
      </c>
      <c r="J480" t="s">
        <v>14074</v>
      </c>
      <c r="K480" t="s">
        <v>3605</v>
      </c>
    </row>
    <row r="481" spans="1:11">
      <c r="A481" t="s">
        <v>14076</v>
      </c>
      <c r="B481" t="s">
        <v>14077</v>
      </c>
      <c r="C481">
        <v>12012000</v>
      </c>
      <c r="J481" t="s">
        <v>14076</v>
      </c>
      <c r="K481" t="s">
        <v>3605</v>
      </c>
    </row>
    <row r="482" spans="1:11">
      <c r="A482" t="s">
        <v>14078</v>
      </c>
      <c r="B482" t="s">
        <v>14079</v>
      </c>
      <c r="C482">
        <v>19820000</v>
      </c>
      <c r="J482" t="s">
        <v>14078</v>
      </c>
      <c r="K482" t="s">
        <v>3605</v>
      </c>
    </row>
    <row r="483" spans="1:11">
      <c r="A483" t="s">
        <v>14080</v>
      </c>
      <c r="B483" t="s">
        <v>14081</v>
      </c>
      <c r="C483">
        <v>21247000</v>
      </c>
      <c r="D483" t="s">
        <v>14082</v>
      </c>
      <c r="J483" t="s">
        <v>14080</v>
      </c>
      <c r="K483" t="s">
        <v>3605</v>
      </c>
    </row>
    <row r="484" spans="1:11">
      <c r="A484" t="s">
        <v>14083</v>
      </c>
      <c r="B484" t="s">
        <v>14084</v>
      </c>
      <c r="C484">
        <v>21247000</v>
      </c>
      <c r="J484" t="s">
        <v>14083</v>
      </c>
      <c r="K484" t="s">
        <v>3605</v>
      </c>
    </row>
    <row r="485" spans="1:11">
      <c r="A485" t="s">
        <v>14085</v>
      </c>
      <c r="B485" t="s">
        <v>14086</v>
      </c>
      <c r="C485">
        <v>21245000</v>
      </c>
      <c r="D485" t="s">
        <v>14087</v>
      </c>
      <c r="J485" t="s">
        <v>14085</v>
      </c>
      <c r="K485" t="s">
        <v>3605</v>
      </c>
    </row>
    <row r="486" spans="1:11">
      <c r="A486" t="s">
        <v>14088</v>
      </c>
      <c r="B486" t="s">
        <v>14089</v>
      </c>
      <c r="C486">
        <v>12004002</v>
      </c>
      <c r="J486" t="s">
        <v>14088</v>
      </c>
      <c r="K486" t="s">
        <v>3605</v>
      </c>
    </row>
    <row r="487" spans="1:11">
      <c r="A487" t="s">
        <v>14090</v>
      </c>
      <c r="B487" t="s">
        <v>14091</v>
      </c>
      <c r="C487">
        <v>19880000</v>
      </c>
      <c r="J487" t="s">
        <v>14090</v>
      </c>
      <c r="K487" t="s">
        <v>3605</v>
      </c>
    </row>
    <row r="488" spans="1:11">
      <c r="A488" t="s">
        <v>14092</v>
      </c>
      <c r="B488" t="s">
        <v>14093</v>
      </c>
      <c r="C488">
        <v>19870000</v>
      </c>
      <c r="J488" t="s">
        <v>14092</v>
      </c>
      <c r="K488" t="s">
        <v>3605</v>
      </c>
    </row>
    <row r="489" spans="1:11">
      <c r="A489" t="s">
        <v>14094</v>
      </c>
      <c r="B489" t="s">
        <v>14095</v>
      </c>
      <c r="C489">
        <v>19847000</v>
      </c>
      <c r="J489" t="s">
        <v>14094</v>
      </c>
      <c r="K489" t="s">
        <v>3605</v>
      </c>
    </row>
    <row r="490" spans="1:11">
      <c r="A490" t="s">
        <v>14096</v>
      </c>
      <c r="B490" t="s">
        <v>14097</v>
      </c>
      <c r="C490">
        <v>19848000</v>
      </c>
      <c r="J490" t="s">
        <v>14096</v>
      </c>
      <c r="K490" t="s">
        <v>3605</v>
      </c>
    </row>
    <row r="491" spans="1:11">
      <c r="A491" t="s">
        <v>14098</v>
      </c>
      <c r="B491" t="s">
        <v>14099</v>
      </c>
      <c r="C491">
        <v>19816001</v>
      </c>
      <c r="J491" t="s">
        <v>14098</v>
      </c>
      <c r="K491" t="s">
        <v>3605</v>
      </c>
    </row>
    <row r="492" spans="1:11">
      <c r="A492" t="s">
        <v>14100</v>
      </c>
      <c r="B492" t="s">
        <v>14101</v>
      </c>
      <c r="C492">
        <v>15200000</v>
      </c>
      <c r="J492" t="s">
        <v>14100</v>
      </c>
      <c r="K492" t="s">
        <v>3605</v>
      </c>
    </row>
    <row r="493" spans="1:11">
      <c r="A493" t="s">
        <v>14102</v>
      </c>
      <c r="B493" t="s">
        <v>14103</v>
      </c>
      <c r="C493">
        <v>15200000</v>
      </c>
      <c r="D493" t="s">
        <v>14104</v>
      </c>
      <c r="J493" t="s">
        <v>14102</v>
      </c>
      <c r="K493" t="s">
        <v>3605</v>
      </c>
    </row>
    <row r="494" spans="1:11">
      <c r="A494" t="s">
        <v>14105</v>
      </c>
      <c r="B494" t="s">
        <v>14106</v>
      </c>
      <c r="C494">
        <v>15200000</v>
      </c>
      <c r="D494" t="s">
        <v>14107</v>
      </c>
      <c r="J494" t="s">
        <v>14105</v>
      </c>
      <c r="K494" t="s">
        <v>3605</v>
      </c>
    </row>
    <row r="495" spans="1:11">
      <c r="A495" t="s">
        <v>14108</v>
      </c>
      <c r="B495" t="s">
        <v>14109</v>
      </c>
      <c r="C495">
        <v>15200000</v>
      </c>
      <c r="D495" t="s">
        <v>14110</v>
      </c>
      <c r="J495" t="s">
        <v>14108</v>
      </c>
      <c r="K495" t="s">
        <v>3605</v>
      </c>
    </row>
    <row r="496" spans="1:11">
      <c r="A496" t="s">
        <v>14111</v>
      </c>
      <c r="B496" t="s">
        <v>14112</v>
      </c>
      <c r="C496">
        <v>15200000</v>
      </c>
      <c r="D496" t="s">
        <v>14113</v>
      </c>
      <c r="J496" t="s">
        <v>14111</v>
      </c>
      <c r="K496" t="s">
        <v>3605</v>
      </c>
    </row>
    <row r="497" spans="1:11">
      <c r="A497" t="s">
        <v>14114</v>
      </c>
      <c r="B497" t="s">
        <v>14115</v>
      </c>
      <c r="C497">
        <v>15200000</v>
      </c>
      <c r="D497" t="s">
        <v>14116</v>
      </c>
      <c r="J497" t="s">
        <v>14114</v>
      </c>
      <c r="K497" t="s">
        <v>3605</v>
      </c>
    </row>
    <row r="498" spans="1:11">
      <c r="A498" t="s">
        <v>14117</v>
      </c>
      <c r="B498" t="s">
        <v>14118</v>
      </c>
      <c r="C498">
        <v>15200000</v>
      </c>
      <c r="D498" t="s">
        <v>14119</v>
      </c>
      <c r="J498" t="s">
        <v>14117</v>
      </c>
      <c r="K498" t="s">
        <v>3605</v>
      </c>
    </row>
    <row r="499" spans="1:11">
      <c r="A499" t="s">
        <v>14120</v>
      </c>
      <c r="B499" t="s">
        <v>14121</v>
      </c>
      <c r="C499">
        <v>15200000</v>
      </c>
      <c r="D499" t="s">
        <v>14122</v>
      </c>
      <c r="J499" t="s">
        <v>14120</v>
      </c>
      <c r="K499" t="s">
        <v>3605</v>
      </c>
    </row>
    <row r="500" spans="1:11">
      <c r="A500" t="s">
        <v>14123</v>
      </c>
      <c r="B500" t="s">
        <v>14124</v>
      </c>
      <c r="C500">
        <v>19800000</v>
      </c>
      <c r="J500" t="s">
        <v>14123</v>
      </c>
      <c r="K500" t="s">
        <v>3605</v>
      </c>
    </row>
    <row r="501" spans="1:11">
      <c r="A501" t="s">
        <v>14125</v>
      </c>
      <c r="B501" t="s">
        <v>14126</v>
      </c>
      <c r="C501">
        <v>19840000</v>
      </c>
      <c r="J501" t="s">
        <v>14125</v>
      </c>
      <c r="K501" t="s">
        <v>3605</v>
      </c>
    </row>
    <row r="502" spans="1:11">
      <c r="A502" t="s">
        <v>14127</v>
      </c>
      <c r="B502" t="s">
        <v>14128</v>
      </c>
      <c r="C502">
        <v>10408100</v>
      </c>
      <c r="J502" t="s">
        <v>14127</v>
      </c>
      <c r="K502" t="s">
        <v>3605</v>
      </c>
    </row>
    <row r="503" spans="1:11">
      <c r="A503" t="s">
        <v>14129</v>
      </c>
      <c r="B503" t="s">
        <v>14130</v>
      </c>
      <c r="C503">
        <v>14832000</v>
      </c>
      <c r="J503" t="s">
        <v>14129</v>
      </c>
      <c r="K503" t="s">
        <v>3605</v>
      </c>
    </row>
    <row r="504" spans="1:11">
      <c r="A504" t="s">
        <v>14131</v>
      </c>
      <c r="B504" t="s">
        <v>14132</v>
      </c>
      <c r="C504">
        <v>19899002</v>
      </c>
      <c r="J504" t="s">
        <v>14131</v>
      </c>
      <c r="K504" t="s">
        <v>3605</v>
      </c>
    </row>
    <row r="505" spans="1:11">
      <c r="A505" t="s">
        <v>14133</v>
      </c>
      <c r="B505" t="s">
        <v>14134</v>
      </c>
      <c r="C505">
        <v>19830000</v>
      </c>
      <c r="J505" t="s">
        <v>14133</v>
      </c>
      <c r="K505" t="s">
        <v>3605</v>
      </c>
    </row>
    <row r="506" spans="1:11">
      <c r="A506" t="s">
        <v>14135</v>
      </c>
      <c r="B506" t="s">
        <v>14136</v>
      </c>
      <c r="C506">
        <v>19830001</v>
      </c>
      <c r="J506" t="s">
        <v>14135</v>
      </c>
      <c r="K506" t="s">
        <v>3605</v>
      </c>
    </row>
    <row r="507" spans="1:11">
      <c r="A507" t="s">
        <v>14137</v>
      </c>
      <c r="B507" t="s">
        <v>14138</v>
      </c>
      <c r="C507">
        <v>19830003</v>
      </c>
      <c r="J507" t="s">
        <v>14137</v>
      </c>
      <c r="K507" t="s">
        <v>3605</v>
      </c>
    </row>
    <row r="508" spans="1:11">
      <c r="A508" t="s">
        <v>14139</v>
      </c>
      <c r="B508" t="s">
        <v>14140</v>
      </c>
      <c r="C508">
        <v>19830005</v>
      </c>
      <c r="J508" t="s">
        <v>14139</v>
      </c>
      <c r="K508" t="s">
        <v>3605</v>
      </c>
    </row>
    <row r="509" spans="1:11">
      <c r="A509" t="s">
        <v>14141</v>
      </c>
      <c r="B509" t="s">
        <v>14142</v>
      </c>
      <c r="C509">
        <v>19830007</v>
      </c>
      <c r="J509" t="s">
        <v>14141</v>
      </c>
      <c r="K509" t="s">
        <v>3605</v>
      </c>
    </row>
    <row r="510" spans="1:11">
      <c r="A510" t="s">
        <v>14143</v>
      </c>
      <c r="B510" t="s">
        <v>14144</v>
      </c>
      <c r="C510">
        <v>19830008</v>
      </c>
      <c r="J510" t="s">
        <v>14143</v>
      </c>
      <c r="K510" t="s">
        <v>3605</v>
      </c>
    </row>
    <row r="511" spans="1:11">
      <c r="A511" t="s">
        <v>14145</v>
      </c>
      <c r="B511" t="s">
        <v>14146</v>
      </c>
      <c r="C511">
        <v>19899001</v>
      </c>
      <c r="J511" t="s">
        <v>14145</v>
      </c>
      <c r="K511" t="s">
        <v>3605</v>
      </c>
    </row>
    <row r="512" spans="1:11">
      <c r="A512" t="s">
        <v>14147</v>
      </c>
      <c r="B512" t="s">
        <v>14148</v>
      </c>
      <c r="C512">
        <v>19899400</v>
      </c>
      <c r="D512" t="s">
        <v>14149</v>
      </c>
      <c r="J512" t="s">
        <v>14147</v>
      </c>
      <c r="K512" t="s">
        <v>3605</v>
      </c>
    </row>
    <row r="513" spans="1:11">
      <c r="A513" t="s">
        <v>14150</v>
      </c>
      <c r="B513" t="s">
        <v>14151</v>
      </c>
      <c r="C513">
        <v>19816600</v>
      </c>
      <c r="D513" t="s">
        <v>14010</v>
      </c>
      <c r="J513" t="s">
        <v>14150</v>
      </c>
      <c r="K513" t="s">
        <v>3605</v>
      </c>
    </row>
    <row r="514" spans="1:11">
      <c r="A514" t="s">
        <v>14152</v>
      </c>
      <c r="B514" t="s">
        <v>14153</v>
      </c>
      <c r="C514">
        <v>11212600</v>
      </c>
      <c r="D514" t="s">
        <v>14154</v>
      </c>
      <c r="J514" t="s">
        <v>14152</v>
      </c>
      <c r="K514" t="s">
        <v>3605</v>
      </c>
    </row>
    <row r="515" spans="1:11">
      <c r="A515" t="s">
        <v>14155</v>
      </c>
      <c r="B515" t="s">
        <v>14156</v>
      </c>
      <c r="C515">
        <v>15000600</v>
      </c>
      <c r="J515" t="s">
        <v>14155</v>
      </c>
      <c r="K515" t="s">
        <v>3605</v>
      </c>
    </row>
    <row r="516" spans="1:11">
      <c r="A516" t="s">
        <v>14157</v>
      </c>
      <c r="B516" t="s">
        <v>14158</v>
      </c>
      <c r="C516">
        <v>15200600</v>
      </c>
      <c r="J516" t="s">
        <v>14157</v>
      </c>
      <c r="K516" t="s">
        <v>3605</v>
      </c>
    </row>
    <row r="517" spans="1:11">
      <c r="A517" t="s">
        <v>14159</v>
      </c>
      <c r="B517" t="s">
        <v>14160</v>
      </c>
      <c r="C517">
        <v>19899602</v>
      </c>
      <c r="J517" t="s">
        <v>14159</v>
      </c>
      <c r="K517" t="s">
        <v>3605</v>
      </c>
    </row>
    <row r="518" spans="1:11">
      <c r="A518" t="s">
        <v>14161</v>
      </c>
      <c r="B518" t="s">
        <v>14162</v>
      </c>
      <c r="C518">
        <v>19899600</v>
      </c>
      <c r="J518" t="s">
        <v>14161</v>
      </c>
      <c r="K518" t="s">
        <v>3605</v>
      </c>
    </row>
    <row r="519" spans="1:11">
      <c r="A519" t="s">
        <v>14163</v>
      </c>
      <c r="B519" t="s">
        <v>14164</v>
      </c>
      <c r="C519">
        <v>10408602</v>
      </c>
      <c r="J519" t="s">
        <v>14163</v>
      </c>
      <c r="K519" t="s">
        <v>3605</v>
      </c>
    </row>
    <row r="520" spans="1:11">
      <c r="A520" t="s">
        <v>14165</v>
      </c>
      <c r="B520" t="s">
        <v>14166</v>
      </c>
      <c r="C520">
        <v>12004600</v>
      </c>
      <c r="J520" t="s">
        <v>14165</v>
      </c>
      <c r="K520" t="s">
        <v>3605</v>
      </c>
    </row>
    <row r="521" spans="1:11">
      <c r="A521" t="s">
        <v>14167</v>
      </c>
      <c r="B521" t="s">
        <v>14168</v>
      </c>
      <c r="C521">
        <v>20700000</v>
      </c>
      <c r="J521" t="s">
        <v>14167</v>
      </c>
      <c r="K521" t="s">
        <v>3605</v>
      </c>
    </row>
    <row r="522" spans="1:11">
      <c r="A522" t="s">
        <v>14167</v>
      </c>
      <c r="B522" t="s">
        <v>14168</v>
      </c>
      <c r="C522">
        <v>20400000</v>
      </c>
      <c r="J522" t="s">
        <v>14167</v>
      </c>
      <c r="K522" t="s">
        <v>3605</v>
      </c>
    </row>
    <row r="523" spans="1:11">
      <c r="A523" t="s">
        <v>14169</v>
      </c>
      <c r="B523" t="s">
        <v>14170</v>
      </c>
      <c r="C523">
        <v>20497001</v>
      </c>
      <c r="J523" t="s">
        <v>14169</v>
      </c>
      <c r="K523" t="s">
        <v>3605</v>
      </c>
    </row>
    <row r="524" spans="1:11">
      <c r="A524" t="s">
        <v>14171</v>
      </c>
      <c r="B524" t="s">
        <v>14172</v>
      </c>
      <c r="C524">
        <v>20400000</v>
      </c>
      <c r="J524" t="s">
        <v>14171</v>
      </c>
      <c r="K524" t="s">
        <v>3605</v>
      </c>
    </row>
    <row r="525" spans="1:11">
      <c r="A525" t="s">
        <v>14173</v>
      </c>
      <c r="B525" t="s">
        <v>14174</v>
      </c>
      <c r="C525">
        <v>20400000</v>
      </c>
      <c r="J525" t="s">
        <v>14173</v>
      </c>
      <c r="K525" t="s">
        <v>3605</v>
      </c>
    </row>
    <row r="526" spans="1:11">
      <c r="A526" t="s">
        <v>14175</v>
      </c>
      <c r="B526" t="s">
        <v>14176</v>
      </c>
      <c r="C526">
        <v>20412000</v>
      </c>
      <c r="J526" t="s">
        <v>14175</v>
      </c>
      <c r="K526" t="s">
        <v>3605</v>
      </c>
    </row>
    <row r="527" spans="1:11">
      <c r="A527" t="s">
        <v>14175</v>
      </c>
      <c r="B527" t="s">
        <v>14176</v>
      </c>
      <c r="C527">
        <v>20412001</v>
      </c>
      <c r="J527" t="s">
        <v>14175</v>
      </c>
      <c r="K527" t="s">
        <v>3605</v>
      </c>
    </row>
    <row r="528" spans="1:11">
      <c r="A528" t="s">
        <v>14177</v>
      </c>
      <c r="B528" t="s">
        <v>14178</v>
      </c>
      <c r="C528">
        <v>20412000</v>
      </c>
      <c r="J528" t="s">
        <v>14177</v>
      </c>
      <c r="K528" t="s">
        <v>3605</v>
      </c>
    </row>
    <row r="529" spans="1:11">
      <c r="A529" t="s">
        <v>14179</v>
      </c>
      <c r="B529" t="s">
        <v>14180</v>
      </c>
      <c r="C529">
        <v>20412000</v>
      </c>
      <c r="J529" t="s">
        <v>14179</v>
      </c>
      <c r="K529" t="s">
        <v>3605</v>
      </c>
    </row>
    <row r="530" spans="1:11">
      <c r="A530" t="s">
        <v>14181</v>
      </c>
      <c r="B530" t="s">
        <v>14182</v>
      </c>
      <c r="C530">
        <v>20414000</v>
      </c>
      <c r="J530" t="s">
        <v>14181</v>
      </c>
      <c r="K530" t="s">
        <v>3605</v>
      </c>
    </row>
    <row r="531" spans="1:11">
      <c r="A531" t="s">
        <v>14183</v>
      </c>
      <c r="B531" t="s">
        <v>14184</v>
      </c>
      <c r="C531">
        <v>20412700</v>
      </c>
      <c r="J531" t="s">
        <v>14183</v>
      </c>
      <c r="K531" t="s">
        <v>3605</v>
      </c>
    </row>
    <row r="532" spans="1:11">
      <c r="A532" t="s">
        <v>14185</v>
      </c>
      <c r="B532" t="s">
        <v>14186</v>
      </c>
      <c r="C532">
        <v>20414700</v>
      </c>
      <c r="J532" t="s">
        <v>14185</v>
      </c>
      <c r="K532" t="s">
        <v>3605</v>
      </c>
    </row>
    <row r="533" spans="1:11">
      <c r="A533" t="s">
        <v>14187</v>
      </c>
      <c r="B533" t="s">
        <v>14188</v>
      </c>
      <c r="J533" t="s">
        <v>14187</v>
      </c>
      <c r="K533" t="s">
        <v>3605</v>
      </c>
    </row>
    <row r="534" spans="1:11">
      <c r="A534" t="s">
        <v>14189</v>
      </c>
      <c r="B534" t="s">
        <v>14190</v>
      </c>
      <c r="C534" t="s">
        <v>14191</v>
      </c>
      <c r="J534" t="s">
        <v>14189</v>
      </c>
      <c r="K534" t="s">
        <v>3605</v>
      </c>
    </row>
    <row r="535" spans="1:11">
      <c r="A535" t="s">
        <v>14189</v>
      </c>
      <c r="B535" t="s">
        <v>14190</v>
      </c>
      <c r="C535">
        <v>22414000</v>
      </c>
      <c r="J535" t="s">
        <v>14189</v>
      </c>
      <c r="K535" t="s">
        <v>3605</v>
      </c>
    </row>
    <row r="536" spans="1:11">
      <c r="A536" t="s">
        <v>14189</v>
      </c>
      <c r="B536" t="s">
        <v>14190</v>
      </c>
      <c r="C536">
        <v>20618000</v>
      </c>
      <c r="J536" t="s">
        <v>14189</v>
      </c>
      <c r="K536" t="s">
        <v>3605</v>
      </c>
    </row>
    <row r="537" spans="1:11">
      <c r="A537" t="s">
        <v>14189</v>
      </c>
      <c r="B537" t="s">
        <v>14190</v>
      </c>
      <c r="C537">
        <v>20632000</v>
      </c>
      <c r="J537" t="s">
        <v>14189</v>
      </c>
      <c r="K537" t="s">
        <v>3605</v>
      </c>
    </row>
    <row r="538" spans="1:11">
      <c r="A538" t="s">
        <v>14189</v>
      </c>
      <c r="B538" t="s">
        <v>14190</v>
      </c>
      <c r="C538">
        <v>20601000</v>
      </c>
      <c r="J538" t="s">
        <v>14189</v>
      </c>
      <c r="K538" t="s">
        <v>3605</v>
      </c>
    </row>
    <row r="539" spans="1:11">
      <c r="A539" t="s">
        <v>14189</v>
      </c>
      <c r="B539" t="s">
        <v>14190</v>
      </c>
      <c r="C539">
        <v>20600000</v>
      </c>
      <c r="J539" t="s">
        <v>14189</v>
      </c>
      <c r="K539" t="s">
        <v>3605</v>
      </c>
    </row>
    <row r="540" spans="1:11">
      <c r="A540" t="s">
        <v>14189</v>
      </c>
      <c r="B540" t="s">
        <v>14190</v>
      </c>
      <c r="C540">
        <v>20601005</v>
      </c>
      <c r="J540" t="s">
        <v>14189</v>
      </c>
      <c r="K540" t="s">
        <v>3605</v>
      </c>
    </row>
    <row r="541" spans="1:11">
      <c r="A541" t="s">
        <v>14189</v>
      </c>
      <c r="B541" t="s">
        <v>14190</v>
      </c>
      <c r="C541">
        <v>20530000</v>
      </c>
      <c r="J541" t="s">
        <v>14189</v>
      </c>
      <c r="K541" t="s">
        <v>3605</v>
      </c>
    </row>
    <row r="542" spans="1:11">
      <c r="A542" t="s">
        <v>14189</v>
      </c>
      <c r="B542" t="s">
        <v>14190</v>
      </c>
      <c r="C542">
        <v>20500000</v>
      </c>
      <c r="J542" t="s">
        <v>14189</v>
      </c>
      <c r="K542" t="s">
        <v>3605</v>
      </c>
    </row>
    <row r="543" spans="1:11">
      <c r="A543" t="s">
        <v>14189</v>
      </c>
      <c r="B543" t="s">
        <v>14190</v>
      </c>
      <c r="C543">
        <v>20630100</v>
      </c>
      <c r="J543" t="s">
        <v>14189</v>
      </c>
      <c r="K543" t="s">
        <v>3605</v>
      </c>
    </row>
    <row r="544" spans="1:11">
      <c r="A544" t="s">
        <v>14189</v>
      </c>
      <c r="B544" t="s">
        <v>14190</v>
      </c>
      <c r="C544">
        <v>20124000</v>
      </c>
      <c r="J544" t="s">
        <v>14189</v>
      </c>
      <c r="K544" t="s">
        <v>3605</v>
      </c>
    </row>
    <row r="545" spans="1:11">
      <c r="A545" t="s">
        <v>14189</v>
      </c>
      <c r="B545" t="s">
        <v>14190</v>
      </c>
      <c r="C545">
        <v>20212000</v>
      </c>
      <c r="J545" t="s">
        <v>14189</v>
      </c>
      <c r="K545" t="s">
        <v>3605</v>
      </c>
    </row>
    <row r="546" spans="1:11">
      <c r="A546" t="s">
        <v>14189</v>
      </c>
      <c r="B546" t="s">
        <v>14190</v>
      </c>
      <c r="C546">
        <v>20224000</v>
      </c>
      <c r="J546" t="s">
        <v>14189</v>
      </c>
      <c r="K546" t="s">
        <v>3605</v>
      </c>
    </row>
    <row r="547" spans="1:11">
      <c r="A547" t="s">
        <v>14189</v>
      </c>
      <c r="B547" t="s">
        <v>14190</v>
      </c>
      <c r="C547">
        <v>20225000</v>
      </c>
      <c r="J547" t="s">
        <v>14189</v>
      </c>
      <c r="K547" t="s">
        <v>3605</v>
      </c>
    </row>
    <row r="548" spans="1:11">
      <c r="A548" t="s">
        <v>14192</v>
      </c>
      <c r="B548" t="s">
        <v>14193</v>
      </c>
      <c r="C548" t="s">
        <v>14194</v>
      </c>
      <c r="J548" t="s">
        <v>14192</v>
      </c>
      <c r="K548" t="s">
        <v>3605</v>
      </c>
    </row>
    <row r="549" spans="1:11">
      <c r="A549" t="s">
        <v>14192</v>
      </c>
      <c r="B549" t="s">
        <v>14193</v>
      </c>
      <c r="C549">
        <v>20505000</v>
      </c>
      <c r="J549" t="s">
        <v>14192</v>
      </c>
      <c r="K549" t="s">
        <v>3605</v>
      </c>
    </row>
    <row r="550" spans="1:11">
      <c r="A550" t="s">
        <v>14192</v>
      </c>
      <c r="B550" t="s">
        <v>14193</v>
      </c>
      <c r="C550">
        <v>20605005</v>
      </c>
      <c r="J550" t="s">
        <v>14192</v>
      </c>
      <c r="K550" t="s">
        <v>3605</v>
      </c>
    </row>
    <row r="551" spans="1:11">
      <c r="A551" t="s">
        <v>14192</v>
      </c>
      <c r="B551" t="s">
        <v>14193</v>
      </c>
      <c r="C551">
        <v>20514000</v>
      </c>
      <c r="J551" t="s">
        <v>14192</v>
      </c>
      <c r="K551" t="s">
        <v>3605</v>
      </c>
    </row>
    <row r="552" spans="1:11">
      <c r="A552" t="s">
        <v>14195</v>
      </c>
      <c r="B552" t="s">
        <v>14196</v>
      </c>
      <c r="C552">
        <v>20120000</v>
      </c>
      <c r="J552" t="s">
        <v>14195</v>
      </c>
      <c r="K552" t="s">
        <v>3605</v>
      </c>
    </row>
    <row r="553" spans="1:11">
      <c r="A553" t="s">
        <v>14195</v>
      </c>
      <c r="B553" t="s">
        <v>14196</v>
      </c>
      <c r="C553">
        <v>20104000</v>
      </c>
      <c r="J553" t="s">
        <v>14195</v>
      </c>
      <c r="K553" t="s">
        <v>3605</v>
      </c>
    </row>
    <row r="554" spans="1:11">
      <c r="A554" t="s">
        <v>14197</v>
      </c>
      <c r="B554" t="s">
        <v>14198</v>
      </c>
      <c r="C554">
        <v>20508000</v>
      </c>
      <c r="J554" t="s">
        <v>14197</v>
      </c>
      <c r="K554" t="s">
        <v>3605</v>
      </c>
    </row>
    <row r="555" spans="1:11">
      <c r="A555" t="s">
        <v>14197</v>
      </c>
      <c r="B555" t="s">
        <v>14198</v>
      </c>
      <c r="C555">
        <v>20602000</v>
      </c>
      <c r="J555" t="s">
        <v>14197</v>
      </c>
      <c r="K555" t="s">
        <v>3605</v>
      </c>
    </row>
    <row r="556" spans="1:11">
      <c r="A556" t="s">
        <v>14197</v>
      </c>
      <c r="B556" t="s">
        <v>14198</v>
      </c>
      <c r="C556">
        <v>20627000</v>
      </c>
      <c r="J556" t="s">
        <v>14197</v>
      </c>
      <c r="K556" t="s">
        <v>3605</v>
      </c>
    </row>
    <row r="557" spans="1:11">
      <c r="A557" t="s">
        <v>14197</v>
      </c>
      <c r="B557" t="s">
        <v>14198</v>
      </c>
      <c r="C557">
        <v>20518000</v>
      </c>
      <c r="J557" t="s">
        <v>14197</v>
      </c>
      <c r="K557" t="s">
        <v>3605</v>
      </c>
    </row>
    <row r="558" spans="1:11">
      <c r="A558" t="s">
        <v>14197</v>
      </c>
      <c r="B558" t="s">
        <v>14198</v>
      </c>
      <c r="C558">
        <v>20608000</v>
      </c>
      <c r="J558" t="s">
        <v>14197</v>
      </c>
      <c r="K558" t="s">
        <v>3605</v>
      </c>
    </row>
    <row r="559" spans="1:11">
      <c r="A559" t="s">
        <v>14197</v>
      </c>
      <c r="B559" t="s">
        <v>14198</v>
      </c>
      <c r="C559">
        <v>20693000</v>
      </c>
      <c r="J559" t="s">
        <v>14197</v>
      </c>
      <c r="K559" t="s">
        <v>3605</v>
      </c>
    </row>
    <row r="560" spans="1:11">
      <c r="A560" t="s">
        <v>14197</v>
      </c>
      <c r="B560" t="s">
        <v>14198</v>
      </c>
      <c r="C560">
        <v>20695000</v>
      </c>
      <c r="J560" t="s">
        <v>14197</v>
      </c>
      <c r="K560" t="s">
        <v>3605</v>
      </c>
    </row>
    <row r="561" spans="1:11">
      <c r="A561" t="s">
        <v>14197</v>
      </c>
      <c r="B561" t="s">
        <v>14198</v>
      </c>
      <c r="C561">
        <v>21223000</v>
      </c>
      <c r="J561" t="s">
        <v>14197</v>
      </c>
      <c r="K561" t="s">
        <v>3605</v>
      </c>
    </row>
    <row r="562" spans="1:11">
      <c r="A562" t="s">
        <v>14197</v>
      </c>
      <c r="B562" t="s">
        <v>14198</v>
      </c>
      <c r="C562">
        <v>20608001</v>
      </c>
      <c r="J562" t="s">
        <v>14197</v>
      </c>
      <c r="K562" t="s">
        <v>3605</v>
      </c>
    </row>
    <row r="563" spans="1:11">
      <c r="A563" t="s">
        <v>14197</v>
      </c>
      <c r="B563" t="s">
        <v>14198</v>
      </c>
      <c r="C563">
        <v>20694000</v>
      </c>
      <c r="J563" t="s">
        <v>14197</v>
      </c>
      <c r="K563" t="s">
        <v>3605</v>
      </c>
    </row>
    <row r="564" spans="1:11">
      <c r="A564" t="s">
        <v>14199</v>
      </c>
      <c r="B564" t="s">
        <v>14200</v>
      </c>
      <c r="C564">
        <v>20406000</v>
      </c>
      <c r="D564" t="s">
        <v>14201</v>
      </c>
      <c r="J564" t="s">
        <v>14199</v>
      </c>
      <c r="K564" t="s">
        <v>3605</v>
      </c>
    </row>
    <row r="565" spans="1:11">
      <c r="A565" t="s">
        <v>14202</v>
      </c>
      <c r="B565" t="s">
        <v>14203</v>
      </c>
      <c r="C565">
        <v>20497000</v>
      </c>
      <c r="D565" t="s">
        <v>14204</v>
      </c>
      <c r="J565" t="s">
        <v>14202</v>
      </c>
      <c r="K565" t="s">
        <v>3605</v>
      </c>
    </row>
    <row r="566" spans="1:11">
      <c r="A566" t="s">
        <v>14205</v>
      </c>
      <c r="B566" t="s">
        <v>14206</v>
      </c>
      <c r="C566">
        <v>20408000</v>
      </c>
      <c r="J566" t="s">
        <v>14205</v>
      </c>
      <c r="K566" t="s">
        <v>3605</v>
      </c>
    </row>
    <row r="567" spans="1:11">
      <c r="A567" t="s">
        <v>14205</v>
      </c>
      <c r="B567" t="s">
        <v>14206</v>
      </c>
      <c r="C567">
        <v>20408101</v>
      </c>
      <c r="J567" t="s">
        <v>14205</v>
      </c>
      <c r="K567" t="s">
        <v>3605</v>
      </c>
    </row>
    <row r="568" spans="1:11">
      <c r="A568" t="s">
        <v>14205</v>
      </c>
      <c r="B568" t="s">
        <v>14206</v>
      </c>
      <c r="C568">
        <v>20408001</v>
      </c>
      <c r="J568" t="s">
        <v>14205</v>
      </c>
      <c r="K568" t="s">
        <v>3605</v>
      </c>
    </row>
    <row r="569" spans="1:11">
      <c r="A569" t="s">
        <v>14207</v>
      </c>
      <c r="B569" t="s">
        <v>14208</v>
      </c>
      <c r="C569">
        <v>20408005</v>
      </c>
      <c r="J569" t="s">
        <v>14207</v>
      </c>
      <c r="K569" t="s">
        <v>3605</v>
      </c>
    </row>
    <row r="570" spans="1:11">
      <c r="A570" t="s">
        <v>14209</v>
      </c>
      <c r="B570" t="s">
        <v>14210</v>
      </c>
      <c r="C570">
        <v>20408005</v>
      </c>
      <c r="J570" t="s">
        <v>14209</v>
      </c>
      <c r="K570" t="s">
        <v>3605</v>
      </c>
    </row>
    <row r="571" spans="1:11">
      <c r="A571" t="s">
        <v>14211</v>
      </c>
      <c r="B571" t="s">
        <v>14212</v>
      </c>
      <c r="C571">
        <v>20408005</v>
      </c>
      <c r="J571" t="s">
        <v>14211</v>
      </c>
      <c r="K571" t="s">
        <v>3605</v>
      </c>
    </row>
    <row r="572" spans="1:11">
      <c r="A572" t="s">
        <v>14213</v>
      </c>
      <c r="B572" t="s">
        <v>14214</v>
      </c>
      <c r="C572">
        <v>20408009</v>
      </c>
      <c r="J572" t="s">
        <v>14213</v>
      </c>
      <c r="K572" t="s">
        <v>3605</v>
      </c>
    </row>
    <row r="573" spans="1:11">
      <c r="A573" t="s">
        <v>14215</v>
      </c>
      <c r="B573" t="s">
        <v>14216</v>
      </c>
      <c r="C573">
        <v>20413000</v>
      </c>
      <c r="J573" t="s">
        <v>14215</v>
      </c>
      <c r="K573" t="s">
        <v>3605</v>
      </c>
    </row>
    <row r="574" spans="1:11">
      <c r="A574" t="s">
        <v>14217</v>
      </c>
      <c r="B574" t="s">
        <v>14218</v>
      </c>
      <c r="C574">
        <v>20408705</v>
      </c>
      <c r="J574" t="s">
        <v>14217</v>
      </c>
      <c r="K574" t="s">
        <v>3605</v>
      </c>
    </row>
    <row r="575" spans="1:11">
      <c r="A575" t="s">
        <v>14219</v>
      </c>
      <c r="B575" t="s">
        <v>14220</v>
      </c>
      <c r="C575">
        <v>20413000</v>
      </c>
      <c r="J575" t="s">
        <v>14219</v>
      </c>
      <c r="K575" t="s">
        <v>3605</v>
      </c>
    </row>
    <row r="576" spans="1:11">
      <c r="A576" t="s">
        <v>14221</v>
      </c>
      <c r="B576" t="s">
        <v>14222</v>
      </c>
      <c r="C576">
        <v>20408709</v>
      </c>
      <c r="J576" t="s">
        <v>14221</v>
      </c>
      <c r="K576" t="s">
        <v>3605</v>
      </c>
    </row>
    <row r="577" spans="1:11">
      <c r="A577" t="s">
        <v>14223</v>
      </c>
      <c r="B577" t="s">
        <v>14224</v>
      </c>
      <c r="C577">
        <v>20497001</v>
      </c>
      <c r="D577" t="s">
        <v>13745</v>
      </c>
      <c r="E577">
        <v>45349</v>
      </c>
      <c r="J577" t="s">
        <v>14223</v>
      </c>
      <c r="K577" t="s">
        <v>3605</v>
      </c>
    </row>
    <row r="578" spans="1:11">
      <c r="A578" t="s">
        <v>14225</v>
      </c>
      <c r="B578" t="s">
        <v>14226</v>
      </c>
      <c r="C578">
        <v>20505005</v>
      </c>
      <c r="D578" t="s">
        <v>14227</v>
      </c>
      <c r="E578">
        <v>45368</v>
      </c>
      <c r="J578" t="s">
        <v>14225</v>
      </c>
      <c r="K578" t="s">
        <v>3605</v>
      </c>
    </row>
    <row r="579" spans="1:11">
      <c r="A579" t="s">
        <v>14228</v>
      </c>
      <c r="B579" t="s">
        <v>14229</v>
      </c>
      <c r="C579">
        <v>20400100</v>
      </c>
      <c r="J579" t="s">
        <v>14228</v>
      </c>
      <c r="K579" t="s">
        <v>3605</v>
      </c>
    </row>
    <row r="580" spans="1:11">
      <c r="A580" t="s">
        <v>14228</v>
      </c>
      <c r="B580" t="s">
        <v>14229</v>
      </c>
      <c r="C580">
        <v>20499100</v>
      </c>
      <c r="J580" t="s">
        <v>14228</v>
      </c>
      <c r="K580" t="s">
        <v>3605</v>
      </c>
    </row>
    <row r="581" spans="1:11">
      <c r="A581" t="s">
        <v>14228</v>
      </c>
      <c r="B581" t="s">
        <v>14229</v>
      </c>
      <c r="C581">
        <v>20405100</v>
      </c>
      <c r="J581" t="s">
        <v>14228</v>
      </c>
      <c r="K581" t="s">
        <v>3605</v>
      </c>
    </row>
    <row r="582" spans="1:11">
      <c r="A582" t="s">
        <v>14230</v>
      </c>
      <c r="B582" t="s">
        <v>14231</v>
      </c>
      <c r="C582">
        <v>20412100</v>
      </c>
      <c r="J582" t="s">
        <v>14230</v>
      </c>
      <c r="K582" t="s">
        <v>3605</v>
      </c>
    </row>
    <row r="583" spans="1:11">
      <c r="A583" t="s">
        <v>14230</v>
      </c>
      <c r="B583" t="s">
        <v>14231</v>
      </c>
      <c r="C583">
        <v>20412101</v>
      </c>
      <c r="J583" t="s">
        <v>14230</v>
      </c>
      <c r="K583" t="s">
        <v>3605</v>
      </c>
    </row>
    <row r="584" spans="1:11">
      <c r="A584" t="s">
        <v>14232</v>
      </c>
      <c r="B584" t="s">
        <v>14233</v>
      </c>
      <c r="C584">
        <v>20414100</v>
      </c>
      <c r="J584" t="s">
        <v>14232</v>
      </c>
      <c r="K584" t="s">
        <v>3605</v>
      </c>
    </row>
    <row r="585" spans="1:11">
      <c r="A585" t="s">
        <v>14234</v>
      </c>
      <c r="B585" t="s">
        <v>14235</v>
      </c>
      <c r="C585">
        <v>20499000</v>
      </c>
      <c r="J585" t="s">
        <v>14234</v>
      </c>
      <c r="K585" t="s">
        <v>3605</v>
      </c>
    </row>
    <row r="586" spans="1:11">
      <c r="A586" t="s">
        <v>14236</v>
      </c>
      <c r="B586" t="s">
        <v>14237</v>
      </c>
      <c r="C586">
        <v>20228100</v>
      </c>
      <c r="J586" t="s">
        <v>14236</v>
      </c>
      <c r="K586" t="s">
        <v>3605</v>
      </c>
    </row>
    <row r="587" spans="1:11">
      <c r="A587" t="s">
        <v>14236</v>
      </c>
      <c r="B587" t="s">
        <v>14237</v>
      </c>
      <c r="C587">
        <v>20514100</v>
      </c>
      <c r="J587" t="s">
        <v>14236</v>
      </c>
      <c r="K587" t="s">
        <v>3605</v>
      </c>
    </row>
    <row r="588" spans="1:11">
      <c r="A588" t="s">
        <v>14236</v>
      </c>
      <c r="B588" t="s">
        <v>14237</v>
      </c>
      <c r="C588">
        <v>20500100</v>
      </c>
      <c r="J588" t="s">
        <v>14236</v>
      </c>
      <c r="K588" t="s">
        <v>3605</v>
      </c>
    </row>
    <row r="589" spans="1:11">
      <c r="A589" t="s">
        <v>14236</v>
      </c>
      <c r="B589" t="s">
        <v>14237</v>
      </c>
      <c r="C589">
        <v>20600100</v>
      </c>
      <c r="J589" t="s">
        <v>14236</v>
      </c>
      <c r="K589" t="s">
        <v>3605</v>
      </c>
    </row>
    <row r="590" spans="1:11">
      <c r="A590" t="s">
        <v>14236</v>
      </c>
      <c r="B590" t="s">
        <v>14237</v>
      </c>
      <c r="C590">
        <v>20120100</v>
      </c>
      <c r="J590" t="s">
        <v>14236</v>
      </c>
      <c r="K590" t="s">
        <v>3605</v>
      </c>
    </row>
    <row r="591" spans="1:11">
      <c r="A591" t="s">
        <v>14236</v>
      </c>
      <c r="B591" t="s">
        <v>14237</v>
      </c>
      <c r="C591">
        <v>20229000</v>
      </c>
      <c r="J591" t="s">
        <v>14236</v>
      </c>
      <c r="K591" t="s">
        <v>3605</v>
      </c>
    </row>
    <row r="592" spans="1:11">
      <c r="A592" t="s">
        <v>14236</v>
      </c>
      <c r="B592" t="s">
        <v>14237</v>
      </c>
      <c r="C592">
        <v>20299000</v>
      </c>
      <c r="J592" t="s">
        <v>14236</v>
      </c>
      <c r="K592" t="s">
        <v>3605</v>
      </c>
    </row>
    <row r="593" spans="1:11">
      <c r="A593" t="s">
        <v>14238</v>
      </c>
      <c r="B593" t="s">
        <v>14239</v>
      </c>
      <c r="C593">
        <v>20505100</v>
      </c>
      <c r="J593" t="s">
        <v>14238</v>
      </c>
      <c r="K593" t="s">
        <v>3605</v>
      </c>
    </row>
    <row r="594" spans="1:11">
      <c r="A594" t="s">
        <v>14238</v>
      </c>
      <c r="B594" t="s">
        <v>14239</v>
      </c>
      <c r="C594">
        <v>20404100</v>
      </c>
      <c r="J594" t="s">
        <v>14238</v>
      </c>
      <c r="K594" t="s">
        <v>3605</v>
      </c>
    </row>
    <row r="595" spans="1:11">
      <c r="A595" t="s">
        <v>14238</v>
      </c>
      <c r="B595" t="s">
        <v>14239</v>
      </c>
      <c r="C595">
        <v>20505105</v>
      </c>
      <c r="J595" t="s">
        <v>14238</v>
      </c>
      <c r="K595" t="s">
        <v>3605</v>
      </c>
    </row>
    <row r="596" spans="1:11">
      <c r="A596" t="s">
        <v>14238</v>
      </c>
      <c r="B596" t="s">
        <v>14239</v>
      </c>
      <c r="C596">
        <v>20605105</v>
      </c>
      <c r="J596" t="s">
        <v>14238</v>
      </c>
      <c r="K596" t="s">
        <v>3605</v>
      </c>
    </row>
    <row r="597" spans="1:11">
      <c r="A597" t="s">
        <v>14238</v>
      </c>
      <c r="B597" t="s">
        <v>14239</v>
      </c>
      <c r="C597">
        <v>20605100</v>
      </c>
      <c r="J597" t="s">
        <v>14238</v>
      </c>
      <c r="K597" t="s">
        <v>3605</v>
      </c>
    </row>
    <row r="598" spans="1:11">
      <c r="A598" t="s">
        <v>14240</v>
      </c>
      <c r="B598" t="s">
        <v>14241</v>
      </c>
      <c r="C598">
        <v>20408100</v>
      </c>
      <c r="J598" t="s">
        <v>14240</v>
      </c>
      <c r="K598" t="s">
        <v>3605</v>
      </c>
    </row>
    <row r="599" spans="1:11">
      <c r="A599" t="s">
        <v>14240</v>
      </c>
      <c r="B599" t="s">
        <v>14241</v>
      </c>
      <c r="C599">
        <v>20226100</v>
      </c>
      <c r="J599" t="s">
        <v>14240</v>
      </c>
      <c r="K599" t="s">
        <v>3605</v>
      </c>
    </row>
    <row r="600" spans="1:11">
      <c r="A600" t="s">
        <v>14242</v>
      </c>
      <c r="B600" t="s">
        <v>14243</v>
      </c>
      <c r="C600">
        <v>20408105</v>
      </c>
      <c r="J600" t="s">
        <v>14242</v>
      </c>
      <c r="K600" t="s">
        <v>3605</v>
      </c>
    </row>
    <row r="601" spans="1:11">
      <c r="A601" t="s">
        <v>14244</v>
      </c>
      <c r="B601" t="s">
        <v>14245</v>
      </c>
      <c r="C601">
        <v>20408109</v>
      </c>
      <c r="J601" t="s">
        <v>14244</v>
      </c>
      <c r="K601" t="s">
        <v>3605</v>
      </c>
    </row>
    <row r="602" spans="1:11">
      <c r="A602" t="s">
        <v>14246</v>
      </c>
      <c r="B602" t="s">
        <v>14247</v>
      </c>
      <c r="C602">
        <v>20608100</v>
      </c>
      <c r="J602" t="s">
        <v>14246</v>
      </c>
      <c r="K602" t="s">
        <v>3605</v>
      </c>
    </row>
    <row r="603" spans="1:11">
      <c r="A603" t="s">
        <v>14246</v>
      </c>
      <c r="B603" t="s">
        <v>14247</v>
      </c>
      <c r="C603">
        <v>20508100</v>
      </c>
      <c r="J603" t="s">
        <v>14246</v>
      </c>
      <c r="K603" t="s">
        <v>3605</v>
      </c>
    </row>
    <row r="604" spans="1:11">
      <c r="A604" t="s">
        <v>14246</v>
      </c>
      <c r="B604" t="s">
        <v>14247</v>
      </c>
      <c r="C604">
        <v>20518100</v>
      </c>
      <c r="J604" t="s">
        <v>14246</v>
      </c>
      <c r="K604" t="s">
        <v>3605</v>
      </c>
    </row>
    <row r="605" spans="1:11">
      <c r="A605" t="s">
        <v>14248</v>
      </c>
      <c r="B605" t="s">
        <v>14249</v>
      </c>
      <c r="C605">
        <v>20413100</v>
      </c>
      <c r="J605" t="s">
        <v>14248</v>
      </c>
      <c r="K605" t="s">
        <v>3605</v>
      </c>
    </row>
    <row r="606" spans="1:11">
      <c r="A606" t="s">
        <v>14250</v>
      </c>
      <c r="B606" t="s">
        <v>14251</v>
      </c>
      <c r="C606">
        <v>20400200</v>
      </c>
      <c r="J606" t="s">
        <v>14250</v>
      </c>
      <c r="K606" t="s">
        <v>3605</v>
      </c>
    </row>
    <row r="607" spans="1:11">
      <c r="A607" t="s">
        <v>14250</v>
      </c>
      <c r="B607" t="s">
        <v>14251</v>
      </c>
      <c r="C607">
        <v>20400200</v>
      </c>
      <c r="J607" t="s">
        <v>14250</v>
      </c>
      <c r="K607" t="s">
        <v>3605</v>
      </c>
    </row>
    <row r="608" spans="1:11">
      <c r="A608" t="s">
        <v>14250</v>
      </c>
      <c r="B608" t="s">
        <v>14251</v>
      </c>
      <c r="C608">
        <v>20432000</v>
      </c>
      <c r="J608" t="s">
        <v>14250</v>
      </c>
      <c r="K608" t="s">
        <v>3605</v>
      </c>
    </row>
    <row r="609" spans="1:11">
      <c r="A609" t="s">
        <v>14252</v>
      </c>
      <c r="B609" t="s">
        <v>14253</v>
      </c>
      <c r="C609">
        <v>20400200</v>
      </c>
      <c r="D609">
        <v>2206910</v>
      </c>
      <c r="J609" t="s">
        <v>14252</v>
      </c>
      <c r="K609" t="s">
        <v>3605</v>
      </c>
    </row>
    <row r="610" spans="1:11">
      <c r="A610" t="s">
        <v>14254</v>
      </c>
      <c r="B610" t="s">
        <v>14255</v>
      </c>
      <c r="C610">
        <v>20412200</v>
      </c>
      <c r="J610" t="s">
        <v>14254</v>
      </c>
      <c r="K610" t="s">
        <v>3605</v>
      </c>
    </row>
    <row r="611" spans="1:11">
      <c r="A611" t="s">
        <v>14254</v>
      </c>
      <c r="B611" t="s">
        <v>14255</v>
      </c>
      <c r="C611">
        <v>20412200</v>
      </c>
      <c r="J611" t="s">
        <v>14254</v>
      </c>
      <c r="K611" t="s">
        <v>3605</v>
      </c>
    </row>
    <row r="612" spans="1:11">
      <c r="A612" t="s">
        <v>14256</v>
      </c>
      <c r="B612" t="s">
        <v>14257</v>
      </c>
      <c r="C612">
        <v>20414200</v>
      </c>
      <c r="J612" t="s">
        <v>14256</v>
      </c>
      <c r="K612" t="s">
        <v>3605</v>
      </c>
    </row>
    <row r="613" spans="1:11">
      <c r="A613" t="s">
        <v>14256</v>
      </c>
      <c r="B613" t="s">
        <v>14257</v>
      </c>
      <c r="C613">
        <v>20414200</v>
      </c>
      <c r="J613" t="s">
        <v>14256</v>
      </c>
      <c r="K613" t="s">
        <v>3605</v>
      </c>
    </row>
    <row r="614" spans="1:11">
      <c r="A614" t="s">
        <v>14258</v>
      </c>
      <c r="B614" t="s">
        <v>14259</v>
      </c>
      <c r="G614" t="s">
        <v>14258</v>
      </c>
      <c r="H614" t="s">
        <v>3605</v>
      </c>
      <c r="I614" t="s">
        <v>14260</v>
      </c>
      <c r="J614" t="s">
        <v>14258</v>
      </c>
      <c r="K614" t="s">
        <v>3605</v>
      </c>
    </row>
    <row r="615" spans="1:11">
      <c r="A615" t="s">
        <v>14261</v>
      </c>
      <c r="B615" t="s">
        <v>14262</v>
      </c>
      <c r="C615">
        <v>20120200</v>
      </c>
      <c r="J615" t="s">
        <v>14261</v>
      </c>
      <c r="K615" t="s">
        <v>3605</v>
      </c>
    </row>
    <row r="616" spans="1:11">
      <c r="A616" t="s">
        <v>14263</v>
      </c>
      <c r="B616" t="s">
        <v>14264</v>
      </c>
      <c r="C616">
        <v>20000200</v>
      </c>
      <c r="J616" t="s">
        <v>14263</v>
      </c>
      <c r="K616" t="s">
        <v>3605</v>
      </c>
    </row>
    <row r="617" spans="1:11">
      <c r="A617" t="s">
        <v>14263</v>
      </c>
      <c r="B617" t="s">
        <v>14265</v>
      </c>
      <c r="C617" t="s">
        <v>14266</v>
      </c>
      <c r="J617" t="s">
        <v>14263</v>
      </c>
      <c r="K617" t="s">
        <v>3605</v>
      </c>
    </row>
    <row r="618" spans="1:11">
      <c r="A618" t="s">
        <v>14267</v>
      </c>
      <c r="B618" t="s">
        <v>14265</v>
      </c>
      <c r="C618">
        <v>20212200</v>
      </c>
      <c r="J618" t="s">
        <v>14267</v>
      </c>
      <c r="K618" t="s">
        <v>3605</v>
      </c>
    </row>
    <row r="619" spans="1:11">
      <c r="A619" t="s">
        <v>14268</v>
      </c>
      <c r="B619" t="s">
        <v>14269</v>
      </c>
      <c r="C619">
        <v>20408200</v>
      </c>
      <c r="D619" t="s">
        <v>14270</v>
      </c>
      <c r="J619" t="s">
        <v>14268</v>
      </c>
      <c r="K619" t="s">
        <v>3605</v>
      </c>
    </row>
    <row r="620" spans="1:11">
      <c r="A620" t="s">
        <v>14271</v>
      </c>
      <c r="B620" t="s">
        <v>14272</v>
      </c>
      <c r="C620">
        <v>20408200</v>
      </c>
      <c r="D620">
        <v>2306910</v>
      </c>
      <c r="J620" t="s">
        <v>14271</v>
      </c>
      <c r="K620" t="s">
        <v>3605</v>
      </c>
    </row>
    <row r="621" spans="1:11">
      <c r="A621" t="s">
        <v>14273</v>
      </c>
      <c r="B621" t="s">
        <v>14274</v>
      </c>
      <c r="C621">
        <v>20408205</v>
      </c>
      <c r="D621" t="s">
        <v>14275</v>
      </c>
      <c r="J621" t="s">
        <v>14273</v>
      </c>
      <c r="K621" t="s">
        <v>3605</v>
      </c>
    </row>
    <row r="622" spans="1:11">
      <c r="A622" t="s">
        <v>14276</v>
      </c>
      <c r="B622" t="s">
        <v>14277</v>
      </c>
      <c r="C622">
        <v>20408209</v>
      </c>
      <c r="D622" t="s">
        <v>14278</v>
      </c>
      <c r="J622" t="s">
        <v>14276</v>
      </c>
      <c r="K622" t="s">
        <v>3605</v>
      </c>
    </row>
    <row r="623" spans="1:11">
      <c r="A623" t="s">
        <v>14279</v>
      </c>
      <c r="B623" t="s">
        <v>14280</v>
      </c>
      <c r="C623">
        <v>20508200</v>
      </c>
      <c r="J623" t="s">
        <v>14279</v>
      </c>
      <c r="K623" t="s">
        <v>3605</v>
      </c>
    </row>
    <row r="624" spans="1:11">
      <c r="A624" t="s">
        <v>14279</v>
      </c>
      <c r="B624" t="s">
        <v>14280</v>
      </c>
      <c r="C624">
        <v>20608200</v>
      </c>
      <c r="J624" t="s">
        <v>14279</v>
      </c>
      <c r="K624" t="s">
        <v>3605</v>
      </c>
    </row>
    <row r="625" spans="1:11">
      <c r="A625" t="s">
        <v>14281</v>
      </c>
      <c r="B625" t="s">
        <v>14282</v>
      </c>
      <c r="C625">
        <v>20413200</v>
      </c>
      <c r="J625" t="s">
        <v>14281</v>
      </c>
      <c r="K625" t="s">
        <v>3605</v>
      </c>
    </row>
    <row r="626" spans="1:11">
      <c r="A626" t="s">
        <v>14283</v>
      </c>
      <c r="B626" t="s">
        <v>14284</v>
      </c>
      <c r="C626">
        <v>20400100</v>
      </c>
      <c r="J626" t="s">
        <v>14283</v>
      </c>
      <c r="K626" t="s">
        <v>3605</v>
      </c>
    </row>
    <row r="627" spans="1:11">
      <c r="A627" t="s">
        <v>14285</v>
      </c>
      <c r="B627" t="s">
        <v>14286</v>
      </c>
      <c r="C627">
        <v>20412100</v>
      </c>
      <c r="J627" t="s">
        <v>14285</v>
      </c>
      <c r="K627" t="s">
        <v>3605</v>
      </c>
    </row>
    <row r="628" spans="1:11">
      <c r="A628" t="s">
        <v>14287</v>
      </c>
      <c r="B628" t="s">
        <v>14288</v>
      </c>
      <c r="C628">
        <v>20414100</v>
      </c>
      <c r="J628" t="s">
        <v>14287</v>
      </c>
      <c r="K628" t="s">
        <v>3605</v>
      </c>
    </row>
    <row r="629" spans="1:11">
      <c r="A629" t="s">
        <v>14289</v>
      </c>
      <c r="B629" t="s">
        <v>14290</v>
      </c>
      <c r="C629">
        <v>20228100</v>
      </c>
      <c r="J629" t="s">
        <v>14289</v>
      </c>
      <c r="K629" t="s">
        <v>3605</v>
      </c>
    </row>
    <row r="630" spans="1:11">
      <c r="A630" t="s">
        <v>14291</v>
      </c>
      <c r="B630" t="s">
        <v>14292</v>
      </c>
      <c r="C630">
        <v>20505100</v>
      </c>
      <c r="J630" t="s">
        <v>14291</v>
      </c>
      <c r="K630" t="s">
        <v>3605</v>
      </c>
    </row>
    <row r="631" spans="1:11">
      <c r="A631" t="s">
        <v>14293</v>
      </c>
      <c r="B631" t="s">
        <v>14294</v>
      </c>
      <c r="C631">
        <v>20608100</v>
      </c>
      <c r="J631" t="s">
        <v>14293</v>
      </c>
      <c r="K631" t="s">
        <v>3605</v>
      </c>
    </row>
    <row r="632" spans="1:11">
      <c r="A632" t="s">
        <v>14295</v>
      </c>
      <c r="B632" t="s">
        <v>14296</v>
      </c>
      <c r="C632">
        <v>51200105</v>
      </c>
      <c r="J632" t="s">
        <v>14295</v>
      </c>
      <c r="K632" t="s">
        <v>3605</v>
      </c>
    </row>
    <row r="633" spans="1:11">
      <c r="A633" t="s">
        <v>14297</v>
      </c>
      <c r="B633" t="s">
        <v>14298</v>
      </c>
      <c r="C633">
        <v>20408109</v>
      </c>
      <c r="J633" t="s">
        <v>14297</v>
      </c>
      <c r="K633" t="s">
        <v>3605</v>
      </c>
    </row>
    <row r="634" spans="1:11">
      <c r="A634" t="s">
        <v>14299</v>
      </c>
      <c r="B634" t="s">
        <v>14300</v>
      </c>
      <c r="C634">
        <v>20508100</v>
      </c>
      <c r="J634" t="s">
        <v>14299</v>
      </c>
      <c r="K634" t="s">
        <v>3605</v>
      </c>
    </row>
    <row r="635" spans="1:11">
      <c r="A635" t="s">
        <v>14301</v>
      </c>
      <c r="B635" t="s">
        <v>14302</v>
      </c>
      <c r="C635">
        <v>20413100</v>
      </c>
      <c r="J635" t="s">
        <v>14301</v>
      </c>
      <c r="K635" t="s">
        <v>3605</v>
      </c>
    </row>
    <row r="636" spans="1:11">
      <c r="A636" t="s">
        <v>14303</v>
      </c>
      <c r="B636" t="s">
        <v>14304</v>
      </c>
      <c r="C636">
        <v>20400200</v>
      </c>
      <c r="J636" t="s">
        <v>14303</v>
      </c>
      <c r="K636" t="s">
        <v>3605</v>
      </c>
    </row>
    <row r="637" spans="1:11">
      <c r="A637" t="s">
        <v>14305</v>
      </c>
      <c r="B637" t="s">
        <v>14306</v>
      </c>
      <c r="C637">
        <v>20412200</v>
      </c>
      <c r="J637" t="s">
        <v>14305</v>
      </c>
      <c r="K637" t="s">
        <v>3605</v>
      </c>
    </row>
    <row r="638" spans="1:11">
      <c r="A638" t="s">
        <v>14307</v>
      </c>
      <c r="B638" t="s">
        <v>14308</v>
      </c>
      <c r="C638">
        <v>20414200</v>
      </c>
      <c r="J638" t="s">
        <v>14307</v>
      </c>
      <c r="K638" t="s">
        <v>3605</v>
      </c>
    </row>
    <row r="639" spans="1:11">
      <c r="A639" t="s">
        <v>14309</v>
      </c>
      <c r="B639" t="s">
        <v>14310</v>
      </c>
      <c r="C639" t="s">
        <v>14311</v>
      </c>
      <c r="J639" t="s">
        <v>14309</v>
      </c>
      <c r="K639" t="s">
        <v>3605</v>
      </c>
    </row>
    <row r="640" spans="1:11">
      <c r="A640" t="s">
        <v>14312</v>
      </c>
      <c r="B640" t="s">
        <v>14313</v>
      </c>
      <c r="C640">
        <v>20505200</v>
      </c>
      <c r="J640" t="s">
        <v>14312</v>
      </c>
      <c r="K640" t="s">
        <v>3605</v>
      </c>
    </row>
    <row r="641" spans="1:11">
      <c r="A641" t="s">
        <v>14314</v>
      </c>
      <c r="B641" t="s">
        <v>14315</v>
      </c>
      <c r="C641">
        <v>20212200</v>
      </c>
      <c r="D641" t="s">
        <v>13745</v>
      </c>
      <c r="E641">
        <v>45349</v>
      </c>
      <c r="J641" t="s">
        <v>14314</v>
      </c>
      <c r="K641" t="s">
        <v>3605</v>
      </c>
    </row>
    <row r="642" spans="1:11">
      <c r="A642" t="s">
        <v>14316</v>
      </c>
      <c r="B642" t="s">
        <v>14317</v>
      </c>
      <c r="C642">
        <v>20408200</v>
      </c>
      <c r="J642" t="s">
        <v>14316</v>
      </c>
      <c r="K642" t="s">
        <v>3605</v>
      </c>
    </row>
    <row r="643" spans="1:11">
      <c r="A643" t="s">
        <v>14318</v>
      </c>
      <c r="B643" t="s">
        <v>14319</v>
      </c>
      <c r="C643">
        <v>51200205</v>
      </c>
      <c r="J643" t="s">
        <v>14318</v>
      </c>
      <c r="K643" t="s">
        <v>3605</v>
      </c>
    </row>
    <row r="644" spans="1:11">
      <c r="A644" t="s">
        <v>14320</v>
      </c>
      <c r="B644" t="s">
        <v>14321</v>
      </c>
      <c r="C644">
        <v>20408209</v>
      </c>
      <c r="J644" t="s">
        <v>14320</v>
      </c>
      <c r="K644" t="s">
        <v>3605</v>
      </c>
    </row>
    <row r="645" spans="1:11">
      <c r="A645" t="s">
        <v>14322</v>
      </c>
      <c r="B645" t="s">
        <v>14323</v>
      </c>
      <c r="C645">
        <v>20508200</v>
      </c>
      <c r="J645" t="s">
        <v>14322</v>
      </c>
      <c r="K645" t="s">
        <v>3605</v>
      </c>
    </row>
    <row r="646" spans="1:11">
      <c r="A646" t="s">
        <v>14324</v>
      </c>
      <c r="B646" t="s">
        <v>14325</v>
      </c>
      <c r="C646">
        <v>20413200</v>
      </c>
      <c r="J646" t="s">
        <v>14324</v>
      </c>
      <c r="K646" t="s">
        <v>3605</v>
      </c>
    </row>
    <row r="647" spans="1:11">
      <c r="A647" t="s">
        <v>14326</v>
      </c>
      <c r="B647" t="s">
        <v>14327</v>
      </c>
      <c r="C647">
        <v>20900000</v>
      </c>
      <c r="J647" t="s">
        <v>14326</v>
      </c>
      <c r="K647" t="s">
        <v>3605</v>
      </c>
    </row>
    <row r="648" spans="1:11">
      <c r="A648" t="s">
        <v>14328</v>
      </c>
      <c r="B648" t="s">
        <v>14329</v>
      </c>
      <c r="C648">
        <v>22432000</v>
      </c>
      <c r="J648" t="s">
        <v>14328</v>
      </c>
      <c r="K648" t="s">
        <v>3605</v>
      </c>
    </row>
    <row r="649" spans="1:11">
      <c r="A649" t="s">
        <v>14330</v>
      </c>
      <c r="B649" t="s">
        <v>14331</v>
      </c>
      <c r="C649">
        <v>22421000</v>
      </c>
      <c r="J649" t="s">
        <v>14330</v>
      </c>
      <c r="K649" t="s">
        <v>3605</v>
      </c>
    </row>
    <row r="650" spans="1:11">
      <c r="A650" t="s">
        <v>14332</v>
      </c>
      <c r="B650" t="s">
        <v>14333</v>
      </c>
      <c r="C650">
        <v>20024000</v>
      </c>
      <c r="J650" t="s">
        <v>14332</v>
      </c>
      <c r="K650" t="s">
        <v>3605</v>
      </c>
    </row>
    <row r="651" spans="1:11">
      <c r="A651" t="s">
        <v>14334</v>
      </c>
      <c r="B651" t="s">
        <v>14335</v>
      </c>
      <c r="C651">
        <v>20000000</v>
      </c>
      <c r="J651" t="s">
        <v>14334</v>
      </c>
      <c r="K651" t="s">
        <v>3605</v>
      </c>
    </row>
    <row r="652" spans="1:11">
      <c r="A652" t="s">
        <v>14336</v>
      </c>
      <c r="B652" t="s">
        <v>14337</v>
      </c>
      <c r="C652">
        <v>20207000</v>
      </c>
      <c r="J652" t="s">
        <v>14336</v>
      </c>
      <c r="K652" t="s">
        <v>3605</v>
      </c>
    </row>
    <row r="653" spans="1:11">
      <c r="A653" t="s">
        <v>14338</v>
      </c>
      <c r="B653" t="s">
        <v>14339</v>
      </c>
      <c r="C653">
        <v>20205000</v>
      </c>
      <c r="J653" t="s">
        <v>14338</v>
      </c>
      <c r="K653" t="s">
        <v>3605</v>
      </c>
    </row>
    <row r="654" spans="1:11">
      <c r="A654" t="s">
        <v>14340</v>
      </c>
      <c r="B654" t="s">
        <v>14341</v>
      </c>
      <c r="C654">
        <v>20208000</v>
      </c>
      <c r="J654" t="s">
        <v>14340</v>
      </c>
      <c r="K654" t="s">
        <v>3605</v>
      </c>
    </row>
    <row r="655" spans="1:11">
      <c r="A655" t="s">
        <v>14342</v>
      </c>
      <c r="B655" t="s">
        <v>14343</v>
      </c>
      <c r="C655">
        <v>20024000</v>
      </c>
      <c r="D655" t="s">
        <v>13745</v>
      </c>
      <c r="E655">
        <v>45349</v>
      </c>
      <c r="J655" t="s">
        <v>14342</v>
      </c>
      <c r="K655" t="s">
        <v>3605</v>
      </c>
    </row>
    <row r="656" spans="1:11">
      <c r="A656" t="s">
        <v>14344</v>
      </c>
      <c r="B656" t="s">
        <v>14345</v>
      </c>
      <c r="C656">
        <v>20204000</v>
      </c>
      <c r="J656" t="s">
        <v>14344</v>
      </c>
      <c r="K656" t="s">
        <v>3605</v>
      </c>
    </row>
    <row r="657" spans="1:11">
      <c r="A657" t="s">
        <v>14346</v>
      </c>
      <c r="B657" t="s">
        <v>14347</v>
      </c>
      <c r="C657">
        <v>22416000</v>
      </c>
      <c r="J657" t="s">
        <v>14346</v>
      </c>
      <c r="K657" t="s">
        <v>3605</v>
      </c>
    </row>
    <row r="658" spans="1:11">
      <c r="A658" t="s">
        <v>14348</v>
      </c>
      <c r="B658" t="s">
        <v>14349</v>
      </c>
      <c r="C658">
        <v>22424000</v>
      </c>
      <c r="J658" t="s">
        <v>14348</v>
      </c>
      <c r="K658" t="s">
        <v>3605</v>
      </c>
    </row>
    <row r="659" spans="1:11">
      <c r="A659" t="s">
        <v>14350</v>
      </c>
      <c r="B659" t="s">
        <v>14351</v>
      </c>
      <c r="C659">
        <v>20010000</v>
      </c>
      <c r="J659" t="s">
        <v>14350</v>
      </c>
      <c r="K659" t="s">
        <v>3605</v>
      </c>
    </row>
    <row r="660" spans="1:11">
      <c r="A660" t="s">
        <v>14352</v>
      </c>
      <c r="B660" t="s">
        <v>14353</v>
      </c>
      <c r="C660">
        <v>20008000</v>
      </c>
      <c r="J660" t="s">
        <v>14352</v>
      </c>
      <c r="K660" t="s">
        <v>3605</v>
      </c>
    </row>
    <row r="661" spans="1:11">
      <c r="A661" t="s">
        <v>14354</v>
      </c>
      <c r="B661" t="s">
        <v>14355</v>
      </c>
      <c r="E661">
        <v>45358</v>
      </c>
      <c r="J661" t="s">
        <v>14354</v>
      </c>
      <c r="K661" t="s">
        <v>3605</v>
      </c>
    </row>
    <row r="662" spans="1:11">
      <c r="A662" t="s">
        <v>14356</v>
      </c>
      <c r="B662" t="s">
        <v>14357</v>
      </c>
      <c r="C662">
        <v>20000100</v>
      </c>
      <c r="J662" t="s">
        <v>14356</v>
      </c>
      <c r="K662" t="s">
        <v>3605</v>
      </c>
    </row>
    <row r="663" spans="1:11">
      <c r="A663" t="s">
        <v>14358</v>
      </c>
      <c r="B663" t="s">
        <v>14359</v>
      </c>
      <c r="C663">
        <v>20204100</v>
      </c>
      <c r="J663" t="s">
        <v>14358</v>
      </c>
      <c r="K663" t="s">
        <v>3605</v>
      </c>
    </row>
    <row r="664" spans="1:11">
      <c r="A664" t="s">
        <v>14360</v>
      </c>
      <c r="B664" t="s">
        <v>14361</v>
      </c>
      <c r="C664">
        <v>20900200</v>
      </c>
      <c r="J664" t="s">
        <v>14360</v>
      </c>
      <c r="K664" t="s">
        <v>3605</v>
      </c>
    </row>
    <row r="665" spans="1:11">
      <c r="A665" t="s">
        <v>14362</v>
      </c>
      <c r="B665" t="s">
        <v>14264</v>
      </c>
      <c r="E665">
        <v>45358</v>
      </c>
      <c r="J665" t="s">
        <v>14362</v>
      </c>
      <c r="K665" t="s">
        <v>3605</v>
      </c>
    </row>
    <row r="666" spans="1:11">
      <c r="A666" t="s">
        <v>14363</v>
      </c>
      <c r="B666" t="s">
        <v>13770</v>
      </c>
      <c r="C666">
        <v>20204200</v>
      </c>
      <c r="D666" t="s">
        <v>13745</v>
      </c>
      <c r="E666">
        <v>45365</v>
      </c>
      <c r="J666" t="s">
        <v>14363</v>
      </c>
      <c r="K666" t="s">
        <v>3605</v>
      </c>
    </row>
    <row r="667" spans="1:11">
      <c r="A667" t="s">
        <v>14364</v>
      </c>
      <c r="B667" t="s">
        <v>14365</v>
      </c>
      <c r="C667">
        <v>20000100</v>
      </c>
      <c r="J667" t="s">
        <v>14364</v>
      </c>
      <c r="K667" t="s">
        <v>3605</v>
      </c>
    </row>
    <row r="668" spans="1:11">
      <c r="A668" t="s">
        <v>14366</v>
      </c>
      <c r="B668" t="s">
        <v>14190</v>
      </c>
      <c r="C668">
        <v>20100000</v>
      </c>
      <c r="J668" t="s">
        <v>14366</v>
      </c>
      <c r="K668" t="s">
        <v>3605</v>
      </c>
    </row>
    <row r="669" spans="1:11">
      <c r="A669" t="s">
        <v>14367</v>
      </c>
      <c r="B669" t="s">
        <v>14196</v>
      </c>
      <c r="C669">
        <v>20120000</v>
      </c>
      <c r="J669" t="s">
        <v>14367</v>
      </c>
      <c r="K669" t="s">
        <v>3605</v>
      </c>
    </row>
    <row r="670" spans="1:11">
      <c r="A670" t="s">
        <v>14368</v>
      </c>
      <c r="B670" t="s">
        <v>14188</v>
      </c>
      <c r="C670">
        <v>20228000</v>
      </c>
      <c r="J670" t="s">
        <v>14368</v>
      </c>
      <c r="K670" t="s">
        <v>3605</v>
      </c>
    </row>
    <row r="671" spans="1:11">
      <c r="A671" t="s">
        <v>14369</v>
      </c>
      <c r="B671" t="s">
        <v>14198</v>
      </c>
      <c r="C671">
        <v>20508000</v>
      </c>
      <c r="J671" t="s">
        <v>14369</v>
      </c>
      <c r="K671" t="s">
        <v>3605</v>
      </c>
    </row>
    <row r="672" spans="1:11">
      <c r="A672" t="s">
        <v>14370</v>
      </c>
      <c r="B672" t="s">
        <v>14371</v>
      </c>
      <c r="C672">
        <v>20406000</v>
      </c>
      <c r="J672" t="s">
        <v>14370</v>
      </c>
      <c r="K672" t="s">
        <v>3605</v>
      </c>
    </row>
    <row r="673" spans="1:11">
      <c r="A673" t="s">
        <v>14372</v>
      </c>
      <c r="B673" t="s">
        <v>14193</v>
      </c>
      <c r="C673">
        <v>20605000</v>
      </c>
      <c r="J673" t="s">
        <v>14372</v>
      </c>
      <c r="K673" t="s">
        <v>3605</v>
      </c>
    </row>
    <row r="674" spans="1:11">
      <c r="A674" t="s">
        <v>14373</v>
      </c>
      <c r="B674" t="s">
        <v>14374</v>
      </c>
      <c r="C674">
        <v>20228005</v>
      </c>
      <c r="D674" t="s">
        <v>13745</v>
      </c>
      <c r="E674">
        <v>45365</v>
      </c>
      <c r="J674" t="s">
        <v>14373</v>
      </c>
      <c r="K674" t="s">
        <v>3605</v>
      </c>
    </row>
    <row r="675" spans="1:11">
      <c r="A675" t="s">
        <v>14375</v>
      </c>
      <c r="B675" t="s">
        <v>14376</v>
      </c>
      <c r="C675">
        <v>20297000</v>
      </c>
      <c r="J675" t="s">
        <v>14375</v>
      </c>
      <c r="K675" t="s">
        <v>3605</v>
      </c>
    </row>
    <row r="676" spans="1:11">
      <c r="A676" t="s">
        <v>14377</v>
      </c>
      <c r="B676" t="s">
        <v>14378</v>
      </c>
      <c r="C676">
        <v>20605000</v>
      </c>
      <c r="D676" t="s">
        <v>13745</v>
      </c>
      <c r="E676">
        <v>45365</v>
      </c>
      <c r="J676" t="s">
        <v>14377</v>
      </c>
      <c r="K676" t="s">
        <v>3605</v>
      </c>
    </row>
    <row r="677" spans="1:11">
      <c r="A677" t="s">
        <v>14379</v>
      </c>
      <c r="B677" t="s">
        <v>14380</v>
      </c>
      <c r="C677">
        <v>20608000</v>
      </c>
      <c r="D677" t="s">
        <v>13745</v>
      </c>
      <c r="E677">
        <v>45365</v>
      </c>
      <c r="J677" t="s">
        <v>14379</v>
      </c>
      <c r="K677" t="s">
        <v>3605</v>
      </c>
    </row>
    <row r="678" spans="1:11">
      <c r="A678" t="s">
        <v>14381</v>
      </c>
      <c r="B678" t="s">
        <v>14237</v>
      </c>
      <c r="C678">
        <v>20228100</v>
      </c>
      <c r="J678" t="s">
        <v>14381</v>
      </c>
      <c r="K678" t="s">
        <v>3605</v>
      </c>
    </row>
    <row r="679" spans="1:11">
      <c r="A679" t="s">
        <v>14382</v>
      </c>
      <c r="B679" t="s">
        <v>14247</v>
      </c>
      <c r="C679">
        <v>20508100</v>
      </c>
      <c r="J679" t="s">
        <v>14382</v>
      </c>
      <c r="K679" t="s">
        <v>3605</v>
      </c>
    </row>
    <row r="680" spans="1:11">
      <c r="A680" t="s">
        <v>14383</v>
      </c>
      <c r="B680" t="s">
        <v>14239</v>
      </c>
      <c r="C680">
        <v>20505100</v>
      </c>
      <c r="J680" t="s">
        <v>14383</v>
      </c>
      <c r="K680" t="s">
        <v>3605</v>
      </c>
    </row>
    <row r="681" spans="1:11">
      <c r="A681" t="s">
        <v>14384</v>
      </c>
      <c r="B681" t="s">
        <v>14262</v>
      </c>
      <c r="C681">
        <v>20120200</v>
      </c>
      <c r="J681" t="s">
        <v>14384</v>
      </c>
      <c r="K681" t="s">
        <v>3605</v>
      </c>
    </row>
    <row r="682" spans="1:11">
      <c r="A682" t="s">
        <v>14385</v>
      </c>
      <c r="B682" t="s">
        <v>14280</v>
      </c>
      <c r="C682">
        <v>20508200</v>
      </c>
      <c r="J682" t="s">
        <v>14385</v>
      </c>
      <c r="K682" t="s">
        <v>3605</v>
      </c>
    </row>
    <row r="683" spans="1:11">
      <c r="A683" t="s">
        <v>14386</v>
      </c>
      <c r="B683" t="s">
        <v>14265</v>
      </c>
      <c r="C683">
        <v>20505200</v>
      </c>
      <c r="J683" t="s">
        <v>14386</v>
      </c>
      <c r="K683" t="s">
        <v>3605</v>
      </c>
    </row>
    <row r="684" spans="1:11">
      <c r="A684" t="s">
        <v>14387</v>
      </c>
      <c r="B684" t="s">
        <v>14388</v>
      </c>
      <c r="C684">
        <v>20228200</v>
      </c>
      <c r="J684" t="s">
        <v>14387</v>
      </c>
      <c r="K684" t="s">
        <v>3605</v>
      </c>
    </row>
    <row r="685" spans="1:11">
      <c r="A685" t="s">
        <v>14389</v>
      </c>
      <c r="B685" t="s">
        <v>14390</v>
      </c>
      <c r="C685">
        <v>20297200</v>
      </c>
      <c r="J685" t="s">
        <v>14389</v>
      </c>
      <c r="K685" t="s">
        <v>3605</v>
      </c>
    </row>
    <row r="686" spans="1:11">
      <c r="A686" t="s">
        <v>14391</v>
      </c>
      <c r="B686" t="s">
        <v>14392</v>
      </c>
      <c r="C686">
        <v>20605200</v>
      </c>
      <c r="J686" t="s">
        <v>14391</v>
      </c>
      <c r="K686" t="s">
        <v>3605</v>
      </c>
    </row>
    <row r="687" spans="1:11">
      <c r="A687" t="s">
        <v>14393</v>
      </c>
      <c r="B687" t="s">
        <v>14394</v>
      </c>
      <c r="C687">
        <v>20608200</v>
      </c>
      <c r="J687" t="s">
        <v>14393</v>
      </c>
      <c r="K687" t="s">
        <v>3605</v>
      </c>
    </row>
    <row r="688" spans="1:11">
      <c r="A688" t="s">
        <v>14395</v>
      </c>
      <c r="B688" t="s">
        <v>14290</v>
      </c>
      <c r="C688">
        <v>20228100</v>
      </c>
      <c r="J688" t="s">
        <v>14395</v>
      </c>
      <c r="K688" t="s">
        <v>3605</v>
      </c>
    </row>
    <row r="689" spans="1:11">
      <c r="A689" t="s">
        <v>14396</v>
      </c>
      <c r="B689" t="s">
        <v>14300</v>
      </c>
      <c r="C689">
        <v>20508100</v>
      </c>
      <c r="J689" t="s">
        <v>14396</v>
      </c>
      <c r="K689" t="s">
        <v>3605</v>
      </c>
    </row>
    <row r="690" spans="1:11">
      <c r="A690" t="s">
        <v>14397</v>
      </c>
      <c r="B690" t="s">
        <v>14292</v>
      </c>
      <c r="C690">
        <v>20505100</v>
      </c>
      <c r="J690" t="s">
        <v>14397</v>
      </c>
      <c r="K690" t="s">
        <v>3605</v>
      </c>
    </row>
    <row r="691" spans="1:11">
      <c r="A691" t="s">
        <v>14398</v>
      </c>
      <c r="B691" t="s">
        <v>14323</v>
      </c>
      <c r="C691">
        <v>20508200</v>
      </c>
      <c r="J691" t="s">
        <v>14398</v>
      </c>
      <c r="K691" t="s">
        <v>3605</v>
      </c>
    </row>
    <row r="692" spans="1:11">
      <c r="A692" t="s">
        <v>14399</v>
      </c>
      <c r="B692" t="s">
        <v>14310</v>
      </c>
      <c r="C692">
        <v>20505200</v>
      </c>
      <c r="J692" t="s">
        <v>14399</v>
      </c>
      <c r="K692" t="s">
        <v>3605</v>
      </c>
    </row>
    <row r="693" spans="1:11">
      <c r="A693" t="s">
        <v>14400</v>
      </c>
      <c r="B693" t="s">
        <v>14401</v>
      </c>
      <c r="C693">
        <v>20630000</v>
      </c>
      <c r="J693" t="s">
        <v>14400</v>
      </c>
      <c r="K693" t="s">
        <v>3605</v>
      </c>
    </row>
    <row r="694" spans="1:11">
      <c r="A694" t="s">
        <v>14402</v>
      </c>
      <c r="B694" t="s">
        <v>14403</v>
      </c>
      <c r="C694">
        <v>22499000</v>
      </c>
      <c r="D694" t="s">
        <v>13745</v>
      </c>
      <c r="E694">
        <v>45349</v>
      </c>
      <c r="J694" t="s">
        <v>14402</v>
      </c>
      <c r="K694" t="s">
        <v>3605</v>
      </c>
    </row>
    <row r="695" spans="1:11">
      <c r="A695" t="s">
        <v>14404</v>
      </c>
      <c r="B695" t="s">
        <v>14405</v>
      </c>
      <c r="C695">
        <v>20200000</v>
      </c>
      <c r="J695" t="s">
        <v>14404</v>
      </c>
      <c r="K695" t="s">
        <v>3605</v>
      </c>
    </row>
    <row r="696" spans="1:11">
      <c r="A696" t="s">
        <v>14404</v>
      </c>
      <c r="B696" t="s">
        <v>14405</v>
      </c>
      <c r="C696">
        <v>22421000</v>
      </c>
      <c r="J696" t="s">
        <v>14404</v>
      </c>
      <c r="K696" t="s">
        <v>3605</v>
      </c>
    </row>
    <row r="697" spans="1:11">
      <c r="A697" t="s">
        <v>14406</v>
      </c>
      <c r="B697" t="s">
        <v>14407</v>
      </c>
      <c r="C697">
        <v>20200004</v>
      </c>
      <c r="J697" t="s">
        <v>14406</v>
      </c>
      <c r="K697" t="s">
        <v>3605</v>
      </c>
    </row>
    <row r="698" spans="1:11">
      <c r="A698" t="s">
        <v>14408</v>
      </c>
      <c r="B698" t="s">
        <v>14409</v>
      </c>
      <c r="C698">
        <v>20200006</v>
      </c>
      <c r="J698" t="s">
        <v>14408</v>
      </c>
      <c r="K698" t="s">
        <v>3605</v>
      </c>
    </row>
    <row r="699" spans="1:11">
      <c r="A699" t="s">
        <v>14408</v>
      </c>
      <c r="B699" t="s">
        <v>14409</v>
      </c>
      <c r="C699">
        <v>20200000</v>
      </c>
      <c r="D699" t="s">
        <v>13698</v>
      </c>
      <c r="J699" t="s">
        <v>14408</v>
      </c>
      <c r="K699" t="s">
        <v>3605</v>
      </c>
    </row>
    <row r="700" spans="1:11">
      <c r="A700" t="s">
        <v>14410</v>
      </c>
      <c r="B700" t="s">
        <v>14411</v>
      </c>
      <c r="C700">
        <v>20200000</v>
      </c>
      <c r="D700" t="s">
        <v>14412</v>
      </c>
      <c r="J700" t="s">
        <v>14410</v>
      </c>
      <c r="K700" t="s">
        <v>3605</v>
      </c>
    </row>
    <row r="701" spans="1:11">
      <c r="A701" t="s">
        <v>14413</v>
      </c>
      <c r="B701" t="s">
        <v>14414</v>
      </c>
      <c r="C701">
        <v>20200023</v>
      </c>
      <c r="J701" t="s">
        <v>14413</v>
      </c>
      <c r="K701" t="s">
        <v>3605</v>
      </c>
    </row>
    <row r="702" spans="1:11">
      <c r="A702" t="s">
        <v>14415</v>
      </c>
      <c r="B702" t="s">
        <v>14416</v>
      </c>
      <c r="C702">
        <v>22804000</v>
      </c>
      <c r="J702" t="s">
        <v>14415</v>
      </c>
      <c r="K702" t="s">
        <v>3605</v>
      </c>
    </row>
    <row r="703" spans="1:11">
      <c r="A703" t="s">
        <v>14417</v>
      </c>
      <c r="B703" t="s">
        <v>14418</v>
      </c>
      <c r="C703">
        <v>20200005</v>
      </c>
      <c r="J703" t="s">
        <v>14417</v>
      </c>
      <c r="K703" t="s">
        <v>3605</v>
      </c>
    </row>
    <row r="704" spans="1:11">
      <c r="A704" t="s">
        <v>14419</v>
      </c>
      <c r="B704" t="s">
        <v>14420</v>
      </c>
      <c r="C704">
        <v>20200000</v>
      </c>
      <c r="D704" t="s">
        <v>14421</v>
      </c>
      <c r="J704" t="s">
        <v>14419</v>
      </c>
      <c r="K704" t="s">
        <v>3605</v>
      </c>
    </row>
    <row r="705" spans="1:11">
      <c r="A705" t="s">
        <v>14419</v>
      </c>
      <c r="B705" t="s">
        <v>14420</v>
      </c>
      <c r="C705">
        <v>20201904</v>
      </c>
      <c r="J705" t="s">
        <v>14419</v>
      </c>
      <c r="K705" t="s">
        <v>3605</v>
      </c>
    </row>
    <row r="706" spans="1:11">
      <c r="A706" t="s">
        <v>14422</v>
      </c>
      <c r="B706" t="s">
        <v>14423</v>
      </c>
      <c r="C706">
        <v>20200035</v>
      </c>
      <c r="J706" t="s">
        <v>14422</v>
      </c>
      <c r="K706" t="s">
        <v>3605</v>
      </c>
    </row>
    <row r="707" spans="1:11">
      <c r="A707" t="s">
        <v>14422</v>
      </c>
      <c r="B707" t="s">
        <v>14423</v>
      </c>
      <c r="C707">
        <v>20200034</v>
      </c>
      <c r="J707" t="s">
        <v>14422</v>
      </c>
      <c r="K707" t="s">
        <v>3605</v>
      </c>
    </row>
    <row r="708" spans="1:11">
      <c r="A708" t="s">
        <v>14424</v>
      </c>
      <c r="B708" t="s">
        <v>14425</v>
      </c>
      <c r="C708">
        <v>20002000</v>
      </c>
      <c r="J708" t="s">
        <v>14424</v>
      </c>
      <c r="K708" t="s">
        <v>3605</v>
      </c>
    </row>
    <row r="709" spans="1:11">
      <c r="A709" t="s">
        <v>14426</v>
      </c>
      <c r="B709" t="s">
        <v>14427</v>
      </c>
      <c r="C709">
        <v>22400000</v>
      </c>
      <c r="J709" t="s">
        <v>14426</v>
      </c>
      <c r="K709" t="s">
        <v>3605</v>
      </c>
    </row>
    <row r="710" spans="1:11">
      <c r="A710" t="s">
        <v>14428</v>
      </c>
      <c r="B710" t="s">
        <v>14429</v>
      </c>
      <c r="C710">
        <v>22401000</v>
      </c>
      <c r="J710" t="s">
        <v>14428</v>
      </c>
      <c r="K710" t="s">
        <v>3605</v>
      </c>
    </row>
    <row r="711" spans="1:11">
      <c r="A711" t="s">
        <v>14430</v>
      </c>
      <c r="B711" t="s">
        <v>14431</v>
      </c>
      <c r="C711">
        <v>22408000</v>
      </c>
      <c r="J711" t="s">
        <v>14430</v>
      </c>
      <c r="K711" t="s">
        <v>3605</v>
      </c>
    </row>
    <row r="712" spans="1:11">
      <c r="A712" t="s">
        <v>14432</v>
      </c>
      <c r="B712" t="s">
        <v>14433</v>
      </c>
      <c r="C712">
        <v>22400000</v>
      </c>
      <c r="D712" t="s">
        <v>13745</v>
      </c>
      <c r="E712">
        <v>45349</v>
      </c>
      <c r="J712" t="s">
        <v>14432</v>
      </c>
      <c r="K712" t="s">
        <v>3605</v>
      </c>
    </row>
    <row r="713" spans="1:11">
      <c r="A713" t="s">
        <v>14434</v>
      </c>
      <c r="B713" t="s">
        <v>14435</v>
      </c>
      <c r="C713">
        <v>22401000</v>
      </c>
      <c r="D713" t="s">
        <v>13745</v>
      </c>
      <c r="E713">
        <v>45349</v>
      </c>
      <c r="J713" t="s">
        <v>14434</v>
      </c>
      <c r="K713" t="s">
        <v>3605</v>
      </c>
    </row>
    <row r="714" spans="1:11">
      <c r="A714" t="s">
        <v>14436</v>
      </c>
      <c r="B714" t="s">
        <v>14403</v>
      </c>
      <c r="C714">
        <v>22499000</v>
      </c>
      <c r="J714" t="s">
        <v>14436</v>
      </c>
      <c r="K714" t="s">
        <v>3605</v>
      </c>
    </row>
    <row r="715" spans="1:11">
      <c r="A715" t="s">
        <v>14437</v>
      </c>
      <c r="B715" t="s">
        <v>14438</v>
      </c>
      <c r="C715">
        <v>23220000</v>
      </c>
      <c r="D715" t="s">
        <v>14439</v>
      </c>
      <c r="J715" t="s">
        <v>14437</v>
      </c>
      <c r="K715" t="s">
        <v>3605</v>
      </c>
    </row>
    <row r="716" spans="1:11">
      <c r="A716" t="s">
        <v>14440</v>
      </c>
      <c r="B716" t="s">
        <v>14441</v>
      </c>
      <c r="C716">
        <v>20200003</v>
      </c>
      <c r="J716" t="s">
        <v>14440</v>
      </c>
      <c r="K716" t="s">
        <v>3605</v>
      </c>
    </row>
    <row r="717" spans="1:11">
      <c r="A717" t="s">
        <v>14442</v>
      </c>
      <c r="B717" t="s">
        <v>14443</v>
      </c>
      <c r="C717">
        <v>20201907</v>
      </c>
      <c r="J717" t="s">
        <v>14442</v>
      </c>
      <c r="K717" t="s">
        <v>3605</v>
      </c>
    </row>
    <row r="718" spans="1:11">
      <c r="A718" t="s">
        <v>14444</v>
      </c>
      <c r="B718" t="s">
        <v>14445</v>
      </c>
      <c r="C718">
        <v>22421000</v>
      </c>
      <c r="J718" t="s">
        <v>14444</v>
      </c>
      <c r="K718" t="s">
        <v>3605</v>
      </c>
    </row>
    <row r="719" spans="1:11">
      <c r="A719" t="s">
        <v>14446</v>
      </c>
      <c r="B719" t="s">
        <v>14447</v>
      </c>
      <c r="C719">
        <v>22421000</v>
      </c>
      <c r="J719" t="s">
        <v>14446</v>
      </c>
      <c r="K719" t="s">
        <v>3605</v>
      </c>
    </row>
    <row r="720" spans="1:11">
      <c r="A720" t="s">
        <v>14448</v>
      </c>
      <c r="B720" t="s">
        <v>14449</v>
      </c>
      <c r="C720">
        <v>20201908</v>
      </c>
      <c r="J720" t="s">
        <v>14448</v>
      </c>
      <c r="K720" t="s">
        <v>3605</v>
      </c>
    </row>
    <row r="721" spans="1:11">
      <c r="A721" t="s">
        <v>14450</v>
      </c>
      <c r="B721" t="s">
        <v>14416</v>
      </c>
      <c r="C721">
        <v>22804000</v>
      </c>
      <c r="D721" t="s">
        <v>13745</v>
      </c>
      <c r="E721">
        <v>45349</v>
      </c>
      <c r="J721" t="s">
        <v>14450</v>
      </c>
      <c r="K721" t="s">
        <v>3605</v>
      </c>
    </row>
    <row r="722" spans="1:11">
      <c r="A722" t="s">
        <v>14451</v>
      </c>
      <c r="B722" t="s">
        <v>14452</v>
      </c>
      <c r="C722">
        <v>20200100</v>
      </c>
      <c r="J722" t="s">
        <v>14451</v>
      </c>
      <c r="K722" t="s">
        <v>3605</v>
      </c>
    </row>
    <row r="723" spans="1:11">
      <c r="A723" t="s">
        <v>14451</v>
      </c>
      <c r="B723" t="s">
        <v>14452</v>
      </c>
      <c r="C723">
        <v>20200123</v>
      </c>
      <c r="J723" t="s">
        <v>14451</v>
      </c>
      <c r="K723" t="s">
        <v>3605</v>
      </c>
    </row>
    <row r="724" spans="1:11">
      <c r="A724" t="s">
        <v>14453</v>
      </c>
      <c r="B724" t="s">
        <v>14454</v>
      </c>
      <c r="C724">
        <v>22421000</v>
      </c>
      <c r="J724" t="s">
        <v>14453</v>
      </c>
      <c r="K724" t="s">
        <v>3605</v>
      </c>
    </row>
    <row r="725" spans="1:11">
      <c r="A725" t="s">
        <v>14455</v>
      </c>
      <c r="B725" t="s">
        <v>14456</v>
      </c>
      <c r="C725">
        <v>22421000</v>
      </c>
      <c r="J725" t="s">
        <v>14455</v>
      </c>
      <c r="K725" t="s">
        <v>3605</v>
      </c>
    </row>
    <row r="726" spans="1:11">
      <c r="A726" t="s">
        <v>14457</v>
      </c>
      <c r="B726" t="s">
        <v>14458</v>
      </c>
      <c r="C726">
        <v>22421000</v>
      </c>
      <c r="J726" t="s">
        <v>14457</v>
      </c>
      <c r="K726" t="s">
        <v>3605</v>
      </c>
    </row>
    <row r="727" spans="1:11">
      <c r="A727" t="s">
        <v>14459</v>
      </c>
      <c r="B727" t="s">
        <v>14460</v>
      </c>
      <c r="C727">
        <v>22421000</v>
      </c>
      <c r="J727" t="s">
        <v>14459</v>
      </c>
      <c r="K727" t="s">
        <v>3605</v>
      </c>
    </row>
    <row r="728" spans="1:11">
      <c r="A728" t="s">
        <v>14461</v>
      </c>
      <c r="B728" t="s">
        <v>14462</v>
      </c>
      <c r="C728">
        <v>20002100</v>
      </c>
      <c r="J728" t="s">
        <v>14461</v>
      </c>
      <c r="K728" t="s">
        <v>3605</v>
      </c>
    </row>
    <row r="729" spans="1:11">
      <c r="A729" t="s">
        <v>14463</v>
      </c>
      <c r="B729" t="s">
        <v>14464</v>
      </c>
      <c r="C729">
        <v>20200200</v>
      </c>
      <c r="J729" t="s">
        <v>14463</v>
      </c>
      <c r="K729" t="s">
        <v>3605</v>
      </c>
    </row>
    <row r="730" spans="1:11">
      <c r="A730" t="s">
        <v>14465</v>
      </c>
      <c r="B730" t="s">
        <v>14466</v>
      </c>
      <c r="C730">
        <v>22421000</v>
      </c>
      <c r="J730" t="s">
        <v>14465</v>
      </c>
      <c r="K730" t="s">
        <v>3605</v>
      </c>
    </row>
    <row r="731" spans="1:11">
      <c r="A731" t="s">
        <v>14467</v>
      </c>
      <c r="B731" t="s">
        <v>14468</v>
      </c>
      <c r="C731">
        <v>22421000</v>
      </c>
      <c r="J731" t="s">
        <v>14467</v>
      </c>
      <c r="K731" t="s">
        <v>3605</v>
      </c>
    </row>
    <row r="732" spans="1:11">
      <c r="A732" t="s">
        <v>14469</v>
      </c>
      <c r="B732" t="s">
        <v>14470</v>
      </c>
      <c r="C732">
        <v>22421000</v>
      </c>
      <c r="J732" t="s">
        <v>14469</v>
      </c>
      <c r="K732" t="s">
        <v>3605</v>
      </c>
    </row>
    <row r="733" spans="1:11">
      <c r="A733" t="s">
        <v>14471</v>
      </c>
      <c r="B733" t="s">
        <v>14472</v>
      </c>
      <c r="C733">
        <v>20200200</v>
      </c>
      <c r="D733">
        <v>2406910</v>
      </c>
      <c r="J733" t="s">
        <v>14471</v>
      </c>
      <c r="K733" t="s">
        <v>3605</v>
      </c>
    </row>
    <row r="734" spans="1:11">
      <c r="A734" t="s">
        <v>14473</v>
      </c>
      <c r="B734" t="s">
        <v>14474</v>
      </c>
      <c r="C734">
        <v>20002200</v>
      </c>
      <c r="J734" t="s">
        <v>14473</v>
      </c>
      <c r="K734" t="s">
        <v>3605</v>
      </c>
    </row>
    <row r="735" spans="1:11">
      <c r="A735" t="s">
        <v>14475</v>
      </c>
      <c r="B735" t="s">
        <v>14474</v>
      </c>
      <c r="C735">
        <v>20200200</v>
      </c>
      <c r="J735" t="s">
        <v>14475</v>
      </c>
      <c r="K735" t="s">
        <v>3605</v>
      </c>
    </row>
    <row r="736" spans="1:11">
      <c r="A736" t="s">
        <v>14476</v>
      </c>
      <c r="B736" t="s">
        <v>14477</v>
      </c>
      <c r="C736">
        <v>22401200</v>
      </c>
      <c r="J736" t="s">
        <v>14476</v>
      </c>
      <c r="K736" t="s">
        <v>3605</v>
      </c>
    </row>
    <row r="737" spans="1:11">
      <c r="A737" t="s">
        <v>14478</v>
      </c>
      <c r="B737" t="s">
        <v>14479</v>
      </c>
      <c r="C737" t="s">
        <v>14480</v>
      </c>
      <c r="J737" t="s">
        <v>14478</v>
      </c>
      <c r="K737" t="s">
        <v>3605</v>
      </c>
    </row>
    <row r="738" spans="1:11">
      <c r="A738" t="s">
        <v>14481</v>
      </c>
      <c r="B738" t="s">
        <v>14482</v>
      </c>
      <c r="C738">
        <v>22421000</v>
      </c>
      <c r="J738" t="s">
        <v>14481</v>
      </c>
      <c r="K738" t="s">
        <v>3605</v>
      </c>
    </row>
    <row r="739" spans="1:11">
      <c r="A739" t="s">
        <v>14483</v>
      </c>
      <c r="B739" t="s">
        <v>14484</v>
      </c>
      <c r="C739">
        <v>22421000</v>
      </c>
      <c r="J739" t="s">
        <v>14483</v>
      </c>
      <c r="K739" t="s">
        <v>3605</v>
      </c>
    </row>
    <row r="740" spans="1:11">
      <c r="A740" t="s">
        <v>14485</v>
      </c>
      <c r="B740" t="s">
        <v>14486</v>
      </c>
      <c r="C740">
        <v>22421000</v>
      </c>
      <c r="J740" t="s">
        <v>14485</v>
      </c>
      <c r="K740" t="s">
        <v>3605</v>
      </c>
    </row>
    <row r="741" spans="1:11">
      <c r="A741" t="s">
        <v>14487</v>
      </c>
      <c r="B741" t="s">
        <v>14488</v>
      </c>
      <c r="C741">
        <v>22421000</v>
      </c>
      <c r="J741" t="s">
        <v>14487</v>
      </c>
      <c r="K741" t="s">
        <v>3605</v>
      </c>
    </row>
    <row r="742" spans="1:11">
      <c r="A742" t="s">
        <v>14489</v>
      </c>
      <c r="B742" t="s">
        <v>14490</v>
      </c>
      <c r="J742" t="s">
        <v>14489</v>
      </c>
      <c r="K742" t="s">
        <v>3605</v>
      </c>
    </row>
    <row r="743" spans="1:11">
      <c r="A743" t="s">
        <v>14491</v>
      </c>
      <c r="B743" t="s">
        <v>14492</v>
      </c>
      <c r="C743">
        <v>22421000</v>
      </c>
      <c r="J743" t="s">
        <v>14491</v>
      </c>
      <c r="K743" t="s">
        <v>3605</v>
      </c>
    </row>
    <row r="744" spans="1:11">
      <c r="A744" t="s">
        <v>14491</v>
      </c>
      <c r="B744" t="s">
        <v>14492</v>
      </c>
      <c r="C744">
        <v>20200201</v>
      </c>
      <c r="D744" t="s">
        <v>14493</v>
      </c>
      <c r="J744" t="s">
        <v>14491</v>
      </c>
      <c r="K744" t="s">
        <v>3605</v>
      </c>
    </row>
    <row r="745" spans="1:11">
      <c r="A745" t="s">
        <v>14494</v>
      </c>
      <c r="B745" t="s">
        <v>14495</v>
      </c>
      <c r="C745">
        <v>22421000</v>
      </c>
      <c r="J745" t="s">
        <v>14494</v>
      </c>
      <c r="K745" t="s">
        <v>3605</v>
      </c>
    </row>
    <row r="746" spans="1:11">
      <c r="A746" t="s">
        <v>14496</v>
      </c>
      <c r="B746" t="s">
        <v>14497</v>
      </c>
      <c r="C746">
        <v>22421000</v>
      </c>
      <c r="J746" t="s">
        <v>14496</v>
      </c>
      <c r="K746" t="s">
        <v>3605</v>
      </c>
    </row>
    <row r="747" spans="1:11">
      <c r="A747" t="s">
        <v>14498</v>
      </c>
      <c r="B747" t="s">
        <v>14499</v>
      </c>
      <c r="C747">
        <v>22421000</v>
      </c>
      <c r="J747" t="s">
        <v>14498</v>
      </c>
      <c r="K747" t="s">
        <v>3605</v>
      </c>
    </row>
    <row r="748" spans="1:11">
      <c r="A748" t="s">
        <v>14500</v>
      </c>
      <c r="B748" t="s">
        <v>14501</v>
      </c>
      <c r="C748">
        <v>20200200</v>
      </c>
      <c r="J748" t="s">
        <v>14500</v>
      </c>
      <c r="K748" t="s">
        <v>3605</v>
      </c>
    </row>
    <row r="749" spans="1:11">
      <c r="A749" t="s">
        <v>14502</v>
      </c>
      <c r="B749" t="s">
        <v>14501</v>
      </c>
      <c r="C749">
        <v>20200200</v>
      </c>
      <c r="J749" t="s">
        <v>14502</v>
      </c>
      <c r="K749" t="s">
        <v>3605</v>
      </c>
    </row>
    <row r="750" spans="1:11">
      <c r="A750" t="s">
        <v>14503</v>
      </c>
      <c r="B750" t="s">
        <v>14504</v>
      </c>
      <c r="C750">
        <v>22421000</v>
      </c>
      <c r="J750" t="s">
        <v>14503</v>
      </c>
      <c r="K750" t="s">
        <v>3605</v>
      </c>
    </row>
    <row r="751" spans="1:11">
      <c r="A751" t="s">
        <v>14505</v>
      </c>
      <c r="B751" t="s">
        <v>14506</v>
      </c>
      <c r="C751">
        <v>21600300</v>
      </c>
      <c r="J751" t="s">
        <v>14505</v>
      </c>
      <c r="K751" t="s">
        <v>3605</v>
      </c>
    </row>
    <row r="752" spans="1:11">
      <c r="A752" t="s">
        <v>14505</v>
      </c>
      <c r="B752" t="s">
        <v>14506</v>
      </c>
      <c r="C752">
        <v>21603000</v>
      </c>
      <c r="J752" t="s">
        <v>14505</v>
      </c>
      <c r="K752" t="s">
        <v>3605</v>
      </c>
    </row>
    <row r="753" spans="1:11">
      <c r="A753" t="s">
        <v>14505</v>
      </c>
      <c r="B753" t="s">
        <v>14506</v>
      </c>
      <c r="C753">
        <v>21600000</v>
      </c>
      <c r="D753" t="s">
        <v>14507</v>
      </c>
      <c r="J753" t="s">
        <v>14505</v>
      </c>
      <c r="K753" t="s">
        <v>3605</v>
      </c>
    </row>
    <row r="754" spans="1:11">
      <c r="A754" t="s">
        <v>14508</v>
      </c>
      <c r="B754" t="s">
        <v>14509</v>
      </c>
      <c r="C754">
        <v>21600500</v>
      </c>
      <c r="J754" t="s">
        <v>14508</v>
      </c>
      <c r="K754" t="s">
        <v>3605</v>
      </c>
    </row>
    <row r="755" spans="1:11">
      <c r="A755" t="s">
        <v>14510</v>
      </c>
      <c r="B755" t="s">
        <v>14511</v>
      </c>
      <c r="C755">
        <v>21600600</v>
      </c>
      <c r="J755" t="s">
        <v>14510</v>
      </c>
      <c r="K755" t="s">
        <v>3605</v>
      </c>
    </row>
    <row r="756" spans="1:11">
      <c r="A756" t="s">
        <v>14512</v>
      </c>
      <c r="B756" t="s">
        <v>14513</v>
      </c>
      <c r="C756">
        <v>21600900</v>
      </c>
      <c r="J756" t="s">
        <v>14512</v>
      </c>
      <c r="K756" t="s">
        <v>3605</v>
      </c>
    </row>
    <row r="757" spans="1:11">
      <c r="A757" t="s">
        <v>14514</v>
      </c>
      <c r="B757" t="s">
        <v>14515</v>
      </c>
      <c r="C757">
        <v>21601000</v>
      </c>
      <c r="J757" t="s">
        <v>14514</v>
      </c>
      <c r="K757" t="s">
        <v>3605</v>
      </c>
    </row>
    <row r="758" spans="1:11">
      <c r="A758" t="s">
        <v>14514</v>
      </c>
      <c r="B758" t="s">
        <v>14515</v>
      </c>
      <c r="C758">
        <v>21600800</v>
      </c>
      <c r="J758" t="s">
        <v>14514</v>
      </c>
      <c r="K758" t="s">
        <v>3605</v>
      </c>
    </row>
    <row r="759" spans="1:11">
      <c r="A759" t="s">
        <v>14514</v>
      </c>
      <c r="B759" t="s">
        <v>14515</v>
      </c>
      <c r="C759">
        <v>21601300</v>
      </c>
      <c r="J759" t="s">
        <v>14514</v>
      </c>
      <c r="K759" t="s">
        <v>3605</v>
      </c>
    </row>
    <row r="760" spans="1:11">
      <c r="A760" t="s">
        <v>14516</v>
      </c>
      <c r="B760" t="s">
        <v>14517</v>
      </c>
      <c r="C760">
        <v>21600000</v>
      </c>
      <c r="D760">
        <v>2857501</v>
      </c>
      <c r="J760" t="s">
        <v>14516</v>
      </c>
      <c r="K760" t="s">
        <v>3605</v>
      </c>
    </row>
    <row r="761" spans="1:11">
      <c r="A761" t="s">
        <v>14518</v>
      </c>
      <c r="B761" t="s">
        <v>14519</v>
      </c>
      <c r="C761">
        <v>21600000</v>
      </c>
      <c r="D761" t="s">
        <v>14520</v>
      </c>
      <c r="J761" t="s">
        <v>14518</v>
      </c>
      <c r="K761" t="s">
        <v>3605</v>
      </c>
    </row>
    <row r="762" spans="1:11">
      <c r="A762" t="s">
        <v>14521</v>
      </c>
      <c r="B762" t="s">
        <v>14522</v>
      </c>
      <c r="C762">
        <v>21600000</v>
      </c>
      <c r="D762" t="s">
        <v>14523</v>
      </c>
      <c r="J762" t="s">
        <v>14521</v>
      </c>
      <c r="K762" t="s">
        <v>3605</v>
      </c>
    </row>
    <row r="763" spans="1:11">
      <c r="A763" t="s">
        <v>14524</v>
      </c>
      <c r="B763" t="s">
        <v>14525</v>
      </c>
      <c r="C763">
        <v>21600000</v>
      </c>
      <c r="D763" t="s">
        <v>14526</v>
      </c>
      <c r="J763" t="s">
        <v>14524</v>
      </c>
      <c r="K763" t="s">
        <v>3605</v>
      </c>
    </row>
    <row r="764" spans="1:11">
      <c r="A764" t="s">
        <v>14527</v>
      </c>
      <c r="B764" t="s">
        <v>14528</v>
      </c>
      <c r="C764">
        <v>21604000</v>
      </c>
      <c r="J764" t="s">
        <v>14527</v>
      </c>
      <c r="K764" t="s">
        <v>3605</v>
      </c>
    </row>
    <row r="765" spans="1:11">
      <c r="A765" t="s">
        <v>14527</v>
      </c>
      <c r="B765" t="s">
        <v>14528</v>
      </c>
      <c r="C765">
        <v>21601001</v>
      </c>
      <c r="J765" t="s">
        <v>14527</v>
      </c>
      <c r="K765" t="s">
        <v>3605</v>
      </c>
    </row>
    <row r="766" spans="1:11">
      <c r="A766" t="s">
        <v>14527</v>
      </c>
      <c r="B766" t="s">
        <v>14528</v>
      </c>
      <c r="C766">
        <v>21602000</v>
      </c>
      <c r="J766" t="s">
        <v>14527</v>
      </c>
      <c r="K766" t="s">
        <v>3605</v>
      </c>
    </row>
    <row r="767" spans="1:11">
      <c r="A767" t="s">
        <v>14527</v>
      </c>
      <c r="B767" t="s">
        <v>14528</v>
      </c>
      <c r="C767">
        <v>23603000</v>
      </c>
      <c r="J767" t="s">
        <v>14527</v>
      </c>
      <c r="K767" t="s">
        <v>3605</v>
      </c>
    </row>
    <row r="768" spans="1:11">
      <c r="A768" t="s">
        <v>14529</v>
      </c>
      <c r="B768" t="s">
        <v>14530</v>
      </c>
      <c r="C768">
        <v>21600400</v>
      </c>
      <c r="J768" t="s">
        <v>14529</v>
      </c>
      <c r="K768" t="s">
        <v>3605</v>
      </c>
    </row>
    <row r="769" spans="1:11">
      <c r="A769" t="s">
        <v>14531</v>
      </c>
      <c r="B769" t="s">
        <v>14532</v>
      </c>
      <c r="C769">
        <v>21609000</v>
      </c>
      <c r="J769" t="s">
        <v>14531</v>
      </c>
      <c r="K769" t="s">
        <v>3605</v>
      </c>
    </row>
    <row r="770" spans="1:11">
      <c r="A770" t="s">
        <v>14533</v>
      </c>
      <c r="B770" t="s">
        <v>14534</v>
      </c>
      <c r="C770">
        <v>21600700</v>
      </c>
      <c r="J770" t="s">
        <v>14533</v>
      </c>
      <c r="K770" t="s">
        <v>3605</v>
      </c>
    </row>
    <row r="771" spans="1:11">
      <c r="A771" t="s">
        <v>14535</v>
      </c>
      <c r="B771" t="s">
        <v>14536</v>
      </c>
      <c r="C771">
        <v>21600700</v>
      </c>
      <c r="D771">
        <v>2857400</v>
      </c>
      <c r="J771" t="s">
        <v>14535</v>
      </c>
      <c r="K771" t="s">
        <v>3605</v>
      </c>
    </row>
    <row r="772" spans="1:11">
      <c r="A772" t="s">
        <v>14537</v>
      </c>
      <c r="B772" t="s">
        <v>14538</v>
      </c>
      <c r="C772">
        <v>21600700</v>
      </c>
      <c r="D772">
        <v>2857500</v>
      </c>
      <c r="J772" t="s">
        <v>14537</v>
      </c>
      <c r="K772" t="s">
        <v>3605</v>
      </c>
    </row>
    <row r="773" spans="1:11">
      <c r="A773" t="s">
        <v>14539</v>
      </c>
      <c r="B773" t="s">
        <v>14540</v>
      </c>
      <c r="C773">
        <v>26000000</v>
      </c>
      <c r="J773" t="s">
        <v>14539</v>
      </c>
      <c r="K773" t="s">
        <v>3605</v>
      </c>
    </row>
    <row r="774" spans="1:11">
      <c r="A774" t="s">
        <v>14541</v>
      </c>
      <c r="B774" t="s">
        <v>14542</v>
      </c>
      <c r="C774">
        <v>22421000</v>
      </c>
      <c r="J774" t="s">
        <v>14541</v>
      </c>
      <c r="K774" t="s">
        <v>3605</v>
      </c>
    </row>
    <row r="775" spans="1:11">
      <c r="A775" t="s">
        <v>14543</v>
      </c>
      <c r="B775" t="s">
        <v>14544</v>
      </c>
      <c r="C775">
        <v>21705300</v>
      </c>
      <c r="J775" t="s">
        <v>14543</v>
      </c>
      <c r="K775" t="s">
        <v>3605</v>
      </c>
    </row>
    <row r="776" spans="1:11">
      <c r="A776" t="s">
        <v>14543</v>
      </c>
      <c r="B776" t="s">
        <v>14544</v>
      </c>
      <c r="C776">
        <v>21705340</v>
      </c>
      <c r="J776" t="s">
        <v>14543</v>
      </c>
      <c r="K776" t="s">
        <v>3605</v>
      </c>
    </row>
    <row r="777" spans="1:11">
      <c r="A777" t="s">
        <v>14545</v>
      </c>
      <c r="B777" t="s">
        <v>14546</v>
      </c>
      <c r="C777">
        <v>21705305</v>
      </c>
      <c r="J777" t="s">
        <v>14545</v>
      </c>
      <c r="K777" t="s">
        <v>3605</v>
      </c>
    </row>
    <row r="778" spans="1:11">
      <c r="A778" t="s">
        <v>14547</v>
      </c>
      <c r="B778" t="s">
        <v>14548</v>
      </c>
      <c r="C778">
        <v>21705310</v>
      </c>
      <c r="J778" t="s">
        <v>14547</v>
      </c>
      <c r="K778" t="s">
        <v>3605</v>
      </c>
    </row>
    <row r="779" spans="1:11">
      <c r="A779" t="s">
        <v>14549</v>
      </c>
      <c r="B779" t="s">
        <v>14550</v>
      </c>
      <c r="C779">
        <v>21705330</v>
      </c>
      <c r="J779" t="s">
        <v>14549</v>
      </c>
      <c r="K779" t="s">
        <v>3605</v>
      </c>
    </row>
    <row r="780" spans="1:11">
      <c r="A780" t="s">
        <v>14551</v>
      </c>
      <c r="B780" t="s">
        <v>14552</v>
      </c>
      <c r="C780">
        <v>21705335</v>
      </c>
      <c r="J780" t="s">
        <v>14551</v>
      </c>
      <c r="K780" t="s">
        <v>3605</v>
      </c>
    </row>
    <row r="781" spans="1:11">
      <c r="A781" t="s">
        <v>14553</v>
      </c>
      <c r="B781" t="s">
        <v>14554</v>
      </c>
      <c r="C781">
        <v>21705336</v>
      </c>
      <c r="J781" t="s">
        <v>14553</v>
      </c>
      <c r="K781" t="s">
        <v>3605</v>
      </c>
    </row>
    <row r="782" spans="1:11">
      <c r="A782" t="s">
        <v>14555</v>
      </c>
      <c r="B782" t="s">
        <v>14556</v>
      </c>
      <c r="C782">
        <v>21705325</v>
      </c>
      <c r="J782" t="s">
        <v>14555</v>
      </c>
      <c r="K782" t="s">
        <v>3605</v>
      </c>
    </row>
    <row r="783" spans="1:11">
      <c r="A783" t="s">
        <v>14557</v>
      </c>
      <c r="B783" t="s">
        <v>14558</v>
      </c>
      <c r="C783">
        <v>21705315</v>
      </c>
      <c r="J783" t="s">
        <v>14557</v>
      </c>
      <c r="K783" t="s">
        <v>3605</v>
      </c>
    </row>
    <row r="784" spans="1:11">
      <c r="A784" t="s">
        <v>14559</v>
      </c>
      <c r="B784" t="s">
        <v>14560</v>
      </c>
      <c r="C784">
        <v>21600049</v>
      </c>
      <c r="J784" t="s">
        <v>14559</v>
      </c>
      <c r="K784" t="s">
        <v>3605</v>
      </c>
    </row>
    <row r="785" spans="1:11">
      <c r="A785" t="s">
        <v>14561</v>
      </c>
      <c r="B785" t="s">
        <v>14562</v>
      </c>
      <c r="C785">
        <v>21605000</v>
      </c>
      <c r="J785" t="s">
        <v>14561</v>
      </c>
      <c r="K785" t="s">
        <v>3605</v>
      </c>
    </row>
    <row r="786" spans="1:11">
      <c r="A786" t="s">
        <v>14563</v>
      </c>
      <c r="B786" t="s">
        <v>14564</v>
      </c>
      <c r="C786">
        <v>21609000</v>
      </c>
      <c r="J786" t="s">
        <v>14563</v>
      </c>
      <c r="K786" t="s">
        <v>3605</v>
      </c>
    </row>
    <row r="787" spans="1:11">
      <c r="A787" t="s">
        <v>14565</v>
      </c>
      <c r="B787" t="s">
        <v>14566</v>
      </c>
      <c r="C787">
        <v>21705337</v>
      </c>
      <c r="J787" t="s">
        <v>14565</v>
      </c>
      <c r="K787" t="s">
        <v>3605</v>
      </c>
    </row>
    <row r="788" spans="1:11">
      <c r="A788" t="s">
        <v>14567</v>
      </c>
      <c r="B788" t="s">
        <v>14568</v>
      </c>
      <c r="C788">
        <v>21600100</v>
      </c>
      <c r="J788" t="s">
        <v>14567</v>
      </c>
      <c r="K788" t="s">
        <v>3605</v>
      </c>
    </row>
    <row r="789" spans="1:11">
      <c r="A789" t="s">
        <v>14567</v>
      </c>
      <c r="B789" t="s">
        <v>14568</v>
      </c>
      <c r="C789">
        <v>21606000</v>
      </c>
      <c r="J789" t="s">
        <v>14567</v>
      </c>
      <c r="K789" t="s">
        <v>3605</v>
      </c>
    </row>
    <row r="790" spans="1:11">
      <c r="A790" t="s">
        <v>14569</v>
      </c>
      <c r="B790" t="s">
        <v>14570</v>
      </c>
      <c r="C790">
        <v>21600510</v>
      </c>
      <c r="J790" t="s">
        <v>14569</v>
      </c>
      <c r="K790" t="s">
        <v>3605</v>
      </c>
    </row>
    <row r="791" spans="1:11">
      <c r="A791" t="s">
        <v>14571</v>
      </c>
      <c r="B791" t="s">
        <v>14572</v>
      </c>
      <c r="C791">
        <v>21600410</v>
      </c>
      <c r="J791" t="s">
        <v>14571</v>
      </c>
      <c r="K791" t="s">
        <v>3605</v>
      </c>
    </row>
    <row r="792" spans="1:11">
      <c r="A792" t="s">
        <v>14573</v>
      </c>
      <c r="B792" t="s">
        <v>14574</v>
      </c>
      <c r="C792">
        <v>21600710</v>
      </c>
      <c r="J792" t="s">
        <v>14573</v>
      </c>
      <c r="K792" t="s">
        <v>3605</v>
      </c>
    </row>
    <row r="793" spans="1:11">
      <c r="A793" t="s">
        <v>14575</v>
      </c>
      <c r="B793" t="s">
        <v>14576</v>
      </c>
      <c r="C793">
        <v>21600200</v>
      </c>
      <c r="J793" t="s">
        <v>14575</v>
      </c>
      <c r="K793" t="s">
        <v>3605</v>
      </c>
    </row>
    <row r="794" spans="1:11">
      <c r="A794" t="s">
        <v>14577</v>
      </c>
      <c r="B794" t="s">
        <v>14578</v>
      </c>
      <c r="C794">
        <v>21600520</v>
      </c>
      <c r="J794" t="s">
        <v>14577</v>
      </c>
      <c r="K794" t="s">
        <v>3605</v>
      </c>
    </row>
    <row r="795" spans="1:11">
      <c r="A795" t="s">
        <v>14579</v>
      </c>
      <c r="B795" t="s">
        <v>14580</v>
      </c>
      <c r="C795">
        <v>21600420</v>
      </c>
      <c r="J795" t="s">
        <v>14579</v>
      </c>
      <c r="K795" t="s">
        <v>3605</v>
      </c>
    </row>
    <row r="796" spans="1:11">
      <c r="A796" t="s">
        <v>14581</v>
      </c>
      <c r="B796" t="s">
        <v>14582</v>
      </c>
      <c r="C796">
        <v>22421000</v>
      </c>
      <c r="J796" t="s">
        <v>14581</v>
      </c>
      <c r="K796" t="s">
        <v>3605</v>
      </c>
    </row>
    <row r="797" spans="1:11">
      <c r="A797" t="s">
        <v>14583</v>
      </c>
      <c r="B797" t="s">
        <v>14584</v>
      </c>
      <c r="C797">
        <v>22421000</v>
      </c>
      <c r="J797" t="s">
        <v>14583</v>
      </c>
      <c r="K797" t="s">
        <v>3605</v>
      </c>
    </row>
    <row r="798" spans="1:11">
      <c r="A798" t="s">
        <v>14585</v>
      </c>
      <c r="B798" t="s">
        <v>14586</v>
      </c>
      <c r="C798">
        <v>22421000</v>
      </c>
      <c r="J798" t="s">
        <v>14585</v>
      </c>
      <c r="K798" t="s">
        <v>3605</v>
      </c>
    </row>
    <row r="799" spans="1:11">
      <c r="A799" t="s">
        <v>14587</v>
      </c>
      <c r="B799" t="s">
        <v>14588</v>
      </c>
      <c r="C799">
        <v>22421000</v>
      </c>
      <c r="J799" t="s">
        <v>14587</v>
      </c>
      <c r="K799" t="s">
        <v>3605</v>
      </c>
    </row>
    <row r="800" spans="1:11">
      <c r="A800" t="s">
        <v>14589</v>
      </c>
      <c r="B800" t="s">
        <v>14590</v>
      </c>
      <c r="C800">
        <v>22421000</v>
      </c>
      <c r="J800" t="s">
        <v>14589</v>
      </c>
      <c r="K800" t="s">
        <v>3605</v>
      </c>
    </row>
    <row r="801" spans="1:11">
      <c r="A801" t="s">
        <v>14591</v>
      </c>
      <c r="B801" t="s">
        <v>14592</v>
      </c>
      <c r="C801">
        <v>21705337</v>
      </c>
      <c r="J801" t="s">
        <v>14591</v>
      </c>
      <c r="K801" t="s">
        <v>3605</v>
      </c>
    </row>
    <row r="802" spans="1:11">
      <c r="A802" t="s">
        <v>14593</v>
      </c>
      <c r="B802" t="s">
        <v>14594</v>
      </c>
      <c r="J802" t="s">
        <v>14593</v>
      </c>
      <c r="K802" t="s">
        <v>3605</v>
      </c>
    </row>
    <row r="803" spans="1:11">
      <c r="A803" t="s">
        <v>14595</v>
      </c>
      <c r="B803" t="s">
        <v>14596</v>
      </c>
      <c r="C803">
        <v>29999104</v>
      </c>
      <c r="J803" t="s">
        <v>14595</v>
      </c>
      <c r="K803" t="s">
        <v>3605</v>
      </c>
    </row>
    <row r="804" spans="1:11">
      <c r="A804" t="s">
        <v>14595</v>
      </c>
      <c r="B804" t="s">
        <v>14596</v>
      </c>
      <c r="C804">
        <v>22808000</v>
      </c>
      <c r="J804" t="s">
        <v>14595</v>
      </c>
      <c r="K804" t="s">
        <v>3605</v>
      </c>
    </row>
    <row r="805" spans="1:11">
      <c r="A805" t="s">
        <v>14597</v>
      </c>
      <c r="B805" t="s">
        <v>14598</v>
      </c>
      <c r="C805">
        <v>22808000</v>
      </c>
      <c r="D805" t="s">
        <v>13745</v>
      </c>
      <c r="E805">
        <v>45378</v>
      </c>
      <c r="J805" t="s">
        <v>14597</v>
      </c>
      <c r="K805" t="s">
        <v>3605</v>
      </c>
    </row>
    <row r="806" spans="1:11">
      <c r="A806" t="s">
        <v>14599</v>
      </c>
      <c r="B806" t="s">
        <v>14600</v>
      </c>
      <c r="C806">
        <v>29999004</v>
      </c>
      <c r="J806" t="s">
        <v>14599</v>
      </c>
      <c r="K806" t="s">
        <v>3605</v>
      </c>
    </row>
    <row r="807" spans="1:11">
      <c r="A807" t="s">
        <v>14599</v>
      </c>
      <c r="B807" t="s">
        <v>14600</v>
      </c>
      <c r="C807">
        <v>29999005</v>
      </c>
      <c r="J807" t="s">
        <v>14599</v>
      </c>
      <c r="K807" t="s">
        <v>3605</v>
      </c>
    </row>
    <row r="808" spans="1:11">
      <c r="A808" t="s">
        <v>14599</v>
      </c>
      <c r="B808" t="s">
        <v>14600</v>
      </c>
      <c r="C808">
        <v>22700000</v>
      </c>
      <c r="J808" t="s">
        <v>14599</v>
      </c>
      <c r="K808" t="s">
        <v>3605</v>
      </c>
    </row>
    <row r="809" spans="1:11">
      <c r="A809" t="s">
        <v>14599</v>
      </c>
      <c r="B809" t="s">
        <v>14600</v>
      </c>
      <c r="C809">
        <v>29990002</v>
      </c>
      <c r="J809" t="s">
        <v>14599</v>
      </c>
      <c r="K809" t="s">
        <v>3605</v>
      </c>
    </row>
    <row r="810" spans="1:11">
      <c r="A810" t="s">
        <v>14599</v>
      </c>
      <c r="B810" t="s">
        <v>14600</v>
      </c>
      <c r="C810">
        <v>29994002</v>
      </c>
      <c r="J810" t="s">
        <v>14599</v>
      </c>
      <c r="K810" t="s">
        <v>3605</v>
      </c>
    </row>
    <row r="811" spans="1:11">
      <c r="A811" t="s">
        <v>14601</v>
      </c>
      <c r="B811" t="s">
        <v>14602</v>
      </c>
      <c r="C811">
        <v>22421000</v>
      </c>
      <c r="J811" t="s">
        <v>14601</v>
      </c>
      <c r="K811" t="s">
        <v>3605</v>
      </c>
    </row>
    <row r="812" spans="1:11">
      <c r="A812" t="s">
        <v>14603</v>
      </c>
      <c r="B812" t="s">
        <v>14604</v>
      </c>
      <c r="C812">
        <v>22808000</v>
      </c>
      <c r="D812" t="s">
        <v>13745</v>
      </c>
      <c r="E812">
        <v>45378</v>
      </c>
      <c r="J812" t="s">
        <v>14603</v>
      </c>
      <c r="K812" t="s">
        <v>3605</v>
      </c>
    </row>
    <row r="813" spans="1:11">
      <c r="A813" t="s">
        <v>14605</v>
      </c>
      <c r="B813" t="s">
        <v>14606</v>
      </c>
      <c r="C813">
        <v>22421000</v>
      </c>
      <c r="J813" t="s">
        <v>14605</v>
      </c>
      <c r="K813" t="s">
        <v>3605</v>
      </c>
    </row>
    <row r="814" spans="1:11">
      <c r="A814" t="s">
        <v>14607</v>
      </c>
      <c r="B814" t="s">
        <v>14608</v>
      </c>
      <c r="C814">
        <v>23600600</v>
      </c>
      <c r="J814" t="s">
        <v>14607</v>
      </c>
      <c r="K814" t="s">
        <v>3605</v>
      </c>
    </row>
    <row r="815" spans="1:11">
      <c r="A815" t="s">
        <v>14609</v>
      </c>
      <c r="B815" t="s">
        <v>14610</v>
      </c>
      <c r="C815">
        <v>29900000</v>
      </c>
      <c r="J815" t="s">
        <v>14609</v>
      </c>
      <c r="K815" t="s">
        <v>3605</v>
      </c>
    </row>
    <row r="816" spans="1:11">
      <c r="A816" t="s">
        <v>14611</v>
      </c>
      <c r="B816" t="s">
        <v>14612</v>
      </c>
      <c r="C816">
        <v>23270000</v>
      </c>
      <c r="J816" t="s">
        <v>14611</v>
      </c>
      <c r="K816" t="s">
        <v>3605</v>
      </c>
    </row>
    <row r="817" spans="1:11">
      <c r="A817" t="s">
        <v>14613</v>
      </c>
      <c r="B817" t="s">
        <v>14614</v>
      </c>
      <c r="C817">
        <v>23208000</v>
      </c>
      <c r="J817" t="s">
        <v>14613</v>
      </c>
      <c r="K817" t="s">
        <v>3605</v>
      </c>
    </row>
    <row r="818" spans="1:11">
      <c r="A818" t="s">
        <v>14615</v>
      </c>
      <c r="B818" t="s">
        <v>14616</v>
      </c>
      <c r="C818">
        <v>23222000</v>
      </c>
      <c r="J818" t="s">
        <v>14615</v>
      </c>
      <c r="K818" t="s">
        <v>3605</v>
      </c>
    </row>
    <row r="819" spans="1:11">
      <c r="A819" t="s">
        <v>14617</v>
      </c>
      <c r="B819" t="s">
        <v>14618</v>
      </c>
      <c r="C819">
        <v>22421000</v>
      </c>
      <c r="J819" t="s">
        <v>14617</v>
      </c>
      <c r="K819" t="s">
        <v>3605</v>
      </c>
    </row>
    <row r="820" spans="1:11">
      <c r="A820" t="s">
        <v>14619</v>
      </c>
      <c r="B820" t="s">
        <v>14620</v>
      </c>
      <c r="C820">
        <v>22421000</v>
      </c>
      <c r="J820" t="s">
        <v>14619</v>
      </c>
      <c r="K820" t="s">
        <v>3605</v>
      </c>
    </row>
    <row r="821" spans="1:11">
      <c r="A821" t="s">
        <v>14621</v>
      </c>
      <c r="B821" t="s">
        <v>14622</v>
      </c>
      <c r="C821">
        <v>22421000</v>
      </c>
      <c r="J821" t="s">
        <v>14621</v>
      </c>
      <c r="K821" t="s">
        <v>3605</v>
      </c>
    </row>
    <row r="822" spans="1:11">
      <c r="A822" t="s">
        <v>14623</v>
      </c>
      <c r="B822" t="s">
        <v>14624</v>
      </c>
      <c r="C822">
        <v>22421000</v>
      </c>
      <c r="J822" t="s">
        <v>14623</v>
      </c>
      <c r="K822" t="s">
        <v>3605</v>
      </c>
    </row>
    <row r="823" spans="1:11">
      <c r="A823" t="s">
        <v>14625</v>
      </c>
      <c r="B823" t="s">
        <v>14626</v>
      </c>
      <c r="C823">
        <v>22421000</v>
      </c>
      <c r="J823" t="s">
        <v>14625</v>
      </c>
      <c r="K823" t="s">
        <v>3605</v>
      </c>
    </row>
    <row r="824" spans="1:11">
      <c r="A824" t="s">
        <v>14627</v>
      </c>
      <c r="B824" t="s">
        <v>14628</v>
      </c>
      <c r="C824">
        <v>22421000</v>
      </c>
      <c r="J824" t="s">
        <v>14627</v>
      </c>
      <c r="K824" t="s">
        <v>3605</v>
      </c>
    </row>
    <row r="825" spans="1:11">
      <c r="A825" t="s">
        <v>14629</v>
      </c>
      <c r="B825" t="s">
        <v>14630</v>
      </c>
      <c r="C825">
        <v>22421000</v>
      </c>
      <c r="J825" t="s">
        <v>14629</v>
      </c>
      <c r="K825" t="s">
        <v>3605</v>
      </c>
    </row>
    <row r="826" spans="1:11">
      <c r="A826" t="s">
        <v>14631</v>
      </c>
      <c r="B826" t="s">
        <v>14632</v>
      </c>
      <c r="C826">
        <v>22421000</v>
      </c>
      <c r="J826" t="s">
        <v>14631</v>
      </c>
      <c r="K826" t="s">
        <v>3605</v>
      </c>
    </row>
    <row r="827" spans="1:11">
      <c r="A827" t="s">
        <v>14633</v>
      </c>
      <c r="B827" t="s">
        <v>14634</v>
      </c>
      <c r="C827">
        <v>22421000</v>
      </c>
      <c r="J827" t="s">
        <v>14633</v>
      </c>
      <c r="K827" t="s">
        <v>3605</v>
      </c>
    </row>
    <row r="828" spans="1:11">
      <c r="A828" t="s">
        <v>14635</v>
      </c>
      <c r="B828" t="s">
        <v>14636</v>
      </c>
      <c r="C828">
        <v>22421000</v>
      </c>
      <c r="J828" t="s">
        <v>14635</v>
      </c>
      <c r="K828" t="s">
        <v>3605</v>
      </c>
    </row>
    <row r="829" spans="1:11">
      <c r="A829" t="s">
        <v>14637</v>
      </c>
      <c r="B829" t="s">
        <v>14638</v>
      </c>
      <c r="C829">
        <v>22421000</v>
      </c>
      <c r="J829" t="s">
        <v>14637</v>
      </c>
      <c r="K829" t="s">
        <v>3605</v>
      </c>
    </row>
    <row r="830" spans="1:11">
      <c r="A830" t="s">
        <v>14639</v>
      </c>
      <c r="B830" t="s">
        <v>14640</v>
      </c>
      <c r="C830">
        <v>22421000</v>
      </c>
      <c r="J830" t="s">
        <v>14639</v>
      </c>
      <c r="K830" t="s">
        <v>3605</v>
      </c>
    </row>
    <row r="831" spans="1:11">
      <c r="A831" t="s">
        <v>14641</v>
      </c>
      <c r="B831" t="s">
        <v>14642</v>
      </c>
      <c r="C831">
        <v>22099000</v>
      </c>
      <c r="J831" t="s">
        <v>14641</v>
      </c>
      <c r="K831" t="s">
        <v>3605</v>
      </c>
    </row>
    <row r="832" spans="1:11">
      <c r="A832" t="s">
        <v>14641</v>
      </c>
      <c r="B832" t="s">
        <v>14642</v>
      </c>
      <c r="C832">
        <v>22421000</v>
      </c>
      <c r="J832" t="s">
        <v>14641</v>
      </c>
      <c r="K832" t="s">
        <v>3605</v>
      </c>
    </row>
    <row r="833" spans="1:11">
      <c r="A833" t="s">
        <v>14643</v>
      </c>
      <c r="B833" t="s">
        <v>14644</v>
      </c>
      <c r="C833">
        <v>22099000</v>
      </c>
      <c r="D833">
        <v>2910174</v>
      </c>
      <c r="J833" t="s">
        <v>14643</v>
      </c>
      <c r="K833" t="s">
        <v>3605</v>
      </c>
    </row>
    <row r="834" spans="1:11">
      <c r="A834" t="s">
        <v>14645</v>
      </c>
      <c r="B834" t="s">
        <v>14646</v>
      </c>
      <c r="C834">
        <v>22099000</v>
      </c>
      <c r="D834" t="s">
        <v>14647</v>
      </c>
      <c r="J834" t="s">
        <v>14645</v>
      </c>
      <c r="K834" t="s">
        <v>3605</v>
      </c>
    </row>
    <row r="835" spans="1:11">
      <c r="A835" t="s">
        <v>14648</v>
      </c>
      <c r="B835" t="s">
        <v>14649</v>
      </c>
      <c r="C835">
        <v>22099000</v>
      </c>
      <c r="D835" t="s">
        <v>14650</v>
      </c>
      <c r="J835" t="s">
        <v>14648</v>
      </c>
      <c r="K835" t="s">
        <v>3605</v>
      </c>
    </row>
    <row r="836" spans="1:11">
      <c r="A836" t="s">
        <v>14651</v>
      </c>
      <c r="B836" t="s">
        <v>14652</v>
      </c>
      <c r="C836">
        <v>22099000</v>
      </c>
      <c r="D836" t="s">
        <v>14653</v>
      </c>
      <c r="J836" t="s">
        <v>14651</v>
      </c>
      <c r="K836" t="s">
        <v>3605</v>
      </c>
    </row>
    <row r="837" spans="1:11">
      <c r="A837" t="s">
        <v>14654</v>
      </c>
      <c r="B837" t="s">
        <v>14655</v>
      </c>
      <c r="C837">
        <v>22099000</v>
      </c>
      <c r="D837" t="s">
        <v>14656</v>
      </c>
      <c r="J837" t="s">
        <v>14654</v>
      </c>
      <c r="K837" t="s">
        <v>3605</v>
      </c>
    </row>
    <row r="838" spans="1:11">
      <c r="A838" t="s">
        <v>14657</v>
      </c>
      <c r="B838" t="s">
        <v>14658</v>
      </c>
      <c r="C838">
        <v>22099000</v>
      </c>
      <c r="D838" t="s">
        <v>14659</v>
      </c>
      <c r="J838" t="s">
        <v>14657</v>
      </c>
      <c r="K838" t="s">
        <v>3605</v>
      </c>
    </row>
    <row r="839" spans="1:11">
      <c r="A839" t="s">
        <v>14660</v>
      </c>
      <c r="B839" t="s">
        <v>14661</v>
      </c>
      <c r="C839">
        <v>22099000</v>
      </c>
      <c r="D839" t="s">
        <v>14662</v>
      </c>
      <c r="J839" t="s">
        <v>14660</v>
      </c>
      <c r="K839" t="s">
        <v>3605</v>
      </c>
    </row>
    <row r="840" spans="1:11">
      <c r="A840" t="s">
        <v>14663</v>
      </c>
      <c r="B840" t="s">
        <v>14664</v>
      </c>
      <c r="C840">
        <v>22099000</v>
      </c>
      <c r="D840" t="s">
        <v>14665</v>
      </c>
      <c r="J840" t="s">
        <v>14663</v>
      </c>
      <c r="K840" t="s">
        <v>3605</v>
      </c>
    </row>
    <row r="841" spans="1:11">
      <c r="A841" t="s">
        <v>14666</v>
      </c>
      <c r="B841" t="s">
        <v>14667</v>
      </c>
      <c r="C841">
        <v>22099000</v>
      </c>
      <c r="D841" t="s">
        <v>14668</v>
      </c>
      <c r="J841" t="s">
        <v>14666</v>
      </c>
      <c r="K841" t="s">
        <v>3605</v>
      </c>
    </row>
    <row r="842" spans="1:11">
      <c r="A842" t="s">
        <v>14669</v>
      </c>
      <c r="B842" t="s">
        <v>14670</v>
      </c>
      <c r="C842">
        <v>22099000</v>
      </c>
      <c r="D842" t="s">
        <v>14671</v>
      </c>
      <c r="J842" t="s">
        <v>14669</v>
      </c>
      <c r="K842" t="s">
        <v>3605</v>
      </c>
    </row>
    <row r="843" spans="1:11">
      <c r="A843" t="s">
        <v>14672</v>
      </c>
      <c r="B843" t="s">
        <v>14673</v>
      </c>
      <c r="C843">
        <v>22099000</v>
      </c>
      <c r="D843" t="s">
        <v>14674</v>
      </c>
      <c r="J843" t="s">
        <v>14672</v>
      </c>
      <c r="K843" t="s">
        <v>3605</v>
      </c>
    </row>
    <row r="844" spans="1:11">
      <c r="A844" t="s">
        <v>14675</v>
      </c>
      <c r="B844" t="s">
        <v>14676</v>
      </c>
      <c r="C844">
        <v>22099000</v>
      </c>
      <c r="D844" t="s">
        <v>14677</v>
      </c>
      <c r="J844" t="s">
        <v>14675</v>
      </c>
      <c r="K844" t="s">
        <v>3605</v>
      </c>
    </row>
    <row r="845" spans="1:11">
      <c r="A845" t="s">
        <v>14678</v>
      </c>
      <c r="B845" t="s">
        <v>14679</v>
      </c>
      <c r="C845">
        <v>22099000</v>
      </c>
      <c r="D845" t="s">
        <v>14680</v>
      </c>
      <c r="J845" t="s">
        <v>14678</v>
      </c>
      <c r="K845" t="s">
        <v>3605</v>
      </c>
    </row>
    <row r="846" spans="1:11">
      <c r="A846" t="s">
        <v>14681</v>
      </c>
      <c r="B846" t="s">
        <v>14682</v>
      </c>
      <c r="C846">
        <v>22044000</v>
      </c>
      <c r="J846" t="s">
        <v>14681</v>
      </c>
      <c r="K846" t="s">
        <v>3605</v>
      </c>
    </row>
    <row r="847" spans="1:11">
      <c r="A847" t="s">
        <v>14683</v>
      </c>
      <c r="B847" t="s">
        <v>14684</v>
      </c>
      <c r="C847">
        <v>22421000</v>
      </c>
      <c r="J847" t="s">
        <v>14683</v>
      </c>
      <c r="K847" t="s">
        <v>3605</v>
      </c>
    </row>
    <row r="848" spans="1:11">
      <c r="A848" t="s">
        <v>14685</v>
      </c>
      <c r="B848" t="s">
        <v>14686</v>
      </c>
      <c r="C848">
        <v>22099001</v>
      </c>
      <c r="J848" t="s">
        <v>14685</v>
      </c>
      <c r="K848" t="s">
        <v>3605</v>
      </c>
    </row>
    <row r="849" spans="1:11">
      <c r="A849" t="s">
        <v>14687</v>
      </c>
      <c r="B849" t="s">
        <v>14688</v>
      </c>
      <c r="C849">
        <v>22036000</v>
      </c>
      <c r="J849" t="s">
        <v>14687</v>
      </c>
      <c r="K849" t="s">
        <v>3605</v>
      </c>
    </row>
    <row r="850" spans="1:11">
      <c r="A850" t="s">
        <v>14689</v>
      </c>
      <c r="B850" t="s">
        <v>14690</v>
      </c>
      <c r="C850">
        <v>22056000</v>
      </c>
      <c r="J850" t="s">
        <v>14689</v>
      </c>
      <c r="K850" t="s">
        <v>3605</v>
      </c>
    </row>
    <row r="851" spans="1:11">
      <c r="A851" t="s">
        <v>14691</v>
      </c>
      <c r="B851" t="s">
        <v>14692</v>
      </c>
      <c r="C851">
        <v>22070000</v>
      </c>
      <c r="J851" t="s">
        <v>14691</v>
      </c>
      <c r="K851" t="s">
        <v>3605</v>
      </c>
    </row>
    <row r="852" spans="1:11">
      <c r="A852" t="s">
        <v>14693</v>
      </c>
      <c r="B852" t="s">
        <v>14694</v>
      </c>
      <c r="C852">
        <v>22421000</v>
      </c>
      <c r="J852" t="s">
        <v>14693</v>
      </c>
      <c r="K852" t="s">
        <v>3605</v>
      </c>
    </row>
    <row r="853" spans="1:11">
      <c r="A853" t="s">
        <v>14695</v>
      </c>
      <c r="B853" t="s">
        <v>14696</v>
      </c>
      <c r="C853">
        <v>22421000</v>
      </c>
      <c r="J853" t="s">
        <v>14695</v>
      </c>
      <c r="K853" t="s">
        <v>3605</v>
      </c>
    </row>
    <row r="854" spans="1:11">
      <c r="A854" t="s">
        <v>14697</v>
      </c>
      <c r="B854" t="s">
        <v>14698</v>
      </c>
      <c r="C854">
        <v>22040000</v>
      </c>
      <c r="J854" t="s">
        <v>14697</v>
      </c>
      <c r="K854" t="s">
        <v>3605</v>
      </c>
    </row>
    <row r="855" spans="1:11">
      <c r="A855" t="s">
        <v>14699</v>
      </c>
      <c r="B855" t="s">
        <v>14700</v>
      </c>
      <c r="C855">
        <v>22024000</v>
      </c>
      <c r="J855" t="s">
        <v>14699</v>
      </c>
      <c r="K855" t="s">
        <v>3605</v>
      </c>
    </row>
    <row r="856" spans="1:11">
      <c r="A856" t="s">
        <v>14699</v>
      </c>
      <c r="B856" t="s">
        <v>14700</v>
      </c>
      <c r="C856">
        <v>22012001</v>
      </c>
      <c r="J856" t="s">
        <v>14699</v>
      </c>
      <c r="K856" t="s">
        <v>3605</v>
      </c>
    </row>
    <row r="857" spans="1:11">
      <c r="A857" t="s">
        <v>14701</v>
      </c>
      <c r="B857" t="s">
        <v>14702</v>
      </c>
      <c r="C857">
        <v>22032000</v>
      </c>
      <c r="J857" t="s">
        <v>14701</v>
      </c>
      <c r="K857" t="s">
        <v>3605</v>
      </c>
    </row>
    <row r="858" spans="1:11">
      <c r="A858" t="s">
        <v>14703</v>
      </c>
      <c r="B858" t="s">
        <v>14704</v>
      </c>
      <c r="C858">
        <v>22020000</v>
      </c>
      <c r="J858" t="s">
        <v>14703</v>
      </c>
      <c r="K858" t="s">
        <v>3605</v>
      </c>
    </row>
    <row r="859" spans="1:11">
      <c r="A859" t="s">
        <v>14705</v>
      </c>
      <c r="B859" t="s">
        <v>14706</v>
      </c>
      <c r="C859">
        <v>22421000</v>
      </c>
      <c r="J859" t="s">
        <v>14705</v>
      </c>
      <c r="K859" t="s">
        <v>3605</v>
      </c>
    </row>
    <row r="860" spans="1:11">
      <c r="A860" t="s">
        <v>14707</v>
      </c>
      <c r="B860" t="s">
        <v>14708</v>
      </c>
      <c r="C860">
        <v>22421000</v>
      </c>
      <c r="J860" t="s">
        <v>14707</v>
      </c>
      <c r="K860" t="s">
        <v>3605</v>
      </c>
    </row>
    <row r="861" spans="1:11">
      <c r="A861" t="s">
        <v>14709</v>
      </c>
      <c r="B861" t="s">
        <v>14710</v>
      </c>
      <c r="C861">
        <v>22028000</v>
      </c>
      <c r="J861" t="s">
        <v>14709</v>
      </c>
      <c r="K861" t="s">
        <v>3605</v>
      </c>
    </row>
    <row r="862" spans="1:11">
      <c r="A862" t="s">
        <v>14711</v>
      </c>
      <c r="B862" t="s">
        <v>14712</v>
      </c>
      <c r="C862">
        <v>25405000</v>
      </c>
      <c r="J862" t="s">
        <v>14711</v>
      </c>
      <c r="K862" t="s">
        <v>3605</v>
      </c>
    </row>
    <row r="863" spans="1:11">
      <c r="A863" t="s">
        <v>14713</v>
      </c>
      <c r="B863" t="s">
        <v>14714</v>
      </c>
      <c r="C863">
        <v>25405000</v>
      </c>
      <c r="D863">
        <v>2857501</v>
      </c>
      <c r="J863" t="s">
        <v>14713</v>
      </c>
      <c r="K863" t="s">
        <v>3605</v>
      </c>
    </row>
    <row r="864" spans="1:11">
      <c r="A864" t="s">
        <v>14715</v>
      </c>
      <c r="B864" t="s">
        <v>14716</v>
      </c>
      <c r="C864">
        <v>23602000</v>
      </c>
      <c r="D864">
        <v>2857400</v>
      </c>
      <c r="J864" t="s">
        <v>14715</v>
      </c>
      <c r="K864" t="s">
        <v>3605</v>
      </c>
    </row>
    <row r="865" spans="1:11">
      <c r="A865" t="s">
        <v>14717</v>
      </c>
      <c r="B865" t="s">
        <v>14718</v>
      </c>
      <c r="C865">
        <v>22088000</v>
      </c>
      <c r="J865" t="s">
        <v>14717</v>
      </c>
      <c r="K865" t="s">
        <v>3605</v>
      </c>
    </row>
    <row r="866" spans="1:11">
      <c r="A866" t="s">
        <v>14719</v>
      </c>
      <c r="B866" t="s">
        <v>14720</v>
      </c>
      <c r="C866">
        <v>23209000</v>
      </c>
      <c r="J866" t="s">
        <v>14719</v>
      </c>
      <c r="K866" t="s">
        <v>3605</v>
      </c>
    </row>
    <row r="867" spans="1:11">
      <c r="A867" t="s">
        <v>14721</v>
      </c>
      <c r="B867" t="s">
        <v>14722</v>
      </c>
      <c r="C867">
        <v>22421000</v>
      </c>
      <c r="J867" t="s">
        <v>14721</v>
      </c>
      <c r="K867" t="s">
        <v>3605</v>
      </c>
    </row>
    <row r="868" spans="1:11">
      <c r="A868" t="s">
        <v>14723</v>
      </c>
      <c r="B868" t="s">
        <v>14724</v>
      </c>
      <c r="C868">
        <v>22099901</v>
      </c>
      <c r="D868">
        <v>2910174</v>
      </c>
      <c r="J868" t="s">
        <v>14723</v>
      </c>
      <c r="K868" t="s">
        <v>3605</v>
      </c>
    </row>
    <row r="869" spans="1:11">
      <c r="A869" t="s">
        <v>14725</v>
      </c>
      <c r="B869" t="s">
        <v>14726</v>
      </c>
      <c r="C869">
        <v>22099901</v>
      </c>
      <c r="J869" t="s">
        <v>14725</v>
      </c>
      <c r="K869" t="s">
        <v>3605</v>
      </c>
    </row>
    <row r="870" spans="1:11">
      <c r="A870" t="s">
        <v>14727</v>
      </c>
      <c r="B870" t="s">
        <v>14728</v>
      </c>
      <c r="C870">
        <v>22008000</v>
      </c>
      <c r="J870" t="s">
        <v>14727</v>
      </c>
      <c r="K870" t="s">
        <v>3605</v>
      </c>
    </row>
    <row r="871" spans="1:11">
      <c r="A871" t="s">
        <v>14729</v>
      </c>
      <c r="B871" t="s">
        <v>14730</v>
      </c>
      <c r="C871">
        <v>22016000</v>
      </c>
      <c r="D871" t="s">
        <v>13247</v>
      </c>
      <c r="J871" t="s">
        <v>14729</v>
      </c>
      <c r="K871" t="s">
        <v>3605</v>
      </c>
    </row>
    <row r="872" spans="1:11">
      <c r="A872" t="s">
        <v>14731</v>
      </c>
      <c r="B872" t="s">
        <v>14732</v>
      </c>
      <c r="C872">
        <v>23604000</v>
      </c>
      <c r="J872" t="s">
        <v>14731</v>
      </c>
      <c r="K872" t="s">
        <v>3605</v>
      </c>
    </row>
    <row r="873" spans="1:11">
      <c r="A873" t="s">
        <v>14733</v>
      </c>
      <c r="B873" t="s">
        <v>14734</v>
      </c>
      <c r="C873">
        <v>22099000</v>
      </c>
      <c r="D873" t="s">
        <v>14735</v>
      </c>
      <c r="J873" t="s">
        <v>14733</v>
      </c>
      <c r="K873" t="s">
        <v>3605</v>
      </c>
    </row>
    <row r="874" spans="1:11">
      <c r="A874" t="s">
        <v>14736</v>
      </c>
      <c r="B874" t="s">
        <v>14737</v>
      </c>
      <c r="C874">
        <v>22099000</v>
      </c>
      <c r="D874" t="s">
        <v>13677</v>
      </c>
      <c r="J874" t="s">
        <v>14736</v>
      </c>
      <c r="K874" t="s">
        <v>3605</v>
      </c>
    </row>
    <row r="875" spans="1:11">
      <c r="A875" t="s">
        <v>14738</v>
      </c>
      <c r="B875" t="s">
        <v>14739</v>
      </c>
      <c r="C875">
        <v>22099000</v>
      </c>
      <c r="D875" t="s">
        <v>14740</v>
      </c>
      <c r="J875" t="s">
        <v>14738</v>
      </c>
      <c r="K875" t="s">
        <v>3605</v>
      </c>
    </row>
    <row r="876" spans="1:11">
      <c r="A876" t="s">
        <v>14741</v>
      </c>
      <c r="B876" t="s">
        <v>14742</v>
      </c>
      <c r="C876">
        <v>22001000</v>
      </c>
      <c r="J876" t="s">
        <v>14741</v>
      </c>
      <c r="K876" t="s">
        <v>3605</v>
      </c>
    </row>
    <row r="877" spans="1:11">
      <c r="A877" t="s">
        <v>14743</v>
      </c>
      <c r="B877" t="s">
        <v>14744</v>
      </c>
      <c r="C877">
        <v>23600500</v>
      </c>
      <c r="J877" t="s">
        <v>14743</v>
      </c>
      <c r="K877" t="s">
        <v>3605</v>
      </c>
    </row>
    <row r="878" spans="1:11">
      <c r="A878" t="s">
        <v>14745</v>
      </c>
      <c r="B878" t="s">
        <v>14746</v>
      </c>
      <c r="C878">
        <v>23600500</v>
      </c>
      <c r="D878">
        <v>2910700</v>
      </c>
      <c r="J878" t="s">
        <v>14745</v>
      </c>
      <c r="K878" t="s">
        <v>3605</v>
      </c>
    </row>
    <row r="879" spans="1:11">
      <c r="A879" t="s">
        <v>14747</v>
      </c>
      <c r="B879" t="s">
        <v>14748</v>
      </c>
      <c r="C879">
        <v>23600500</v>
      </c>
      <c r="D879">
        <v>2910710</v>
      </c>
      <c r="J879" t="s">
        <v>14747</v>
      </c>
      <c r="K879" t="s">
        <v>3605</v>
      </c>
    </row>
    <row r="880" spans="1:11">
      <c r="A880" t="s">
        <v>14749</v>
      </c>
      <c r="B880" t="s">
        <v>14750</v>
      </c>
      <c r="C880">
        <v>22421000</v>
      </c>
      <c r="J880" t="s">
        <v>14749</v>
      </c>
      <c r="K880" t="s">
        <v>3605</v>
      </c>
    </row>
    <row r="881" spans="1:11">
      <c r="A881" t="s">
        <v>14751</v>
      </c>
      <c r="B881" t="s">
        <v>14752</v>
      </c>
      <c r="C881">
        <v>22000000</v>
      </c>
      <c r="J881" t="s">
        <v>14751</v>
      </c>
      <c r="K881" t="s">
        <v>3605</v>
      </c>
    </row>
    <row r="882" spans="1:11">
      <c r="A882" t="s">
        <v>14753</v>
      </c>
      <c r="B882" t="s">
        <v>14754</v>
      </c>
      <c r="C882">
        <v>22000500</v>
      </c>
      <c r="J882" t="s">
        <v>14753</v>
      </c>
      <c r="K882" t="s">
        <v>3605</v>
      </c>
    </row>
    <row r="883" spans="1:11">
      <c r="A883" t="s">
        <v>14755</v>
      </c>
      <c r="B883" t="s">
        <v>14756</v>
      </c>
      <c r="C883">
        <v>22002000</v>
      </c>
      <c r="J883" t="s">
        <v>14755</v>
      </c>
      <c r="K883" t="s">
        <v>3605</v>
      </c>
    </row>
    <row r="884" spans="1:11">
      <c r="A884" t="s">
        <v>14757</v>
      </c>
      <c r="B884" t="s">
        <v>14758</v>
      </c>
      <c r="C884">
        <v>22421000</v>
      </c>
      <c r="J884" t="s">
        <v>14757</v>
      </c>
      <c r="K884" t="s">
        <v>3605</v>
      </c>
    </row>
    <row r="885" spans="1:11">
      <c r="A885" t="s">
        <v>14759</v>
      </c>
      <c r="B885" t="s">
        <v>14760</v>
      </c>
      <c r="C885">
        <v>15204000</v>
      </c>
      <c r="J885" t="s">
        <v>14759</v>
      </c>
      <c r="K885" t="s">
        <v>3605</v>
      </c>
    </row>
    <row r="886" spans="1:11">
      <c r="A886" t="s">
        <v>14761</v>
      </c>
      <c r="B886" t="s">
        <v>14762</v>
      </c>
      <c r="C886">
        <v>23232011</v>
      </c>
      <c r="J886" t="s">
        <v>14761</v>
      </c>
      <c r="K886" t="s">
        <v>3605</v>
      </c>
    </row>
    <row r="887" spans="1:11">
      <c r="A887" t="s">
        <v>14763</v>
      </c>
      <c r="B887" t="s">
        <v>14764</v>
      </c>
      <c r="C887">
        <v>23232013</v>
      </c>
      <c r="J887" t="s">
        <v>14763</v>
      </c>
      <c r="K887" t="s">
        <v>3605</v>
      </c>
    </row>
    <row r="888" spans="1:11">
      <c r="A888" t="s">
        <v>14765</v>
      </c>
      <c r="B888" t="s">
        <v>14766</v>
      </c>
      <c r="C888">
        <v>22060000</v>
      </c>
      <c r="J888" t="s">
        <v>14765</v>
      </c>
      <c r="K888" t="s">
        <v>3605</v>
      </c>
    </row>
    <row r="889" spans="1:11">
      <c r="A889" t="s">
        <v>14767</v>
      </c>
      <c r="B889" t="s">
        <v>14768</v>
      </c>
      <c r="C889">
        <v>22060000</v>
      </c>
      <c r="D889" t="s">
        <v>13255</v>
      </c>
      <c r="J889" t="s">
        <v>14767</v>
      </c>
      <c r="K889" t="s">
        <v>3605</v>
      </c>
    </row>
    <row r="890" spans="1:11">
      <c r="A890" t="s">
        <v>14769</v>
      </c>
      <c r="B890" t="s">
        <v>14770</v>
      </c>
      <c r="C890">
        <v>22060000</v>
      </c>
      <c r="D890" t="s">
        <v>13252</v>
      </c>
      <c r="J890" t="s">
        <v>14769</v>
      </c>
      <c r="K890" t="s">
        <v>3605</v>
      </c>
    </row>
    <row r="891" spans="1:11">
      <c r="A891" t="s">
        <v>14771</v>
      </c>
      <c r="B891" t="s">
        <v>14772</v>
      </c>
      <c r="C891">
        <v>22421000</v>
      </c>
      <c r="J891" t="s">
        <v>14771</v>
      </c>
      <c r="K891" t="s">
        <v>3605</v>
      </c>
    </row>
    <row r="892" spans="1:11">
      <c r="A892" t="s">
        <v>14773</v>
      </c>
      <c r="B892" t="s">
        <v>14774</v>
      </c>
      <c r="C892">
        <v>23232005</v>
      </c>
      <c r="J892" t="s">
        <v>14773</v>
      </c>
      <c r="K892" t="s">
        <v>3605</v>
      </c>
    </row>
    <row r="893" spans="1:11">
      <c r="A893" t="s">
        <v>14775</v>
      </c>
      <c r="B893" t="s">
        <v>14776</v>
      </c>
      <c r="C893">
        <v>22421000</v>
      </c>
      <c r="J893" t="s">
        <v>14775</v>
      </c>
      <c r="K893" t="s">
        <v>3605</v>
      </c>
    </row>
    <row r="894" spans="1:11">
      <c r="A894" t="s">
        <v>14777</v>
      </c>
      <c r="B894" t="s">
        <v>14778</v>
      </c>
      <c r="C894">
        <v>22421000</v>
      </c>
      <c r="J894" t="s">
        <v>14777</v>
      </c>
      <c r="K894" t="s">
        <v>3605</v>
      </c>
    </row>
    <row r="895" spans="1:11">
      <c r="A895" t="s">
        <v>14779</v>
      </c>
      <c r="B895" t="s">
        <v>14780</v>
      </c>
      <c r="C895">
        <v>22048000</v>
      </c>
      <c r="J895" t="s">
        <v>14779</v>
      </c>
      <c r="K895" t="s">
        <v>3605</v>
      </c>
    </row>
    <row r="896" spans="1:11">
      <c r="A896" t="s">
        <v>14781</v>
      </c>
      <c r="B896" t="s">
        <v>14782</v>
      </c>
      <c r="C896">
        <v>23232030</v>
      </c>
      <c r="J896" t="s">
        <v>14781</v>
      </c>
      <c r="K896" t="s">
        <v>3605</v>
      </c>
    </row>
    <row r="897" spans="1:11">
      <c r="A897" t="s">
        <v>14783</v>
      </c>
      <c r="B897" t="s">
        <v>14784</v>
      </c>
      <c r="C897">
        <v>22421000</v>
      </c>
      <c r="J897" t="s">
        <v>14783</v>
      </c>
      <c r="K897" t="s">
        <v>3605</v>
      </c>
    </row>
    <row r="898" spans="1:11">
      <c r="A898" t="s">
        <v>14785</v>
      </c>
      <c r="B898" t="s">
        <v>14786</v>
      </c>
      <c r="C898">
        <v>23232000</v>
      </c>
      <c r="J898" t="s">
        <v>14785</v>
      </c>
      <c r="K898" t="s">
        <v>3605</v>
      </c>
    </row>
    <row r="899" spans="1:11">
      <c r="A899" t="s">
        <v>14785</v>
      </c>
      <c r="B899" t="s">
        <v>14786</v>
      </c>
      <c r="C899">
        <v>23232027</v>
      </c>
      <c r="J899" t="s">
        <v>14785</v>
      </c>
      <c r="K899" t="s">
        <v>3605</v>
      </c>
    </row>
    <row r="900" spans="1:11">
      <c r="A900" t="s">
        <v>14787</v>
      </c>
      <c r="B900" t="s">
        <v>14788</v>
      </c>
      <c r="C900">
        <v>23232033</v>
      </c>
      <c r="J900" t="s">
        <v>14787</v>
      </c>
      <c r="K900" t="s">
        <v>3605</v>
      </c>
    </row>
    <row r="901" spans="1:11">
      <c r="A901" t="s">
        <v>14787</v>
      </c>
      <c r="B901" t="s">
        <v>14788</v>
      </c>
      <c r="C901">
        <v>22003000</v>
      </c>
      <c r="J901" t="s">
        <v>14787</v>
      </c>
      <c r="K901" t="s">
        <v>3605</v>
      </c>
    </row>
    <row r="902" spans="1:11">
      <c r="A902" t="s">
        <v>14789</v>
      </c>
      <c r="B902" t="s">
        <v>14790</v>
      </c>
      <c r="C902">
        <v>22421000</v>
      </c>
      <c r="J902" t="s">
        <v>14789</v>
      </c>
      <c r="K902" t="s">
        <v>3605</v>
      </c>
    </row>
    <row r="903" spans="1:11">
      <c r="A903" t="s">
        <v>14791</v>
      </c>
      <c r="B903" t="s">
        <v>14792</v>
      </c>
      <c r="C903">
        <v>23600000</v>
      </c>
      <c r="D903" t="s">
        <v>14793</v>
      </c>
      <c r="J903" t="s">
        <v>14791</v>
      </c>
      <c r="K903" t="s">
        <v>3605</v>
      </c>
    </row>
    <row r="904" spans="1:11">
      <c r="A904" t="s">
        <v>14794</v>
      </c>
      <c r="B904" t="s">
        <v>14795</v>
      </c>
      <c r="C904">
        <v>23600000</v>
      </c>
      <c r="D904" t="s">
        <v>14793</v>
      </c>
      <c r="J904" t="s">
        <v>14794</v>
      </c>
      <c r="K904" t="s">
        <v>3605</v>
      </c>
    </row>
    <row r="905" spans="1:11">
      <c r="A905" t="s">
        <v>14796</v>
      </c>
      <c r="B905" t="s">
        <v>14797</v>
      </c>
      <c r="C905">
        <v>23600800</v>
      </c>
      <c r="D905" t="s">
        <v>14793</v>
      </c>
      <c r="J905" t="s">
        <v>14796</v>
      </c>
      <c r="K905" t="s">
        <v>3605</v>
      </c>
    </row>
    <row r="906" spans="1:11">
      <c r="A906" t="s">
        <v>14798</v>
      </c>
      <c r="B906" t="s">
        <v>14799</v>
      </c>
      <c r="C906">
        <v>22421000</v>
      </c>
      <c r="D906" t="s">
        <v>14793</v>
      </c>
      <c r="J906" t="s">
        <v>14798</v>
      </c>
      <c r="K906" t="s">
        <v>3605</v>
      </c>
    </row>
    <row r="907" spans="1:11">
      <c r="A907" t="s">
        <v>14800</v>
      </c>
      <c r="B907" t="s">
        <v>14801</v>
      </c>
      <c r="C907">
        <v>23600000</v>
      </c>
      <c r="D907" t="s">
        <v>14793</v>
      </c>
      <c r="J907" t="s">
        <v>14800</v>
      </c>
      <c r="K907" t="s">
        <v>3605</v>
      </c>
    </row>
    <row r="908" spans="1:11">
      <c r="A908" t="s">
        <v>14802</v>
      </c>
      <c r="B908" t="s">
        <v>14803</v>
      </c>
      <c r="C908">
        <v>22012000</v>
      </c>
      <c r="J908" t="s">
        <v>14802</v>
      </c>
      <c r="K908" t="s">
        <v>3605</v>
      </c>
    </row>
    <row r="909" spans="1:11">
      <c r="A909" t="s">
        <v>14802</v>
      </c>
      <c r="B909" t="s">
        <v>14803</v>
      </c>
      <c r="C909">
        <v>22012000</v>
      </c>
      <c r="J909" t="s">
        <v>14802</v>
      </c>
      <c r="K909" t="s">
        <v>3605</v>
      </c>
    </row>
    <row r="910" spans="1:11">
      <c r="A910" t="s">
        <v>14804</v>
      </c>
      <c r="B910" t="s">
        <v>14805</v>
      </c>
      <c r="C910">
        <v>22000002</v>
      </c>
      <c r="J910" t="s">
        <v>14804</v>
      </c>
      <c r="K910" t="s">
        <v>3605</v>
      </c>
    </row>
    <row r="911" spans="1:11">
      <c r="A911" t="s">
        <v>14806</v>
      </c>
      <c r="B911" t="s">
        <v>14807</v>
      </c>
      <c r="C911">
        <v>22000001</v>
      </c>
      <c r="J911" t="s">
        <v>14806</v>
      </c>
      <c r="K911" t="s">
        <v>3605</v>
      </c>
    </row>
    <row r="912" spans="1:11">
      <c r="A912" t="s">
        <v>14808</v>
      </c>
      <c r="B912" t="s">
        <v>14809</v>
      </c>
      <c r="C912">
        <v>22000001</v>
      </c>
      <c r="J912" t="s">
        <v>14808</v>
      </c>
      <c r="K912" t="s">
        <v>3605</v>
      </c>
    </row>
    <row r="913" spans="1:11">
      <c r="A913" t="s">
        <v>14810</v>
      </c>
      <c r="B913" t="s">
        <v>14811</v>
      </c>
      <c r="C913">
        <v>22000001</v>
      </c>
      <c r="J913" t="s">
        <v>14810</v>
      </c>
      <c r="K913" t="s">
        <v>3605</v>
      </c>
    </row>
    <row r="914" spans="1:11">
      <c r="A914" t="s">
        <v>14812</v>
      </c>
      <c r="B914" t="s">
        <v>14813</v>
      </c>
      <c r="C914">
        <v>22000001</v>
      </c>
      <c r="J914" t="s">
        <v>14812</v>
      </c>
      <c r="K914" t="s">
        <v>3605</v>
      </c>
    </row>
    <row r="915" spans="1:11">
      <c r="A915" t="s">
        <v>14814</v>
      </c>
      <c r="B915" t="s">
        <v>14815</v>
      </c>
      <c r="C915">
        <v>23236000</v>
      </c>
      <c r="D915" t="s">
        <v>14793</v>
      </c>
      <c r="J915" t="s">
        <v>14814</v>
      </c>
      <c r="K915" t="s">
        <v>3605</v>
      </c>
    </row>
    <row r="916" spans="1:11">
      <c r="A916" t="s">
        <v>14816</v>
      </c>
      <c r="B916" t="s">
        <v>14817</v>
      </c>
      <c r="C916">
        <v>23236001</v>
      </c>
      <c r="J916" t="s">
        <v>14816</v>
      </c>
      <c r="K916" t="s">
        <v>3605</v>
      </c>
    </row>
    <row r="917" spans="1:11">
      <c r="A917" t="s">
        <v>14818</v>
      </c>
      <c r="B917" t="s">
        <v>14819</v>
      </c>
      <c r="C917">
        <v>23236004</v>
      </c>
      <c r="J917" t="s">
        <v>14818</v>
      </c>
      <c r="K917" t="s">
        <v>3605</v>
      </c>
    </row>
    <row r="918" spans="1:11">
      <c r="A918" t="s">
        <v>14820</v>
      </c>
      <c r="B918" t="s">
        <v>14821</v>
      </c>
      <c r="C918">
        <v>23236006</v>
      </c>
      <c r="J918" t="s">
        <v>14820</v>
      </c>
      <c r="K918" t="s">
        <v>3605</v>
      </c>
    </row>
    <row r="919" spans="1:11">
      <c r="A919" t="s">
        <v>14822</v>
      </c>
      <c r="B919" t="s">
        <v>14823</v>
      </c>
      <c r="C919">
        <v>23236005</v>
      </c>
      <c r="J919" t="s">
        <v>14822</v>
      </c>
      <c r="K919" t="s">
        <v>3605</v>
      </c>
    </row>
    <row r="920" spans="1:11">
      <c r="A920" t="s">
        <v>14824</v>
      </c>
      <c r="B920" t="s">
        <v>14825</v>
      </c>
      <c r="C920">
        <v>22421000</v>
      </c>
      <c r="J920" t="s">
        <v>14824</v>
      </c>
      <c r="K920" t="s">
        <v>3605</v>
      </c>
    </row>
    <row r="921" spans="1:11">
      <c r="A921" t="s">
        <v>14826</v>
      </c>
      <c r="B921" t="s">
        <v>14827</v>
      </c>
      <c r="C921">
        <v>23244000</v>
      </c>
      <c r="J921" t="s">
        <v>14826</v>
      </c>
      <c r="K921" t="s">
        <v>3605</v>
      </c>
    </row>
    <row r="922" spans="1:11">
      <c r="A922" t="s">
        <v>14828</v>
      </c>
      <c r="B922" t="s">
        <v>14829</v>
      </c>
      <c r="C922">
        <v>23245000</v>
      </c>
      <c r="J922" t="s">
        <v>14828</v>
      </c>
      <c r="K922" t="s">
        <v>3605</v>
      </c>
    </row>
    <row r="923" spans="1:11">
      <c r="A923" t="s">
        <v>14830</v>
      </c>
      <c r="B923" t="s">
        <v>14831</v>
      </c>
      <c r="C923">
        <v>23600001</v>
      </c>
      <c r="J923" t="s">
        <v>14830</v>
      </c>
      <c r="K923" t="s">
        <v>3605</v>
      </c>
    </row>
    <row r="924" spans="1:11">
      <c r="A924" t="s">
        <v>14832</v>
      </c>
      <c r="B924" t="s">
        <v>14833</v>
      </c>
      <c r="J924" t="s">
        <v>14832</v>
      </c>
      <c r="K924" t="s">
        <v>3605</v>
      </c>
    </row>
    <row r="925" spans="1:11">
      <c r="A925" t="s">
        <v>14834</v>
      </c>
      <c r="B925" t="s">
        <v>14835</v>
      </c>
      <c r="C925">
        <v>23600100</v>
      </c>
      <c r="J925" t="s">
        <v>14834</v>
      </c>
      <c r="K925" t="s">
        <v>3605</v>
      </c>
    </row>
    <row r="926" spans="1:11">
      <c r="A926" t="s">
        <v>14836</v>
      </c>
      <c r="B926" t="s">
        <v>14837</v>
      </c>
      <c r="C926">
        <v>22421000</v>
      </c>
      <c r="J926" t="s">
        <v>14836</v>
      </c>
      <c r="K926" t="s">
        <v>3605</v>
      </c>
    </row>
    <row r="927" spans="1:11">
      <c r="A927" t="s">
        <v>14838</v>
      </c>
      <c r="B927" t="s">
        <v>14839</v>
      </c>
      <c r="C927">
        <v>23600300</v>
      </c>
      <c r="J927" t="s">
        <v>14838</v>
      </c>
      <c r="K927" t="s">
        <v>3605</v>
      </c>
    </row>
    <row r="928" spans="1:11">
      <c r="A928" t="s">
        <v>14840</v>
      </c>
      <c r="B928" t="s">
        <v>14841</v>
      </c>
      <c r="C928">
        <v>23600700</v>
      </c>
      <c r="J928" t="s">
        <v>14840</v>
      </c>
      <c r="K928" t="s">
        <v>3605</v>
      </c>
    </row>
    <row r="929" spans="1:11">
      <c r="A929" t="s">
        <v>14842</v>
      </c>
      <c r="B929" t="s">
        <v>14843</v>
      </c>
      <c r="C929">
        <v>23600200</v>
      </c>
      <c r="D929" t="s">
        <v>14844</v>
      </c>
      <c r="J929" t="s">
        <v>14842</v>
      </c>
      <c r="K929" t="s">
        <v>3605</v>
      </c>
    </row>
    <row r="930" spans="1:11">
      <c r="A930" t="s">
        <v>14845</v>
      </c>
      <c r="B930" t="s">
        <v>14846</v>
      </c>
      <c r="C930">
        <v>23600400</v>
      </c>
      <c r="J930" t="s">
        <v>14845</v>
      </c>
      <c r="K930" t="s">
        <v>3605</v>
      </c>
    </row>
    <row r="931" spans="1:11">
      <c r="A931" t="s">
        <v>14847</v>
      </c>
      <c r="B931" t="s">
        <v>14848</v>
      </c>
      <c r="C931">
        <v>23600900</v>
      </c>
      <c r="J931" t="s">
        <v>14847</v>
      </c>
      <c r="K931" t="s">
        <v>3605</v>
      </c>
    </row>
    <row r="932" spans="1:11">
      <c r="A932" t="s">
        <v>14847</v>
      </c>
      <c r="B932" t="s">
        <v>14848</v>
      </c>
      <c r="C932">
        <v>23600990</v>
      </c>
      <c r="J932" t="s">
        <v>14847</v>
      </c>
      <c r="K932" t="s">
        <v>3605</v>
      </c>
    </row>
    <row r="933" spans="1:11">
      <c r="A933" t="s">
        <v>14849</v>
      </c>
      <c r="B933" t="s">
        <v>14850</v>
      </c>
      <c r="C933">
        <v>23601000</v>
      </c>
      <c r="J933" t="s">
        <v>14849</v>
      </c>
      <c r="K933" t="s">
        <v>3605</v>
      </c>
    </row>
    <row r="934" spans="1:11">
      <c r="A934" t="s">
        <v>14851</v>
      </c>
      <c r="B934" t="s">
        <v>14852</v>
      </c>
      <c r="C934">
        <v>23600000</v>
      </c>
      <c r="D934" t="s">
        <v>14853</v>
      </c>
      <c r="J934" t="s">
        <v>14851</v>
      </c>
      <c r="K934" t="s">
        <v>3605</v>
      </c>
    </row>
    <row r="935" spans="1:11">
      <c r="A935" t="s">
        <v>14854</v>
      </c>
      <c r="B935" t="s">
        <v>14855</v>
      </c>
      <c r="C935">
        <v>23600000</v>
      </c>
      <c r="D935" t="s">
        <v>14856</v>
      </c>
      <c r="J935" t="s">
        <v>14854</v>
      </c>
      <c r="K935" t="s">
        <v>3605</v>
      </c>
    </row>
    <row r="936" spans="1:11">
      <c r="A936" t="s">
        <v>14857</v>
      </c>
      <c r="B936" t="s">
        <v>14858</v>
      </c>
      <c r="C936">
        <v>23600000</v>
      </c>
      <c r="D936" t="s">
        <v>14859</v>
      </c>
      <c r="J936" t="s">
        <v>14857</v>
      </c>
      <c r="K936" t="s">
        <v>3605</v>
      </c>
    </row>
    <row r="937" spans="1:11">
      <c r="A937" t="s">
        <v>14860</v>
      </c>
      <c r="B937" t="s">
        <v>14861</v>
      </c>
      <c r="C937">
        <v>20413000</v>
      </c>
      <c r="D937" t="s">
        <v>14862</v>
      </c>
      <c r="J937" t="s">
        <v>14860</v>
      </c>
      <c r="K937" t="s">
        <v>3605</v>
      </c>
    </row>
    <row r="938" spans="1:11">
      <c r="A938" t="s">
        <v>14863</v>
      </c>
      <c r="B938" t="s">
        <v>14864</v>
      </c>
      <c r="C938">
        <v>23600300</v>
      </c>
      <c r="D938" t="s">
        <v>14865</v>
      </c>
      <c r="J938" t="s">
        <v>14863</v>
      </c>
      <c r="K938" t="s">
        <v>3605</v>
      </c>
    </row>
    <row r="939" spans="1:11">
      <c r="A939" t="s">
        <v>14866</v>
      </c>
      <c r="B939" t="s">
        <v>14867</v>
      </c>
      <c r="C939">
        <v>23600300</v>
      </c>
      <c r="D939" t="s">
        <v>14104</v>
      </c>
      <c r="J939" t="s">
        <v>14866</v>
      </c>
      <c r="K939" t="s">
        <v>3605</v>
      </c>
    </row>
    <row r="940" spans="1:11">
      <c r="A940" t="s">
        <v>14868</v>
      </c>
      <c r="B940" t="s">
        <v>14869</v>
      </c>
      <c r="C940">
        <v>21204000</v>
      </c>
      <c r="J940" t="s">
        <v>14868</v>
      </c>
      <c r="K940" t="s">
        <v>3605</v>
      </c>
    </row>
    <row r="941" spans="1:11">
      <c r="A941" t="s">
        <v>14868</v>
      </c>
      <c r="B941" t="s">
        <v>14869</v>
      </c>
      <c r="C941">
        <v>21204700</v>
      </c>
      <c r="J941" t="s">
        <v>14868</v>
      </c>
      <c r="K941" t="s">
        <v>3605</v>
      </c>
    </row>
    <row r="942" spans="1:11">
      <c r="A942" t="s">
        <v>14870</v>
      </c>
      <c r="B942" t="s">
        <v>14871</v>
      </c>
      <c r="C942">
        <v>21204001</v>
      </c>
      <c r="J942" t="s">
        <v>14870</v>
      </c>
      <c r="K942" t="s">
        <v>3605</v>
      </c>
    </row>
    <row r="943" spans="1:11">
      <c r="A943" t="s">
        <v>14872</v>
      </c>
      <c r="B943" t="s">
        <v>14873</v>
      </c>
      <c r="C943">
        <v>21204002</v>
      </c>
      <c r="J943" t="s">
        <v>14872</v>
      </c>
      <c r="K943" t="s">
        <v>3605</v>
      </c>
    </row>
    <row r="944" spans="1:11">
      <c r="A944" t="s">
        <v>14874</v>
      </c>
      <c r="B944" t="s">
        <v>14875</v>
      </c>
      <c r="C944">
        <v>21204000</v>
      </c>
      <c r="D944" t="s">
        <v>13732</v>
      </c>
      <c r="J944" t="s">
        <v>14874</v>
      </c>
      <c r="K944" t="s">
        <v>3605</v>
      </c>
    </row>
    <row r="945" spans="1:11">
      <c r="A945" t="s">
        <v>14876</v>
      </c>
      <c r="B945" t="s">
        <v>14877</v>
      </c>
      <c r="C945">
        <v>21204001</v>
      </c>
      <c r="J945" t="s">
        <v>14876</v>
      </c>
      <c r="K945" t="s">
        <v>3605</v>
      </c>
    </row>
    <row r="946" spans="1:11">
      <c r="A946" t="s">
        <v>14878</v>
      </c>
      <c r="B946" t="s">
        <v>14879</v>
      </c>
      <c r="C946">
        <v>25612000</v>
      </c>
      <c r="J946" t="s">
        <v>14878</v>
      </c>
      <c r="K946" t="s">
        <v>3605</v>
      </c>
    </row>
    <row r="947" spans="1:11">
      <c r="A947" t="s">
        <v>14880</v>
      </c>
      <c r="B947" t="s">
        <v>14881</v>
      </c>
      <c r="C947">
        <v>25612000</v>
      </c>
      <c r="D947" t="s">
        <v>14882</v>
      </c>
      <c r="J947" t="s">
        <v>14880</v>
      </c>
      <c r="K947" t="s">
        <v>3605</v>
      </c>
    </row>
    <row r="948" spans="1:11">
      <c r="A948" t="s">
        <v>14883</v>
      </c>
      <c r="B948" t="s">
        <v>14884</v>
      </c>
      <c r="C948">
        <v>25612000</v>
      </c>
      <c r="D948" t="s">
        <v>14885</v>
      </c>
      <c r="J948" t="s">
        <v>14883</v>
      </c>
      <c r="K948" t="s">
        <v>3605</v>
      </c>
    </row>
    <row r="949" spans="1:11">
      <c r="A949" t="s">
        <v>14886</v>
      </c>
      <c r="B949" t="s">
        <v>14887</v>
      </c>
      <c r="C949">
        <v>25612000</v>
      </c>
      <c r="D949" t="s">
        <v>14888</v>
      </c>
      <c r="J949" t="s">
        <v>14886</v>
      </c>
      <c r="K949" t="s">
        <v>3605</v>
      </c>
    </row>
    <row r="950" spans="1:11">
      <c r="A950" t="s">
        <v>14889</v>
      </c>
      <c r="B950" t="s">
        <v>14890</v>
      </c>
      <c r="C950">
        <v>25612000</v>
      </c>
      <c r="D950" t="s">
        <v>14891</v>
      </c>
      <c r="J950" t="s">
        <v>14889</v>
      </c>
      <c r="K950" t="s">
        <v>3605</v>
      </c>
    </row>
    <row r="951" spans="1:11">
      <c r="A951" t="s">
        <v>14892</v>
      </c>
      <c r="B951" t="s">
        <v>14893</v>
      </c>
      <c r="C951">
        <v>25612000</v>
      </c>
      <c r="D951" t="s">
        <v>14894</v>
      </c>
      <c r="J951" t="s">
        <v>14892</v>
      </c>
      <c r="K951" t="s">
        <v>3605</v>
      </c>
    </row>
    <row r="952" spans="1:11">
      <c r="A952" t="s">
        <v>14895</v>
      </c>
      <c r="B952" t="s">
        <v>14896</v>
      </c>
      <c r="C952">
        <v>25612000</v>
      </c>
      <c r="D952" t="s">
        <v>14897</v>
      </c>
      <c r="J952" t="s">
        <v>14895</v>
      </c>
      <c r="K952" t="s">
        <v>3605</v>
      </c>
    </row>
    <row r="953" spans="1:11">
      <c r="A953" t="s">
        <v>14898</v>
      </c>
      <c r="B953" t="s">
        <v>14899</v>
      </c>
      <c r="C953">
        <v>25612000</v>
      </c>
      <c r="D953" t="s">
        <v>14900</v>
      </c>
      <c r="J953" t="s">
        <v>14898</v>
      </c>
      <c r="K953" t="s">
        <v>3605</v>
      </c>
    </row>
    <row r="954" spans="1:11">
      <c r="A954" t="s">
        <v>14901</v>
      </c>
      <c r="B954" t="s">
        <v>14902</v>
      </c>
      <c r="C954">
        <v>29916000</v>
      </c>
      <c r="J954" t="s">
        <v>14901</v>
      </c>
      <c r="K954" t="s">
        <v>3605</v>
      </c>
    </row>
    <row r="955" spans="1:11">
      <c r="A955" t="s">
        <v>14903</v>
      </c>
      <c r="B955" t="s">
        <v>14904</v>
      </c>
      <c r="C955">
        <v>29916005</v>
      </c>
      <c r="J955" t="s">
        <v>14903</v>
      </c>
      <c r="K955" t="s">
        <v>3605</v>
      </c>
    </row>
    <row r="956" spans="1:11">
      <c r="A956" t="s">
        <v>14905</v>
      </c>
      <c r="B956" t="s">
        <v>14906</v>
      </c>
      <c r="C956">
        <v>29928000</v>
      </c>
      <c r="J956" t="s">
        <v>14905</v>
      </c>
      <c r="K956" t="s">
        <v>3605</v>
      </c>
    </row>
    <row r="957" spans="1:11">
      <c r="A957" t="s">
        <v>14907</v>
      </c>
      <c r="B957" t="s">
        <v>14908</v>
      </c>
      <c r="C957">
        <v>29928000</v>
      </c>
      <c r="J957" t="s">
        <v>14907</v>
      </c>
      <c r="K957" t="s">
        <v>3605</v>
      </c>
    </row>
    <row r="958" spans="1:11">
      <c r="A958" t="s">
        <v>14909</v>
      </c>
      <c r="B958" t="s">
        <v>14910</v>
      </c>
      <c r="C958">
        <v>29932000</v>
      </c>
      <c r="J958" t="s">
        <v>14909</v>
      </c>
      <c r="K958" t="s">
        <v>3605</v>
      </c>
    </row>
    <row r="959" spans="1:11">
      <c r="A959" t="s">
        <v>14911</v>
      </c>
      <c r="B959" t="s">
        <v>14912</v>
      </c>
      <c r="C959">
        <v>23210000</v>
      </c>
      <c r="J959" t="s">
        <v>14911</v>
      </c>
      <c r="K959" t="s">
        <v>3605</v>
      </c>
    </row>
    <row r="960" spans="1:11">
      <c r="A960" t="s">
        <v>14913</v>
      </c>
      <c r="B960" t="s">
        <v>14914</v>
      </c>
      <c r="C960">
        <v>29950000</v>
      </c>
      <c r="J960" t="s">
        <v>14913</v>
      </c>
      <c r="K960" t="s">
        <v>3605</v>
      </c>
    </row>
    <row r="961" spans="1:11">
      <c r="A961" t="s">
        <v>14915</v>
      </c>
      <c r="B961" t="s">
        <v>14916</v>
      </c>
      <c r="C961">
        <v>29935000</v>
      </c>
      <c r="J961" t="s">
        <v>14915</v>
      </c>
      <c r="K961" t="s">
        <v>3605</v>
      </c>
    </row>
    <row r="962" spans="1:11">
      <c r="A962" t="s">
        <v>14917</v>
      </c>
      <c r="B962" t="s">
        <v>14918</v>
      </c>
      <c r="C962">
        <v>29937000</v>
      </c>
      <c r="J962" t="s">
        <v>14917</v>
      </c>
      <c r="K962" t="s">
        <v>3605</v>
      </c>
    </row>
    <row r="963" spans="1:11">
      <c r="A963" t="s">
        <v>14919</v>
      </c>
      <c r="B963" t="s">
        <v>14920</v>
      </c>
      <c r="C963">
        <v>29856000</v>
      </c>
      <c r="J963" t="s">
        <v>14919</v>
      </c>
      <c r="K963" t="s">
        <v>3605</v>
      </c>
    </row>
    <row r="964" spans="1:11">
      <c r="A964" t="s">
        <v>14921</v>
      </c>
      <c r="B964" t="s">
        <v>14922</v>
      </c>
      <c r="C964">
        <v>29935000</v>
      </c>
      <c r="D964" t="s">
        <v>14923</v>
      </c>
      <c r="J964" t="s">
        <v>14921</v>
      </c>
      <c r="K964" t="s">
        <v>3605</v>
      </c>
    </row>
    <row r="965" spans="1:11">
      <c r="A965" t="s">
        <v>14924</v>
      </c>
      <c r="B965" t="s">
        <v>14925</v>
      </c>
      <c r="C965">
        <v>29935000</v>
      </c>
      <c r="D965" t="s">
        <v>14926</v>
      </c>
      <c r="J965" t="s">
        <v>14924</v>
      </c>
      <c r="K965" t="s">
        <v>3605</v>
      </c>
    </row>
    <row r="966" spans="1:11">
      <c r="A966" t="s">
        <v>14927</v>
      </c>
      <c r="B966" t="s">
        <v>14928</v>
      </c>
      <c r="C966">
        <v>29935000</v>
      </c>
      <c r="D966" t="s">
        <v>14929</v>
      </c>
      <c r="J966" t="s">
        <v>14927</v>
      </c>
      <c r="K966" t="s">
        <v>3605</v>
      </c>
    </row>
    <row r="967" spans="1:11">
      <c r="A967" t="s">
        <v>14930</v>
      </c>
      <c r="B967" t="s">
        <v>14931</v>
      </c>
      <c r="C967">
        <v>29935000</v>
      </c>
      <c r="D967" t="s">
        <v>14932</v>
      </c>
      <c r="J967" t="s">
        <v>14930</v>
      </c>
      <c r="K967" t="s">
        <v>3605</v>
      </c>
    </row>
    <row r="968" spans="1:11">
      <c r="A968" t="s">
        <v>14933</v>
      </c>
      <c r="B968" t="s">
        <v>14934</v>
      </c>
      <c r="C968">
        <v>29935000</v>
      </c>
      <c r="D968" t="s">
        <v>14935</v>
      </c>
      <c r="J968" t="s">
        <v>14933</v>
      </c>
      <c r="K968" t="s">
        <v>3605</v>
      </c>
    </row>
    <row r="969" spans="1:11">
      <c r="A969" t="s">
        <v>14936</v>
      </c>
      <c r="B969" t="s">
        <v>14937</v>
      </c>
      <c r="C969">
        <v>29935000</v>
      </c>
      <c r="D969" t="s">
        <v>14938</v>
      </c>
      <c r="J969" t="s">
        <v>14936</v>
      </c>
      <c r="K969" t="s">
        <v>3605</v>
      </c>
    </row>
    <row r="970" spans="1:11">
      <c r="A970" t="s">
        <v>14939</v>
      </c>
      <c r="B970" t="s">
        <v>14940</v>
      </c>
      <c r="C970">
        <v>26008400</v>
      </c>
      <c r="J970" t="s">
        <v>14939</v>
      </c>
      <c r="K970" t="s">
        <v>3605</v>
      </c>
    </row>
    <row r="971" spans="1:11">
      <c r="A971" t="s">
        <v>14941</v>
      </c>
      <c r="B971" t="s">
        <v>14942</v>
      </c>
      <c r="C971">
        <v>26004000</v>
      </c>
      <c r="J971" t="s">
        <v>14941</v>
      </c>
      <c r="K971" t="s">
        <v>3605</v>
      </c>
    </row>
    <row r="972" spans="1:11">
      <c r="A972" t="s">
        <v>14943</v>
      </c>
      <c r="B972" t="s">
        <v>14944</v>
      </c>
      <c r="C972">
        <v>26002000</v>
      </c>
      <c r="J972" t="s">
        <v>14943</v>
      </c>
      <c r="K972" t="s">
        <v>3605</v>
      </c>
    </row>
    <row r="973" spans="1:11">
      <c r="A973" t="s">
        <v>14945</v>
      </c>
      <c r="B973" t="s">
        <v>14946</v>
      </c>
      <c r="C973">
        <v>26008400</v>
      </c>
      <c r="J973" t="s">
        <v>14945</v>
      </c>
      <c r="K973" t="s">
        <v>3605</v>
      </c>
    </row>
    <row r="974" spans="1:11">
      <c r="A974" t="s">
        <v>14947</v>
      </c>
      <c r="B974" t="s">
        <v>14948</v>
      </c>
      <c r="C974">
        <v>23245000</v>
      </c>
      <c r="J974" t="s">
        <v>14947</v>
      </c>
      <c r="K974" t="s">
        <v>3605</v>
      </c>
    </row>
    <row r="975" spans="1:11">
      <c r="A975" t="s">
        <v>14949</v>
      </c>
      <c r="B975" t="s">
        <v>14950</v>
      </c>
      <c r="C975">
        <v>24804000</v>
      </c>
      <c r="J975" t="s">
        <v>14949</v>
      </c>
      <c r="K975" t="s">
        <v>3605</v>
      </c>
    </row>
    <row r="976" spans="1:11">
      <c r="A976" t="s">
        <v>14951</v>
      </c>
      <c r="B976" t="s">
        <v>14952</v>
      </c>
      <c r="C976">
        <v>21550000</v>
      </c>
      <c r="J976" t="s">
        <v>14951</v>
      </c>
      <c r="K976" t="s">
        <v>3605</v>
      </c>
    </row>
    <row r="977" spans="1:11">
      <c r="A977" t="s">
        <v>14953</v>
      </c>
      <c r="B977" t="s">
        <v>14954</v>
      </c>
      <c r="C977">
        <v>22019000</v>
      </c>
      <c r="J977" t="s">
        <v>14953</v>
      </c>
      <c r="K977" t="s">
        <v>3605</v>
      </c>
    </row>
    <row r="978" spans="1:11">
      <c r="A978" t="s">
        <v>14955</v>
      </c>
      <c r="B978" t="s">
        <v>14956</v>
      </c>
      <c r="C978">
        <v>22812000</v>
      </c>
      <c r="J978" t="s">
        <v>14955</v>
      </c>
      <c r="K978" t="s">
        <v>3605</v>
      </c>
    </row>
    <row r="979" spans="1:11">
      <c r="A979" t="s">
        <v>14957</v>
      </c>
      <c r="B979" t="s">
        <v>14958</v>
      </c>
      <c r="C979">
        <v>23200000</v>
      </c>
      <c r="J979" t="s">
        <v>14957</v>
      </c>
      <c r="K979" t="s">
        <v>3605</v>
      </c>
    </row>
    <row r="980" spans="1:11">
      <c r="A980" t="s">
        <v>14959</v>
      </c>
      <c r="B980" t="s">
        <v>14960</v>
      </c>
      <c r="C980">
        <v>23204000</v>
      </c>
      <c r="J980" t="s">
        <v>14959</v>
      </c>
      <c r="K980" t="s">
        <v>3605</v>
      </c>
    </row>
    <row r="981" spans="1:11">
      <c r="A981" t="s">
        <v>14961</v>
      </c>
      <c r="B981" t="s">
        <v>14962</v>
      </c>
      <c r="C981">
        <v>23299004</v>
      </c>
      <c r="J981" t="s">
        <v>14961</v>
      </c>
      <c r="K981" t="s">
        <v>3605</v>
      </c>
    </row>
    <row r="982" spans="1:11">
      <c r="A982" t="s">
        <v>14961</v>
      </c>
      <c r="B982" t="s">
        <v>14962</v>
      </c>
      <c r="C982">
        <v>21900000</v>
      </c>
      <c r="J982" t="s">
        <v>14961</v>
      </c>
      <c r="K982" t="s">
        <v>3605</v>
      </c>
    </row>
    <row r="983" spans="1:11">
      <c r="A983" t="s">
        <v>14961</v>
      </c>
      <c r="B983" t="s">
        <v>14962</v>
      </c>
      <c r="C983">
        <v>21905000</v>
      </c>
      <c r="J983" t="s">
        <v>14961</v>
      </c>
      <c r="K983" t="s">
        <v>3605</v>
      </c>
    </row>
    <row r="984" spans="1:11">
      <c r="A984" t="s">
        <v>14963</v>
      </c>
      <c r="B984" t="s">
        <v>14964</v>
      </c>
      <c r="C984">
        <v>22499100</v>
      </c>
      <c r="J984" t="s">
        <v>14963</v>
      </c>
      <c r="K984" t="s">
        <v>3605</v>
      </c>
    </row>
    <row r="985" spans="1:11">
      <c r="A985" t="s">
        <v>14965</v>
      </c>
      <c r="B985" t="s">
        <v>14966</v>
      </c>
      <c r="C985">
        <v>23299020</v>
      </c>
      <c r="J985" t="s">
        <v>14965</v>
      </c>
      <c r="K985" t="s">
        <v>3605</v>
      </c>
    </row>
    <row r="986" spans="1:11">
      <c r="A986" t="s">
        <v>14967</v>
      </c>
      <c r="B986" t="s">
        <v>14968</v>
      </c>
      <c r="C986">
        <v>29980001</v>
      </c>
      <c r="J986" t="s">
        <v>14967</v>
      </c>
      <c r="K986" t="s">
        <v>3605</v>
      </c>
    </row>
    <row r="987" spans="1:11">
      <c r="A987" t="s">
        <v>14969</v>
      </c>
      <c r="B987" t="s">
        <v>14970</v>
      </c>
      <c r="C987">
        <v>29990006</v>
      </c>
      <c r="J987" t="s">
        <v>14969</v>
      </c>
      <c r="K987" t="s">
        <v>3605</v>
      </c>
    </row>
    <row r="988" spans="1:11">
      <c r="A988" t="s">
        <v>14971</v>
      </c>
      <c r="B988" t="s">
        <v>14972</v>
      </c>
      <c r="C988">
        <v>29990007</v>
      </c>
      <c r="J988" t="s">
        <v>14971</v>
      </c>
      <c r="K988" t="s">
        <v>3605</v>
      </c>
    </row>
    <row r="989" spans="1:11">
      <c r="A989" t="s">
        <v>14973</v>
      </c>
      <c r="B989" t="s">
        <v>14974</v>
      </c>
      <c r="C989">
        <v>29990008</v>
      </c>
      <c r="J989" t="s">
        <v>14973</v>
      </c>
      <c r="K989" t="s">
        <v>3605</v>
      </c>
    </row>
    <row r="990" spans="1:11">
      <c r="A990" t="s">
        <v>14975</v>
      </c>
      <c r="B990" t="s">
        <v>14976</v>
      </c>
      <c r="C990">
        <v>29999000</v>
      </c>
      <c r="J990" t="s">
        <v>14975</v>
      </c>
      <c r="K990" t="s">
        <v>3605</v>
      </c>
    </row>
    <row r="991" spans="1:11">
      <c r="A991" t="s">
        <v>14977</v>
      </c>
      <c r="B991" t="s">
        <v>14978</v>
      </c>
      <c r="C991">
        <v>29999001</v>
      </c>
      <c r="J991" t="s">
        <v>14977</v>
      </c>
      <c r="K991" t="s">
        <v>3605</v>
      </c>
    </row>
    <row r="992" spans="1:11">
      <c r="A992" t="s">
        <v>14979</v>
      </c>
      <c r="B992" t="s">
        <v>14980</v>
      </c>
      <c r="C992">
        <v>29999002</v>
      </c>
      <c r="J992" t="s">
        <v>14979</v>
      </c>
      <c r="K992" t="s">
        <v>3605</v>
      </c>
    </row>
    <row r="993" spans="1:11">
      <c r="A993" t="s">
        <v>14981</v>
      </c>
      <c r="B993" t="s">
        <v>14982</v>
      </c>
      <c r="C993">
        <v>23299011</v>
      </c>
      <c r="J993" t="s">
        <v>14981</v>
      </c>
      <c r="K993" t="s">
        <v>3605</v>
      </c>
    </row>
    <row r="994" spans="1:11">
      <c r="A994" t="s">
        <v>14983</v>
      </c>
      <c r="B994" t="s">
        <v>14984</v>
      </c>
      <c r="C994">
        <v>23299010</v>
      </c>
      <c r="J994" t="s">
        <v>14983</v>
      </c>
      <c r="K994" t="s">
        <v>3605</v>
      </c>
    </row>
    <row r="995" spans="1:11">
      <c r="A995" t="s">
        <v>14985</v>
      </c>
      <c r="B995" t="s">
        <v>14986</v>
      </c>
      <c r="C995">
        <v>21221000</v>
      </c>
      <c r="J995" t="s">
        <v>14985</v>
      </c>
      <c r="K995" t="s">
        <v>3605</v>
      </c>
    </row>
    <row r="996" spans="1:11">
      <c r="A996" t="s">
        <v>14987</v>
      </c>
      <c r="B996" t="s">
        <v>14988</v>
      </c>
      <c r="C996">
        <v>21221000</v>
      </c>
      <c r="J996" t="s">
        <v>14987</v>
      </c>
      <c r="K996" t="s">
        <v>3605</v>
      </c>
    </row>
    <row r="997" spans="1:11">
      <c r="A997" t="s">
        <v>14989</v>
      </c>
      <c r="B997" t="s">
        <v>14990</v>
      </c>
      <c r="C997">
        <v>21222000</v>
      </c>
      <c r="J997" t="s">
        <v>14989</v>
      </c>
      <c r="K997" t="s">
        <v>3605</v>
      </c>
    </row>
    <row r="998" spans="1:11">
      <c r="A998" t="s">
        <v>14991</v>
      </c>
      <c r="B998" t="s">
        <v>14992</v>
      </c>
      <c r="C998">
        <v>21220000</v>
      </c>
      <c r="J998" t="s">
        <v>14991</v>
      </c>
      <c r="K998" t="s">
        <v>3605</v>
      </c>
    </row>
    <row r="999" spans="1:11">
      <c r="A999" t="s">
        <v>14993</v>
      </c>
      <c r="B999" t="s">
        <v>14994</v>
      </c>
      <c r="C999">
        <v>21220001</v>
      </c>
      <c r="J999" t="s">
        <v>14993</v>
      </c>
      <c r="K999" t="s">
        <v>3605</v>
      </c>
    </row>
    <row r="1000" spans="1:11">
      <c r="A1000" t="s">
        <v>14995</v>
      </c>
      <c r="B1000" t="s">
        <v>14996</v>
      </c>
      <c r="C1000">
        <v>21220002</v>
      </c>
      <c r="J1000" t="s">
        <v>14995</v>
      </c>
      <c r="K1000" t="s">
        <v>3605</v>
      </c>
    </row>
    <row r="1001" spans="1:11">
      <c r="A1001" t="s">
        <v>14997</v>
      </c>
      <c r="B1001" t="s">
        <v>14998</v>
      </c>
      <c r="C1001">
        <v>22421000</v>
      </c>
      <c r="J1001" t="s">
        <v>14997</v>
      </c>
      <c r="K1001" t="s">
        <v>3605</v>
      </c>
    </row>
    <row r="1002" spans="1:11">
      <c r="A1002" t="s">
        <v>14999</v>
      </c>
      <c r="B1002" t="s">
        <v>15000</v>
      </c>
      <c r="C1002">
        <v>12008000</v>
      </c>
      <c r="J1002" t="s">
        <v>14999</v>
      </c>
      <c r="K1002" t="s">
        <v>3605</v>
      </c>
    </row>
    <row r="1003" spans="1:11">
      <c r="A1003" t="s">
        <v>15001</v>
      </c>
      <c r="B1003" t="s">
        <v>15002</v>
      </c>
      <c r="C1003">
        <v>21221003</v>
      </c>
      <c r="J1003" t="s">
        <v>15001</v>
      </c>
      <c r="K1003" t="s">
        <v>3605</v>
      </c>
    </row>
    <row r="1004" spans="1:11">
      <c r="A1004" t="s">
        <v>15003</v>
      </c>
      <c r="B1004" t="s">
        <v>15004</v>
      </c>
      <c r="C1004">
        <v>21221006</v>
      </c>
      <c r="J1004" t="s">
        <v>15003</v>
      </c>
      <c r="K1004" t="s">
        <v>3605</v>
      </c>
    </row>
    <row r="1005" spans="1:11">
      <c r="A1005" t="s">
        <v>15005</v>
      </c>
      <c r="B1005" t="s">
        <v>15006</v>
      </c>
      <c r="C1005">
        <v>21216000</v>
      </c>
      <c r="J1005" t="s">
        <v>15005</v>
      </c>
      <c r="K1005" t="s">
        <v>3605</v>
      </c>
    </row>
    <row r="1006" spans="1:11">
      <c r="A1006" t="s">
        <v>15007</v>
      </c>
      <c r="B1006" t="s">
        <v>15008</v>
      </c>
      <c r="C1006">
        <v>21236000</v>
      </c>
      <c r="J1006" t="s">
        <v>15007</v>
      </c>
      <c r="K1006" t="s">
        <v>3605</v>
      </c>
    </row>
    <row r="1007" spans="1:11">
      <c r="A1007" t="s">
        <v>15009</v>
      </c>
      <c r="B1007" t="s">
        <v>15010</v>
      </c>
      <c r="C1007">
        <v>21237000</v>
      </c>
      <c r="J1007" t="s">
        <v>15009</v>
      </c>
      <c r="K1007" t="s">
        <v>3605</v>
      </c>
    </row>
    <row r="1008" spans="1:11">
      <c r="A1008" t="s">
        <v>15011</v>
      </c>
      <c r="B1008" t="s">
        <v>15012</v>
      </c>
      <c r="C1008">
        <v>21238000</v>
      </c>
      <c r="J1008" t="s">
        <v>15011</v>
      </c>
      <c r="K1008" t="s">
        <v>3605</v>
      </c>
    </row>
    <row r="1009" spans="1:11">
      <c r="A1009" t="s">
        <v>15013</v>
      </c>
      <c r="B1009" t="s">
        <v>15014</v>
      </c>
      <c r="C1009">
        <v>21245000</v>
      </c>
      <c r="J1009" t="s">
        <v>15013</v>
      </c>
      <c r="K1009" t="s">
        <v>3605</v>
      </c>
    </row>
    <row r="1010" spans="1:11">
      <c r="A1010" t="s">
        <v>15015</v>
      </c>
      <c r="B1010" t="s">
        <v>15016</v>
      </c>
      <c r="C1010">
        <v>21245000</v>
      </c>
      <c r="J1010" t="s">
        <v>15015</v>
      </c>
      <c r="K1010" t="s">
        <v>3605</v>
      </c>
    </row>
    <row r="1011" spans="1:11">
      <c r="A1011" t="s">
        <v>15017</v>
      </c>
      <c r="B1011" t="s">
        <v>15018</v>
      </c>
      <c r="C1011">
        <v>21245000</v>
      </c>
      <c r="J1011" t="s">
        <v>15017</v>
      </c>
      <c r="K1011" t="s">
        <v>3605</v>
      </c>
    </row>
    <row r="1012" spans="1:11">
      <c r="A1012" t="s">
        <v>15019</v>
      </c>
      <c r="B1012" t="s">
        <v>15020</v>
      </c>
      <c r="C1012">
        <v>21247000</v>
      </c>
      <c r="J1012" t="s">
        <v>15019</v>
      </c>
      <c r="K1012" t="s">
        <v>3605</v>
      </c>
    </row>
    <row r="1013" spans="1:11">
      <c r="A1013" t="s">
        <v>15021</v>
      </c>
      <c r="B1013" t="s">
        <v>15022</v>
      </c>
      <c r="C1013">
        <v>21247000</v>
      </c>
      <c r="J1013" t="s">
        <v>15021</v>
      </c>
      <c r="K1013" t="s">
        <v>3605</v>
      </c>
    </row>
    <row r="1014" spans="1:11">
      <c r="A1014" t="s">
        <v>15023</v>
      </c>
      <c r="B1014" t="s">
        <v>15024</v>
      </c>
      <c r="C1014">
        <v>21247000</v>
      </c>
      <c r="J1014" t="s">
        <v>15023</v>
      </c>
      <c r="K1014" t="s">
        <v>3605</v>
      </c>
    </row>
    <row r="1015" spans="1:11">
      <c r="A1015" t="s">
        <v>15025</v>
      </c>
      <c r="B1015" t="s">
        <v>15026</v>
      </c>
      <c r="C1015">
        <v>21250000</v>
      </c>
      <c r="J1015" t="s">
        <v>15025</v>
      </c>
      <c r="K1015" t="s">
        <v>3605</v>
      </c>
    </row>
    <row r="1016" spans="1:11">
      <c r="A1016" t="s">
        <v>15027</v>
      </c>
      <c r="B1016" t="s">
        <v>15028</v>
      </c>
      <c r="C1016">
        <v>22099002</v>
      </c>
      <c r="J1016" t="s">
        <v>15027</v>
      </c>
      <c r="K1016" t="s">
        <v>3605</v>
      </c>
    </row>
    <row r="1017" spans="1:11">
      <c r="A1017" t="s">
        <v>15029</v>
      </c>
      <c r="B1017" t="s">
        <v>15030</v>
      </c>
      <c r="C1017">
        <v>21245000</v>
      </c>
      <c r="J1017" t="s">
        <v>15029</v>
      </c>
      <c r="K1017" t="s">
        <v>3605</v>
      </c>
    </row>
    <row r="1018" spans="1:11">
      <c r="A1018" t="s">
        <v>15031</v>
      </c>
      <c r="B1018" t="s">
        <v>15032</v>
      </c>
      <c r="C1018">
        <v>21247000</v>
      </c>
      <c r="J1018" t="s">
        <v>15031</v>
      </c>
      <c r="K1018" t="s">
        <v>3605</v>
      </c>
    </row>
    <row r="1019" spans="1:11">
      <c r="A1019" t="s">
        <v>15033</v>
      </c>
      <c r="B1019" t="s">
        <v>15034</v>
      </c>
      <c r="C1019">
        <v>21208000</v>
      </c>
      <c r="D1019" t="s">
        <v>15035</v>
      </c>
      <c r="J1019" t="s">
        <v>15033</v>
      </c>
      <c r="K1019" t="s">
        <v>3605</v>
      </c>
    </row>
    <row r="1020" spans="1:11">
      <c r="A1020" t="s">
        <v>15033</v>
      </c>
      <c r="B1020" t="s">
        <v>15034</v>
      </c>
      <c r="C1020">
        <v>21208001</v>
      </c>
      <c r="D1020" t="s">
        <v>15035</v>
      </c>
      <c r="J1020" t="s">
        <v>15033</v>
      </c>
      <c r="K1020" t="s">
        <v>3605</v>
      </c>
    </row>
    <row r="1021" spans="1:11">
      <c r="A1021" t="s">
        <v>15036</v>
      </c>
      <c r="B1021" t="s">
        <v>15034</v>
      </c>
      <c r="C1021">
        <v>21221002</v>
      </c>
      <c r="D1021" t="s">
        <v>15037</v>
      </c>
      <c r="J1021" t="s">
        <v>15036</v>
      </c>
      <c r="K1021" t="s">
        <v>3605</v>
      </c>
    </row>
    <row r="1022" spans="1:11">
      <c r="A1022" t="s">
        <v>15038</v>
      </c>
      <c r="B1022" t="s">
        <v>15039</v>
      </c>
      <c r="C1022">
        <v>21299000</v>
      </c>
      <c r="J1022" t="s">
        <v>15038</v>
      </c>
      <c r="K1022" t="s">
        <v>3605</v>
      </c>
    </row>
    <row r="1023" spans="1:11">
      <c r="A1023" t="s">
        <v>15040</v>
      </c>
      <c r="B1023" t="s">
        <v>15041</v>
      </c>
      <c r="C1023">
        <v>21221005</v>
      </c>
      <c r="J1023" t="s">
        <v>15040</v>
      </c>
      <c r="K1023" t="s">
        <v>3605</v>
      </c>
    </row>
    <row r="1024" spans="1:11">
      <c r="A1024" t="s">
        <v>15042</v>
      </c>
      <c r="B1024" t="s">
        <v>15043</v>
      </c>
      <c r="C1024">
        <v>21229001</v>
      </c>
      <c r="J1024" t="s">
        <v>15042</v>
      </c>
      <c r="K1024" t="s">
        <v>3605</v>
      </c>
    </row>
    <row r="1025" spans="1:11">
      <c r="A1025" t="s">
        <v>15044</v>
      </c>
      <c r="B1025" t="s">
        <v>15045</v>
      </c>
      <c r="C1025">
        <v>29820000</v>
      </c>
      <c r="J1025" t="s">
        <v>15044</v>
      </c>
      <c r="K1025" t="s">
        <v>3605</v>
      </c>
    </row>
    <row r="1026" spans="1:11">
      <c r="A1026" t="s">
        <v>15046</v>
      </c>
      <c r="B1026" t="s">
        <v>15047</v>
      </c>
      <c r="C1026">
        <v>25401000</v>
      </c>
      <c r="J1026" t="s">
        <v>15046</v>
      </c>
      <c r="K1026" t="s">
        <v>3605</v>
      </c>
    </row>
    <row r="1027" spans="1:11">
      <c r="A1027" t="s">
        <v>15046</v>
      </c>
      <c r="B1027" t="s">
        <v>15047</v>
      </c>
      <c r="C1027">
        <v>25404000</v>
      </c>
      <c r="J1027" t="s">
        <v>15046</v>
      </c>
      <c r="K1027" t="s">
        <v>3605</v>
      </c>
    </row>
    <row r="1028" spans="1:11">
      <c r="A1028" t="s">
        <v>15048</v>
      </c>
      <c r="B1028" t="s">
        <v>15049</v>
      </c>
      <c r="J1028" t="s">
        <v>15048</v>
      </c>
      <c r="K1028" t="s">
        <v>3605</v>
      </c>
    </row>
    <row r="1029" spans="1:11">
      <c r="A1029" t="s">
        <v>15050</v>
      </c>
      <c r="B1029" t="s">
        <v>15051</v>
      </c>
      <c r="C1029">
        <v>12000000</v>
      </c>
      <c r="J1029" t="s">
        <v>15050</v>
      </c>
      <c r="K1029" t="s">
        <v>3605</v>
      </c>
    </row>
    <row r="1030" spans="1:11">
      <c r="A1030" t="s">
        <v>15050</v>
      </c>
      <c r="B1030" t="s">
        <v>15051</v>
      </c>
      <c r="C1030">
        <v>12016000</v>
      </c>
      <c r="J1030" t="s">
        <v>15050</v>
      </c>
      <c r="K1030" t="s">
        <v>3605</v>
      </c>
    </row>
    <row r="1031" spans="1:11">
      <c r="A1031" t="s">
        <v>15052</v>
      </c>
      <c r="B1031" t="s">
        <v>15053</v>
      </c>
      <c r="C1031">
        <v>12000600</v>
      </c>
      <c r="J1031" t="s">
        <v>15052</v>
      </c>
      <c r="K1031" t="s">
        <v>3605</v>
      </c>
    </row>
    <row r="1032" spans="1:11">
      <c r="A1032" t="s">
        <v>15054</v>
      </c>
      <c r="B1032" t="s">
        <v>15055</v>
      </c>
      <c r="C1032">
        <v>21200000</v>
      </c>
      <c r="D1032" t="s">
        <v>15056</v>
      </c>
      <c r="J1032" t="s">
        <v>15054</v>
      </c>
      <c r="K1032" t="s">
        <v>3605</v>
      </c>
    </row>
    <row r="1033" spans="1:11">
      <c r="A1033" t="s">
        <v>15054</v>
      </c>
      <c r="B1033" t="s">
        <v>15056</v>
      </c>
      <c r="C1033">
        <v>21200007</v>
      </c>
      <c r="D1033" t="s">
        <v>15057</v>
      </c>
      <c r="J1033" t="s">
        <v>15054</v>
      </c>
      <c r="K1033" t="s">
        <v>3605</v>
      </c>
    </row>
    <row r="1034" spans="1:11">
      <c r="A1034" t="s">
        <v>15058</v>
      </c>
      <c r="B1034" t="s">
        <v>15059</v>
      </c>
      <c r="C1034">
        <v>25403000</v>
      </c>
      <c r="J1034" t="s">
        <v>15058</v>
      </c>
      <c r="K1034" t="s">
        <v>3605</v>
      </c>
    </row>
    <row r="1035" spans="1:11">
      <c r="A1035" t="s">
        <v>15060</v>
      </c>
      <c r="B1035" t="s">
        <v>15061</v>
      </c>
      <c r="C1035">
        <v>25402000</v>
      </c>
      <c r="J1035" t="s">
        <v>15060</v>
      </c>
      <c r="K1035" t="s">
        <v>3605</v>
      </c>
    </row>
    <row r="1036" spans="1:11">
      <c r="A1036" t="s">
        <v>15062</v>
      </c>
      <c r="B1036" t="s">
        <v>15063</v>
      </c>
      <c r="C1036">
        <v>25400000</v>
      </c>
      <c r="J1036" t="s">
        <v>15062</v>
      </c>
      <c r="K1036" t="s">
        <v>3605</v>
      </c>
    </row>
    <row r="1037" spans="1:11">
      <c r="A1037" t="s">
        <v>15064</v>
      </c>
      <c r="B1037" t="s">
        <v>15065</v>
      </c>
      <c r="C1037">
        <v>29970007</v>
      </c>
      <c r="J1037" t="s">
        <v>15064</v>
      </c>
      <c r="K1037" t="s">
        <v>3605</v>
      </c>
    </row>
    <row r="1038" spans="1:11">
      <c r="A1038" t="s">
        <v>15066</v>
      </c>
      <c r="B1038" t="s">
        <v>15067</v>
      </c>
      <c r="C1038">
        <v>25404200</v>
      </c>
      <c r="J1038" t="s">
        <v>15066</v>
      </c>
      <c r="K1038" t="s">
        <v>3605</v>
      </c>
    </row>
    <row r="1039" spans="1:11">
      <c r="A1039" t="s">
        <v>15068</v>
      </c>
      <c r="B1039" t="s">
        <v>15069</v>
      </c>
      <c r="C1039">
        <v>25404200</v>
      </c>
      <c r="J1039" t="s">
        <v>15068</v>
      </c>
      <c r="K1039" t="s">
        <v>3605</v>
      </c>
    </row>
    <row r="1040" spans="1:11">
      <c r="A1040" t="s">
        <v>15070</v>
      </c>
      <c r="B1040" t="s">
        <v>15071</v>
      </c>
      <c r="C1040">
        <v>25403000</v>
      </c>
      <c r="D1040">
        <v>2401901</v>
      </c>
      <c r="J1040" t="s">
        <v>15070</v>
      </c>
      <c r="K1040" t="s">
        <v>3605</v>
      </c>
    </row>
    <row r="1041" spans="1:11">
      <c r="A1041" t="s">
        <v>15072</v>
      </c>
      <c r="B1041" t="s">
        <v>15073</v>
      </c>
      <c r="C1041">
        <v>25220000</v>
      </c>
      <c r="J1041" t="s">
        <v>15072</v>
      </c>
      <c r="K1041" t="s">
        <v>3605</v>
      </c>
    </row>
    <row r="1042" spans="1:11">
      <c r="A1042" t="s">
        <v>15074</v>
      </c>
      <c r="B1042" t="s">
        <v>15075</v>
      </c>
      <c r="C1042">
        <v>29924000</v>
      </c>
      <c r="J1042" t="s">
        <v>15074</v>
      </c>
      <c r="K1042" t="s">
        <v>3605</v>
      </c>
    </row>
    <row r="1043" spans="1:11">
      <c r="A1043" t="s">
        <v>15076</v>
      </c>
      <c r="B1043" t="s">
        <v>15077</v>
      </c>
      <c r="C1043">
        <v>22100001</v>
      </c>
      <c r="J1043" t="s">
        <v>15076</v>
      </c>
      <c r="K1043" t="s">
        <v>3605</v>
      </c>
    </row>
    <row r="1044" spans="1:11">
      <c r="A1044" t="s">
        <v>15078</v>
      </c>
      <c r="B1044" t="s">
        <v>15079</v>
      </c>
      <c r="C1044">
        <v>25403100</v>
      </c>
      <c r="J1044" t="s">
        <v>15078</v>
      </c>
      <c r="K1044" t="s">
        <v>3605</v>
      </c>
    </row>
    <row r="1045" spans="1:11">
      <c r="A1045" t="s">
        <v>15080</v>
      </c>
      <c r="B1045" t="s">
        <v>15081</v>
      </c>
      <c r="C1045">
        <v>25404200</v>
      </c>
      <c r="J1045" t="s">
        <v>15080</v>
      </c>
      <c r="K1045" t="s">
        <v>3605</v>
      </c>
    </row>
    <row r="1046" spans="1:11">
      <c r="A1046" t="s">
        <v>15082</v>
      </c>
      <c r="B1046" t="s">
        <v>15083</v>
      </c>
      <c r="C1046">
        <v>25403200</v>
      </c>
      <c r="J1046" t="s">
        <v>15082</v>
      </c>
      <c r="K1046" t="s">
        <v>3605</v>
      </c>
    </row>
    <row r="1047" spans="1:11">
      <c r="A1047" t="s">
        <v>15084</v>
      </c>
      <c r="B1047" t="s">
        <v>15085</v>
      </c>
      <c r="C1047">
        <v>25404200</v>
      </c>
      <c r="J1047" t="s">
        <v>15084</v>
      </c>
      <c r="K1047" t="s">
        <v>3605</v>
      </c>
    </row>
    <row r="1048" spans="1:11">
      <c r="A1048" t="s">
        <v>15086</v>
      </c>
      <c r="B1048" t="s">
        <v>15087</v>
      </c>
      <c r="C1048">
        <v>25403200</v>
      </c>
      <c r="J1048" t="s">
        <v>15086</v>
      </c>
      <c r="K1048" t="s">
        <v>3605</v>
      </c>
    </row>
    <row r="1049" spans="1:11">
      <c r="A1049" t="s">
        <v>15088</v>
      </c>
      <c r="B1049" t="s">
        <v>15089</v>
      </c>
      <c r="C1049">
        <v>25990000</v>
      </c>
      <c r="J1049" t="s">
        <v>15088</v>
      </c>
      <c r="K1049" t="s">
        <v>3605</v>
      </c>
    </row>
    <row r="1050" spans="1:11">
      <c r="A1050" t="s">
        <v>15090</v>
      </c>
      <c r="B1050" t="s">
        <v>15091</v>
      </c>
      <c r="C1050">
        <v>22421000</v>
      </c>
      <c r="D1050" t="s">
        <v>14882</v>
      </c>
      <c r="J1050" t="s">
        <v>15090</v>
      </c>
      <c r="K1050" t="s">
        <v>3605</v>
      </c>
    </row>
    <row r="1051" spans="1:11">
      <c r="A1051" t="s">
        <v>15092</v>
      </c>
      <c r="B1051" t="s">
        <v>15093</v>
      </c>
      <c r="C1051">
        <v>22421000</v>
      </c>
      <c r="D1051" t="s">
        <v>14885</v>
      </c>
      <c r="J1051" t="s">
        <v>15092</v>
      </c>
      <c r="K1051" t="s">
        <v>3605</v>
      </c>
    </row>
    <row r="1052" spans="1:11">
      <c r="A1052" t="s">
        <v>15094</v>
      </c>
      <c r="B1052" t="s">
        <v>15095</v>
      </c>
      <c r="C1052">
        <v>22421000</v>
      </c>
      <c r="D1052" t="s">
        <v>14888</v>
      </c>
      <c r="J1052" t="s">
        <v>15094</v>
      </c>
      <c r="K1052" t="s">
        <v>3605</v>
      </c>
    </row>
    <row r="1053" spans="1:11">
      <c r="A1053" t="s">
        <v>15096</v>
      </c>
      <c r="B1053" t="s">
        <v>15097</v>
      </c>
      <c r="C1053">
        <v>22421000</v>
      </c>
      <c r="D1053" t="s">
        <v>14891</v>
      </c>
      <c r="J1053" t="s">
        <v>15096</v>
      </c>
      <c r="K1053" t="s">
        <v>3605</v>
      </c>
    </row>
    <row r="1054" spans="1:11">
      <c r="A1054" t="s">
        <v>15098</v>
      </c>
      <c r="B1054" t="s">
        <v>15099</v>
      </c>
      <c r="C1054">
        <v>22421000</v>
      </c>
      <c r="D1054" t="s">
        <v>14894</v>
      </c>
      <c r="J1054" t="s">
        <v>15098</v>
      </c>
      <c r="K1054" t="s">
        <v>3605</v>
      </c>
    </row>
    <row r="1055" spans="1:11">
      <c r="A1055" t="s">
        <v>15100</v>
      </c>
      <c r="B1055" t="s">
        <v>15101</v>
      </c>
      <c r="C1055">
        <v>22421000</v>
      </c>
      <c r="D1055" t="s">
        <v>15102</v>
      </c>
      <c r="J1055" t="s">
        <v>15100</v>
      </c>
      <c r="K1055" t="s">
        <v>3605</v>
      </c>
    </row>
    <row r="1056" spans="1:11">
      <c r="A1056" t="s">
        <v>15103</v>
      </c>
      <c r="B1056" t="s">
        <v>15104</v>
      </c>
      <c r="C1056">
        <v>22421000</v>
      </c>
      <c r="D1056" t="s">
        <v>14897</v>
      </c>
      <c r="J1056" t="s">
        <v>15103</v>
      </c>
      <c r="K1056" t="s">
        <v>3605</v>
      </c>
    </row>
    <row r="1057" spans="1:11">
      <c r="A1057" t="s">
        <v>15105</v>
      </c>
      <c r="B1057" t="s">
        <v>15097</v>
      </c>
      <c r="C1057">
        <v>22421000</v>
      </c>
      <c r="D1057" t="s">
        <v>14900</v>
      </c>
      <c r="J1057" t="s">
        <v>15105</v>
      </c>
      <c r="K1057" t="s">
        <v>3605</v>
      </c>
    </row>
    <row r="1058" spans="1:11">
      <c r="A1058" t="s">
        <v>15106</v>
      </c>
      <c r="B1058" t="s">
        <v>15107</v>
      </c>
      <c r="C1058">
        <v>25991000</v>
      </c>
      <c r="J1058" t="s">
        <v>15106</v>
      </c>
      <c r="K1058" t="s">
        <v>3605</v>
      </c>
    </row>
    <row r="1059" spans="1:11">
      <c r="A1059" t="s">
        <v>15108</v>
      </c>
      <c r="B1059" t="s">
        <v>15109</v>
      </c>
      <c r="C1059">
        <v>22421000</v>
      </c>
      <c r="D1059" t="s">
        <v>14882</v>
      </c>
      <c r="J1059" t="s">
        <v>15108</v>
      </c>
      <c r="K1059" t="s">
        <v>3605</v>
      </c>
    </row>
    <row r="1060" spans="1:11">
      <c r="A1060" t="s">
        <v>15110</v>
      </c>
      <c r="B1060" t="s">
        <v>15111</v>
      </c>
      <c r="C1060">
        <v>22421000</v>
      </c>
      <c r="D1060" t="s">
        <v>14885</v>
      </c>
      <c r="J1060" t="s">
        <v>15110</v>
      </c>
      <c r="K1060" t="s">
        <v>3605</v>
      </c>
    </row>
    <row r="1061" spans="1:11">
      <c r="A1061" t="s">
        <v>15112</v>
      </c>
      <c r="B1061" t="s">
        <v>15113</v>
      </c>
      <c r="C1061">
        <v>22421000</v>
      </c>
      <c r="D1061" t="s">
        <v>14888</v>
      </c>
      <c r="J1061" t="s">
        <v>15112</v>
      </c>
      <c r="K1061" t="s">
        <v>3605</v>
      </c>
    </row>
    <row r="1062" spans="1:11">
      <c r="A1062" t="s">
        <v>15114</v>
      </c>
      <c r="B1062" t="s">
        <v>15115</v>
      </c>
      <c r="C1062">
        <v>22421000</v>
      </c>
      <c r="D1062" t="s">
        <v>14891</v>
      </c>
      <c r="J1062" t="s">
        <v>15114</v>
      </c>
      <c r="K1062" t="s">
        <v>3605</v>
      </c>
    </row>
    <row r="1063" spans="1:11">
      <c r="A1063" t="s">
        <v>15116</v>
      </c>
      <c r="B1063" t="s">
        <v>15117</v>
      </c>
      <c r="C1063">
        <v>22421000</v>
      </c>
      <c r="D1063" t="s">
        <v>15102</v>
      </c>
      <c r="J1063" t="s">
        <v>15116</v>
      </c>
      <c r="K1063" t="s">
        <v>3605</v>
      </c>
    </row>
    <row r="1064" spans="1:11">
      <c r="A1064" t="s">
        <v>15118</v>
      </c>
      <c r="B1064" t="s">
        <v>15119</v>
      </c>
      <c r="C1064">
        <v>22421000</v>
      </c>
      <c r="D1064" t="s">
        <v>14897</v>
      </c>
      <c r="J1064" t="s">
        <v>15118</v>
      </c>
      <c r="K1064" t="s">
        <v>3605</v>
      </c>
    </row>
    <row r="1065" spans="1:11">
      <c r="A1065" t="s">
        <v>15120</v>
      </c>
      <c r="B1065" t="s">
        <v>15121</v>
      </c>
      <c r="C1065">
        <v>25992000</v>
      </c>
      <c r="J1065" t="s">
        <v>15120</v>
      </c>
      <c r="K1065" t="s">
        <v>3605</v>
      </c>
    </row>
    <row r="1066" spans="1:11">
      <c r="A1066" t="s">
        <v>15122</v>
      </c>
      <c r="B1066" t="s">
        <v>15123</v>
      </c>
      <c r="C1066">
        <v>22421000</v>
      </c>
      <c r="D1066" t="s">
        <v>14882</v>
      </c>
      <c r="J1066" t="s">
        <v>15122</v>
      </c>
      <c r="K1066" t="s">
        <v>3605</v>
      </c>
    </row>
    <row r="1067" spans="1:11">
      <c r="A1067" t="s">
        <v>15124</v>
      </c>
      <c r="B1067" t="s">
        <v>15125</v>
      </c>
      <c r="C1067">
        <v>22421000</v>
      </c>
      <c r="D1067" t="s">
        <v>14885</v>
      </c>
      <c r="J1067" t="s">
        <v>15124</v>
      </c>
      <c r="K1067" t="s">
        <v>3605</v>
      </c>
    </row>
    <row r="1068" spans="1:11">
      <c r="A1068" t="s">
        <v>15126</v>
      </c>
      <c r="B1068" t="s">
        <v>15127</v>
      </c>
      <c r="C1068">
        <v>22421000</v>
      </c>
      <c r="D1068" t="s">
        <v>14888</v>
      </c>
      <c r="J1068" t="s">
        <v>15126</v>
      </c>
      <c r="K1068" t="s">
        <v>3605</v>
      </c>
    </row>
    <row r="1069" spans="1:11">
      <c r="A1069" t="s">
        <v>15128</v>
      </c>
      <c r="B1069" t="s">
        <v>15129</v>
      </c>
      <c r="C1069">
        <v>22421000</v>
      </c>
      <c r="D1069" t="s">
        <v>14891</v>
      </c>
      <c r="J1069" t="s">
        <v>15128</v>
      </c>
      <c r="K1069" t="s">
        <v>3605</v>
      </c>
    </row>
    <row r="1070" spans="1:11">
      <c r="A1070" t="s">
        <v>15130</v>
      </c>
      <c r="B1070" t="s">
        <v>15131</v>
      </c>
      <c r="C1070">
        <v>22421000</v>
      </c>
      <c r="D1070" t="s">
        <v>14894</v>
      </c>
      <c r="J1070" t="s">
        <v>15130</v>
      </c>
      <c r="K1070" t="s">
        <v>3605</v>
      </c>
    </row>
    <row r="1071" spans="1:11">
      <c r="A1071" t="s">
        <v>15132</v>
      </c>
      <c r="B1071" t="s">
        <v>15133</v>
      </c>
      <c r="C1071">
        <v>22421000</v>
      </c>
      <c r="D1071" t="s">
        <v>15102</v>
      </c>
      <c r="J1071" t="s">
        <v>15132</v>
      </c>
      <c r="K1071" t="s">
        <v>3605</v>
      </c>
    </row>
    <row r="1072" spans="1:11">
      <c r="A1072" t="s">
        <v>15134</v>
      </c>
      <c r="B1072" t="s">
        <v>15135</v>
      </c>
      <c r="C1072">
        <v>22421000</v>
      </c>
      <c r="D1072" t="s">
        <v>14897</v>
      </c>
      <c r="J1072" t="s">
        <v>15134</v>
      </c>
      <c r="K1072" t="s">
        <v>3605</v>
      </c>
    </row>
    <row r="1073" spans="1:11">
      <c r="A1073" t="s">
        <v>15136</v>
      </c>
      <c r="B1073" t="s">
        <v>15129</v>
      </c>
      <c r="C1073">
        <v>22421000</v>
      </c>
      <c r="D1073" t="s">
        <v>14900</v>
      </c>
      <c r="J1073" t="s">
        <v>15136</v>
      </c>
      <c r="K1073" t="s">
        <v>3605</v>
      </c>
    </row>
    <row r="1074" spans="1:11">
      <c r="A1074" t="s">
        <v>15137</v>
      </c>
      <c r="B1074" t="s">
        <v>15138</v>
      </c>
      <c r="C1074">
        <v>30004000</v>
      </c>
      <c r="J1074" t="s">
        <v>15137</v>
      </c>
      <c r="K1074" t="s">
        <v>3605</v>
      </c>
    </row>
    <row r="1075" spans="1:11">
      <c r="A1075" t="s">
        <v>15139</v>
      </c>
      <c r="B1075" t="s">
        <v>15140</v>
      </c>
      <c r="C1075">
        <v>30800000</v>
      </c>
      <c r="D1075" t="s">
        <v>15141</v>
      </c>
      <c r="J1075" t="s">
        <v>15139</v>
      </c>
      <c r="K1075" t="s">
        <v>3605</v>
      </c>
    </row>
    <row r="1076" spans="1:11">
      <c r="A1076" t="s">
        <v>15139</v>
      </c>
      <c r="B1076" t="s">
        <v>15140</v>
      </c>
      <c r="C1076">
        <v>31700000</v>
      </c>
      <c r="D1076" t="s">
        <v>15142</v>
      </c>
      <c r="J1076" t="s">
        <v>15139</v>
      </c>
      <c r="K1076" t="s">
        <v>3605</v>
      </c>
    </row>
    <row r="1077" spans="1:11">
      <c r="B1077" t="s">
        <v>15143</v>
      </c>
      <c r="C1077">
        <v>35010000</v>
      </c>
      <c r="D1077" t="s">
        <v>15144</v>
      </c>
    </row>
    <row r="1078" spans="1:11">
      <c r="A1078" t="s">
        <v>15145</v>
      </c>
      <c r="B1078" t="s">
        <v>15146</v>
      </c>
      <c r="C1078">
        <v>35010001</v>
      </c>
      <c r="D1078" t="s">
        <v>15147</v>
      </c>
      <c r="J1078" t="s">
        <v>15145</v>
      </c>
      <c r="K1078" t="s">
        <v>3605</v>
      </c>
    </row>
    <row r="1079" spans="1:11">
      <c r="A1079" t="s">
        <v>15148</v>
      </c>
      <c r="B1079" t="s">
        <v>15149</v>
      </c>
      <c r="C1079">
        <v>30810000</v>
      </c>
      <c r="D1079" t="s">
        <v>15150</v>
      </c>
      <c r="J1079" t="s">
        <v>15148</v>
      </c>
      <c r="K1079" t="s">
        <v>3605</v>
      </c>
    </row>
    <row r="1080" spans="1:11">
      <c r="A1080" t="s">
        <v>15151</v>
      </c>
      <c r="B1080" t="s">
        <v>15152</v>
      </c>
      <c r="C1080">
        <v>30820000</v>
      </c>
      <c r="D1080" t="s">
        <v>15153</v>
      </c>
      <c r="J1080" t="s">
        <v>15151</v>
      </c>
      <c r="K1080" t="s">
        <v>3605</v>
      </c>
    </row>
    <row r="1081" spans="1:11">
      <c r="A1081" t="s">
        <v>15154</v>
      </c>
      <c r="B1081" t="s">
        <v>15155</v>
      </c>
      <c r="C1081">
        <v>30830000</v>
      </c>
      <c r="D1081" t="s">
        <v>15156</v>
      </c>
      <c r="J1081" t="s">
        <v>15154</v>
      </c>
      <c r="K1081" t="s">
        <v>3605</v>
      </c>
    </row>
    <row r="1082" spans="1:11">
      <c r="A1082" t="s">
        <v>15157</v>
      </c>
      <c r="B1082" t="s">
        <v>15158</v>
      </c>
      <c r="C1082">
        <v>30840000</v>
      </c>
      <c r="D1082" t="s">
        <v>15159</v>
      </c>
      <c r="J1082" t="s">
        <v>15157</v>
      </c>
      <c r="K1082" t="s">
        <v>3605</v>
      </c>
    </row>
    <row r="1083" spans="1:11">
      <c r="A1083" t="s">
        <v>15160</v>
      </c>
      <c r="B1083" t="s">
        <v>15161</v>
      </c>
      <c r="C1083">
        <v>30004001</v>
      </c>
      <c r="J1083" t="s">
        <v>15160</v>
      </c>
      <c r="K1083" t="s">
        <v>3605</v>
      </c>
    </row>
    <row r="1084" spans="1:11">
      <c r="A1084" t="s">
        <v>15162</v>
      </c>
      <c r="B1084" t="s">
        <v>15163</v>
      </c>
      <c r="C1084">
        <v>30000000</v>
      </c>
      <c r="J1084" t="s">
        <v>15162</v>
      </c>
      <c r="K1084" t="s">
        <v>3605</v>
      </c>
    </row>
    <row r="1085" spans="1:11">
      <c r="A1085" t="s">
        <v>15164</v>
      </c>
      <c r="B1085" t="s">
        <v>15165</v>
      </c>
      <c r="C1085">
        <v>30404001</v>
      </c>
      <c r="J1085" t="s">
        <v>15164</v>
      </c>
      <c r="K1085" t="s">
        <v>3605</v>
      </c>
    </row>
    <row r="1086" spans="1:11">
      <c r="B1086" t="s">
        <v>15166</v>
      </c>
      <c r="C1086">
        <v>31300000</v>
      </c>
      <c r="D1086" t="s">
        <v>15167</v>
      </c>
    </row>
    <row r="1087" spans="1:11">
      <c r="A1087" t="s">
        <v>15168</v>
      </c>
      <c r="B1087" t="s">
        <v>15169</v>
      </c>
      <c r="C1087">
        <v>30810050</v>
      </c>
      <c r="D1087" t="s">
        <v>15170</v>
      </c>
      <c r="J1087" t="s">
        <v>15168</v>
      </c>
      <c r="K1087" t="s">
        <v>3605</v>
      </c>
    </row>
    <row r="1088" spans="1:11">
      <c r="A1088" t="s">
        <v>15171</v>
      </c>
      <c r="B1088" t="s">
        <v>15172</v>
      </c>
      <c r="C1088">
        <v>30820050</v>
      </c>
      <c r="D1088" t="s">
        <v>15173</v>
      </c>
      <c r="J1088" t="s">
        <v>15171</v>
      </c>
      <c r="K1088" t="s">
        <v>3605</v>
      </c>
    </row>
    <row r="1089" spans="1:11">
      <c r="A1089" t="s">
        <v>15174</v>
      </c>
      <c r="B1089" t="s">
        <v>15175</v>
      </c>
      <c r="C1089">
        <v>30830050</v>
      </c>
      <c r="D1089" t="s">
        <v>15176</v>
      </c>
      <c r="J1089" t="s">
        <v>15174</v>
      </c>
      <c r="K1089" t="s">
        <v>3605</v>
      </c>
    </row>
    <row r="1090" spans="1:11">
      <c r="A1090" t="s">
        <v>15177</v>
      </c>
      <c r="B1090" t="s">
        <v>15178</v>
      </c>
      <c r="C1090">
        <v>30840050</v>
      </c>
      <c r="D1090" t="s">
        <v>15179</v>
      </c>
      <c r="J1090" t="s">
        <v>15177</v>
      </c>
      <c r="K1090" t="s">
        <v>3605</v>
      </c>
    </row>
    <row r="1091" spans="1:11">
      <c r="A1091" t="s">
        <v>15180</v>
      </c>
      <c r="B1091" t="s">
        <v>15181</v>
      </c>
      <c r="C1091">
        <v>30850050</v>
      </c>
      <c r="D1091" t="s">
        <v>15182</v>
      </c>
      <c r="J1091" t="s">
        <v>15180</v>
      </c>
      <c r="K1091" t="s">
        <v>3605</v>
      </c>
    </row>
    <row r="1092" spans="1:11">
      <c r="A1092" t="s">
        <v>15183</v>
      </c>
      <c r="B1092" t="s">
        <v>15184</v>
      </c>
      <c r="C1092">
        <v>30811000</v>
      </c>
      <c r="D1092" t="s">
        <v>15185</v>
      </c>
      <c r="J1092" t="s">
        <v>15183</v>
      </c>
      <c r="K1092" t="s">
        <v>3605</v>
      </c>
    </row>
    <row r="1093" spans="1:11">
      <c r="A1093" t="s">
        <v>15186</v>
      </c>
      <c r="B1093" t="s">
        <v>15187</v>
      </c>
      <c r="C1093">
        <v>30831000</v>
      </c>
      <c r="D1093" t="s">
        <v>15188</v>
      </c>
      <c r="J1093" t="s">
        <v>15186</v>
      </c>
      <c r="K1093" t="s">
        <v>3605</v>
      </c>
    </row>
    <row r="1094" spans="1:11">
      <c r="A1094" t="s">
        <v>15189</v>
      </c>
      <c r="B1094" t="s">
        <v>15190</v>
      </c>
      <c r="C1094">
        <v>30841000</v>
      </c>
      <c r="D1094" t="s">
        <v>15191</v>
      </c>
      <c r="J1094" t="s">
        <v>15189</v>
      </c>
      <c r="K1094" t="s">
        <v>3605</v>
      </c>
    </row>
    <row r="1095" spans="1:11">
      <c r="A1095" t="s">
        <v>15192</v>
      </c>
      <c r="B1095" t="s">
        <v>15193</v>
      </c>
      <c r="C1095">
        <v>30841000</v>
      </c>
      <c r="J1095" t="s">
        <v>15192</v>
      </c>
      <c r="K1095" t="s">
        <v>3605</v>
      </c>
    </row>
    <row r="1096" spans="1:11">
      <c r="A1096" t="s">
        <v>15194</v>
      </c>
      <c r="B1096" t="s">
        <v>15195</v>
      </c>
      <c r="C1096">
        <v>31204000</v>
      </c>
      <c r="J1096" t="s">
        <v>15194</v>
      </c>
      <c r="K1096" t="s">
        <v>3605</v>
      </c>
    </row>
    <row r="1097" spans="1:11">
      <c r="A1097" t="s">
        <v>15196</v>
      </c>
      <c r="B1097" t="s">
        <v>15197</v>
      </c>
      <c r="C1097">
        <v>31204000</v>
      </c>
      <c r="D1097" t="s">
        <v>15198</v>
      </c>
      <c r="J1097" t="s">
        <v>15196</v>
      </c>
      <c r="K1097" t="s">
        <v>3605</v>
      </c>
    </row>
    <row r="1098" spans="1:11">
      <c r="B1098" t="s">
        <v>15199</v>
      </c>
      <c r="C1098">
        <v>31204002</v>
      </c>
      <c r="D1098" t="s">
        <v>15200</v>
      </c>
    </row>
    <row r="1099" spans="1:11">
      <c r="A1099" t="s">
        <v>15201</v>
      </c>
      <c r="B1099" t="s">
        <v>15202</v>
      </c>
      <c r="C1099">
        <v>31204001</v>
      </c>
      <c r="D1099" t="s">
        <v>15203</v>
      </c>
      <c r="J1099" t="s">
        <v>15201</v>
      </c>
      <c r="K1099" t="s">
        <v>3605</v>
      </c>
    </row>
    <row r="1100" spans="1:11">
      <c r="B1100" t="s">
        <v>15204</v>
      </c>
      <c r="C1100">
        <v>31236004</v>
      </c>
      <c r="D1100" t="s">
        <v>15205</v>
      </c>
    </row>
    <row r="1101" spans="1:11">
      <c r="A1101" t="s">
        <v>15206</v>
      </c>
      <c r="B1101" t="s">
        <v>15207</v>
      </c>
      <c r="C1101">
        <v>31800004</v>
      </c>
      <c r="D1101" t="s">
        <v>15208</v>
      </c>
      <c r="J1101" t="s">
        <v>15206</v>
      </c>
      <c r="K1101" t="s">
        <v>3605</v>
      </c>
    </row>
    <row r="1102" spans="1:11">
      <c r="A1102" t="s">
        <v>15209</v>
      </c>
      <c r="B1102" t="s">
        <v>15210</v>
      </c>
      <c r="C1102">
        <v>31900904</v>
      </c>
      <c r="D1102" t="s">
        <v>15211</v>
      </c>
      <c r="J1102" t="s">
        <v>15209</v>
      </c>
      <c r="K1102" t="s">
        <v>3605</v>
      </c>
    </row>
    <row r="1103" spans="1:11">
      <c r="A1103" t="s">
        <v>15212</v>
      </c>
      <c r="B1103" t="s">
        <v>15213</v>
      </c>
      <c r="C1103">
        <v>31904004</v>
      </c>
      <c r="D1103" t="s">
        <v>15214</v>
      </c>
      <c r="J1103" t="s">
        <v>15212</v>
      </c>
      <c r="K1103" t="s">
        <v>3605</v>
      </c>
    </row>
    <row r="1104" spans="1:11">
      <c r="A1104" t="s">
        <v>15215</v>
      </c>
      <c r="B1104" t="s">
        <v>15216</v>
      </c>
      <c r="C1104">
        <v>31908004</v>
      </c>
      <c r="D1104" t="s">
        <v>15217</v>
      </c>
      <c r="J1104" t="s">
        <v>15215</v>
      </c>
      <c r="K1104" t="s">
        <v>3605</v>
      </c>
    </row>
    <row r="1105" spans="1:11">
      <c r="A1105" t="s">
        <v>15218</v>
      </c>
      <c r="B1105" t="s">
        <v>15219</v>
      </c>
      <c r="C1105">
        <v>31940004</v>
      </c>
      <c r="D1105" t="s">
        <v>15220</v>
      </c>
      <c r="J1105" t="s">
        <v>15218</v>
      </c>
      <c r="K1105" t="s">
        <v>3605</v>
      </c>
    </row>
    <row r="1106" spans="1:11">
      <c r="A1106" t="s">
        <v>15221</v>
      </c>
      <c r="B1106" t="s">
        <v>15222</v>
      </c>
      <c r="C1106">
        <v>31206000</v>
      </c>
      <c r="D1106" t="s">
        <v>15223</v>
      </c>
      <c r="J1106" t="s">
        <v>15221</v>
      </c>
      <c r="K1106" t="s">
        <v>3605</v>
      </c>
    </row>
    <row r="1107" spans="1:11">
      <c r="A1107" t="s">
        <v>15224</v>
      </c>
      <c r="B1107" t="s">
        <v>15225</v>
      </c>
      <c r="C1107">
        <v>31212000</v>
      </c>
      <c r="D1107" t="s">
        <v>15226</v>
      </c>
      <c r="J1107" t="s">
        <v>15224</v>
      </c>
      <c r="K1107" t="s">
        <v>3605</v>
      </c>
    </row>
    <row r="1108" spans="1:11">
      <c r="A1108" t="s">
        <v>15227</v>
      </c>
      <c r="B1108" t="s">
        <v>15228</v>
      </c>
      <c r="C1108">
        <v>31208000</v>
      </c>
      <c r="D1108" t="s">
        <v>15229</v>
      </c>
      <c r="J1108" t="s">
        <v>15227</v>
      </c>
      <c r="K1108" t="s">
        <v>3605</v>
      </c>
    </row>
    <row r="1109" spans="1:11">
      <c r="A1109" t="s">
        <v>15230</v>
      </c>
      <c r="B1109" t="s">
        <v>15231</v>
      </c>
      <c r="C1109">
        <v>31216000</v>
      </c>
      <c r="D1109" t="s">
        <v>15232</v>
      </c>
      <c r="J1109" t="s">
        <v>15230</v>
      </c>
      <c r="K1109" t="s">
        <v>3605</v>
      </c>
    </row>
    <row r="1110" spans="1:11">
      <c r="A1110" t="s">
        <v>15233</v>
      </c>
      <c r="B1110" t="s">
        <v>15234</v>
      </c>
      <c r="C1110">
        <v>31228000</v>
      </c>
      <c r="D1110" t="s">
        <v>15235</v>
      </c>
      <c r="J1110" t="s">
        <v>15233</v>
      </c>
      <c r="K1110" t="s">
        <v>3605</v>
      </c>
    </row>
    <row r="1111" spans="1:11">
      <c r="A1111" t="s">
        <v>15236</v>
      </c>
      <c r="B1111" t="s">
        <v>15237</v>
      </c>
      <c r="C1111">
        <v>31200000</v>
      </c>
      <c r="D1111" t="s">
        <v>15238</v>
      </c>
      <c r="J1111" t="s">
        <v>15236</v>
      </c>
      <c r="K1111" t="s">
        <v>3605</v>
      </c>
    </row>
    <row r="1112" spans="1:11">
      <c r="A1112" t="s">
        <v>15239</v>
      </c>
      <c r="B1112" t="s">
        <v>15240</v>
      </c>
      <c r="C1112">
        <v>31200001</v>
      </c>
      <c r="D1112" t="s">
        <v>15241</v>
      </c>
      <c r="J1112" t="s">
        <v>15239</v>
      </c>
      <c r="K1112" t="s">
        <v>3605</v>
      </c>
    </row>
    <row r="1113" spans="1:11">
      <c r="A1113" t="s">
        <v>15242</v>
      </c>
      <c r="B1113" t="s">
        <v>15243</v>
      </c>
      <c r="C1113">
        <v>35034002</v>
      </c>
      <c r="D1113" t="s">
        <v>15244</v>
      </c>
      <c r="J1113" t="s">
        <v>15242</v>
      </c>
      <c r="K1113" t="s">
        <v>3605</v>
      </c>
    </row>
    <row r="1114" spans="1:11">
      <c r="A1114" t="s">
        <v>15245</v>
      </c>
      <c r="B1114" t="s">
        <v>15246</v>
      </c>
      <c r="C1114">
        <v>35005000</v>
      </c>
      <c r="D1114" t="s">
        <v>15247</v>
      </c>
      <c r="J1114" t="s">
        <v>15245</v>
      </c>
      <c r="K1114" t="s">
        <v>3605</v>
      </c>
    </row>
    <row r="1115" spans="1:11">
      <c r="A1115" t="s">
        <v>15248</v>
      </c>
      <c r="B1115" t="s">
        <v>15249</v>
      </c>
      <c r="C1115">
        <v>35008000</v>
      </c>
      <c r="D1115" t="s">
        <v>15250</v>
      </c>
      <c r="J1115" t="s">
        <v>15248</v>
      </c>
      <c r="K1115" t="s">
        <v>3605</v>
      </c>
    </row>
    <row r="1116" spans="1:11">
      <c r="A1116" t="s">
        <v>15251</v>
      </c>
      <c r="B1116" t="s">
        <v>15252</v>
      </c>
      <c r="C1116">
        <v>35012001</v>
      </c>
      <c r="J1116" t="s">
        <v>15251</v>
      </c>
      <c r="K1116" t="s">
        <v>3605</v>
      </c>
    </row>
    <row r="1117" spans="1:11">
      <c r="A1117" t="s">
        <v>15253</v>
      </c>
      <c r="B1117" t="s">
        <v>15254</v>
      </c>
      <c r="C1117">
        <v>35028000</v>
      </c>
      <c r="D1117" t="s">
        <v>15255</v>
      </c>
      <c r="J1117" t="s">
        <v>15253</v>
      </c>
      <c r="K1117" t="s">
        <v>3605</v>
      </c>
    </row>
    <row r="1118" spans="1:11">
      <c r="A1118" t="s">
        <v>15256</v>
      </c>
      <c r="B1118" t="s">
        <v>15257</v>
      </c>
      <c r="C1118">
        <v>35032000</v>
      </c>
      <c r="D1118" t="s">
        <v>15258</v>
      </c>
      <c r="J1118" t="s">
        <v>15256</v>
      </c>
      <c r="K1118" t="s">
        <v>3605</v>
      </c>
    </row>
    <row r="1119" spans="1:11">
      <c r="A1119" t="s">
        <v>15259</v>
      </c>
      <c r="B1119" t="s">
        <v>15260</v>
      </c>
      <c r="C1119">
        <v>35034000</v>
      </c>
      <c r="D1119" t="s">
        <v>15261</v>
      </c>
      <c r="J1119" t="s">
        <v>15259</v>
      </c>
      <c r="K1119" t="s">
        <v>3605</v>
      </c>
    </row>
    <row r="1120" spans="1:11">
      <c r="A1120" t="s">
        <v>15262</v>
      </c>
      <c r="B1120" t="s">
        <v>15263</v>
      </c>
      <c r="C1120">
        <v>35036002</v>
      </c>
      <c r="D1120" t="s">
        <v>15264</v>
      </c>
      <c r="J1120" t="s">
        <v>15262</v>
      </c>
      <c r="K1120" t="s">
        <v>3605</v>
      </c>
    </row>
    <row r="1121" spans="1:11">
      <c r="A1121" t="s">
        <v>15265</v>
      </c>
      <c r="B1121" t="s">
        <v>15266</v>
      </c>
      <c r="C1121">
        <v>31600000</v>
      </c>
      <c r="D1121" t="s">
        <v>15267</v>
      </c>
      <c r="J1121" t="s">
        <v>15265</v>
      </c>
      <c r="K1121" t="s">
        <v>3605</v>
      </c>
    </row>
    <row r="1122" spans="1:11">
      <c r="A1122" t="s">
        <v>15268</v>
      </c>
      <c r="B1122" t="s">
        <v>15269</v>
      </c>
      <c r="C1122">
        <v>31604000</v>
      </c>
      <c r="D1122" t="s">
        <v>15270</v>
      </c>
      <c r="J1122" t="s">
        <v>15268</v>
      </c>
      <c r="K1122" t="s">
        <v>3605</v>
      </c>
    </row>
    <row r="1123" spans="1:11">
      <c r="A1123" t="s">
        <v>15271</v>
      </c>
      <c r="B1123" t="s">
        <v>15272</v>
      </c>
      <c r="C1123">
        <v>31604010</v>
      </c>
      <c r="D1123" t="s">
        <v>15273</v>
      </c>
      <c r="J1123" t="s">
        <v>15271</v>
      </c>
      <c r="K1123" t="s">
        <v>3605</v>
      </c>
    </row>
    <row r="1124" spans="1:11">
      <c r="A1124" t="s">
        <v>15274</v>
      </c>
      <c r="B1124" t="s">
        <v>15275</v>
      </c>
      <c r="C1124">
        <v>31642000</v>
      </c>
      <c r="D1124" t="s">
        <v>15276</v>
      </c>
      <c r="J1124" t="s">
        <v>15274</v>
      </c>
      <c r="K1124" t="s">
        <v>3605</v>
      </c>
    </row>
    <row r="1125" spans="1:11">
      <c r="A1125" t="s">
        <v>15277</v>
      </c>
      <c r="B1125" t="s">
        <v>15278</v>
      </c>
      <c r="C1125">
        <v>36000000</v>
      </c>
      <c r="D1125" t="s">
        <v>15279</v>
      </c>
      <c r="J1125" t="s">
        <v>15277</v>
      </c>
      <c r="K1125" t="s">
        <v>3605</v>
      </c>
    </row>
    <row r="1126" spans="1:11">
      <c r="A1126" t="s">
        <v>15280</v>
      </c>
      <c r="B1126" t="s">
        <v>15281</v>
      </c>
      <c r="C1126">
        <v>35003000</v>
      </c>
      <c r="D1126" t="s">
        <v>15282</v>
      </c>
      <c r="J1126" t="s">
        <v>15280</v>
      </c>
      <c r="K1126" t="s">
        <v>3605</v>
      </c>
    </row>
    <row r="1127" spans="1:11">
      <c r="A1127" t="s">
        <v>15283</v>
      </c>
      <c r="B1127" t="s">
        <v>15284</v>
      </c>
      <c r="C1127">
        <v>35003100</v>
      </c>
      <c r="D1127" t="s">
        <v>15285</v>
      </c>
      <c r="J1127" t="s">
        <v>15283</v>
      </c>
      <c r="K1127" t="s">
        <v>3605</v>
      </c>
    </row>
    <row r="1128" spans="1:11">
      <c r="B1128" t="s">
        <v>15286</v>
      </c>
      <c r="C1128">
        <v>31409010</v>
      </c>
      <c r="D1128" t="s">
        <v>15287</v>
      </c>
    </row>
    <row r="1129" spans="1:11">
      <c r="B1129" t="s">
        <v>15288</v>
      </c>
      <c r="C1129">
        <v>31420100</v>
      </c>
      <c r="D1129" t="s">
        <v>15289</v>
      </c>
    </row>
    <row r="1130" spans="1:11">
      <c r="B1130" t="s">
        <v>15290</v>
      </c>
      <c r="C1130">
        <v>31437110</v>
      </c>
      <c r="D1130" t="s">
        <v>15291</v>
      </c>
    </row>
    <row r="1131" spans="1:11">
      <c r="B1131" t="s">
        <v>15292</v>
      </c>
      <c r="C1131">
        <v>31437800</v>
      </c>
      <c r="D1131" t="s">
        <v>15293</v>
      </c>
    </row>
    <row r="1132" spans="1:11">
      <c r="B1132" t="s">
        <v>15294</v>
      </c>
      <c r="C1132">
        <v>31437810</v>
      </c>
      <c r="D1132" t="s">
        <v>15295</v>
      </c>
    </row>
    <row r="1133" spans="1:11">
      <c r="B1133" t="s">
        <v>15296</v>
      </c>
      <c r="C1133">
        <v>31438003</v>
      </c>
      <c r="D1133" t="s">
        <v>15289</v>
      </c>
    </row>
    <row r="1134" spans="1:11">
      <c r="B1134" t="s">
        <v>15297</v>
      </c>
      <c r="C1134">
        <v>31438100</v>
      </c>
      <c r="D1134" t="s">
        <v>15298</v>
      </c>
    </row>
    <row r="1135" spans="1:11">
      <c r="A1135" t="s">
        <v>15299</v>
      </c>
      <c r="B1135" t="s">
        <v>15300</v>
      </c>
      <c r="C1135">
        <v>35030000</v>
      </c>
      <c r="D1135" t="s">
        <v>15301</v>
      </c>
      <c r="J1135" t="s">
        <v>15299</v>
      </c>
      <c r="K1135" t="s">
        <v>3605</v>
      </c>
    </row>
    <row r="1136" spans="1:11">
      <c r="A1136" t="s">
        <v>15302</v>
      </c>
      <c r="B1136" t="s">
        <v>15303</v>
      </c>
      <c r="C1136" t="s">
        <v>14227</v>
      </c>
      <c r="J1136" t="s">
        <v>15302</v>
      </c>
      <c r="K1136" t="s">
        <v>3605</v>
      </c>
    </row>
    <row r="1137" spans="1:11">
      <c r="A1137" t="s">
        <v>15304</v>
      </c>
      <c r="B1137" t="s">
        <v>15305</v>
      </c>
      <c r="C1137" t="s">
        <v>14227</v>
      </c>
      <c r="J1137" t="s">
        <v>15304</v>
      </c>
      <c r="K1137" t="s">
        <v>3605</v>
      </c>
    </row>
    <row r="1138" spans="1:11">
      <c r="A1138" t="s">
        <v>15306</v>
      </c>
      <c r="B1138" t="s">
        <v>15307</v>
      </c>
      <c r="C1138" t="s">
        <v>14227</v>
      </c>
      <c r="J1138" t="s">
        <v>15306</v>
      </c>
      <c r="K1138" t="s">
        <v>3605</v>
      </c>
    </row>
    <row r="1139" spans="1:11">
      <c r="A1139" t="s">
        <v>15308</v>
      </c>
      <c r="B1139" t="s">
        <v>15309</v>
      </c>
      <c r="C1139">
        <v>35030010</v>
      </c>
      <c r="D1139" t="s">
        <v>15310</v>
      </c>
      <c r="J1139" t="s">
        <v>15308</v>
      </c>
      <c r="K1139" t="s">
        <v>3605</v>
      </c>
    </row>
    <row r="1140" spans="1:11">
      <c r="B1140" t="s">
        <v>15311</v>
      </c>
      <c r="C1140">
        <v>35070000</v>
      </c>
      <c r="D1140" t="s">
        <v>15312</v>
      </c>
    </row>
    <row r="1141" spans="1:11">
      <c r="B1141" t="s">
        <v>15313</v>
      </c>
      <c r="C1141">
        <v>35071000</v>
      </c>
      <c r="D1141" t="s">
        <v>15314</v>
      </c>
    </row>
    <row r="1142" spans="1:11">
      <c r="B1142" t="s">
        <v>15315</v>
      </c>
      <c r="C1142">
        <v>35090000</v>
      </c>
      <c r="D1142" t="s">
        <v>15316</v>
      </c>
    </row>
    <row r="1143" spans="1:11">
      <c r="B1143" t="s">
        <v>15317</v>
      </c>
      <c r="C1143">
        <v>35091000</v>
      </c>
      <c r="D1143" t="s">
        <v>15318</v>
      </c>
    </row>
    <row r="1144" spans="1:11">
      <c r="A1144" t="s">
        <v>15319</v>
      </c>
      <c r="B1144" t="s">
        <v>15320</v>
      </c>
      <c r="C1144">
        <v>35400010</v>
      </c>
      <c r="D1144" t="s">
        <v>15321</v>
      </c>
      <c r="J1144" t="s">
        <v>15319</v>
      </c>
      <c r="K1144" t="s">
        <v>3605</v>
      </c>
    </row>
    <row r="1145" spans="1:11">
      <c r="B1145" t="s">
        <v>15322</v>
      </c>
      <c r="C1145">
        <v>35400015</v>
      </c>
      <c r="D1145" t="s">
        <v>15323</v>
      </c>
    </row>
    <row r="1146" spans="1:11">
      <c r="B1146" t="s">
        <v>15324</v>
      </c>
      <c r="C1146">
        <v>35403200</v>
      </c>
      <c r="D1146" t="s">
        <v>15325</v>
      </c>
    </row>
    <row r="1147" spans="1:11">
      <c r="B1147" t="s">
        <v>15326</v>
      </c>
      <c r="C1147">
        <v>35408000</v>
      </c>
      <c r="D1147" t="s">
        <v>15327</v>
      </c>
    </row>
    <row r="1148" spans="1:11">
      <c r="B1148" t="s">
        <v>15328</v>
      </c>
      <c r="C1148">
        <v>35408005</v>
      </c>
      <c r="D1148" t="s">
        <v>15329</v>
      </c>
    </row>
    <row r="1149" spans="1:11">
      <c r="B1149" t="s">
        <v>15330</v>
      </c>
      <c r="C1149">
        <v>35408010</v>
      </c>
      <c r="D1149" t="s">
        <v>15331</v>
      </c>
    </row>
    <row r="1150" spans="1:11">
      <c r="B1150" t="s">
        <v>15332</v>
      </c>
      <c r="C1150">
        <v>35408800</v>
      </c>
      <c r="D1150" t="s">
        <v>15333</v>
      </c>
    </row>
    <row r="1151" spans="1:11">
      <c r="B1151" t="s">
        <v>15334</v>
      </c>
      <c r="C1151">
        <v>35410000</v>
      </c>
      <c r="D1151" t="s">
        <v>15335</v>
      </c>
    </row>
    <row r="1152" spans="1:11">
      <c r="B1152" t="s">
        <v>15336</v>
      </c>
      <c r="C1152">
        <v>35412000</v>
      </c>
      <c r="D1152" t="s">
        <v>15337</v>
      </c>
    </row>
    <row r="1153" spans="2:4">
      <c r="B1153" t="s">
        <v>15338</v>
      </c>
      <c r="C1153">
        <v>35416000</v>
      </c>
      <c r="D1153" t="s">
        <v>15339</v>
      </c>
    </row>
    <row r="1154" spans="2:4">
      <c r="B1154" t="s">
        <v>15340</v>
      </c>
      <c r="C1154">
        <v>35031010</v>
      </c>
      <c r="D1154" t="s">
        <v>15341</v>
      </c>
    </row>
    <row r="1155" spans="2:4">
      <c r="B1155" t="s">
        <v>15342</v>
      </c>
      <c r="C1155">
        <v>35403010</v>
      </c>
      <c r="D1155" t="s">
        <v>15343</v>
      </c>
    </row>
    <row r="1156" spans="2:4">
      <c r="B1156" t="s">
        <v>15344</v>
      </c>
      <c r="C1156">
        <v>35413010</v>
      </c>
      <c r="D1156" t="s">
        <v>15345</v>
      </c>
    </row>
    <row r="1157" spans="2:4">
      <c r="B1157" t="s">
        <v>15346</v>
      </c>
      <c r="C1157">
        <v>35418010</v>
      </c>
      <c r="D1157" t="s">
        <v>15347</v>
      </c>
    </row>
    <row r="1158" spans="2:4">
      <c r="B1158" t="s">
        <v>15348</v>
      </c>
      <c r="C1158">
        <v>35437110</v>
      </c>
      <c r="D1158" t="s">
        <v>15349</v>
      </c>
    </row>
    <row r="1159" spans="2:4">
      <c r="B1159" t="s">
        <v>15350</v>
      </c>
      <c r="C1159">
        <v>35437710</v>
      </c>
      <c r="D1159" t="s">
        <v>15351</v>
      </c>
    </row>
    <row r="1160" spans="2:4">
      <c r="B1160" t="s">
        <v>15352</v>
      </c>
      <c r="C1160">
        <v>35437810</v>
      </c>
      <c r="D1160" t="s">
        <v>15353</v>
      </c>
    </row>
    <row r="1161" spans="2:4">
      <c r="B1161" t="s">
        <v>15354</v>
      </c>
      <c r="C1161">
        <v>35416100</v>
      </c>
      <c r="D1161" t="s">
        <v>15355</v>
      </c>
    </row>
    <row r="1162" spans="2:4">
      <c r="B1162" t="s">
        <v>15356</v>
      </c>
      <c r="C1162">
        <v>35432100</v>
      </c>
      <c r="D1162" t="s">
        <v>15357</v>
      </c>
    </row>
    <row r="1163" spans="2:4">
      <c r="B1163" t="s">
        <v>15358</v>
      </c>
      <c r="C1163">
        <v>35432110</v>
      </c>
      <c r="D1163" t="s">
        <v>15359</v>
      </c>
    </row>
    <row r="1164" spans="2:4">
      <c r="B1164" t="s">
        <v>15360</v>
      </c>
      <c r="C1164">
        <v>35432400</v>
      </c>
      <c r="D1164" t="s">
        <v>15361</v>
      </c>
    </row>
    <row r="1165" spans="2:4">
      <c r="B1165" t="s">
        <v>15362</v>
      </c>
      <c r="C1165">
        <v>35432410</v>
      </c>
      <c r="D1165" t="s">
        <v>15363</v>
      </c>
    </row>
    <row r="1166" spans="2:4">
      <c r="B1166" t="s">
        <v>15364</v>
      </c>
      <c r="C1166">
        <v>35437000</v>
      </c>
      <c r="D1166" t="s">
        <v>15365</v>
      </c>
    </row>
    <row r="1167" spans="2:4">
      <c r="B1167" t="s">
        <v>15366</v>
      </c>
      <c r="C1167">
        <v>35437010</v>
      </c>
      <c r="D1167" t="s">
        <v>15367</v>
      </c>
    </row>
    <row r="1168" spans="2:4">
      <c r="B1168" t="s">
        <v>15368</v>
      </c>
      <c r="C1168">
        <v>35437100</v>
      </c>
      <c r="D1168" t="s">
        <v>15369</v>
      </c>
    </row>
    <row r="1169" spans="1:11">
      <c r="B1169" t="s">
        <v>15370</v>
      </c>
      <c r="C1169">
        <v>35438000</v>
      </c>
      <c r="D1169" t="s">
        <v>15371</v>
      </c>
    </row>
    <row r="1170" spans="1:11">
      <c r="B1170" t="s">
        <v>15372</v>
      </c>
      <c r="C1170">
        <v>35438010</v>
      </c>
      <c r="D1170" t="s">
        <v>15373</v>
      </c>
    </row>
    <row r="1171" spans="1:11">
      <c r="A1171" t="s">
        <v>15374</v>
      </c>
      <c r="B1171" t="s">
        <v>15375</v>
      </c>
      <c r="C1171">
        <v>35438900</v>
      </c>
      <c r="D1171" t="s">
        <v>15376</v>
      </c>
      <c r="J1171" t="s">
        <v>15374</v>
      </c>
      <c r="K1171" t="s">
        <v>3605</v>
      </c>
    </row>
    <row r="1172" spans="1:11">
      <c r="B1172" t="s">
        <v>15377</v>
      </c>
      <c r="C1172">
        <v>35440000</v>
      </c>
      <c r="D1172" t="s">
        <v>15378</v>
      </c>
    </row>
    <row r="1173" spans="1:11">
      <c r="B1173" t="s">
        <v>15379</v>
      </c>
      <c r="C1173">
        <v>35470000</v>
      </c>
      <c r="D1173" t="s">
        <v>15380</v>
      </c>
    </row>
    <row r="1174" spans="1:11">
      <c r="B1174" t="s">
        <v>15381</v>
      </c>
      <c r="C1174">
        <v>35470900</v>
      </c>
      <c r="D1174" t="s">
        <v>15382</v>
      </c>
    </row>
    <row r="1175" spans="1:11">
      <c r="A1175" t="s">
        <v>15383</v>
      </c>
      <c r="B1175" t="s">
        <v>15384</v>
      </c>
      <c r="C1175">
        <v>35499000</v>
      </c>
      <c r="J1175" t="s">
        <v>15383</v>
      </c>
      <c r="K1175" t="s">
        <v>3605</v>
      </c>
    </row>
    <row r="1176" spans="1:11">
      <c r="A1176" t="s">
        <v>15385</v>
      </c>
      <c r="B1176" t="s">
        <v>15386</v>
      </c>
      <c r="C1176">
        <v>35499200</v>
      </c>
      <c r="J1176" t="s">
        <v>15385</v>
      </c>
      <c r="K1176" t="s">
        <v>3605</v>
      </c>
    </row>
    <row r="1177" spans="1:11">
      <c r="A1177" t="s">
        <v>15387</v>
      </c>
      <c r="B1177" t="s">
        <v>15388</v>
      </c>
      <c r="C1177">
        <v>31030007</v>
      </c>
      <c r="D1177" t="s">
        <v>15389</v>
      </c>
      <c r="J1177" t="s">
        <v>15387</v>
      </c>
      <c r="K1177" t="s">
        <v>3605</v>
      </c>
    </row>
    <row r="1178" spans="1:11">
      <c r="A1178" t="s">
        <v>15387</v>
      </c>
      <c r="B1178" t="s">
        <v>15390</v>
      </c>
      <c r="C1178">
        <v>31224000</v>
      </c>
      <c r="D1178" t="s">
        <v>15391</v>
      </c>
      <c r="J1178" t="s">
        <v>15387</v>
      </c>
      <c r="K1178" t="s">
        <v>3605</v>
      </c>
    </row>
    <row r="1179" spans="1:11">
      <c r="A1179" t="s">
        <v>15387</v>
      </c>
      <c r="B1179" t="s">
        <v>15392</v>
      </c>
      <c r="C1179">
        <v>31224001</v>
      </c>
      <c r="D1179" t="s">
        <v>15393</v>
      </c>
      <c r="J1179" t="s">
        <v>15387</v>
      </c>
      <c r="K1179" t="s">
        <v>3605</v>
      </c>
    </row>
    <row r="1180" spans="1:11">
      <c r="B1180" t="s">
        <v>15394</v>
      </c>
      <c r="C1180">
        <v>31224020</v>
      </c>
      <c r="D1180" t="s">
        <v>15395</v>
      </c>
    </row>
    <row r="1181" spans="1:11">
      <c r="B1181" t="s">
        <v>15396</v>
      </c>
      <c r="C1181">
        <v>31224100</v>
      </c>
      <c r="D1181" t="s">
        <v>15397</v>
      </c>
    </row>
    <row r="1182" spans="1:11">
      <c r="B1182" t="s">
        <v>15398</v>
      </c>
      <c r="C1182">
        <v>31400010</v>
      </c>
      <c r="D1182" t="s">
        <v>15399</v>
      </c>
    </row>
    <row r="1183" spans="1:11">
      <c r="B1183" t="s">
        <v>15400</v>
      </c>
      <c r="C1183">
        <v>31403200</v>
      </c>
      <c r="D1183" t="s">
        <v>15401</v>
      </c>
    </row>
    <row r="1184" spans="1:11">
      <c r="B1184" t="s">
        <v>15402</v>
      </c>
      <c r="C1184">
        <v>31407001</v>
      </c>
      <c r="D1184" t="s">
        <v>15403</v>
      </c>
    </row>
    <row r="1185" spans="2:4">
      <c r="B1185" t="s">
        <v>15404</v>
      </c>
      <c r="C1185">
        <v>31407011</v>
      </c>
      <c r="D1185" t="s">
        <v>15405</v>
      </c>
    </row>
    <row r="1186" spans="2:4">
      <c r="B1186" t="s">
        <v>15406</v>
      </c>
      <c r="C1186">
        <v>31407100</v>
      </c>
      <c r="D1186" t="s">
        <v>15407</v>
      </c>
    </row>
    <row r="1187" spans="2:4">
      <c r="B1187" t="s">
        <v>15408</v>
      </c>
      <c r="C1187">
        <v>31407110</v>
      </c>
      <c r="D1187" t="s">
        <v>15409</v>
      </c>
    </row>
    <row r="1188" spans="2:4">
      <c r="B1188" t="s">
        <v>15410</v>
      </c>
      <c r="C1188">
        <v>31408000</v>
      </c>
      <c r="D1188" t="s">
        <v>15411</v>
      </c>
    </row>
    <row r="1189" spans="2:4">
      <c r="B1189" t="s">
        <v>15412</v>
      </c>
      <c r="C1189">
        <v>31408010</v>
      </c>
      <c r="D1189" t="s">
        <v>15413</v>
      </c>
    </row>
    <row r="1190" spans="2:4">
      <c r="B1190" t="s">
        <v>15414</v>
      </c>
      <c r="C1190">
        <v>31408800</v>
      </c>
      <c r="D1190" t="s">
        <v>15415</v>
      </c>
    </row>
    <row r="1191" spans="2:4">
      <c r="B1191" t="s">
        <v>15416</v>
      </c>
      <c r="C1191">
        <v>31409000</v>
      </c>
      <c r="D1191" t="s">
        <v>15417</v>
      </c>
    </row>
    <row r="1192" spans="2:4">
      <c r="B1192" t="s">
        <v>15418</v>
      </c>
      <c r="C1192">
        <v>31410000</v>
      </c>
      <c r="D1192" t="s">
        <v>15419</v>
      </c>
    </row>
    <row r="1193" spans="2:4">
      <c r="B1193" t="s">
        <v>15420</v>
      </c>
      <c r="C1193">
        <v>31412000</v>
      </c>
      <c r="D1193" t="s">
        <v>15421</v>
      </c>
    </row>
    <row r="1194" spans="2:4">
      <c r="B1194" t="s">
        <v>15422</v>
      </c>
      <c r="C1194">
        <v>31412010</v>
      </c>
      <c r="D1194" t="s">
        <v>15423</v>
      </c>
    </row>
    <row r="1195" spans="2:4">
      <c r="B1195" t="s">
        <v>15424</v>
      </c>
      <c r="C1195">
        <v>31413010</v>
      </c>
      <c r="D1195" t="s">
        <v>15425</v>
      </c>
    </row>
    <row r="1196" spans="2:4">
      <c r="B1196" t="s">
        <v>15426</v>
      </c>
      <c r="C1196">
        <v>31416000</v>
      </c>
      <c r="D1196" t="s">
        <v>15427</v>
      </c>
    </row>
    <row r="1197" spans="2:4">
      <c r="B1197" t="s">
        <v>15428</v>
      </c>
      <c r="C1197">
        <v>31416010</v>
      </c>
      <c r="D1197" t="s">
        <v>15429</v>
      </c>
    </row>
    <row r="1198" spans="2:4">
      <c r="B1198" t="s">
        <v>15430</v>
      </c>
      <c r="C1198">
        <v>31416100</v>
      </c>
      <c r="D1198" t="s">
        <v>15431</v>
      </c>
    </row>
    <row r="1199" spans="2:4">
      <c r="B1199" t="s">
        <v>15432</v>
      </c>
      <c r="C1199">
        <v>31418010</v>
      </c>
      <c r="D1199" t="s">
        <v>15433</v>
      </c>
    </row>
    <row r="1200" spans="2:4">
      <c r="B1200" t="s">
        <v>15434</v>
      </c>
      <c r="C1200">
        <v>31432400</v>
      </c>
      <c r="D1200" t="s">
        <v>15435</v>
      </c>
    </row>
    <row r="1201" spans="1:11">
      <c r="B1201" t="s">
        <v>15436</v>
      </c>
      <c r="C1201">
        <v>31432410</v>
      </c>
      <c r="D1201" t="s">
        <v>15437</v>
      </c>
    </row>
    <row r="1202" spans="1:11">
      <c r="B1202" t="s">
        <v>15438</v>
      </c>
      <c r="C1202">
        <v>31437000</v>
      </c>
      <c r="D1202" t="s">
        <v>15439</v>
      </c>
    </row>
    <row r="1203" spans="1:11">
      <c r="B1203" t="s">
        <v>15440</v>
      </c>
      <c r="C1203">
        <v>31437010</v>
      </c>
      <c r="D1203" t="s">
        <v>15441</v>
      </c>
    </row>
    <row r="1204" spans="1:11">
      <c r="B1204" t="s">
        <v>15442</v>
      </c>
      <c r="C1204">
        <v>31437100</v>
      </c>
      <c r="D1204" t="s">
        <v>15443</v>
      </c>
    </row>
    <row r="1205" spans="1:11">
      <c r="B1205" t="s">
        <v>15444</v>
      </c>
      <c r="C1205">
        <v>31438000</v>
      </c>
      <c r="D1205" t="s">
        <v>15445</v>
      </c>
    </row>
    <row r="1206" spans="1:11">
      <c r="B1206" t="s">
        <v>15446</v>
      </c>
      <c r="C1206">
        <v>31438010</v>
      </c>
      <c r="D1206" t="s">
        <v>15447</v>
      </c>
    </row>
    <row r="1207" spans="1:11">
      <c r="A1207" t="s">
        <v>15448</v>
      </c>
      <c r="B1207" t="s">
        <v>15449</v>
      </c>
      <c r="C1207">
        <v>31224100</v>
      </c>
      <c r="D1207" t="s">
        <v>13745</v>
      </c>
      <c r="E1207">
        <v>45376</v>
      </c>
      <c r="J1207" t="s">
        <v>15448</v>
      </c>
      <c r="K1207" t="s">
        <v>3605</v>
      </c>
    </row>
    <row r="1208" spans="1:11">
      <c r="A1208" t="s">
        <v>15450</v>
      </c>
      <c r="B1208" t="s">
        <v>15451</v>
      </c>
      <c r="C1208">
        <v>35030000</v>
      </c>
      <c r="D1208" t="s">
        <v>13745</v>
      </c>
      <c r="E1208">
        <v>45376</v>
      </c>
      <c r="J1208" t="s">
        <v>15450</v>
      </c>
      <c r="K1208" t="s">
        <v>3605</v>
      </c>
    </row>
    <row r="1209" spans="1:11">
      <c r="A1209" t="s">
        <v>15452</v>
      </c>
      <c r="B1209" t="s">
        <v>15453</v>
      </c>
      <c r="C1209">
        <v>31224001</v>
      </c>
      <c r="D1209" t="s">
        <v>15393</v>
      </c>
      <c r="J1209" t="s">
        <v>15452</v>
      </c>
      <c r="K1209" t="s">
        <v>3605</v>
      </c>
    </row>
    <row r="1210" spans="1:11">
      <c r="A1210" t="s">
        <v>15454</v>
      </c>
      <c r="B1210" t="s">
        <v>15455</v>
      </c>
      <c r="C1210">
        <v>31438900</v>
      </c>
      <c r="D1210" t="s">
        <v>15376</v>
      </c>
      <c r="J1210" t="s">
        <v>15454</v>
      </c>
      <c r="K1210" t="s">
        <v>3605</v>
      </c>
    </row>
    <row r="1211" spans="1:11">
      <c r="B1211" t="s">
        <v>15456</v>
      </c>
      <c r="C1211">
        <v>31439000</v>
      </c>
      <c r="D1211" t="s">
        <v>15457</v>
      </c>
    </row>
    <row r="1212" spans="1:11">
      <c r="B1212" t="s">
        <v>15458</v>
      </c>
      <c r="C1212">
        <v>31440000</v>
      </c>
      <c r="D1212" t="s">
        <v>15459</v>
      </c>
    </row>
    <row r="1213" spans="1:11">
      <c r="B1213" t="s">
        <v>15460</v>
      </c>
      <c r="C1213">
        <v>31470000</v>
      </c>
      <c r="D1213" t="s">
        <v>15461</v>
      </c>
    </row>
    <row r="1214" spans="1:11">
      <c r="B1214" t="s">
        <v>15462</v>
      </c>
      <c r="C1214">
        <v>31470010</v>
      </c>
      <c r="D1214" t="s">
        <v>15463</v>
      </c>
    </row>
    <row r="1215" spans="1:11">
      <c r="B1215" t="s">
        <v>15464</v>
      </c>
      <c r="C1215">
        <v>31470100</v>
      </c>
      <c r="D1215" t="s">
        <v>15465</v>
      </c>
    </row>
    <row r="1216" spans="1:11">
      <c r="B1216" t="s">
        <v>15466</v>
      </c>
      <c r="C1216">
        <v>31470900</v>
      </c>
      <c r="D1216" t="s">
        <v>15467</v>
      </c>
    </row>
    <row r="1217" spans="1:11">
      <c r="B1217" t="s">
        <v>15468</v>
      </c>
      <c r="C1217">
        <v>31490000</v>
      </c>
      <c r="D1217" t="s">
        <v>15469</v>
      </c>
    </row>
    <row r="1218" spans="1:11">
      <c r="A1218" t="s">
        <v>15470</v>
      </c>
      <c r="B1218" t="s">
        <v>15471</v>
      </c>
      <c r="C1218">
        <v>30404000</v>
      </c>
      <c r="D1218" t="s">
        <v>15472</v>
      </c>
      <c r="J1218" t="s">
        <v>15470</v>
      </c>
      <c r="K1218" t="s">
        <v>3605</v>
      </c>
    </row>
    <row r="1219" spans="1:11">
      <c r="A1219" t="s">
        <v>15473</v>
      </c>
      <c r="B1219" t="s">
        <v>15474</v>
      </c>
      <c r="C1219">
        <v>31031010</v>
      </c>
      <c r="J1219" t="s">
        <v>15473</v>
      </c>
      <c r="K1219" t="s">
        <v>3605</v>
      </c>
    </row>
    <row r="1220" spans="1:11">
      <c r="A1220" t="s">
        <v>15475</v>
      </c>
      <c r="B1220" t="s">
        <v>15476</v>
      </c>
      <c r="C1220">
        <v>36004200</v>
      </c>
      <c r="D1220" t="s">
        <v>15477</v>
      </c>
      <c r="J1220" t="s">
        <v>15475</v>
      </c>
      <c r="K1220" t="s">
        <v>3605</v>
      </c>
    </row>
    <row r="1221" spans="1:11">
      <c r="A1221" t="s">
        <v>15478</v>
      </c>
      <c r="B1221" t="s">
        <v>15479</v>
      </c>
      <c r="C1221">
        <v>37004200</v>
      </c>
      <c r="D1221" t="s">
        <v>15480</v>
      </c>
      <c r="J1221" t="s">
        <v>15478</v>
      </c>
      <c r="K1221" t="s">
        <v>3605</v>
      </c>
    </row>
    <row r="1222" spans="1:11">
      <c r="B1222" t="s">
        <v>15481</v>
      </c>
      <c r="C1222">
        <v>36005000</v>
      </c>
      <c r="D1222" t="s">
        <v>15482</v>
      </c>
    </row>
    <row r="1223" spans="1:11">
      <c r="B1223" t="s">
        <v>15483</v>
      </c>
      <c r="C1223">
        <v>36005010</v>
      </c>
      <c r="D1223" t="s">
        <v>15484</v>
      </c>
    </row>
    <row r="1224" spans="1:11">
      <c r="A1224" t="s">
        <v>15485</v>
      </c>
      <c r="B1224" t="s">
        <v>15486</v>
      </c>
      <c r="C1224">
        <v>40099000</v>
      </c>
      <c r="J1224" t="s">
        <v>15485</v>
      </c>
      <c r="K1224" t="s">
        <v>3605</v>
      </c>
    </row>
    <row r="1225" spans="1:11">
      <c r="A1225" t="s">
        <v>15487</v>
      </c>
      <c r="B1225" t="s">
        <v>15488</v>
      </c>
      <c r="C1225">
        <v>40099004</v>
      </c>
      <c r="J1225" t="s">
        <v>15487</v>
      </c>
      <c r="K1225" t="s">
        <v>3605</v>
      </c>
    </row>
    <row r="1226" spans="1:11">
      <c r="A1226" t="s">
        <v>15489</v>
      </c>
      <c r="B1226" t="s">
        <v>15490</v>
      </c>
      <c r="C1226">
        <v>40099006</v>
      </c>
      <c r="J1226" t="s">
        <v>15489</v>
      </c>
      <c r="K1226" t="s">
        <v>3605</v>
      </c>
    </row>
    <row r="1227" spans="1:11">
      <c r="A1227" t="s">
        <v>15491</v>
      </c>
      <c r="B1227" t="s">
        <v>15492</v>
      </c>
      <c r="C1227">
        <v>40099013</v>
      </c>
      <c r="J1227" t="s">
        <v>15491</v>
      </c>
      <c r="K1227" t="s">
        <v>3605</v>
      </c>
    </row>
    <row r="1228" spans="1:11">
      <c r="A1228" t="s">
        <v>15493</v>
      </c>
      <c r="B1228" t="s">
        <v>15494</v>
      </c>
      <c r="C1228">
        <v>40099023</v>
      </c>
      <c r="J1228" t="s">
        <v>15493</v>
      </c>
      <c r="K1228" t="s">
        <v>3605</v>
      </c>
    </row>
    <row r="1229" spans="1:11">
      <c r="A1229" t="s">
        <v>15495</v>
      </c>
      <c r="B1229" t="s">
        <v>15496</v>
      </c>
      <c r="J1229" t="s">
        <v>15495</v>
      </c>
      <c r="K1229" t="s">
        <v>3605</v>
      </c>
    </row>
    <row r="1230" spans="1:11">
      <c r="A1230" t="s">
        <v>15497</v>
      </c>
      <c r="B1230" t="s">
        <v>15498</v>
      </c>
      <c r="C1230">
        <v>40099001</v>
      </c>
      <c r="J1230" t="s">
        <v>15497</v>
      </c>
      <c r="K1230" t="s">
        <v>3605</v>
      </c>
    </row>
    <row r="1231" spans="1:11">
      <c r="A1231" t="s">
        <v>15499</v>
      </c>
      <c r="B1231" t="s">
        <v>15500</v>
      </c>
      <c r="C1231">
        <v>40099007</v>
      </c>
      <c r="J1231" t="s">
        <v>15499</v>
      </c>
      <c r="K1231" t="s">
        <v>3605</v>
      </c>
    </row>
    <row r="1232" spans="1:11">
      <c r="A1232" t="s">
        <v>15501</v>
      </c>
      <c r="B1232" t="s">
        <v>15502</v>
      </c>
      <c r="C1232">
        <v>40099010</v>
      </c>
      <c r="J1232" t="s">
        <v>15501</v>
      </c>
      <c r="K1232" t="s">
        <v>3605</v>
      </c>
    </row>
    <row r="1233" spans="1:11">
      <c r="A1233" t="s">
        <v>15501</v>
      </c>
      <c r="B1233" t="s">
        <v>15502</v>
      </c>
      <c r="C1233">
        <v>40099011</v>
      </c>
      <c r="J1233" t="s">
        <v>15501</v>
      </c>
      <c r="K1233" t="s">
        <v>3605</v>
      </c>
    </row>
    <row r="1234" spans="1:11">
      <c r="A1234" t="s">
        <v>15503</v>
      </c>
      <c r="B1234" t="s">
        <v>15504</v>
      </c>
      <c r="C1234">
        <v>40099012</v>
      </c>
      <c r="J1234" t="s">
        <v>15503</v>
      </c>
      <c r="K1234" t="s">
        <v>3605</v>
      </c>
    </row>
    <row r="1235" spans="1:11">
      <c r="A1235" t="s">
        <v>15505</v>
      </c>
      <c r="B1235" t="s">
        <v>15506</v>
      </c>
      <c r="C1235">
        <v>41696000</v>
      </c>
      <c r="J1235" t="s">
        <v>15505</v>
      </c>
      <c r="K1235" t="s">
        <v>3605</v>
      </c>
    </row>
    <row r="1236" spans="1:11">
      <c r="A1236" t="s">
        <v>15507</v>
      </c>
      <c r="B1236" t="s">
        <v>15508</v>
      </c>
      <c r="J1236" t="s">
        <v>15507</v>
      </c>
      <c r="K1236" t="s">
        <v>3605</v>
      </c>
    </row>
    <row r="1237" spans="1:11">
      <c r="A1237" t="s">
        <v>15509</v>
      </c>
      <c r="B1237" t="s">
        <v>15510</v>
      </c>
      <c r="C1237">
        <v>40099003</v>
      </c>
      <c r="J1237" t="s">
        <v>15509</v>
      </c>
      <c r="K1237" t="s">
        <v>3605</v>
      </c>
    </row>
    <row r="1238" spans="1:11">
      <c r="A1238" t="s">
        <v>15511</v>
      </c>
      <c r="B1238" t="s">
        <v>15512</v>
      </c>
      <c r="J1238" t="s">
        <v>15511</v>
      </c>
      <c r="K1238" t="s">
        <v>3605</v>
      </c>
    </row>
    <row r="1239" spans="1:11">
      <c r="A1239" t="s">
        <v>15513</v>
      </c>
      <c r="B1239" t="s">
        <v>15514</v>
      </c>
      <c r="C1239">
        <v>40099008</v>
      </c>
      <c r="J1239" t="s">
        <v>15513</v>
      </c>
      <c r="K1239" t="s">
        <v>3605</v>
      </c>
    </row>
    <row r="1240" spans="1:11">
      <c r="A1240" t="s">
        <v>15515</v>
      </c>
      <c r="B1240" t="s">
        <v>15516</v>
      </c>
      <c r="J1240" t="s">
        <v>15515</v>
      </c>
      <c r="K1240" t="s">
        <v>3605</v>
      </c>
    </row>
    <row r="1241" spans="1:11">
      <c r="A1241" t="s">
        <v>15517</v>
      </c>
      <c r="B1241" t="s">
        <v>15518</v>
      </c>
      <c r="C1241">
        <v>40099009</v>
      </c>
      <c r="J1241" t="s">
        <v>15517</v>
      </c>
      <c r="K1241" t="s">
        <v>3605</v>
      </c>
    </row>
    <row r="1242" spans="1:11">
      <c r="A1242" t="s">
        <v>15519</v>
      </c>
      <c r="B1242" t="s">
        <v>15520</v>
      </c>
      <c r="C1242">
        <v>40099100</v>
      </c>
      <c r="J1242" t="s">
        <v>15519</v>
      </c>
      <c r="K1242" t="s">
        <v>3605</v>
      </c>
    </row>
    <row r="1243" spans="1:11">
      <c r="A1243" t="s">
        <v>15521</v>
      </c>
      <c r="B1243" t="s">
        <v>15522</v>
      </c>
      <c r="J1243" t="s">
        <v>15521</v>
      </c>
      <c r="K1243" t="s">
        <v>3605</v>
      </c>
    </row>
    <row r="1244" spans="1:11">
      <c r="A1244" t="s">
        <v>15523</v>
      </c>
      <c r="B1244" t="s">
        <v>15524</v>
      </c>
      <c r="J1244" t="s">
        <v>15523</v>
      </c>
      <c r="K1244" t="s">
        <v>3605</v>
      </c>
    </row>
    <row r="1245" spans="1:11">
      <c r="A1245" t="s">
        <v>15525</v>
      </c>
      <c r="B1245" t="s">
        <v>15526</v>
      </c>
      <c r="J1245" t="s">
        <v>15525</v>
      </c>
      <c r="K1245" t="s">
        <v>3605</v>
      </c>
    </row>
    <row r="1246" spans="1:11">
      <c r="A1246" t="s">
        <v>15527</v>
      </c>
      <c r="B1246" t="s">
        <v>15528</v>
      </c>
      <c r="C1246">
        <v>40099123</v>
      </c>
      <c r="J1246" t="s">
        <v>15527</v>
      </c>
      <c r="K1246" t="s">
        <v>3605</v>
      </c>
    </row>
    <row r="1247" spans="1:11">
      <c r="A1247" t="s">
        <v>15529</v>
      </c>
      <c r="B1247" t="s">
        <v>15530</v>
      </c>
      <c r="C1247">
        <v>40099101</v>
      </c>
      <c r="J1247" t="s">
        <v>15529</v>
      </c>
      <c r="K1247" t="s">
        <v>3605</v>
      </c>
    </row>
    <row r="1248" spans="1:11">
      <c r="A1248" t="s">
        <v>15531</v>
      </c>
      <c r="B1248" t="s">
        <v>15532</v>
      </c>
      <c r="C1248">
        <v>40099201</v>
      </c>
      <c r="J1248" t="s">
        <v>15531</v>
      </c>
      <c r="K1248" t="s">
        <v>3605</v>
      </c>
    </row>
    <row r="1249" spans="1:11">
      <c r="A1249" t="s">
        <v>15531</v>
      </c>
      <c r="B1249" t="s">
        <v>15532</v>
      </c>
      <c r="J1249" t="s">
        <v>15531</v>
      </c>
      <c r="K1249" t="s">
        <v>3605</v>
      </c>
    </row>
    <row r="1250" spans="1:11">
      <c r="A1250" t="s">
        <v>15533</v>
      </c>
      <c r="B1250" t="s">
        <v>15534</v>
      </c>
      <c r="J1250" t="s">
        <v>15533</v>
      </c>
      <c r="K1250" t="s">
        <v>3605</v>
      </c>
    </row>
    <row r="1251" spans="1:11">
      <c r="A1251" t="s">
        <v>15535</v>
      </c>
      <c r="B1251" t="s">
        <v>15536</v>
      </c>
      <c r="J1251" t="s">
        <v>15535</v>
      </c>
      <c r="K1251" t="s">
        <v>3605</v>
      </c>
    </row>
    <row r="1252" spans="1:11">
      <c r="A1252" t="s">
        <v>15537</v>
      </c>
      <c r="B1252" t="s">
        <v>15538</v>
      </c>
      <c r="J1252" t="s">
        <v>15537</v>
      </c>
      <c r="K1252" t="s">
        <v>3605</v>
      </c>
    </row>
    <row r="1253" spans="1:11">
      <c r="A1253" t="s">
        <v>15539</v>
      </c>
      <c r="B1253" t="s">
        <v>15540</v>
      </c>
      <c r="J1253" t="s">
        <v>15539</v>
      </c>
      <c r="K1253" t="s">
        <v>3605</v>
      </c>
    </row>
    <row r="1254" spans="1:11">
      <c r="A1254" t="s">
        <v>15541</v>
      </c>
      <c r="B1254" t="s">
        <v>15542</v>
      </c>
      <c r="C1254">
        <v>40096200</v>
      </c>
      <c r="J1254" t="s">
        <v>15541</v>
      </c>
      <c r="K1254" t="s">
        <v>3605</v>
      </c>
    </row>
    <row r="1255" spans="1:11">
      <c r="A1255" t="s">
        <v>15543</v>
      </c>
      <c r="B1255" t="s">
        <v>15544</v>
      </c>
      <c r="C1255">
        <v>40096250</v>
      </c>
      <c r="J1255" t="s">
        <v>15543</v>
      </c>
      <c r="K1255" t="s">
        <v>3605</v>
      </c>
    </row>
    <row r="1256" spans="1:11">
      <c r="A1256" t="s">
        <v>15545</v>
      </c>
      <c r="B1256" t="s">
        <v>15546</v>
      </c>
      <c r="J1256" t="s">
        <v>15545</v>
      </c>
      <c r="K1256" t="s">
        <v>3605</v>
      </c>
    </row>
    <row r="1257" spans="1:11">
      <c r="A1257" t="s">
        <v>15547</v>
      </c>
      <c r="B1257" t="s">
        <v>15548</v>
      </c>
      <c r="J1257" t="s">
        <v>15547</v>
      </c>
      <c r="K1257" t="s">
        <v>3605</v>
      </c>
    </row>
    <row r="1258" spans="1:11">
      <c r="A1258" t="s">
        <v>15549</v>
      </c>
      <c r="B1258" t="s">
        <v>15550</v>
      </c>
      <c r="J1258" t="s">
        <v>15549</v>
      </c>
      <c r="K1258" t="s">
        <v>3605</v>
      </c>
    </row>
    <row r="1259" spans="1:11">
      <c r="A1259" t="s">
        <v>15551</v>
      </c>
      <c r="B1259" t="s">
        <v>15552</v>
      </c>
      <c r="J1259" t="s">
        <v>15551</v>
      </c>
      <c r="K1259" t="s">
        <v>3605</v>
      </c>
    </row>
    <row r="1260" spans="1:11">
      <c r="A1260" t="s">
        <v>15553</v>
      </c>
      <c r="B1260" t="s">
        <v>15554</v>
      </c>
      <c r="J1260" t="s">
        <v>15553</v>
      </c>
      <c r="K1260" t="s">
        <v>3605</v>
      </c>
    </row>
    <row r="1261" spans="1:11">
      <c r="A1261" t="s">
        <v>15555</v>
      </c>
      <c r="B1261" t="s">
        <v>15556</v>
      </c>
      <c r="J1261" t="s">
        <v>15555</v>
      </c>
      <c r="K1261" t="s">
        <v>3605</v>
      </c>
    </row>
    <row r="1262" spans="1:11">
      <c r="A1262" t="s">
        <v>15557</v>
      </c>
      <c r="B1262" t="s">
        <v>15558</v>
      </c>
      <c r="J1262" t="s">
        <v>15557</v>
      </c>
      <c r="K1262" t="s">
        <v>3605</v>
      </c>
    </row>
    <row r="1263" spans="1:11">
      <c r="A1263" t="s">
        <v>15559</v>
      </c>
      <c r="B1263" t="s">
        <v>15560</v>
      </c>
      <c r="J1263" t="s">
        <v>15559</v>
      </c>
      <c r="K1263" t="s">
        <v>3605</v>
      </c>
    </row>
    <row r="1264" spans="1:11">
      <c r="A1264" t="s">
        <v>15561</v>
      </c>
      <c r="B1264" t="s">
        <v>15562</v>
      </c>
      <c r="J1264" t="s">
        <v>15561</v>
      </c>
      <c r="K1264" t="s">
        <v>3605</v>
      </c>
    </row>
    <row r="1265" spans="1:11">
      <c r="A1265" t="s">
        <v>15563</v>
      </c>
      <c r="B1265" t="s">
        <v>15564</v>
      </c>
      <c r="J1265" t="s">
        <v>15563</v>
      </c>
      <c r="K1265" t="s">
        <v>3605</v>
      </c>
    </row>
    <row r="1266" spans="1:11">
      <c r="A1266" t="s">
        <v>15565</v>
      </c>
      <c r="B1266" t="s">
        <v>15566</v>
      </c>
      <c r="J1266" t="s">
        <v>15565</v>
      </c>
      <c r="K1266" t="s">
        <v>3605</v>
      </c>
    </row>
    <row r="1267" spans="1:11">
      <c r="A1267" t="s">
        <v>15567</v>
      </c>
      <c r="B1267" t="s">
        <v>15568</v>
      </c>
      <c r="C1267">
        <v>40000000</v>
      </c>
      <c r="J1267" t="s">
        <v>15567</v>
      </c>
      <c r="K1267" t="s">
        <v>3605</v>
      </c>
    </row>
    <row r="1268" spans="1:11">
      <c r="A1268" t="s">
        <v>15567</v>
      </c>
      <c r="B1268" t="s">
        <v>15568</v>
      </c>
      <c r="C1268">
        <v>40012000</v>
      </c>
      <c r="J1268" t="s">
        <v>15567</v>
      </c>
      <c r="K1268" t="s">
        <v>3605</v>
      </c>
    </row>
    <row r="1269" spans="1:11">
      <c r="A1269" t="s">
        <v>15569</v>
      </c>
      <c r="B1269" t="s">
        <v>15570</v>
      </c>
      <c r="C1269">
        <v>40002000</v>
      </c>
      <c r="J1269" t="s">
        <v>15569</v>
      </c>
      <c r="K1269" t="s">
        <v>3605</v>
      </c>
    </row>
    <row r="1270" spans="1:11">
      <c r="A1270" t="s">
        <v>15571</v>
      </c>
      <c r="B1270" t="s">
        <v>15572</v>
      </c>
      <c r="J1270" t="s">
        <v>15571</v>
      </c>
      <c r="K1270" t="s">
        <v>3605</v>
      </c>
    </row>
    <row r="1271" spans="1:11">
      <c r="A1271" t="s">
        <v>15573</v>
      </c>
      <c r="B1271" t="s">
        <v>15574</v>
      </c>
      <c r="C1271">
        <v>40004000</v>
      </c>
      <c r="J1271" t="s">
        <v>15573</v>
      </c>
      <c r="K1271" t="s">
        <v>3605</v>
      </c>
    </row>
    <row r="1272" spans="1:11">
      <c r="A1272" t="s">
        <v>15575</v>
      </c>
      <c r="B1272" t="s">
        <v>15576</v>
      </c>
      <c r="C1272">
        <v>40006000</v>
      </c>
      <c r="J1272" t="s">
        <v>15575</v>
      </c>
      <c r="K1272" t="s">
        <v>3605</v>
      </c>
    </row>
    <row r="1273" spans="1:11">
      <c r="A1273" t="s">
        <v>15577</v>
      </c>
      <c r="B1273" t="s">
        <v>15578</v>
      </c>
      <c r="C1273">
        <v>40005000</v>
      </c>
      <c r="J1273" t="s">
        <v>15577</v>
      </c>
      <c r="K1273" t="s">
        <v>3605</v>
      </c>
    </row>
    <row r="1274" spans="1:11">
      <c r="A1274" t="s">
        <v>15579</v>
      </c>
      <c r="B1274" t="s">
        <v>15580</v>
      </c>
      <c r="C1274">
        <v>40040000</v>
      </c>
      <c r="J1274" t="s">
        <v>15579</v>
      </c>
      <c r="K1274" t="s">
        <v>3605</v>
      </c>
    </row>
    <row r="1275" spans="1:11">
      <c r="A1275" t="s">
        <v>15581</v>
      </c>
      <c r="B1275" t="s">
        <v>15582</v>
      </c>
      <c r="J1275" t="s">
        <v>15581</v>
      </c>
      <c r="K1275" t="s">
        <v>3605</v>
      </c>
    </row>
    <row r="1276" spans="1:11">
      <c r="A1276" t="s">
        <v>15583</v>
      </c>
      <c r="B1276" t="s">
        <v>15584</v>
      </c>
      <c r="C1276">
        <v>40028000</v>
      </c>
      <c r="J1276" t="s">
        <v>15583</v>
      </c>
      <c r="K1276" t="s">
        <v>3605</v>
      </c>
    </row>
    <row r="1277" spans="1:11">
      <c r="A1277" t="s">
        <v>15585</v>
      </c>
      <c r="B1277" t="s">
        <v>15586</v>
      </c>
      <c r="C1277">
        <v>40040002</v>
      </c>
      <c r="J1277" t="s">
        <v>15585</v>
      </c>
      <c r="K1277" t="s">
        <v>3605</v>
      </c>
    </row>
    <row r="1278" spans="1:11">
      <c r="A1278" t="s">
        <v>15587</v>
      </c>
      <c r="B1278" t="s">
        <v>15588</v>
      </c>
      <c r="C1278">
        <v>40016000</v>
      </c>
      <c r="J1278" t="s">
        <v>15587</v>
      </c>
      <c r="K1278" t="s">
        <v>3605</v>
      </c>
    </row>
    <row r="1279" spans="1:11">
      <c r="A1279" t="s">
        <v>15589</v>
      </c>
      <c r="B1279" t="s">
        <v>15590</v>
      </c>
      <c r="J1279" t="s">
        <v>15589</v>
      </c>
      <c r="K1279" t="s">
        <v>3605</v>
      </c>
    </row>
    <row r="1280" spans="1:11">
      <c r="A1280" t="s">
        <v>15591</v>
      </c>
      <c r="B1280" t="s">
        <v>15592</v>
      </c>
      <c r="J1280" t="s">
        <v>15591</v>
      </c>
      <c r="K1280" t="s">
        <v>3605</v>
      </c>
    </row>
    <row r="1281" spans="1:11">
      <c r="A1281" t="s">
        <v>15593</v>
      </c>
      <c r="B1281" t="s">
        <v>15594</v>
      </c>
      <c r="C1281">
        <v>40000100</v>
      </c>
      <c r="J1281" t="s">
        <v>15593</v>
      </c>
      <c r="K1281" t="s">
        <v>3605</v>
      </c>
    </row>
    <row r="1282" spans="1:11">
      <c r="A1282" t="s">
        <v>15595</v>
      </c>
      <c r="B1282" t="s">
        <v>15596</v>
      </c>
      <c r="J1282" t="s">
        <v>15595</v>
      </c>
      <c r="K1282" t="s">
        <v>3605</v>
      </c>
    </row>
    <row r="1283" spans="1:11">
      <c r="A1283" t="s">
        <v>15597</v>
      </c>
      <c r="B1283" t="s">
        <v>15598</v>
      </c>
      <c r="J1283" t="s">
        <v>15597</v>
      </c>
      <c r="K1283" t="s">
        <v>3605</v>
      </c>
    </row>
    <row r="1284" spans="1:11">
      <c r="A1284" t="s">
        <v>15599</v>
      </c>
      <c r="B1284" t="s">
        <v>15600</v>
      </c>
      <c r="C1284" t="s">
        <v>15601</v>
      </c>
      <c r="J1284" t="s">
        <v>15599</v>
      </c>
      <c r="K1284" t="s">
        <v>3605</v>
      </c>
    </row>
    <row r="1285" spans="1:11">
      <c r="A1285" t="s">
        <v>15602</v>
      </c>
      <c r="B1285" t="s">
        <v>15603</v>
      </c>
      <c r="J1285" t="s">
        <v>15602</v>
      </c>
      <c r="K1285" t="s">
        <v>3605</v>
      </c>
    </row>
    <row r="1286" spans="1:11">
      <c r="A1286" t="s">
        <v>15604</v>
      </c>
      <c r="B1286" t="s">
        <v>15605</v>
      </c>
      <c r="J1286" t="s">
        <v>15604</v>
      </c>
      <c r="K1286" t="s">
        <v>3605</v>
      </c>
    </row>
    <row r="1287" spans="1:11">
      <c r="A1287" t="s">
        <v>15606</v>
      </c>
      <c r="B1287" t="s">
        <v>15607</v>
      </c>
      <c r="J1287" t="s">
        <v>15606</v>
      </c>
      <c r="K1287" t="s">
        <v>3605</v>
      </c>
    </row>
    <row r="1288" spans="1:11">
      <c r="A1288" t="s">
        <v>15608</v>
      </c>
      <c r="B1288" t="s">
        <v>15609</v>
      </c>
      <c r="J1288" t="s">
        <v>15608</v>
      </c>
      <c r="K1288" t="s">
        <v>3605</v>
      </c>
    </row>
    <row r="1289" spans="1:11">
      <c r="A1289" t="s">
        <v>15610</v>
      </c>
      <c r="B1289" t="s">
        <v>15611</v>
      </c>
      <c r="J1289" t="s">
        <v>15610</v>
      </c>
      <c r="K1289" t="s">
        <v>3605</v>
      </c>
    </row>
    <row r="1290" spans="1:11">
      <c r="A1290" t="s">
        <v>15612</v>
      </c>
      <c r="B1290" t="s">
        <v>15613</v>
      </c>
      <c r="C1290">
        <v>40099200</v>
      </c>
      <c r="D1290" t="s">
        <v>15614</v>
      </c>
      <c r="J1290" t="s">
        <v>15612</v>
      </c>
      <c r="K1290" t="s">
        <v>3605</v>
      </c>
    </row>
    <row r="1291" spans="1:11">
      <c r="A1291" t="s">
        <v>15615</v>
      </c>
      <c r="B1291" t="s">
        <v>15616</v>
      </c>
      <c r="C1291">
        <v>40000200</v>
      </c>
      <c r="J1291" t="s">
        <v>15615</v>
      </c>
      <c r="K1291" t="s">
        <v>3605</v>
      </c>
    </row>
    <row r="1292" spans="1:11">
      <c r="A1292" t="s">
        <v>15617</v>
      </c>
      <c r="B1292" t="s">
        <v>15618</v>
      </c>
      <c r="J1292" t="s">
        <v>15617</v>
      </c>
      <c r="K1292" t="s">
        <v>3605</v>
      </c>
    </row>
    <row r="1293" spans="1:11">
      <c r="A1293" t="s">
        <v>15619</v>
      </c>
      <c r="B1293" t="s">
        <v>15620</v>
      </c>
      <c r="C1293">
        <v>40005200</v>
      </c>
      <c r="J1293" t="s">
        <v>15619</v>
      </c>
      <c r="K1293" t="s">
        <v>3605</v>
      </c>
    </row>
    <row r="1294" spans="1:11">
      <c r="A1294" t="s">
        <v>15621</v>
      </c>
      <c r="B1294" t="s">
        <v>15622</v>
      </c>
      <c r="C1294">
        <v>40004200</v>
      </c>
      <c r="J1294" t="s">
        <v>15621</v>
      </c>
      <c r="K1294" t="s">
        <v>3605</v>
      </c>
    </row>
    <row r="1295" spans="1:11">
      <c r="A1295" t="s">
        <v>15623</v>
      </c>
      <c r="B1295" t="s">
        <v>15624</v>
      </c>
      <c r="J1295" t="s">
        <v>15623</v>
      </c>
      <c r="K1295" t="s">
        <v>3605</v>
      </c>
    </row>
    <row r="1296" spans="1:11">
      <c r="A1296" t="s">
        <v>15625</v>
      </c>
      <c r="B1296" t="s">
        <v>15626</v>
      </c>
      <c r="J1296" t="s">
        <v>15625</v>
      </c>
      <c r="K1296" t="s">
        <v>3605</v>
      </c>
    </row>
    <row r="1297" spans="1:11">
      <c r="A1297" t="s">
        <v>15627</v>
      </c>
      <c r="B1297" t="s">
        <v>15628</v>
      </c>
      <c r="J1297" t="s">
        <v>15627</v>
      </c>
      <c r="K1297" t="s">
        <v>3605</v>
      </c>
    </row>
    <row r="1298" spans="1:11">
      <c r="A1298" t="s">
        <v>15629</v>
      </c>
      <c r="B1298" t="s">
        <v>15630</v>
      </c>
      <c r="C1298">
        <v>40008200</v>
      </c>
      <c r="J1298" t="s">
        <v>15629</v>
      </c>
      <c r="K1298" t="s">
        <v>3605</v>
      </c>
    </row>
    <row r="1299" spans="1:11">
      <c r="A1299" t="s">
        <v>15631</v>
      </c>
      <c r="B1299" t="s">
        <v>15632</v>
      </c>
      <c r="C1299">
        <v>40028200</v>
      </c>
      <c r="J1299" t="s">
        <v>15631</v>
      </c>
      <c r="K1299" t="s">
        <v>3605</v>
      </c>
    </row>
    <row r="1300" spans="1:11">
      <c r="A1300" t="s">
        <v>15633</v>
      </c>
      <c r="B1300" t="s">
        <v>15634</v>
      </c>
      <c r="C1300">
        <v>40099300</v>
      </c>
      <c r="J1300" t="s">
        <v>15633</v>
      </c>
      <c r="K1300" t="s">
        <v>3605</v>
      </c>
    </row>
    <row r="1301" spans="1:11">
      <c r="A1301" t="s">
        <v>15635</v>
      </c>
      <c r="B1301" t="s">
        <v>15636</v>
      </c>
      <c r="J1301" t="s">
        <v>15635</v>
      </c>
      <c r="K1301" t="s">
        <v>3605</v>
      </c>
    </row>
    <row r="1302" spans="1:11">
      <c r="A1302" t="s">
        <v>15637</v>
      </c>
      <c r="B1302" t="s">
        <v>15638</v>
      </c>
      <c r="J1302" t="s">
        <v>15637</v>
      </c>
      <c r="K1302" t="s">
        <v>3605</v>
      </c>
    </row>
    <row r="1303" spans="1:11">
      <c r="A1303" t="s">
        <v>15639</v>
      </c>
      <c r="B1303" t="s">
        <v>15640</v>
      </c>
      <c r="J1303" t="s">
        <v>15639</v>
      </c>
      <c r="K1303" t="s">
        <v>3605</v>
      </c>
    </row>
    <row r="1304" spans="1:11">
      <c r="A1304" t="s">
        <v>15641</v>
      </c>
      <c r="B1304" t="s">
        <v>15642</v>
      </c>
      <c r="J1304" t="s">
        <v>15641</v>
      </c>
      <c r="K1304" t="s">
        <v>3605</v>
      </c>
    </row>
    <row r="1305" spans="1:11">
      <c r="A1305" t="s">
        <v>15643</v>
      </c>
      <c r="B1305" t="s">
        <v>15644</v>
      </c>
      <c r="J1305" t="s">
        <v>15643</v>
      </c>
      <c r="K1305" t="s">
        <v>3605</v>
      </c>
    </row>
    <row r="1306" spans="1:11">
      <c r="A1306" t="s">
        <v>15645</v>
      </c>
      <c r="B1306" t="s">
        <v>15646</v>
      </c>
      <c r="J1306" t="s">
        <v>15645</v>
      </c>
      <c r="K1306" t="s">
        <v>3605</v>
      </c>
    </row>
    <row r="1307" spans="1:11">
      <c r="A1307" t="s">
        <v>15647</v>
      </c>
      <c r="B1307" t="s">
        <v>15648</v>
      </c>
      <c r="J1307" t="s">
        <v>15647</v>
      </c>
      <c r="K1307" t="s">
        <v>3605</v>
      </c>
    </row>
    <row r="1308" spans="1:11">
      <c r="A1308" t="s">
        <v>15649</v>
      </c>
      <c r="B1308" t="s">
        <v>15650</v>
      </c>
      <c r="J1308" t="s">
        <v>15649</v>
      </c>
      <c r="K1308" t="s">
        <v>3605</v>
      </c>
    </row>
    <row r="1309" spans="1:11">
      <c r="A1309" t="s">
        <v>15651</v>
      </c>
      <c r="B1309" t="s">
        <v>15652</v>
      </c>
      <c r="J1309" t="s">
        <v>15651</v>
      </c>
      <c r="K1309" t="s">
        <v>3605</v>
      </c>
    </row>
    <row r="1310" spans="1:11">
      <c r="A1310" t="s">
        <v>15653</v>
      </c>
      <c r="B1310" t="s">
        <v>15654</v>
      </c>
      <c r="C1310">
        <v>40099400</v>
      </c>
      <c r="J1310" t="s">
        <v>15653</v>
      </c>
      <c r="K1310" t="s">
        <v>3605</v>
      </c>
    </row>
    <row r="1311" spans="1:11">
      <c r="A1311" t="s">
        <v>15655</v>
      </c>
      <c r="B1311" t="s">
        <v>15656</v>
      </c>
      <c r="J1311" t="s">
        <v>15655</v>
      </c>
      <c r="K1311" t="s">
        <v>3605</v>
      </c>
    </row>
    <row r="1312" spans="1:11">
      <c r="A1312" t="s">
        <v>15657</v>
      </c>
      <c r="B1312" t="s">
        <v>15658</v>
      </c>
      <c r="J1312" t="s">
        <v>15657</v>
      </c>
      <c r="K1312" t="s">
        <v>3605</v>
      </c>
    </row>
    <row r="1313" spans="1:11">
      <c r="A1313" t="s">
        <v>15659</v>
      </c>
      <c r="B1313" t="s">
        <v>15660</v>
      </c>
      <c r="J1313" t="s">
        <v>15659</v>
      </c>
      <c r="K1313" t="s">
        <v>3605</v>
      </c>
    </row>
    <row r="1314" spans="1:11">
      <c r="A1314" t="s">
        <v>15661</v>
      </c>
      <c r="B1314" t="s">
        <v>15662</v>
      </c>
      <c r="J1314" t="s">
        <v>15661</v>
      </c>
      <c r="K1314" t="s">
        <v>3605</v>
      </c>
    </row>
    <row r="1315" spans="1:11">
      <c r="A1315" t="s">
        <v>15663</v>
      </c>
      <c r="B1315" t="s">
        <v>15664</v>
      </c>
      <c r="J1315" t="s">
        <v>15663</v>
      </c>
      <c r="K1315" t="s">
        <v>3605</v>
      </c>
    </row>
    <row r="1316" spans="1:11">
      <c r="A1316" t="s">
        <v>15665</v>
      </c>
      <c r="B1316" t="s">
        <v>15666</v>
      </c>
      <c r="J1316" t="s">
        <v>15665</v>
      </c>
      <c r="K1316" t="s">
        <v>3605</v>
      </c>
    </row>
    <row r="1317" spans="1:11">
      <c r="A1317" t="s">
        <v>15667</v>
      </c>
      <c r="B1317" t="s">
        <v>15668</v>
      </c>
      <c r="J1317" t="s">
        <v>15667</v>
      </c>
      <c r="K1317" t="s">
        <v>3605</v>
      </c>
    </row>
    <row r="1318" spans="1:11">
      <c r="A1318" t="s">
        <v>15669</v>
      </c>
      <c r="B1318" t="s">
        <v>15670</v>
      </c>
      <c r="J1318" t="s">
        <v>15669</v>
      </c>
      <c r="K1318" t="s">
        <v>3605</v>
      </c>
    </row>
    <row r="1319" spans="1:11">
      <c r="A1319" t="s">
        <v>15671</v>
      </c>
      <c r="B1319" t="s">
        <v>15672</v>
      </c>
      <c r="J1319" t="s">
        <v>15671</v>
      </c>
      <c r="K1319" t="s">
        <v>3605</v>
      </c>
    </row>
    <row r="1320" spans="1:11">
      <c r="A1320" t="s">
        <v>15673</v>
      </c>
      <c r="B1320" t="s">
        <v>15674</v>
      </c>
      <c r="J1320" t="s">
        <v>15673</v>
      </c>
      <c r="K1320" t="s">
        <v>3605</v>
      </c>
    </row>
    <row r="1321" spans="1:11">
      <c r="A1321" t="s">
        <v>15675</v>
      </c>
      <c r="B1321" t="s">
        <v>15676</v>
      </c>
      <c r="C1321">
        <v>53200000</v>
      </c>
      <c r="D1321" t="s">
        <v>15677</v>
      </c>
      <c r="J1321" t="s">
        <v>15675</v>
      </c>
      <c r="K1321" t="s">
        <v>3605</v>
      </c>
    </row>
    <row r="1322" spans="1:11">
      <c r="A1322" t="s">
        <v>15678</v>
      </c>
      <c r="B1322" t="s">
        <v>15679</v>
      </c>
      <c r="C1322">
        <v>53202000</v>
      </c>
      <c r="D1322" t="s">
        <v>15677</v>
      </c>
      <c r="J1322" t="s">
        <v>15678</v>
      </c>
      <c r="K1322" t="s">
        <v>3605</v>
      </c>
    </row>
    <row r="1323" spans="1:11">
      <c r="A1323" t="s">
        <v>15680</v>
      </c>
      <c r="B1323" t="s">
        <v>15681</v>
      </c>
      <c r="C1323">
        <v>58000202</v>
      </c>
      <c r="J1323" t="s">
        <v>15680</v>
      </c>
      <c r="K1323" t="s">
        <v>3605</v>
      </c>
    </row>
    <row r="1324" spans="1:11">
      <c r="A1324" t="s">
        <v>15682</v>
      </c>
      <c r="B1324" t="s">
        <v>15683</v>
      </c>
      <c r="C1324">
        <v>58000202</v>
      </c>
      <c r="J1324" t="s">
        <v>15682</v>
      </c>
      <c r="K1324" t="s">
        <v>3605</v>
      </c>
    </row>
    <row r="1325" spans="1:11">
      <c r="A1325" t="s">
        <v>15684</v>
      </c>
      <c r="B1325" t="s">
        <v>15685</v>
      </c>
      <c r="C1325">
        <v>53200200</v>
      </c>
      <c r="D1325" t="s">
        <v>15677</v>
      </c>
      <c r="J1325" t="s">
        <v>15684</v>
      </c>
      <c r="K1325" t="s">
        <v>3605</v>
      </c>
    </row>
    <row r="1326" spans="1:11">
      <c r="A1326" t="s">
        <v>15684</v>
      </c>
      <c r="B1326" t="s">
        <v>15685</v>
      </c>
      <c r="C1326">
        <v>53200201</v>
      </c>
      <c r="J1326" t="s">
        <v>15684</v>
      </c>
      <c r="K1326" t="s">
        <v>3605</v>
      </c>
    </row>
    <row r="1327" spans="1:11">
      <c r="A1327" t="s">
        <v>15686</v>
      </c>
      <c r="B1327" t="s">
        <v>15687</v>
      </c>
      <c r="C1327">
        <v>53202200</v>
      </c>
      <c r="D1327" t="s">
        <v>15677</v>
      </c>
      <c r="J1327" t="s">
        <v>15686</v>
      </c>
      <c r="K1327" t="s">
        <v>3605</v>
      </c>
    </row>
    <row r="1328" spans="1:11">
      <c r="A1328" t="s">
        <v>15688</v>
      </c>
      <c r="B1328" t="s">
        <v>15689</v>
      </c>
      <c r="C1328">
        <v>53200200</v>
      </c>
      <c r="D1328" t="s">
        <v>15677</v>
      </c>
      <c r="J1328" t="s">
        <v>15688</v>
      </c>
      <c r="K1328" t="s">
        <v>3605</v>
      </c>
    </row>
    <row r="1329" spans="1:11">
      <c r="A1329" t="s">
        <v>15688</v>
      </c>
      <c r="B1329" t="s">
        <v>15689</v>
      </c>
      <c r="C1329">
        <v>53200201</v>
      </c>
      <c r="J1329" t="s">
        <v>15688</v>
      </c>
      <c r="K1329" t="s">
        <v>3605</v>
      </c>
    </row>
    <row r="1330" spans="1:11">
      <c r="A1330" t="s">
        <v>15690</v>
      </c>
      <c r="B1330" t="s">
        <v>15691</v>
      </c>
      <c r="C1330">
        <v>53202200</v>
      </c>
      <c r="D1330" t="s">
        <v>15677</v>
      </c>
      <c r="J1330" t="s">
        <v>15690</v>
      </c>
      <c r="K1330" t="s">
        <v>3605</v>
      </c>
    </row>
    <row r="1331" spans="1:11">
      <c r="A1331" t="s">
        <v>15692</v>
      </c>
      <c r="B1331" t="s">
        <v>15693</v>
      </c>
      <c r="C1331">
        <v>53200000</v>
      </c>
      <c r="J1331" t="s">
        <v>15692</v>
      </c>
      <c r="K1331" t="s">
        <v>3605</v>
      </c>
    </row>
    <row r="1332" spans="1:11">
      <c r="A1332" t="s">
        <v>15692</v>
      </c>
      <c r="B1332" t="s">
        <v>15693</v>
      </c>
      <c r="C1332">
        <v>53202000</v>
      </c>
      <c r="J1332" t="s">
        <v>15692</v>
      </c>
      <c r="K1332" t="s">
        <v>3605</v>
      </c>
    </row>
    <row r="1333" spans="1:11">
      <c r="A1333" t="s">
        <v>15694</v>
      </c>
      <c r="B1333" t="s">
        <v>15695</v>
      </c>
      <c r="C1333">
        <v>53200004</v>
      </c>
      <c r="J1333" t="s">
        <v>15694</v>
      </c>
      <c r="K1333" t="s">
        <v>3605</v>
      </c>
    </row>
    <row r="1334" spans="1:11">
      <c r="A1334" t="s">
        <v>15696</v>
      </c>
      <c r="B1334" t="s">
        <v>15697</v>
      </c>
      <c r="C1334">
        <v>53200006</v>
      </c>
      <c r="J1334" t="s">
        <v>15696</v>
      </c>
      <c r="K1334" t="s">
        <v>3605</v>
      </c>
    </row>
    <row r="1335" spans="1:11">
      <c r="A1335" t="s">
        <v>15696</v>
      </c>
      <c r="B1335" t="s">
        <v>15697</v>
      </c>
      <c r="C1335">
        <v>53200013</v>
      </c>
      <c r="J1335" t="s">
        <v>15696</v>
      </c>
      <c r="K1335" t="s">
        <v>3605</v>
      </c>
    </row>
    <row r="1336" spans="1:11">
      <c r="A1336" t="s">
        <v>15696</v>
      </c>
      <c r="B1336" t="s">
        <v>15697</v>
      </c>
      <c r="C1336">
        <v>53200014</v>
      </c>
      <c r="J1336" t="s">
        <v>15696</v>
      </c>
      <c r="K1336" t="s">
        <v>3605</v>
      </c>
    </row>
    <row r="1337" spans="1:11">
      <c r="A1337" t="s">
        <v>15698</v>
      </c>
      <c r="B1337" t="s">
        <v>15699</v>
      </c>
      <c r="C1337">
        <v>53200015</v>
      </c>
      <c r="J1337" t="s">
        <v>15698</v>
      </c>
      <c r="K1337" t="s">
        <v>3605</v>
      </c>
    </row>
    <row r="1338" spans="1:11">
      <c r="A1338" t="s">
        <v>15700</v>
      </c>
      <c r="B1338" t="s">
        <v>15701</v>
      </c>
      <c r="C1338">
        <v>53200023</v>
      </c>
      <c r="J1338" t="s">
        <v>15700</v>
      </c>
      <c r="K1338" t="s">
        <v>3605</v>
      </c>
    </row>
    <row r="1339" spans="1:11">
      <c r="A1339" t="s">
        <v>15702</v>
      </c>
      <c r="B1339" t="s">
        <v>15703</v>
      </c>
      <c r="J1339" t="s">
        <v>15702</v>
      </c>
      <c r="K1339" t="s">
        <v>3605</v>
      </c>
    </row>
    <row r="1340" spans="1:11">
      <c r="A1340" t="s">
        <v>15704</v>
      </c>
      <c r="B1340" t="s">
        <v>15705</v>
      </c>
      <c r="J1340" t="s">
        <v>15704</v>
      </c>
      <c r="K1340" t="s">
        <v>3605</v>
      </c>
    </row>
    <row r="1341" spans="1:11">
      <c r="A1341" t="s">
        <v>15706</v>
      </c>
      <c r="B1341" t="s">
        <v>15707</v>
      </c>
      <c r="C1341">
        <v>53200009</v>
      </c>
      <c r="J1341" t="s">
        <v>15706</v>
      </c>
      <c r="K1341" t="s">
        <v>3605</v>
      </c>
    </row>
    <row r="1342" spans="1:11">
      <c r="A1342" t="s">
        <v>15708</v>
      </c>
      <c r="B1342" t="s">
        <v>15709</v>
      </c>
      <c r="C1342">
        <v>41697000</v>
      </c>
      <c r="J1342" t="s">
        <v>15708</v>
      </c>
      <c r="K1342" t="s">
        <v>3605</v>
      </c>
    </row>
    <row r="1343" spans="1:11">
      <c r="A1343" t="s">
        <v>15710</v>
      </c>
      <c r="B1343" t="s">
        <v>15711</v>
      </c>
      <c r="C1343">
        <v>53200003</v>
      </c>
      <c r="J1343" t="s">
        <v>15710</v>
      </c>
      <c r="K1343" t="s">
        <v>3605</v>
      </c>
    </row>
    <row r="1344" spans="1:11">
      <c r="A1344" t="s">
        <v>15712</v>
      </c>
      <c r="B1344" t="s">
        <v>15713</v>
      </c>
      <c r="J1344" t="s">
        <v>15712</v>
      </c>
      <c r="K1344" t="s">
        <v>3605</v>
      </c>
    </row>
    <row r="1345" spans="1:11">
      <c r="A1345" t="s">
        <v>15714</v>
      </c>
      <c r="B1345" t="s">
        <v>15715</v>
      </c>
      <c r="C1345">
        <v>53200011</v>
      </c>
      <c r="J1345" t="s">
        <v>15714</v>
      </c>
      <c r="K1345" t="s">
        <v>3605</v>
      </c>
    </row>
    <row r="1346" spans="1:11">
      <c r="A1346" t="s">
        <v>15716</v>
      </c>
      <c r="B1346" t="s">
        <v>15717</v>
      </c>
      <c r="J1346" t="s">
        <v>15716</v>
      </c>
      <c r="K1346" t="s">
        <v>3605</v>
      </c>
    </row>
    <row r="1347" spans="1:11">
      <c r="A1347" t="s">
        <v>15718</v>
      </c>
      <c r="B1347" t="s">
        <v>15719</v>
      </c>
      <c r="C1347">
        <v>53200012</v>
      </c>
      <c r="J1347" t="s">
        <v>15718</v>
      </c>
      <c r="K1347" t="s">
        <v>3605</v>
      </c>
    </row>
    <row r="1348" spans="1:11">
      <c r="A1348" t="s">
        <v>15720</v>
      </c>
      <c r="B1348" t="s">
        <v>15721</v>
      </c>
      <c r="C1348">
        <v>53200100</v>
      </c>
      <c r="J1348" t="s">
        <v>15720</v>
      </c>
      <c r="K1348" t="s">
        <v>3605</v>
      </c>
    </row>
    <row r="1349" spans="1:11">
      <c r="A1349" t="s">
        <v>15720</v>
      </c>
      <c r="B1349" t="s">
        <v>15721</v>
      </c>
      <c r="C1349">
        <v>53202100</v>
      </c>
      <c r="J1349" t="s">
        <v>15720</v>
      </c>
      <c r="K1349" t="s">
        <v>3605</v>
      </c>
    </row>
    <row r="1350" spans="1:11">
      <c r="A1350" t="s">
        <v>15722</v>
      </c>
      <c r="B1350" t="s">
        <v>15723</v>
      </c>
      <c r="J1350" t="s">
        <v>15722</v>
      </c>
      <c r="K1350" t="s">
        <v>3605</v>
      </c>
    </row>
    <row r="1351" spans="1:11">
      <c r="A1351" t="s">
        <v>15724</v>
      </c>
      <c r="B1351" t="s">
        <v>15725</v>
      </c>
      <c r="J1351" t="s">
        <v>15724</v>
      </c>
      <c r="K1351" t="s">
        <v>3605</v>
      </c>
    </row>
    <row r="1352" spans="1:11">
      <c r="A1352" t="s">
        <v>15726</v>
      </c>
      <c r="B1352" t="s">
        <v>15727</v>
      </c>
      <c r="C1352">
        <v>53200101</v>
      </c>
      <c r="J1352" t="s">
        <v>15726</v>
      </c>
      <c r="K1352" t="s">
        <v>3605</v>
      </c>
    </row>
    <row r="1353" spans="1:11">
      <c r="A1353" t="s">
        <v>15728</v>
      </c>
      <c r="B1353" t="s">
        <v>15729</v>
      </c>
      <c r="C1353">
        <v>53200123</v>
      </c>
      <c r="J1353" t="s">
        <v>15728</v>
      </c>
      <c r="K1353" t="s">
        <v>3605</v>
      </c>
    </row>
    <row r="1354" spans="1:11">
      <c r="A1354" t="s">
        <v>15730</v>
      </c>
      <c r="B1354" t="s">
        <v>15731</v>
      </c>
      <c r="J1354" t="s">
        <v>15730</v>
      </c>
      <c r="K1354" t="s">
        <v>3605</v>
      </c>
    </row>
    <row r="1355" spans="1:11">
      <c r="A1355" t="s">
        <v>15730</v>
      </c>
      <c r="B1355" t="s">
        <v>15731</v>
      </c>
      <c r="C1355">
        <v>53200201</v>
      </c>
      <c r="J1355" t="s">
        <v>15730</v>
      </c>
      <c r="K1355" t="s">
        <v>3605</v>
      </c>
    </row>
    <row r="1356" spans="1:11">
      <c r="A1356" t="s">
        <v>15730</v>
      </c>
      <c r="B1356" t="s">
        <v>15731</v>
      </c>
      <c r="J1356" t="s">
        <v>15730</v>
      </c>
      <c r="K1356" t="s">
        <v>3605</v>
      </c>
    </row>
    <row r="1357" spans="1:11">
      <c r="A1357" t="s">
        <v>15730</v>
      </c>
      <c r="B1357" t="s">
        <v>15731</v>
      </c>
      <c r="J1357" t="s">
        <v>15730</v>
      </c>
      <c r="K1357" t="s">
        <v>3605</v>
      </c>
    </row>
    <row r="1358" spans="1:11">
      <c r="A1358" t="s">
        <v>15732</v>
      </c>
      <c r="B1358" t="s">
        <v>15733</v>
      </c>
      <c r="J1358" t="s">
        <v>15732</v>
      </c>
      <c r="K1358" t="s">
        <v>3605</v>
      </c>
    </row>
    <row r="1359" spans="1:11">
      <c r="A1359" t="s">
        <v>15734</v>
      </c>
      <c r="B1359" t="s">
        <v>15735</v>
      </c>
      <c r="J1359" t="s">
        <v>15734</v>
      </c>
      <c r="K1359" t="s">
        <v>3605</v>
      </c>
    </row>
    <row r="1360" spans="1:11">
      <c r="A1360" t="s">
        <v>15736</v>
      </c>
      <c r="B1360" t="s">
        <v>15737</v>
      </c>
      <c r="J1360" t="s">
        <v>15736</v>
      </c>
      <c r="K1360" t="s">
        <v>3605</v>
      </c>
    </row>
    <row r="1361" spans="1:11">
      <c r="A1361" t="s">
        <v>15738</v>
      </c>
      <c r="B1361" t="s">
        <v>15739</v>
      </c>
      <c r="C1361">
        <v>53200200</v>
      </c>
      <c r="D1361">
        <v>4686910</v>
      </c>
      <c r="J1361" t="s">
        <v>15738</v>
      </c>
      <c r="K1361" t="s">
        <v>3605</v>
      </c>
    </row>
    <row r="1362" spans="1:11">
      <c r="A1362" t="s">
        <v>15740</v>
      </c>
      <c r="B1362" t="s">
        <v>15741</v>
      </c>
      <c r="C1362">
        <v>53206200</v>
      </c>
      <c r="J1362" t="s">
        <v>15740</v>
      </c>
      <c r="K1362" t="s">
        <v>3605</v>
      </c>
    </row>
    <row r="1363" spans="1:11">
      <c r="A1363" t="s">
        <v>15742</v>
      </c>
      <c r="B1363" t="s">
        <v>15743</v>
      </c>
      <c r="J1363" t="s">
        <v>15742</v>
      </c>
      <c r="K1363" t="s">
        <v>3605</v>
      </c>
    </row>
    <row r="1364" spans="1:11">
      <c r="A1364" t="s">
        <v>15744</v>
      </c>
      <c r="B1364" t="s">
        <v>15745</v>
      </c>
      <c r="J1364" t="s">
        <v>15744</v>
      </c>
      <c r="K1364" t="s">
        <v>3605</v>
      </c>
    </row>
    <row r="1365" spans="1:11">
      <c r="A1365" t="s">
        <v>15746</v>
      </c>
      <c r="B1365" t="s">
        <v>15747</v>
      </c>
      <c r="J1365" t="s">
        <v>15746</v>
      </c>
      <c r="K1365" t="s">
        <v>3605</v>
      </c>
    </row>
    <row r="1366" spans="1:11">
      <c r="A1366" t="s">
        <v>15748</v>
      </c>
      <c r="B1366" t="s">
        <v>15749</v>
      </c>
      <c r="J1366" t="s">
        <v>15748</v>
      </c>
      <c r="K1366" t="s">
        <v>3605</v>
      </c>
    </row>
    <row r="1367" spans="1:11">
      <c r="A1367" t="s">
        <v>15750</v>
      </c>
      <c r="B1367" t="s">
        <v>15751</v>
      </c>
      <c r="J1367" t="s">
        <v>15750</v>
      </c>
      <c r="K1367" t="s">
        <v>3605</v>
      </c>
    </row>
    <row r="1368" spans="1:11">
      <c r="A1368" t="s">
        <v>15752</v>
      </c>
      <c r="B1368" t="s">
        <v>15753</v>
      </c>
      <c r="J1368" t="s">
        <v>15752</v>
      </c>
      <c r="K1368" t="s">
        <v>3605</v>
      </c>
    </row>
    <row r="1369" spans="1:11">
      <c r="A1369" t="s">
        <v>15754</v>
      </c>
      <c r="B1369" t="s">
        <v>15755</v>
      </c>
      <c r="J1369" t="s">
        <v>15754</v>
      </c>
      <c r="K1369" t="s">
        <v>3605</v>
      </c>
    </row>
    <row r="1370" spans="1:11">
      <c r="A1370" t="s">
        <v>15756</v>
      </c>
      <c r="B1370" t="s">
        <v>15757</v>
      </c>
      <c r="J1370" t="s">
        <v>15756</v>
      </c>
      <c r="K1370" t="s">
        <v>3605</v>
      </c>
    </row>
    <row r="1371" spans="1:11">
      <c r="A1371" t="s">
        <v>15758</v>
      </c>
      <c r="B1371" t="s">
        <v>15759</v>
      </c>
      <c r="J1371" t="s">
        <v>15758</v>
      </c>
      <c r="K1371" t="s">
        <v>3605</v>
      </c>
    </row>
    <row r="1372" spans="1:11">
      <c r="A1372" t="s">
        <v>15760</v>
      </c>
      <c r="B1372" t="s">
        <v>15761</v>
      </c>
      <c r="C1372">
        <v>41612002</v>
      </c>
      <c r="J1372" t="s">
        <v>15760</v>
      </c>
      <c r="K1372" t="s">
        <v>3605</v>
      </c>
    </row>
    <row r="1373" spans="1:11">
      <c r="A1373" t="s">
        <v>15762</v>
      </c>
      <c r="B1373" t="s">
        <v>15763</v>
      </c>
      <c r="C1373">
        <v>41612025</v>
      </c>
      <c r="J1373" t="s">
        <v>15762</v>
      </c>
      <c r="K1373" t="s">
        <v>3605</v>
      </c>
    </row>
    <row r="1374" spans="1:11">
      <c r="A1374" t="s">
        <v>15764</v>
      </c>
      <c r="B1374" t="s">
        <v>15765</v>
      </c>
      <c r="C1374">
        <v>41699011</v>
      </c>
      <c r="J1374" t="s">
        <v>15764</v>
      </c>
      <c r="K1374" t="s">
        <v>3605</v>
      </c>
    </row>
    <row r="1375" spans="1:11">
      <c r="A1375" t="s">
        <v>15766</v>
      </c>
      <c r="B1375" t="s">
        <v>15767</v>
      </c>
      <c r="C1375">
        <v>49999004</v>
      </c>
      <c r="J1375" t="s">
        <v>15766</v>
      </c>
      <c r="K1375" t="s">
        <v>3605</v>
      </c>
    </row>
    <row r="1376" spans="1:11">
      <c r="A1376" t="s">
        <v>15768</v>
      </c>
      <c r="B1376" t="s">
        <v>15769</v>
      </c>
      <c r="J1376" t="s">
        <v>15768</v>
      </c>
      <c r="K1376" t="s">
        <v>3605</v>
      </c>
    </row>
    <row r="1377" spans="1:11">
      <c r="A1377" t="s">
        <v>15770</v>
      </c>
      <c r="B1377" t="s">
        <v>15771</v>
      </c>
      <c r="J1377" t="s">
        <v>15770</v>
      </c>
      <c r="K1377" t="s">
        <v>3605</v>
      </c>
    </row>
    <row r="1378" spans="1:11">
      <c r="A1378" t="s">
        <v>15770</v>
      </c>
      <c r="B1378" t="s">
        <v>15771</v>
      </c>
      <c r="C1378">
        <v>41612004</v>
      </c>
      <c r="D1378" t="s">
        <v>15772</v>
      </c>
      <c r="J1378" t="s">
        <v>15770</v>
      </c>
      <c r="K1378" t="s">
        <v>3605</v>
      </c>
    </row>
    <row r="1379" spans="1:11">
      <c r="A1379" t="s">
        <v>15770</v>
      </c>
      <c r="B1379" t="s">
        <v>15771</v>
      </c>
      <c r="C1379">
        <v>41612033</v>
      </c>
      <c r="J1379" t="s">
        <v>15770</v>
      </c>
      <c r="K1379" t="s">
        <v>3605</v>
      </c>
    </row>
    <row r="1380" spans="1:11">
      <c r="A1380" t="s">
        <v>15770</v>
      </c>
      <c r="B1380" t="s">
        <v>15771</v>
      </c>
      <c r="C1380">
        <v>41612011</v>
      </c>
      <c r="J1380" t="s">
        <v>15770</v>
      </c>
      <c r="K1380" t="s">
        <v>3605</v>
      </c>
    </row>
    <row r="1381" spans="1:11">
      <c r="A1381" t="s">
        <v>15773</v>
      </c>
      <c r="B1381" t="s">
        <v>15774</v>
      </c>
      <c r="C1381">
        <v>41612025</v>
      </c>
      <c r="J1381" t="s">
        <v>15773</v>
      </c>
      <c r="K1381" t="s">
        <v>3605</v>
      </c>
    </row>
    <row r="1382" spans="1:11">
      <c r="A1382" t="s">
        <v>15775</v>
      </c>
      <c r="B1382" t="s">
        <v>15776</v>
      </c>
      <c r="C1382">
        <v>41615010</v>
      </c>
      <c r="J1382" t="s">
        <v>15775</v>
      </c>
      <c r="K1382" t="s">
        <v>3605</v>
      </c>
    </row>
    <row r="1383" spans="1:11">
      <c r="A1383" t="s">
        <v>15777</v>
      </c>
      <c r="B1383" t="s">
        <v>15778</v>
      </c>
      <c r="C1383">
        <v>41612034</v>
      </c>
      <c r="J1383" t="s">
        <v>15777</v>
      </c>
      <c r="K1383" t="s">
        <v>3605</v>
      </c>
    </row>
    <row r="1384" spans="1:11">
      <c r="A1384" t="s">
        <v>15779</v>
      </c>
      <c r="B1384" t="s">
        <v>15780</v>
      </c>
      <c r="C1384">
        <v>41604000</v>
      </c>
      <c r="J1384" t="s">
        <v>15779</v>
      </c>
      <c r="K1384" t="s">
        <v>3605</v>
      </c>
    </row>
    <row r="1385" spans="1:11">
      <c r="A1385" t="s">
        <v>15779</v>
      </c>
      <c r="B1385" t="s">
        <v>15780</v>
      </c>
      <c r="C1385">
        <v>41699000</v>
      </c>
      <c r="J1385" t="s">
        <v>15779</v>
      </c>
      <c r="K1385" t="s">
        <v>3605</v>
      </c>
    </row>
    <row r="1386" spans="1:11">
      <c r="A1386" t="s">
        <v>15781</v>
      </c>
      <c r="B1386" t="s">
        <v>15782</v>
      </c>
      <c r="C1386">
        <v>41634000</v>
      </c>
      <c r="J1386" t="s">
        <v>15781</v>
      </c>
      <c r="K1386" t="s">
        <v>3605</v>
      </c>
    </row>
    <row r="1387" spans="1:11">
      <c r="A1387" t="s">
        <v>15783</v>
      </c>
      <c r="B1387" t="s">
        <v>15784</v>
      </c>
      <c r="C1387">
        <v>41650040</v>
      </c>
      <c r="J1387" t="s">
        <v>15783</v>
      </c>
      <c r="K1387" t="s">
        <v>3605</v>
      </c>
    </row>
    <row r="1388" spans="1:11">
      <c r="A1388" t="s">
        <v>15785</v>
      </c>
      <c r="B1388" t="s">
        <v>15786</v>
      </c>
      <c r="C1388">
        <v>41699003</v>
      </c>
      <c r="J1388" t="s">
        <v>15785</v>
      </c>
    </row>
    <row r="1389" spans="1:11">
      <c r="A1389" t="s">
        <v>15787</v>
      </c>
      <c r="B1389" t="s">
        <v>15788</v>
      </c>
      <c r="J1389" t="s">
        <v>15787</v>
      </c>
      <c r="K1389" t="s">
        <v>3605</v>
      </c>
    </row>
    <row r="1390" spans="1:11">
      <c r="A1390" t="s">
        <v>15789</v>
      </c>
      <c r="B1390" t="s">
        <v>15790</v>
      </c>
      <c r="C1390">
        <v>41612013</v>
      </c>
      <c r="D1390" t="s">
        <v>15791</v>
      </c>
      <c r="J1390" t="s">
        <v>15789</v>
      </c>
      <c r="K1390" t="s">
        <v>3605</v>
      </c>
    </row>
    <row r="1391" spans="1:11">
      <c r="A1391" t="s">
        <v>15789</v>
      </c>
      <c r="B1391" t="s">
        <v>15790</v>
      </c>
      <c r="C1391">
        <v>41611102</v>
      </c>
      <c r="J1391" t="s">
        <v>15789</v>
      </c>
      <c r="K1391" t="s">
        <v>3605</v>
      </c>
    </row>
    <row r="1392" spans="1:11">
      <c r="A1392" t="s">
        <v>15789</v>
      </c>
      <c r="B1392" t="s">
        <v>15790</v>
      </c>
      <c r="C1392">
        <v>41611002</v>
      </c>
      <c r="J1392" t="s">
        <v>15789</v>
      </c>
      <c r="K1392" t="s">
        <v>3605</v>
      </c>
    </row>
    <row r="1393" spans="1:11">
      <c r="A1393" t="s">
        <v>15792</v>
      </c>
      <c r="B1393" t="s">
        <v>15793</v>
      </c>
      <c r="J1393" t="s">
        <v>15792</v>
      </c>
      <c r="K1393" t="s">
        <v>3605</v>
      </c>
    </row>
    <row r="1394" spans="1:11">
      <c r="A1394" t="s">
        <v>15794</v>
      </c>
      <c r="B1394" t="s">
        <v>15795</v>
      </c>
      <c r="C1394">
        <v>41611003</v>
      </c>
      <c r="J1394" t="s">
        <v>15794</v>
      </c>
      <c r="K1394" t="s">
        <v>3605</v>
      </c>
    </row>
    <row r="1395" spans="1:11">
      <c r="A1395" t="s">
        <v>15796</v>
      </c>
      <c r="B1395" t="s">
        <v>15797</v>
      </c>
      <c r="C1395">
        <v>41611005</v>
      </c>
      <c r="J1395" t="s">
        <v>15796</v>
      </c>
      <c r="K1395" t="s">
        <v>3605</v>
      </c>
    </row>
    <row r="1396" spans="1:11">
      <c r="A1396" t="s">
        <v>15798</v>
      </c>
      <c r="B1396" t="s">
        <v>15799</v>
      </c>
      <c r="C1396">
        <v>41611006</v>
      </c>
      <c r="J1396" t="s">
        <v>15798</v>
      </c>
      <c r="K1396" t="s">
        <v>3605</v>
      </c>
    </row>
    <row r="1397" spans="1:11">
      <c r="A1397" t="s">
        <v>15800</v>
      </c>
      <c r="B1397" t="s">
        <v>15801</v>
      </c>
      <c r="C1397">
        <v>41611007</v>
      </c>
      <c r="J1397" t="s">
        <v>15800</v>
      </c>
      <c r="K1397" t="s">
        <v>3605</v>
      </c>
    </row>
    <row r="1398" spans="1:11">
      <c r="A1398" t="s">
        <v>15802</v>
      </c>
      <c r="B1398" t="s">
        <v>15803</v>
      </c>
      <c r="C1398">
        <v>41604010</v>
      </c>
      <c r="J1398" t="s">
        <v>15802</v>
      </c>
      <c r="K1398" t="s">
        <v>3605</v>
      </c>
    </row>
    <row r="1399" spans="1:11">
      <c r="A1399" t="s">
        <v>15804</v>
      </c>
      <c r="B1399" t="s">
        <v>15805</v>
      </c>
      <c r="C1399">
        <v>41604010</v>
      </c>
      <c r="J1399" t="s">
        <v>15804</v>
      </c>
      <c r="K1399" t="s">
        <v>3605</v>
      </c>
    </row>
    <row r="1400" spans="1:11">
      <c r="A1400" t="s">
        <v>15806</v>
      </c>
      <c r="B1400" t="s">
        <v>15807</v>
      </c>
      <c r="C1400">
        <v>41604010</v>
      </c>
      <c r="J1400" t="s">
        <v>15806</v>
      </c>
      <c r="K1400" t="s">
        <v>3605</v>
      </c>
    </row>
    <row r="1401" spans="1:11">
      <c r="A1401" t="s">
        <v>15808</v>
      </c>
      <c r="B1401" t="s">
        <v>15809</v>
      </c>
      <c r="C1401">
        <v>41604010</v>
      </c>
      <c r="D1401" t="s">
        <v>15810</v>
      </c>
      <c r="J1401" t="s">
        <v>15808</v>
      </c>
      <c r="K1401" t="s">
        <v>3605</v>
      </c>
    </row>
    <row r="1402" spans="1:11">
      <c r="A1402" t="s">
        <v>15811</v>
      </c>
      <c r="B1402" t="s">
        <v>15812</v>
      </c>
      <c r="C1402">
        <v>41604010</v>
      </c>
      <c r="J1402" t="s">
        <v>15811</v>
      </c>
      <c r="K1402" t="s">
        <v>3605</v>
      </c>
    </row>
    <row r="1403" spans="1:11">
      <c r="A1403" t="s">
        <v>15813</v>
      </c>
      <c r="B1403" t="s">
        <v>15814</v>
      </c>
      <c r="C1403">
        <v>41604010</v>
      </c>
      <c r="J1403" t="s">
        <v>15813</v>
      </c>
      <c r="K1403" t="s">
        <v>3605</v>
      </c>
    </row>
    <row r="1404" spans="1:11">
      <c r="A1404" t="s">
        <v>15815</v>
      </c>
      <c r="B1404" t="s">
        <v>15816</v>
      </c>
      <c r="C1404">
        <v>41604010</v>
      </c>
      <c r="J1404" t="s">
        <v>15815</v>
      </c>
      <c r="K1404" t="s">
        <v>3605</v>
      </c>
    </row>
    <row r="1405" spans="1:11">
      <c r="A1405" t="s">
        <v>15817</v>
      </c>
      <c r="B1405" t="s">
        <v>15818</v>
      </c>
      <c r="J1405" t="s">
        <v>15817</v>
      </c>
      <c r="K1405" t="s">
        <v>3605</v>
      </c>
    </row>
    <row r="1406" spans="1:11">
      <c r="A1406" t="s">
        <v>15819</v>
      </c>
      <c r="B1406" t="s">
        <v>15820</v>
      </c>
      <c r="C1406">
        <v>41612005</v>
      </c>
      <c r="J1406" t="s">
        <v>15819</v>
      </c>
      <c r="K1406" t="s">
        <v>3605</v>
      </c>
    </row>
    <row r="1407" spans="1:11">
      <c r="A1407" t="s">
        <v>15821</v>
      </c>
      <c r="B1407" t="s">
        <v>15822</v>
      </c>
      <c r="C1407">
        <v>41612032</v>
      </c>
      <c r="J1407" t="s">
        <v>15821</v>
      </c>
      <c r="K1407" t="s">
        <v>3605</v>
      </c>
    </row>
    <row r="1408" spans="1:11">
      <c r="A1408" t="s">
        <v>15821</v>
      </c>
      <c r="B1408" t="s">
        <v>15822</v>
      </c>
      <c r="C1408">
        <v>41615020</v>
      </c>
      <c r="J1408" t="s">
        <v>15821</v>
      </c>
      <c r="K1408" t="s">
        <v>3605</v>
      </c>
    </row>
    <row r="1409" spans="1:11">
      <c r="A1409" t="s">
        <v>15823</v>
      </c>
      <c r="B1409" t="s">
        <v>15824</v>
      </c>
      <c r="C1409">
        <v>41612035</v>
      </c>
      <c r="J1409" t="s">
        <v>15823</v>
      </c>
      <c r="K1409" t="s">
        <v>3605</v>
      </c>
    </row>
    <row r="1410" spans="1:11">
      <c r="A1410" t="s">
        <v>15825</v>
      </c>
      <c r="B1410" t="s">
        <v>15826</v>
      </c>
      <c r="C1410">
        <v>41612030</v>
      </c>
      <c r="J1410" t="s">
        <v>15825</v>
      </c>
      <c r="K1410" t="s">
        <v>3605</v>
      </c>
    </row>
    <row r="1411" spans="1:11">
      <c r="A1411" t="s">
        <v>15827</v>
      </c>
      <c r="B1411" t="s">
        <v>15828</v>
      </c>
      <c r="C1411">
        <v>41612031</v>
      </c>
      <c r="J1411" t="s">
        <v>15827</v>
      </c>
      <c r="K1411" t="s">
        <v>3605</v>
      </c>
    </row>
    <row r="1412" spans="1:11">
      <c r="A1412" t="s">
        <v>15829</v>
      </c>
      <c r="B1412" t="s">
        <v>15830</v>
      </c>
      <c r="C1412">
        <v>41612036</v>
      </c>
      <c r="J1412" t="s">
        <v>15829</v>
      </c>
      <c r="K1412" t="s">
        <v>3605</v>
      </c>
    </row>
    <row r="1413" spans="1:11">
      <c r="A1413" t="s">
        <v>15831</v>
      </c>
      <c r="B1413" t="s">
        <v>15832</v>
      </c>
      <c r="C1413">
        <v>41615001</v>
      </c>
      <c r="J1413" t="s">
        <v>15831</v>
      </c>
      <c r="K1413" t="s">
        <v>3605</v>
      </c>
    </row>
    <row r="1414" spans="1:11">
      <c r="A1414" t="s">
        <v>15833</v>
      </c>
      <c r="B1414" t="s">
        <v>15834</v>
      </c>
      <c r="C1414">
        <v>41640000</v>
      </c>
      <c r="J1414" t="s">
        <v>15833</v>
      </c>
      <c r="K1414" t="s">
        <v>3605</v>
      </c>
    </row>
    <row r="1415" spans="1:11">
      <c r="A1415" t="s">
        <v>15835</v>
      </c>
      <c r="B1415" t="s">
        <v>15836</v>
      </c>
      <c r="C1415">
        <v>41704030</v>
      </c>
      <c r="J1415" t="s">
        <v>15835</v>
      </c>
      <c r="K1415" t="s">
        <v>3605</v>
      </c>
    </row>
    <row r="1416" spans="1:11">
      <c r="A1416" t="s">
        <v>15837</v>
      </c>
      <c r="B1416" t="s">
        <v>15838</v>
      </c>
      <c r="C1416">
        <v>41680004</v>
      </c>
      <c r="J1416" t="s">
        <v>15837</v>
      </c>
      <c r="K1416" t="s">
        <v>3605</v>
      </c>
    </row>
    <row r="1417" spans="1:11">
      <c r="A1417" t="s">
        <v>15839</v>
      </c>
      <c r="B1417" t="s">
        <v>15840</v>
      </c>
      <c r="C1417">
        <v>41615000</v>
      </c>
      <c r="J1417" t="s">
        <v>15839</v>
      </c>
      <c r="K1417" t="s">
        <v>3605</v>
      </c>
    </row>
    <row r="1418" spans="1:11">
      <c r="A1418" t="s">
        <v>15841</v>
      </c>
      <c r="B1418" t="s">
        <v>15842</v>
      </c>
      <c r="C1418">
        <v>41699004</v>
      </c>
      <c r="D1418" t="s">
        <v>15843</v>
      </c>
      <c r="J1418" t="s">
        <v>15841</v>
      </c>
      <c r="K1418" t="s">
        <v>3605</v>
      </c>
    </row>
    <row r="1419" spans="1:11">
      <c r="A1419" t="s">
        <v>15844</v>
      </c>
      <c r="B1419" t="s">
        <v>15845</v>
      </c>
      <c r="C1419">
        <v>41680004</v>
      </c>
      <c r="D1419">
        <v>4000001</v>
      </c>
      <c r="J1419" t="s">
        <v>15844</v>
      </c>
      <c r="K1419" t="s">
        <v>3605</v>
      </c>
    </row>
    <row r="1420" spans="1:11">
      <c r="A1420" t="s">
        <v>15846</v>
      </c>
      <c r="B1420" t="s">
        <v>15847</v>
      </c>
      <c r="C1420">
        <v>41680004</v>
      </c>
      <c r="D1420">
        <v>4000002</v>
      </c>
      <c r="J1420" t="s">
        <v>15846</v>
      </c>
      <c r="K1420" t="s">
        <v>3605</v>
      </c>
    </row>
    <row r="1421" spans="1:11">
      <c r="A1421" t="s">
        <v>15848</v>
      </c>
      <c r="B1421" t="s">
        <v>15849</v>
      </c>
      <c r="C1421">
        <v>41680004</v>
      </c>
      <c r="D1421">
        <v>4000004</v>
      </c>
      <c r="J1421" t="s">
        <v>15848</v>
      </c>
      <c r="K1421" t="s">
        <v>3605</v>
      </c>
    </row>
    <row r="1422" spans="1:11">
      <c r="A1422" t="s">
        <v>15850</v>
      </c>
      <c r="B1422" t="s">
        <v>15851</v>
      </c>
      <c r="C1422">
        <v>41680004</v>
      </c>
      <c r="D1422">
        <v>4000005</v>
      </c>
      <c r="J1422" t="s">
        <v>15850</v>
      </c>
      <c r="K1422" t="s">
        <v>3605</v>
      </c>
    </row>
    <row r="1423" spans="1:11">
      <c r="A1423" t="s">
        <v>15852</v>
      </c>
      <c r="B1423" t="s">
        <v>15853</v>
      </c>
      <c r="C1423">
        <v>41680004</v>
      </c>
      <c r="D1423">
        <v>4000006</v>
      </c>
      <c r="J1423" t="s">
        <v>15852</v>
      </c>
      <c r="K1423" t="s">
        <v>3605</v>
      </c>
    </row>
    <row r="1424" spans="1:11">
      <c r="A1424" t="s">
        <v>15854</v>
      </c>
      <c r="B1424" t="s">
        <v>15855</v>
      </c>
      <c r="C1424">
        <v>41680004</v>
      </c>
      <c r="D1424">
        <v>4000007</v>
      </c>
      <c r="J1424" t="s">
        <v>15854</v>
      </c>
      <c r="K1424" t="s">
        <v>3605</v>
      </c>
    </row>
    <row r="1425" spans="1:11">
      <c r="A1425" t="s">
        <v>15856</v>
      </c>
      <c r="B1425" t="s">
        <v>15857</v>
      </c>
      <c r="C1425">
        <v>41680004</v>
      </c>
      <c r="D1425">
        <v>4000008</v>
      </c>
      <c r="J1425" t="s">
        <v>15856</v>
      </c>
      <c r="K1425" t="s">
        <v>3605</v>
      </c>
    </row>
    <row r="1426" spans="1:11">
      <c r="A1426" t="s">
        <v>15858</v>
      </c>
      <c r="B1426" t="s">
        <v>15859</v>
      </c>
      <c r="C1426">
        <v>41680004</v>
      </c>
      <c r="D1426">
        <v>4000009</v>
      </c>
      <c r="J1426" t="s">
        <v>15858</v>
      </c>
      <c r="K1426" t="s">
        <v>3605</v>
      </c>
    </row>
    <row r="1427" spans="1:11">
      <c r="A1427" t="s">
        <v>15860</v>
      </c>
      <c r="B1427" t="s">
        <v>15861</v>
      </c>
      <c r="C1427">
        <v>41680004</v>
      </c>
      <c r="D1427">
        <v>4253015</v>
      </c>
      <c r="J1427" t="s">
        <v>15860</v>
      </c>
      <c r="K1427" t="s">
        <v>3605</v>
      </c>
    </row>
    <row r="1428" spans="1:11">
      <c r="A1428" t="s">
        <v>15862</v>
      </c>
      <c r="B1428" t="s">
        <v>15863</v>
      </c>
      <c r="C1428">
        <v>41680004</v>
      </c>
      <c r="D1428">
        <v>4901800</v>
      </c>
      <c r="J1428" t="s">
        <v>15862</v>
      </c>
      <c r="K1428" t="s">
        <v>3605</v>
      </c>
    </row>
    <row r="1429" spans="1:11">
      <c r="A1429" t="s">
        <v>15864</v>
      </c>
      <c r="B1429" t="s">
        <v>15842</v>
      </c>
      <c r="C1429">
        <v>41699004</v>
      </c>
      <c r="J1429" t="s">
        <v>15864</v>
      </c>
      <c r="K1429" t="s">
        <v>3605</v>
      </c>
    </row>
    <row r="1430" spans="1:11">
      <c r="A1430" t="s">
        <v>15865</v>
      </c>
      <c r="B1430" t="s">
        <v>15866</v>
      </c>
      <c r="C1430">
        <v>41624000</v>
      </c>
      <c r="J1430" t="s">
        <v>15865</v>
      </c>
      <c r="K1430" t="s">
        <v>3605</v>
      </c>
    </row>
    <row r="1431" spans="1:11">
      <c r="A1431" t="s">
        <v>15865</v>
      </c>
      <c r="B1431" t="s">
        <v>15866</v>
      </c>
      <c r="C1431">
        <v>41625000</v>
      </c>
      <c r="J1431" t="s">
        <v>15865</v>
      </c>
      <c r="K1431" t="s">
        <v>3605</v>
      </c>
    </row>
    <row r="1432" spans="1:11">
      <c r="A1432" t="s">
        <v>15865</v>
      </c>
      <c r="B1432" t="s">
        <v>15866</v>
      </c>
      <c r="C1432">
        <v>41627000</v>
      </c>
      <c r="J1432" t="s">
        <v>15865</v>
      </c>
      <c r="K1432" t="s">
        <v>3605</v>
      </c>
    </row>
    <row r="1433" spans="1:11">
      <c r="A1433" t="s">
        <v>15867</v>
      </c>
      <c r="B1433" t="s">
        <v>15868</v>
      </c>
      <c r="J1433" t="s">
        <v>15867</v>
      </c>
      <c r="K1433" t="s">
        <v>3605</v>
      </c>
    </row>
    <row r="1434" spans="1:11">
      <c r="A1434" t="s">
        <v>15869</v>
      </c>
      <c r="B1434" t="s">
        <v>15870</v>
      </c>
      <c r="C1434">
        <v>41612000</v>
      </c>
      <c r="J1434" t="s">
        <v>15869</v>
      </c>
      <c r="K1434" t="s">
        <v>3605</v>
      </c>
    </row>
    <row r="1435" spans="1:11">
      <c r="A1435" t="s">
        <v>15871</v>
      </c>
      <c r="B1435" t="s">
        <v>15872</v>
      </c>
      <c r="C1435">
        <v>41612007</v>
      </c>
      <c r="J1435" t="s">
        <v>15871</v>
      </c>
      <c r="K1435" t="s">
        <v>3605</v>
      </c>
    </row>
    <row r="1436" spans="1:11">
      <c r="A1436" t="s">
        <v>15873</v>
      </c>
      <c r="B1436" t="s">
        <v>15874</v>
      </c>
      <c r="C1436">
        <v>41614000</v>
      </c>
      <c r="J1436" t="s">
        <v>15873</v>
      </c>
      <c r="K1436" t="s">
        <v>3605</v>
      </c>
    </row>
    <row r="1437" spans="1:11">
      <c r="A1437" t="s">
        <v>15875</v>
      </c>
      <c r="B1437" t="s">
        <v>15876</v>
      </c>
      <c r="C1437">
        <v>41630000</v>
      </c>
      <c r="J1437" t="s">
        <v>15875</v>
      </c>
      <c r="K1437" t="s">
        <v>3605</v>
      </c>
    </row>
    <row r="1438" spans="1:11">
      <c r="A1438" t="s">
        <v>15877</v>
      </c>
      <c r="B1438" t="s">
        <v>15878</v>
      </c>
      <c r="C1438">
        <v>41630001</v>
      </c>
      <c r="J1438" t="s">
        <v>15877</v>
      </c>
      <c r="K1438" t="s">
        <v>3605</v>
      </c>
    </row>
    <row r="1439" spans="1:11">
      <c r="A1439" t="s">
        <v>15879</v>
      </c>
      <c r="B1439" t="s">
        <v>15880</v>
      </c>
      <c r="C1439">
        <v>42000000</v>
      </c>
      <c r="J1439" t="s">
        <v>15879</v>
      </c>
      <c r="K1439" t="s">
        <v>3605</v>
      </c>
    </row>
    <row r="1440" spans="1:11">
      <c r="A1440" t="s">
        <v>15881</v>
      </c>
      <c r="B1440" t="s">
        <v>15882</v>
      </c>
      <c r="J1440" t="s">
        <v>15881</v>
      </c>
      <c r="K1440" t="s">
        <v>3605</v>
      </c>
    </row>
    <row r="1441" spans="1:11">
      <c r="A1441" t="s">
        <v>15883</v>
      </c>
      <c r="B1441" t="s">
        <v>15884</v>
      </c>
      <c r="C1441">
        <v>42200000</v>
      </c>
      <c r="J1441" t="s">
        <v>15883</v>
      </c>
      <c r="K1441" t="s">
        <v>3605</v>
      </c>
    </row>
    <row r="1442" spans="1:11">
      <c r="A1442" t="s">
        <v>15883</v>
      </c>
      <c r="B1442" t="s">
        <v>15884</v>
      </c>
      <c r="C1442">
        <v>42200001</v>
      </c>
      <c r="J1442" t="s">
        <v>15883</v>
      </c>
      <c r="K1442" t="s">
        <v>3605</v>
      </c>
    </row>
    <row r="1443" spans="1:11">
      <c r="A1443" t="s">
        <v>15885</v>
      </c>
      <c r="B1443" t="s">
        <v>15886</v>
      </c>
      <c r="C1443">
        <v>42201100</v>
      </c>
      <c r="J1443" t="s">
        <v>15885</v>
      </c>
      <c r="K1443" t="s">
        <v>3605</v>
      </c>
    </row>
    <row r="1444" spans="1:11">
      <c r="A1444" t="s">
        <v>15887</v>
      </c>
      <c r="B1444" t="s">
        <v>15888</v>
      </c>
      <c r="C1444">
        <v>42202000</v>
      </c>
      <c r="J1444" t="s">
        <v>15887</v>
      </c>
      <c r="K1444" t="s">
        <v>3605</v>
      </c>
    </row>
    <row r="1445" spans="1:11">
      <c r="A1445" t="s">
        <v>15889</v>
      </c>
      <c r="B1445" t="s">
        <v>15890</v>
      </c>
      <c r="C1445">
        <v>42200100</v>
      </c>
      <c r="J1445" t="s">
        <v>15889</v>
      </c>
      <c r="K1445" t="s">
        <v>3605</v>
      </c>
    </row>
    <row r="1446" spans="1:11">
      <c r="A1446" t="s">
        <v>15891</v>
      </c>
      <c r="B1446" t="s">
        <v>15892</v>
      </c>
      <c r="C1446">
        <v>41699001</v>
      </c>
      <c r="E1446">
        <v>45375</v>
      </c>
      <c r="J1446" t="s">
        <v>15891</v>
      </c>
      <c r="K1446" t="s">
        <v>3605</v>
      </c>
    </row>
    <row r="1447" spans="1:11">
      <c r="A1447" t="s">
        <v>15893</v>
      </c>
      <c r="B1447" t="s">
        <v>15894</v>
      </c>
      <c r="C1447">
        <v>49999000</v>
      </c>
      <c r="J1447" t="s">
        <v>15893</v>
      </c>
      <c r="K1447" t="s">
        <v>3605</v>
      </c>
    </row>
    <row r="1448" spans="1:11">
      <c r="A1448" t="s">
        <v>15895</v>
      </c>
      <c r="B1448" t="s">
        <v>15896</v>
      </c>
      <c r="C1448">
        <v>49999002</v>
      </c>
      <c r="J1448" t="s">
        <v>15895</v>
      </c>
      <c r="K1448" t="s">
        <v>3605</v>
      </c>
    </row>
    <row r="1449" spans="1:11">
      <c r="A1449" t="s">
        <v>15897</v>
      </c>
      <c r="B1449" t="s">
        <v>15898</v>
      </c>
      <c r="C1449">
        <v>41908000</v>
      </c>
      <c r="J1449" t="s">
        <v>15897</v>
      </c>
      <c r="K1449" t="s">
        <v>3605</v>
      </c>
    </row>
    <row r="1450" spans="1:11">
      <c r="A1450" t="s">
        <v>15899</v>
      </c>
      <c r="B1450" t="s">
        <v>15900</v>
      </c>
      <c r="C1450">
        <v>41908100</v>
      </c>
      <c r="J1450" t="s">
        <v>15899</v>
      </c>
      <c r="K1450" t="s">
        <v>3605</v>
      </c>
    </row>
    <row r="1451" spans="1:11">
      <c r="A1451" t="s">
        <v>15901</v>
      </c>
      <c r="B1451" t="s">
        <v>15902</v>
      </c>
      <c r="J1451" t="s">
        <v>15901</v>
      </c>
      <c r="K1451" t="s">
        <v>3605</v>
      </c>
    </row>
    <row r="1452" spans="1:11">
      <c r="A1452" t="s">
        <v>15903</v>
      </c>
      <c r="B1452" t="s">
        <v>15904</v>
      </c>
      <c r="C1452">
        <v>41551000</v>
      </c>
      <c r="J1452" t="s">
        <v>15903</v>
      </c>
      <c r="K1452" t="s">
        <v>3605</v>
      </c>
    </row>
    <row r="1453" spans="1:11">
      <c r="A1453" t="s">
        <v>15905</v>
      </c>
      <c r="B1453" t="s">
        <v>15906</v>
      </c>
      <c r="C1453">
        <v>41551100</v>
      </c>
      <c r="J1453" t="s">
        <v>15905</v>
      </c>
      <c r="K1453" t="s">
        <v>3605</v>
      </c>
    </row>
    <row r="1454" spans="1:11">
      <c r="A1454" t="s">
        <v>15907</v>
      </c>
      <c r="B1454" t="s">
        <v>15908</v>
      </c>
      <c r="C1454">
        <v>41552000</v>
      </c>
      <c r="J1454" t="s">
        <v>15907</v>
      </c>
      <c r="K1454" t="s">
        <v>3605</v>
      </c>
    </row>
    <row r="1455" spans="1:11">
      <c r="A1455" t="s">
        <v>15909</v>
      </c>
      <c r="B1455" t="s">
        <v>15910</v>
      </c>
      <c r="C1455">
        <v>41552100</v>
      </c>
      <c r="J1455" t="s">
        <v>15909</v>
      </c>
      <c r="K1455" t="s">
        <v>3605</v>
      </c>
    </row>
    <row r="1456" spans="1:11">
      <c r="A1456" t="s">
        <v>15911</v>
      </c>
      <c r="B1456" t="s">
        <v>15912</v>
      </c>
      <c r="C1456">
        <v>49999002</v>
      </c>
      <c r="J1456" t="s">
        <v>15911</v>
      </c>
      <c r="K1456" t="s">
        <v>3605</v>
      </c>
    </row>
    <row r="1457" spans="1:11">
      <c r="A1457" t="s">
        <v>15913</v>
      </c>
      <c r="B1457" t="s">
        <v>15914</v>
      </c>
      <c r="C1457">
        <v>49999001</v>
      </c>
      <c r="J1457" t="s">
        <v>15913</v>
      </c>
      <c r="K1457" t="s">
        <v>3605</v>
      </c>
    </row>
    <row r="1458" spans="1:11">
      <c r="A1458" t="s">
        <v>15915</v>
      </c>
      <c r="B1458" t="s">
        <v>15916</v>
      </c>
      <c r="C1458">
        <v>41604070</v>
      </c>
      <c r="J1458" t="s">
        <v>15915</v>
      </c>
      <c r="K1458" t="s">
        <v>3605</v>
      </c>
    </row>
    <row r="1459" spans="1:11">
      <c r="A1459" t="s">
        <v>15917</v>
      </c>
      <c r="B1459" t="s">
        <v>15918</v>
      </c>
      <c r="C1459">
        <v>40416001</v>
      </c>
      <c r="J1459" t="s">
        <v>15917</v>
      </c>
      <c r="K1459" t="s">
        <v>3605</v>
      </c>
    </row>
    <row r="1460" spans="1:11">
      <c r="A1460" t="s">
        <v>15919</v>
      </c>
      <c r="B1460" t="s">
        <v>15920</v>
      </c>
      <c r="C1460">
        <v>41804000</v>
      </c>
      <c r="J1460" t="s">
        <v>15919</v>
      </c>
      <c r="K1460" t="s">
        <v>3605</v>
      </c>
    </row>
    <row r="1461" spans="1:11">
      <c r="A1461" t="s">
        <v>15921</v>
      </c>
      <c r="B1461" t="s">
        <v>15922</v>
      </c>
      <c r="C1461">
        <v>49999999</v>
      </c>
      <c r="J1461" t="s">
        <v>15921</v>
      </c>
      <c r="K1461" t="s">
        <v>3605</v>
      </c>
    </row>
    <row r="1462" spans="1:11">
      <c r="A1462" t="s">
        <v>15923</v>
      </c>
      <c r="B1462" t="s">
        <v>15924</v>
      </c>
      <c r="C1462">
        <v>49998200</v>
      </c>
      <c r="J1462" t="s">
        <v>15923</v>
      </c>
      <c r="K1462" t="s">
        <v>3605</v>
      </c>
    </row>
    <row r="1463" spans="1:11">
      <c r="A1463" t="s">
        <v>15925</v>
      </c>
      <c r="B1463" t="s">
        <v>15926</v>
      </c>
      <c r="C1463">
        <v>49998100</v>
      </c>
      <c r="J1463" t="s">
        <v>15925</v>
      </c>
      <c r="K1463" t="s">
        <v>3605</v>
      </c>
    </row>
    <row r="1464" spans="1:11">
      <c r="A1464" t="s">
        <v>15927</v>
      </c>
      <c r="B1464" t="s">
        <v>15928</v>
      </c>
      <c r="J1464" t="s">
        <v>15927</v>
      </c>
    </row>
    <row r="1465" spans="1:11">
      <c r="A1465" t="s">
        <v>15929</v>
      </c>
      <c r="B1465" t="s">
        <v>15930</v>
      </c>
      <c r="C1465">
        <v>41650020</v>
      </c>
      <c r="J1465" t="s">
        <v>15929</v>
      </c>
    </row>
    <row r="1466" spans="1:11">
      <c r="A1466" t="s">
        <v>15929</v>
      </c>
      <c r="B1466" t="s">
        <v>15930</v>
      </c>
      <c r="C1466">
        <v>41650030</v>
      </c>
      <c r="J1466" t="s">
        <v>15929</v>
      </c>
    </row>
    <row r="1467" spans="1:11">
      <c r="A1467" t="s">
        <v>15931</v>
      </c>
      <c r="B1467" t="s">
        <v>15932</v>
      </c>
      <c r="C1467">
        <v>41650020</v>
      </c>
      <c r="J1467" t="s">
        <v>15931</v>
      </c>
    </row>
    <row r="1468" spans="1:11">
      <c r="A1468" t="s">
        <v>15933</v>
      </c>
      <c r="B1468" t="s">
        <v>15934</v>
      </c>
      <c r="C1468">
        <v>41699010</v>
      </c>
      <c r="J1468" t="s">
        <v>15933</v>
      </c>
    </row>
    <row r="1469" spans="1:11">
      <c r="A1469" t="s">
        <v>15935</v>
      </c>
      <c r="B1469" t="s">
        <v>15936</v>
      </c>
      <c r="C1469">
        <v>41699011</v>
      </c>
      <c r="J1469" t="s">
        <v>15935</v>
      </c>
    </row>
    <row r="1470" spans="1:11">
      <c r="A1470" t="s">
        <v>15937</v>
      </c>
      <c r="B1470" t="s">
        <v>15938</v>
      </c>
      <c r="C1470">
        <v>41680004</v>
      </c>
      <c r="D1470" t="s">
        <v>15939</v>
      </c>
      <c r="J1470" t="s">
        <v>15937</v>
      </c>
      <c r="K1470" t="s">
        <v>3605</v>
      </c>
    </row>
    <row r="1471" spans="1:11">
      <c r="A1471" t="s">
        <v>15940</v>
      </c>
      <c r="B1471" t="s">
        <v>15941</v>
      </c>
      <c r="C1471">
        <v>41680004</v>
      </c>
      <c r="J1471" t="s">
        <v>15940</v>
      </c>
      <c r="K1471" t="s">
        <v>3605</v>
      </c>
    </row>
    <row r="1472" spans="1:11">
      <c r="A1472" t="s">
        <v>15942</v>
      </c>
      <c r="B1472" t="s">
        <v>15943</v>
      </c>
      <c r="C1472">
        <v>41680004</v>
      </c>
      <c r="J1472" t="s">
        <v>15942</v>
      </c>
      <c r="K1472" t="s">
        <v>3605</v>
      </c>
    </row>
    <row r="1473" spans="1:11">
      <c r="A1473" t="s">
        <v>15944</v>
      </c>
      <c r="B1473" t="s">
        <v>15945</v>
      </c>
      <c r="C1473">
        <v>41680004</v>
      </c>
      <c r="J1473" t="s">
        <v>15944</v>
      </c>
      <c r="K1473" t="s">
        <v>3605</v>
      </c>
    </row>
    <row r="1474" spans="1:11">
      <c r="A1474" t="s">
        <v>15946</v>
      </c>
      <c r="B1474" t="s">
        <v>15947</v>
      </c>
      <c r="C1474">
        <v>41680004</v>
      </c>
      <c r="J1474" t="s">
        <v>15946</v>
      </c>
      <c r="K1474" t="s">
        <v>3605</v>
      </c>
    </row>
    <row r="1475" spans="1:11">
      <c r="A1475" t="s">
        <v>15948</v>
      </c>
      <c r="B1475" t="s">
        <v>15949</v>
      </c>
      <c r="C1475">
        <v>41804100</v>
      </c>
      <c r="J1475" t="s">
        <v>15948</v>
      </c>
      <c r="K1475" t="s">
        <v>3605</v>
      </c>
    </row>
    <row r="1476" spans="1:11">
      <c r="A1476" t="s">
        <v>15950</v>
      </c>
      <c r="B1476" t="s">
        <v>15951</v>
      </c>
      <c r="C1476">
        <v>41804200</v>
      </c>
      <c r="J1476" t="s">
        <v>15950</v>
      </c>
      <c r="K1476" t="s">
        <v>3605</v>
      </c>
    </row>
    <row r="1477" spans="1:11">
      <c r="A1477" t="s">
        <v>15952</v>
      </c>
      <c r="B1477" t="s">
        <v>15953</v>
      </c>
      <c r="C1477">
        <v>41804100</v>
      </c>
      <c r="J1477" t="s">
        <v>15952</v>
      </c>
      <c r="K1477" t="s">
        <v>3605</v>
      </c>
    </row>
    <row r="1478" spans="1:11">
      <c r="A1478" t="s">
        <v>15954</v>
      </c>
      <c r="B1478" t="s">
        <v>15955</v>
      </c>
      <c r="C1478">
        <v>41804200</v>
      </c>
      <c r="J1478" t="s">
        <v>15954</v>
      </c>
      <c r="K1478" t="s">
        <v>3605</v>
      </c>
    </row>
    <row r="1479" spans="1:11">
      <c r="A1479" t="s">
        <v>15956</v>
      </c>
      <c r="B1479" t="s">
        <v>15957</v>
      </c>
      <c r="C1479">
        <v>41614004</v>
      </c>
      <c r="J1479" t="s">
        <v>15956</v>
      </c>
      <c r="K1479" t="s">
        <v>3605</v>
      </c>
    </row>
    <row r="1480" spans="1:11">
      <c r="A1480" t="s">
        <v>15958</v>
      </c>
      <c r="B1480" t="s">
        <v>15959</v>
      </c>
      <c r="C1480">
        <v>41612008</v>
      </c>
      <c r="J1480" t="s">
        <v>15958</v>
      </c>
      <c r="K1480" t="s">
        <v>3605</v>
      </c>
    </row>
    <row r="1481" spans="1:11">
      <c r="A1481" t="s">
        <v>15960</v>
      </c>
      <c r="B1481" t="s">
        <v>15961</v>
      </c>
      <c r="C1481">
        <v>41612008</v>
      </c>
      <c r="J1481" t="s">
        <v>15960</v>
      </c>
      <c r="K1481" t="s">
        <v>3605</v>
      </c>
    </row>
    <row r="1482" spans="1:11">
      <c r="A1482" t="s">
        <v>15962</v>
      </c>
      <c r="B1482" t="s">
        <v>15963</v>
      </c>
      <c r="C1482">
        <v>41698000</v>
      </c>
      <c r="J1482" t="s">
        <v>15962</v>
      </c>
      <c r="K1482" t="s">
        <v>3605</v>
      </c>
    </row>
    <row r="1483" spans="1:11">
      <c r="A1483" t="s">
        <v>15964</v>
      </c>
      <c r="B1483" t="s">
        <v>15965</v>
      </c>
      <c r="C1483">
        <v>41615011</v>
      </c>
      <c r="J1483" t="s">
        <v>15964</v>
      </c>
      <c r="K1483" t="s">
        <v>3605</v>
      </c>
    </row>
    <row r="1484" spans="1:11">
      <c r="A1484" t="s">
        <v>15966</v>
      </c>
      <c r="B1484" t="s">
        <v>15967</v>
      </c>
      <c r="J1484" t="s">
        <v>15966</v>
      </c>
      <c r="K1484" t="s">
        <v>3605</v>
      </c>
    </row>
    <row r="1485" spans="1:11">
      <c r="A1485" t="s">
        <v>15968</v>
      </c>
      <c r="B1485" t="s">
        <v>15674</v>
      </c>
      <c r="J1485" t="s">
        <v>15968</v>
      </c>
      <c r="K1485" t="s">
        <v>3605</v>
      </c>
    </row>
    <row r="1486" spans="1:11">
      <c r="A1486" t="s">
        <v>15969</v>
      </c>
      <c r="B1486" t="s">
        <v>15676</v>
      </c>
      <c r="C1486">
        <v>53200000</v>
      </c>
      <c r="J1486" t="s">
        <v>15969</v>
      </c>
      <c r="K1486" t="s">
        <v>3605</v>
      </c>
    </row>
    <row r="1487" spans="1:11">
      <c r="A1487" t="s">
        <v>15970</v>
      </c>
      <c r="B1487" t="s">
        <v>15679</v>
      </c>
      <c r="C1487">
        <v>53202000</v>
      </c>
      <c r="J1487" t="s">
        <v>15970</v>
      </c>
      <c r="K1487" t="s">
        <v>3605</v>
      </c>
    </row>
    <row r="1488" spans="1:11">
      <c r="A1488" t="s">
        <v>15971</v>
      </c>
      <c r="B1488" t="s">
        <v>15972</v>
      </c>
      <c r="J1488" t="s">
        <v>15971</v>
      </c>
      <c r="K1488" t="s">
        <v>3605</v>
      </c>
    </row>
    <row r="1489" spans="1:11">
      <c r="A1489" t="s">
        <v>15973</v>
      </c>
      <c r="B1489" t="s">
        <v>15974</v>
      </c>
      <c r="J1489" t="s">
        <v>15973</v>
      </c>
      <c r="K1489" t="s">
        <v>3605</v>
      </c>
    </row>
    <row r="1490" spans="1:11">
      <c r="A1490" t="s">
        <v>15975</v>
      </c>
      <c r="B1490" t="s">
        <v>15976</v>
      </c>
      <c r="J1490" t="s">
        <v>15975</v>
      </c>
      <c r="K1490" t="s">
        <v>3605</v>
      </c>
    </row>
    <row r="1491" spans="1:11">
      <c r="A1491" t="s">
        <v>15977</v>
      </c>
      <c r="B1491" t="s">
        <v>15978</v>
      </c>
      <c r="J1491" t="s">
        <v>15977</v>
      </c>
      <c r="K1491" t="s">
        <v>3605</v>
      </c>
    </row>
    <row r="1492" spans="1:11">
      <c r="A1492" t="s">
        <v>15979</v>
      </c>
      <c r="B1492" t="s">
        <v>15980</v>
      </c>
      <c r="J1492" t="s">
        <v>15979</v>
      </c>
      <c r="K1492" t="s">
        <v>3605</v>
      </c>
    </row>
    <row r="1493" spans="1:11">
      <c r="A1493" t="s">
        <v>15981</v>
      </c>
      <c r="B1493" t="s">
        <v>15982</v>
      </c>
      <c r="J1493" t="s">
        <v>15981</v>
      </c>
      <c r="K1493" t="s">
        <v>3605</v>
      </c>
    </row>
    <row r="1494" spans="1:11">
      <c r="A1494" t="s">
        <v>15983</v>
      </c>
      <c r="B1494" t="s">
        <v>15984</v>
      </c>
      <c r="C1494">
        <v>53200200</v>
      </c>
      <c r="J1494" t="s">
        <v>15983</v>
      </c>
      <c r="K1494" t="s">
        <v>3605</v>
      </c>
    </row>
    <row r="1495" spans="1:11">
      <c r="A1495" t="s">
        <v>15985</v>
      </c>
      <c r="B1495" t="s">
        <v>15685</v>
      </c>
      <c r="J1495" t="s">
        <v>15985</v>
      </c>
      <c r="K1495" t="s">
        <v>3605</v>
      </c>
    </row>
    <row r="1496" spans="1:11">
      <c r="A1496" t="s">
        <v>15986</v>
      </c>
      <c r="B1496" t="s">
        <v>15987</v>
      </c>
      <c r="J1496" t="s">
        <v>15986</v>
      </c>
      <c r="K1496" t="s">
        <v>3605</v>
      </c>
    </row>
    <row r="1497" spans="1:11">
      <c r="A1497" t="s">
        <v>15988</v>
      </c>
      <c r="B1497" t="s">
        <v>15989</v>
      </c>
      <c r="C1497">
        <v>58000202</v>
      </c>
      <c r="J1497" t="s">
        <v>15988</v>
      </c>
      <c r="K1497" t="s">
        <v>3605</v>
      </c>
    </row>
    <row r="1498" spans="1:11">
      <c r="A1498" t="s">
        <v>15990</v>
      </c>
      <c r="B1498" t="s">
        <v>15991</v>
      </c>
      <c r="J1498" t="s">
        <v>15990</v>
      </c>
      <c r="K1498" t="s">
        <v>3605</v>
      </c>
    </row>
    <row r="1499" spans="1:11">
      <c r="A1499" t="s">
        <v>15992</v>
      </c>
      <c r="B1499" t="s">
        <v>15993</v>
      </c>
      <c r="J1499" t="s">
        <v>15992</v>
      </c>
      <c r="K1499" t="s">
        <v>3605</v>
      </c>
    </row>
    <row r="1500" spans="1:11">
      <c r="A1500" t="s">
        <v>15994</v>
      </c>
      <c r="B1500" t="s">
        <v>15995</v>
      </c>
      <c r="J1500" t="s">
        <v>15994</v>
      </c>
      <c r="K1500" t="s">
        <v>3605</v>
      </c>
    </row>
    <row r="1501" spans="1:11">
      <c r="A1501" t="s">
        <v>15996</v>
      </c>
      <c r="B1501" t="s">
        <v>15997</v>
      </c>
      <c r="C1501">
        <v>53200200</v>
      </c>
      <c r="J1501" t="s">
        <v>15996</v>
      </c>
      <c r="K1501" t="s">
        <v>3605</v>
      </c>
    </row>
    <row r="1502" spans="1:11">
      <c r="A1502" t="s">
        <v>15998</v>
      </c>
      <c r="B1502" t="s">
        <v>15999</v>
      </c>
      <c r="J1502" t="s">
        <v>15998</v>
      </c>
      <c r="K1502" t="s">
        <v>3605</v>
      </c>
    </row>
    <row r="1503" spans="1:11">
      <c r="A1503" t="s">
        <v>16000</v>
      </c>
      <c r="B1503" t="s">
        <v>16001</v>
      </c>
      <c r="J1503" t="s">
        <v>16000</v>
      </c>
      <c r="K1503" t="s">
        <v>3605</v>
      </c>
    </row>
    <row r="1504" spans="1:11">
      <c r="A1504" t="s">
        <v>16002</v>
      </c>
      <c r="B1504" t="s">
        <v>16003</v>
      </c>
      <c r="C1504">
        <v>58000202</v>
      </c>
      <c r="J1504" t="s">
        <v>16002</v>
      </c>
      <c r="K1504" t="s">
        <v>3605</v>
      </c>
    </row>
    <row r="1505" spans="1:11">
      <c r="A1505" t="s">
        <v>16004</v>
      </c>
      <c r="B1505" t="s">
        <v>16005</v>
      </c>
      <c r="C1505">
        <v>40497000</v>
      </c>
      <c r="J1505" t="s">
        <v>16004</v>
      </c>
      <c r="K1505" t="s">
        <v>3605</v>
      </c>
    </row>
    <row r="1506" spans="1:11">
      <c r="A1506" t="s">
        <v>16006</v>
      </c>
      <c r="B1506" t="s">
        <v>16007</v>
      </c>
      <c r="C1506">
        <v>40424010</v>
      </c>
      <c r="J1506" t="s">
        <v>16006</v>
      </c>
      <c r="K1506" t="s">
        <v>3605</v>
      </c>
    </row>
    <row r="1507" spans="1:11">
      <c r="A1507" t="s">
        <v>16008</v>
      </c>
      <c r="B1507" t="s">
        <v>16009</v>
      </c>
      <c r="C1507">
        <v>40420000</v>
      </c>
      <c r="J1507" t="s">
        <v>16008</v>
      </c>
      <c r="K1507" t="s">
        <v>3605</v>
      </c>
    </row>
    <row r="1508" spans="1:11">
      <c r="A1508" t="s">
        <v>16010</v>
      </c>
      <c r="B1508" t="s">
        <v>16011</v>
      </c>
      <c r="C1508">
        <v>40401100</v>
      </c>
      <c r="J1508" t="s">
        <v>16010</v>
      </c>
      <c r="K1508" t="s">
        <v>3605</v>
      </c>
    </row>
    <row r="1509" spans="1:11">
      <c r="A1509" t="s">
        <v>16012</v>
      </c>
      <c r="B1509" t="s">
        <v>16013</v>
      </c>
      <c r="C1509">
        <v>41200000</v>
      </c>
      <c r="J1509" t="s">
        <v>16012</v>
      </c>
      <c r="K1509" t="s">
        <v>3605</v>
      </c>
    </row>
    <row r="1510" spans="1:11">
      <c r="A1510" t="s">
        <v>16014</v>
      </c>
      <c r="B1510" t="s">
        <v>16015</v>
      </c>
      <c r="C1510">
        <v>50499000</v>
      </c>
      <c r="J1510" t="s">
        <v>16014</v>
      </c>
      <c r="K1510" t="s">
        <v>3605</v>
      </c>
    </row>
    <row r="1511" spans="1:11">
      <c r="A1511" t="s">
        <v>16014</v>
      </c>
      <c r="B1511" t="s">
        <v>16015</v>
      </c>
      <c r="C1511">
        <v>50480000</v>
      </c>
      <c r="J1511" t="s">
        <v>16014</v>
      </c>
      <c r="K1511" t="s">
        <v>3605</v>
      </c>
    </row>
    <row r="1512" spans="1:11">
      <c r="A1512" t="s">
        <v>16016</v>
      </c>
      <c r="B1512" t="s">
        <v>16017</v>
      </c>
      <c r="J1512" t="s">
        <v>16016</v>
      </c>
      <c r="K1512" t="s">
        <v>3605</v>
      </c>
    </row>
    <row r="1513" spans="1:11">
      <c r="A1513" t="s">
        <v>16018</v>
      </c>
      <c r="B1513" t="s">
        <v>16019</v>
      </c>
      <c r="C1513">
        <v>50499600</v>
      </c>
      <c r="J1513" t="s">
        <v>16018</v>
      </c>
      <c r="K1513" t="s">
        <v>3605</v>
      </c>
    </row>
    <row r="1514" spans="1:11">
      <c r="A1514" t="s">
        <v>16020</v>
      </c>
      <c r="B1514" t="s">
        <v>16021</v>
      </c>
      <c r="J1514" t="s">
        <v>16020</v>
      </c>
      <c r="K1514" t="s">
        <v>3605</v>
      </c>
    </row>
    <row r="1515" spans="1:11">
      <c r="A1515" t="s">
        <v>16022</v>
      </c>
      <c r="B1515" t="s">
        <v>16023</v>
      </c>
      <c r="J1515" t="s">
        <v>16022</v>
      </c>
      <c r="K1515" t="s">
        <v>3605</v>
      </c>
    </row>
    <row r="1516" spans="1:11">
      <c r="A1516" t="s">
        <v>16024</v>
      </c>
      <c r="B1516" t="s">
        <v>16025</v>
      </c>
      <c r="C1516">
        <v>50490000</v>
      </c>
      <c r="J1516" t="s">
        <v>16024</v>
      </c>
      <c r="K1516" t="s">
        <v>3605</v>
      </c>
    </row>
    <row r="1517" spans="1:11">
      <c r="A1517" t="s">
        <v>16026</v>
      </c>
      <c r="B1517" t="s">
        <v>16027</v>
      </c>
      <c r="C1517">
        <v>50497000</v>
      </c>
      <c r="J1517" t="s">
        <v>16026</v>
      </c>
      <c r="K1517" t="s">
        <v>3605</v>
      </c>
    </row>
    <row r="1518" spans="1:11">
      <c r="A1518" t="s">
        <v>16028</v>
      </c>
      <c r="B1518" t="s">
        <v>16029</v>
      </c>
      <c r="C1518">
        <v>50499098</v>
      </c>
      <c r="J1518" t="s">
        <v>16028</v>
      </c>
      <c r="K1518" t="s">
        <v>3605</v>
      </c>
    </row>
    <row r="1519" spans="1:11">
      <c r="A1519" t="s">
        <v>16030</v>
      </c>
      <c r="B1519" t="s">
        <v>16031</v>
      </c>
      <c r="C1519">
        <v>50499099</v>
      </c>
      <c r="J1519" t="s">
        <v>16030</v>
      </c>
      <c r="K1519" t="s">
        <v>3605</v>
      </c>
    </row>
    <row r="1520" spans="1:11">
      <c r="A1520" t="s">
        <v>16032</v>
      </c>
      <c r="B1520" t="s">
        <v>16033</v>
      </c>
      <c r="C1520">
        <v>50499015</v>
      </c>
      <c r="J1520" t="s">
        <v>16032</v>
      </c>
      <c r="K1520" t="s">
        <v>3605</v>
      </c>
    </row>
    <row r="1521" spans="1:11">
      <c r="A1521" t="s">
        <v>16034</v>
      </c>
      <c r="B1521" t="s">
        <v>16035</v>
      </c>
      <c r="C1521">
        <v>50499001</v>
      </c>
      <c r="J1521" t="s">
        <v>16034</v>
      </c>
      <c r="K1521" t="s">
        <v>3605</v>
      </c>
    </row>
    <row r="1522" spans="1:11">
      <c r="A1522" t="s">
        <v>16036</v>
      </c>
      <c r="B1522" t="s">
        <v>16037</v>
      </c>
      <c r="J1522" t="s">
        <v>16036</v>
      </c>
      <c r="K1522" t="s">
        <v>3605</v>
      </c>
    </row>
    <row r="1523" spans="1:11">
      <c r="A1523" t="s">
        <v>16038</v>
      </c>
      <c r="B1523" t="s">
        <v>16039</v>
      </c>
      <c r="J1523" t="s">
        <v>16038</v>
      </c>
      <c r="K1523" t="s">
        <v>3605</v>
      </c>
    </row>
    <row r="1524" spans="1:11">
      <c r="A1524" t="s">
        <v>16040</v>
      </c>
      <c r="B1524" t="s">
        <v>16041</v>
      </c>
      <c r="J1524" t="s">
        <v>16040</v>
      </c>
      <c r="K1524" t="s">
        <v>3605</v>
      </c>
    </row>
    <row r="1525" spans="1:11">
      <c r="A1525" t="s">
        <v>16042</v>
      </c>
      <c r="B1525" t="s">
        <v>16043</v>
      </c>
      <c r="C1525">
        <v>51200000</v>
      </c>
      <c r="J1525" t="s">
        <v>16042</v>
      </c>
      <c r="K1525" t="s">
        <v>3605</v>
      </c>
    </row>
    <row r="1526" spans="1:11">
      <c r="A1526" t="s">
        <v>16044</v>
      </c>
      <c r="B1526" t="s">
        <v>16045</v>
      </c>
      <c r="C1526">
        <v>50436000</v>
      </c>
      <c r="J1526" t="s">
        <v>16044</v>
      </c>
      <c r="K1526" t="s">
        <v>3605</v>
      </c>
    </row>
    <row r="1527" spans="1:11">
      <c r="A1527" t="s">
        <v>16046</v>
      </c>
      <c r="B1527" t="s">
        <v>16047</v>
      </c>
      <c r="J1527" t="s">
        <v>16046</v>
      </c>
      <c r="K1527" t="s">
        <v>3605</v>
      </c>
    </row>
    <row r="1528" spans="1:11">
      <c r="A1528" t="s">
        <v>16048</v>
      </c>
      <c r="B1528" t="s">
        <v>16049</v>
      </c>
      <c r="J1528" t="s">
        <v>16048</v>
      </c>
      <c r="K1528" t="s">
        <v>3605</v>
      </c>
    </row>
    <row r="1529" spans="1:11">
      <c r="A1529" t="s">
        <v>16050</v>
      </c>
      <c r="B1529" t="s">
        <v>16019</v>
      </c>
      <c r="C1529">
        <v>50499600</v>
      </c>
      <c r="J1529" t="s">
        <v>16050</v>
      </c>
      <c r="K1529" t="s">
        <v>3605</v>
      </c>
    </row>
    <row r="1530" spans="1:11">
      <c r="A1530" t="s">
        <v>16051</v>
      </c>
      <c r="B1530" t="s">
        <v>16021</v>
      </c>
      <c r="C1530">
        <v>50499610</v>
      </c>
      <c r="J1530" t="s">
        <v>16051</v>
      </c>
      <c r="K1530" t="s">
        <v>3605</v>
      </c>
    </row>
    <row r="1531" spans="1:11">
      <c r="A1531" t="s">
        <v>16052</v>
      </c>
      <c r="B1531" t="s">
        <v>16053</v>
      </c>
      <c r="C1531">
        <v>50499002</v>
      </c>
      <c r="J1531" t="s">
        <v>16052</v>
      </c>
      <c r="K1531" t="s">
        <v>3605</v>
      </c>
    </row>
    <row r="1532" spans="1:11">
      <c r="A1532" t="s">
        <v>16054</v>
      </c>
      <c r="B1532" t="s">
        <v>16055</v>
      </c>
      <c r="C1532">
        <v>50298000</v>
      </c>
      <c r="D1532" t="s">
        <v>13745</v>
      </c>
      <c r="E1532">
        <v>45376</v>
      </c>
      <c r="J1532" t="s">
        <v>16054</v>
      </c>
      <c r="K1532" t="s">
        <v>3605</v>
      </c>
    </row>
    <row r="1533" spans="1:11">
      <c r="A1533" t="s">
        <v>16056</v>
      </c>
      <c r="B1533" t="s">
        <v>16057</v>
      </c>
      <c r="C1533">
        <v>50601000</v>
      </c>
      <c r="D1533" t="s">
        <v>13745</v>
      </c>
      <c r="E1533">
        <v>45376</v>
      </c>
      <c r="J1533" t="s">
        <v>16056</v>
      </c>
      <c r="K1533" t="s">
        <v>3605</v>
      </c>
    </row>
    <row r="1534" spans="1:11">
      <c r="A1534" t="s">
        <v>16058</v>
      </c>
      <c r="B1534" t="s">
        <v>16059</v>
      </c>
      <c r="C1534">
        <v>50499100</v>
      </c>
      <c r="J1534" t="s">
        <v>16058</v>
      </c>
      <c r="K1534" t="s">
        <v>3605</v>
      </c>
    </row>
    <row r="1535" spans="1:11">
      <c r="A1535" t="s">
        <v>16060</v>
      </c>
      <c r="B1535" t="s">
        <v>16061</v>
      </c>
      <c r="C1535">
        <v>50499101</v>
      </c>
      <c r="J1535" t="s">
        <v>16060</v>
      </c>
      <c r="K1535" t="s">
        <v>3605</v>
      </c>
    </row>
    <row r="1536" spans="1:11">
      <c r="A1536" t="s">
        <v>16062</v>
      </c>
      <c r="B1536" t="s">
        <v>16063</v>
      </c>
      <c r="C1536">
        <v>51200100</v>
      </c>
      <c r="J1536" t="s">
        <v>16062</v>
      </c>
      <c r="K1536" t="s">
        <v>3605</v>
      </c>
    </row>
    <row r="1537" spans="1:11">
      <c r="A1537" t="s">
        <v>16064</v>
      </c>
      <c r="B1537" t="s">
        <v>16065</v>
      </c>
      <c r="J1537" t="s">
        <v>16064</v>
      </c>
      <c r="K1537" t="s">
        <v>3605</v>
      </c>
    </row>
    <row r="1538" spans="1:11">
      <c r="A1538" t="s">
        <v>16066</v>
      </c>
      <c r="B1538" t="s">
        <v>16067</v>
      </c>
      <c r="C1538">
        <v>50499200</v>
      </c>
      <c r="J1538" t="s">
        <v>16066</v>
      </c>
      <c r="K1538" t="s">
        <v>3605</v>
      </c>
    </row>
    <row r="1539" spans="1:11">
      <c r="A1539" t="s">
        <v>16068</v>
      </c>
      <c r="B1539" t="s">
        <v>16069</v>
      </c>
      <c r="C1539">
        <v>50499200</v>
      </c>
      <c r="D1539">
        <v>5006910</v>
      </c>
      <c r="J1539" t="s">
        <v>16068</v>
      </c>
      <c r="K1539" t="s">
        <v>3605</v>
      </c>
    </row>
    <row r="1540" spans="1:11">
      <c r="A1540" t="s">
        <v>16070</v>
      </c>
      <c r="B1540" t="s">
        <v>16071</v>
      </c>
      <c r="C1540">
        <v>50499201</v>
      </c>
      <c r="J1540" t="s">
        <v>16070</v>
      </c>
      <c r="K1540" t="s">
        <v>3605</v>
      </c>
    </row>
    <row r="1541" spans="1:11">
      <c r="A1541" t="s">
        <v>16072</v>
      </c>
      <c r="B1541" t="s">
        <v>16073</v>
      </c>
      <c r="C1541">
        <v>50499201</v>
      </c>
      <c r="D1541">
        <v>5156910</v>
      </c>
      <c r="J1541" t="s">
        <v>16072</v>
      </c>
      <c r="K1541" t="s">
        <v>3605</v>
      </c>
    </row>
    <row r="1542" spans="1:11">
      <c r="A1542" t="s">
        <v>16074</v>
      </c>
      <c r="B1542" t="s">
        <v>16075</v>
      </c>
      <c r="C1542">
        <v>51200200</v>
      </c>
      <c r="J1542" t="s">
        <v>16074</v>
      </c>
      <c r="K1542" t="s">
        <v>3605</v>
      </c>
    </row>
    <row r="1543" spans="1:11">
      <c r="A1543" t="s">
        <v>16076</v>
      </c>
      <c r="B1543" t="s">
        <v>16077</v>
      </c>
      <c r="C1543">
        <v>51200200</v>
      </c>
      <c r="D1543">
        <v>5306910</v>
      </c>
      <c r="J1543" t="s">
        <v>16076</v>
      </c>
      <c r="K1543" t="s">
        <v>3605</v>
      </c>
    </row>
    <row r="1544" spans="1:11">
      <c r="A1544" t="s">
        <v>16078</v>
      </c>
      <c r="B1544" t="s">
        <v>16079</v>
      </c>
      <c r="C1544">
        <v>50436200</v>
      </c>
      <c r="J1544" t="s">
        <v>16078</v>
      </c>
      <c r="K1544" t="s">
        <v>3605</v>
      </c>
    </row>
    <row r="1545" spans="1:11">
      <c r="A1545" t="s">
        <v>16080</v>
      </c>
      <c r="B1545" t="s">
        <v>16081</v>
      </c>
      <c r="C1545">
        <v>50499100</v>
      </c>
      <c r="J1545" t="s">
        <v>16080</v>
      </c>
      <c r="K1545" t="s">
        <v>3605</v>
      </c>
    </row>
    <row r="1546" spans="1:11">
      <c r="A1546" t="s">
        <v>16082</v>
      </c>
      <c r="B1546" t="s">
        <v>16083</v>
      </c>
      <c r="C1546">
        <v>50499101</v>
      </c>
      <c r="J1546" t="s">
        <v>16082</v>
      </c>
      <c r="K1546" t="s">
        <v>3605</v>
      </c>
    </row>
    <row r="1547" spans="1:11">
      <c r="A1547" t="s">
        <v>16084</v>
      </c>
      <c r="B1547" t="s">
        <v>16085</v>
      </c>
      <c r="C1547">
        <v>51200100</v>
      </c>
      <c r="J1547" t="s">
        <v>16084</v>
      </c>
      <c r="K1547" t="s">
        <v>3605</v>
      </c>
    </row>
    <row r="1548" spans="1:11">
      <c r="A1548" t="s">
        <v>16086</v>
      </c>
      <c r="B1548" t="s">
        <v>16087</v>
      </c>
      <c r="J1548" t="s">
        <v>16086</v>
      </c>
      <c r="K1548" t="s">
        <v>3605</v>
      </c>
    </row>
    <row r="1549" spans="1:11">
      <c r="A1549" t="s">
        <v>16088</v>
      </c>
      <c r="B1549" t="s">
        <v>16089</v>
      </c>
      <c r="C1549">
        <v>50499200</v>
      </c>
      <c r="J1549" t="s">
        <v>16088</v>
      </c>
      <c r="K1549" t="s">
        <v>3605</v>
      </c>
    </row>
    <row r="1550" spans="1:11">
      <c r="A1550" t="s">
        <v>16090</v>
      </c>
      <c r="B1550" t="s">
        <v>16091</v>
      </c>
      <c r="C1550">
        <v>50499201</v>
      </c>
      <c r="J1550" t="s">
        <v>16090</v>
      </c>
      <c r="K1550" t="s">
        <v>3605</v>
      </c>
    </row>
    <row r="1551" spans="1:11">
      <c r="A1551" t="s">
        <v>16092</v>
      </c>
      <c r="B1551" t="s">
        <v>16093</v>
      </c>
      <c r="C1551">
        <v>51200200</v>
      </c>
      <c r="J1551" t="s">
        <v>16092</v>
      </c>
      <c r="K1551" t="s">
        <v>3605</v>
      </c>
    </row>
    <row r="1552" spans="1:11">
      <c r="A1552" t="s">
        <v>16094</v>
      </c>
      <c r="B1552" t="s">
        <v>16095</v>
      </c>
      <c r="C1552">
        <v>50436200</v>
      </c>
      <c r="J1552" t="s">
        <v>16094</v>
      </c>
      <c r="K1552" t="s">
        <v>3605</v>
      </c>
    </row>
    <row r="1553" spans="1:11">
      <c r="A1553" t="s">
        <v>16096</v>
      </c>
      <c r="B1553" t="s">
        <v>16097</v>
      </c>
      <c r="C1553">
        <v>50432000</v>
      </c>
      <c r="D1553" t="s">
        <v>16098</v>
      </c>
      <c r="J1553" t="s">
        <v>16096</v>
      </c>
      <c r="K1553" t="s">
        <v>3605</v>
      </c>
    </row>
    <row r="1554" spans="1:11">
      <c r="A1554" t="s">
        <v>16099</v>
      </c>
      <c r="B1554" t="s">
        <v>16100</v>
      </c>
      <c r="C1554">
        <v>50432000</v>
      </c>
      <c r="J1554" t="s">
        <v>16099</v>
      </c>
      <c r="K1554" t="s">
        <v>3605</v>
      </c>
    </row>
    <row r="1555" spans="1:11">
      <c r="A1555" t="s">
        <v>16101</v>
      </c>
      <c r="B1555" t="s">
        <v>16102</v>
      </c>
      <c r="J1555" t="s">
        <v>16101</v>
      </c>
      <c r="K1555" t="s">
        <v>3605</v>
      </c>
    </row>
    <row r="1556" spans="1:11">
      <c r="A1556" t="s">
        <v>16103</v>
      </c>
      <c r="B1556" t="s">
        <v>16104</v>
      </c>
      <c r="D1556">
        <v>50404000</v>
      </c>
      <c r="J1556" t="s">
        <v>16103</v>
      </c>
      <c r="K1556" t="s">
        <v>3605</v>
      </c>
    </row>
    <row r="1557" spans="1:11">
      <c r="A1557" t="s">
        <v>16105</v>
      </c>
      <c r="B1557" t="s">
        <v>16106</v>
      </c>
      <c r="J1557" t="s">
        <v>16105</v>
      </c>
      <c r="K1557" t="s">
        <v>3605</v>
      </c>
    </row>
    <row r="1558" spans="1:11">
      <c r="A1558" t="s">
        <v>16107</v>
      </c>
      <c r="B1558" t="s">
        <v>16108</v>
      </c>
      <c r="C1558">
        <v>50416000</v>
      </c>
      <c r="J1558" t="s">
        <v>16107</v>
      </c>
      <c r="K1558" t="s">
        <v>3605</v>
      </c>
    </row>
    <row r="1559" spans="1:11">
      <c r="A1559" t="s">
        <v>16109</v>
      </c>
      <c r="B1559" t="s">
        <v>16110</v>
      </c>
      <c r="C1559">
        <v>50412000</v>
      </c>
      <c r="J1559" t="s">
        <v>16109</v>
      </c>
      <c r="K1559" t="s">
        <v>3605</v>
      </c>
    </row>
    <row r="1560" spans="1:11">
      <c r="A1560" t="s">
        <v>16111</v>
      </c>
      <c r="B1560" t="s">
        <v>16112</v>
      </c>
      <c r="J1560" t="s">
        <v>16111</v>
      </c>
      <c r="K1560" t="s">
        <v>3605</v>
      </c>
    </row>
    <row r="1561" spans="1:11">
      <c r="A1561" t="s">
        <v>16113</v>
      </c>
      <c r="B1561" t="s">
        <v>16114</v>
      </c>
      <c r="J1561" t="s">
        <v>16113</v>
      </c>
      <c r="K1561" t="s">
        <v>3605</v>
      </c>
    </row>
    <row r="1562" spans="1:11">
      <c r="A1562" t="s">
        <v>16115</v>
      </c>
      <c r="B1562" t="s">
        <v>16116</v>
      </c>
      <c r="C1562">
        <v>50000000</v>
      </c>
      <c r="J1562" t="s">
        <v>16115</v>
      </c>
      <c r="K1562" t="s">
        <v>3605</v>
      </c>
    </row>
    <row r="1563" spans="1:11">
      <c r="A1563" t="s">
        <v>16117</v>
      </c>
      <c r="B1563" t="s">
        <v>16118</v>
      </c>
      <c r="C1563">
        <v>50004000</v>
      </c>
      <c r="J1563" t="s">
        <v>16117</v>
      </c>
      <c r="K1563" t="s">
        <v>3605</v>
      </c>
    </row>
    <row r="1564" spans="1:11">
      <c r="A1564" t="s">
        <v>16119</v>
      </c>
      <c r="B1564" t="s">
        <v>16120</v>
      </c>
      <c r="C1564">
        <v>50405000</v>
      </c>
      <c r="J1564" t="s">
        <v>16119</v>
      </c>
      <c r="K1564" t="s">
        <v>3605</v>
      </c>
    </row>
    <row r="1565" spans="1:11">
      <c r="A1565" t="s">
        <v>16121</v>
      </c>
      <c r="B1565" t="s">
        <v>16122</v>
      </c>
      <c r="J1565" t="s">
        <v>16121</v>
      </c>
      <c r="K1565" t="s">
        <v>3605</v>
      </c>
    </row>
    <row r="1566" spans="1:11">
      <c r="A1566" t="s">
        <v>16123</v>
      </c>
      <c r="B1566" t="s">
        <v>16124</v>
      </c>
      <c r="C1566">
        <v>50505000</v>
      </c>
      <c r="J1566" t="s">
        <v>16123</v>
      </c>
      <c r="K1566" t="s">
        <v>3605</v>
      </c>
    </row>
    <row r="1567" spans="1:11">
      <c r="A1567" t="s">
        <v>16125</v>
      </c>
      <c r="B1567" t="s">
        <v>16126</v>
      </c>
      <c r="C1567">
        <v>50605000</v>
      </c>
      <c r="J1567" t="s">
        <v>16125</v>
      </c>
      <c r="K1567" t="s">
        <v>3605</v>
      </c>
    </row>
    <row r="1568" spans="1:11">
      <c r="A1568" t="s">
        <v>16127</v>
      </c>
      <c r="B1568" t="s">
        <v>16128</v>
      </c>
      <c r="C1568">
        <v>50300000</v>
      </c>
      <c r="J1568" t="s">
        <v>16127</v>
      </c>
      <c r="K1568" t="s">
        <v>3605</v>
      </c>
    </row>
    <row r="1569" spans="1:11">
      <c r="A1569" t="s">
        <v>16129</v>
      </c>
      <c r="B1569" t="s">
        <v>16130</v>
      </c>
      <c r="J1569" t="s">
        <v>16129</v>
      </c>
      <c r="K1569" t="s">
        <v>3605</v>
      </c>
    </row>
    <row r="1570" spans="1:11">
      <c r="A1570" t="s">
        <v>16131</v>
      </c>
      <c r="B1570" t="s">
        <v>16132</v>
      </c>
      <c r="C1570">
        <v>50508000</v>
      </c>
      <c r="J1570" t="s">
        <v>16131</v>
      </c>
      <c r="K1570" t="s">
        <v>3605</v>
      </c>
    </row>
    <row r="1571" spans="1:11">
      <c r="A1571" t="s">
        <v>16133</v>
      </c>
      <c r="B1571" t="s">
        <v>16134</v>
      </c>
      <c r="C1571">
        <v>50608000</v>
      </c>
      <c r="J1571" t="s">
        <v>16133</v>
      </c>
      <c r="K1571" t="s">
        <v>3605</v>
      </c>
    </row>
    <row r="1572" spans="1:11">
      <c r="A1572" t="s">
        <v>16135</v>
      </c>
      <c r="B1572" t="s">
        <v>16136</v>
      </c>
      <c r="C1572">
        <v>50900000</v>
      </c>
      <c r="J1572" t="s">
        <v>16135</v>
      </c>
      <c r="K1572" t="s">
        <v>3605</v>
      </c>
    </row>
    <row r="1573" spans="1:11">
      <c r="A1573" t="s">
        <v>16137</v>
      </c>
      <c r="B1573" t="s">
        <v>16138</v>
      </c>
      <c r="C1573">
        <v>53600000</v>
      </c>
      <c r="J1573" t="s">
        <v>16137</v>
      </c>
      <c r="K1573" t="s">
        <v>3605</v>
      </c>
    </row>
    <row r="1574" spans="1:11">
      <c r="A1574" t="s">
        <v>16139</v>
      </c>
      <c r="B1574" t="s">
        <v>16140</v>
      </c>
      <c r="C1574">
        <v>50205000</v>
      </c>
      <c r="E1574" t="s">
        <v>13745</v>
      </c>
      <c r="F1574">
        <v>45366</v>
      </c>
      <c r="J1574" t="s">
        <v>16139</v>
      </c>
      <c r="K1574" t="s">
        <v>3605</v>
      </c>
    </row>
    <row r="1575" spans="1:11">
      <c r="A1575" t="s">
        <v>16141</v>
      </c>
      <c r="B1575" t="s">
        <v>16142</v>
      </c>
      <c r="C1575">
        <v>55200000</v>
      </c>
      <c r="J1575" t="s">
        <v>16141</v>
      </c>
      <c r="K1575" t="s">
        <v>3605</v>
      </c>
    </row>
    <row r="1576" spans="1:11">
      <c r="A1576" t="s">
        <v>16143</v>
      </c>
      <c r="B1576" t="s">
        <v>16144</v>
      </c>
      <c r="J1576" t="s">
        <v>16143</v>
      </c>
      <c r="K1576" t="s">
        <v>3605</v>
      </c>
    </row>
    <row r="1577" spans="1:11">
      <c r="A1577" t="s">
        <v>16145</v>
      </c>
      <c r="B1577" t="s">
        <v>16146</v>
      </c>
      <c r="C1577">
        <v>54848000</v>
      </c>
      <c r="J1577" t="s">
        <v>16145</v>
      </c>
      <c r="K1577" t="s">
        <v>3605</v>
      </c>
    </row>
    <row r="1578" spans="1:11">
      <c r="A1578" t="s">
        <v>16147</v>
      </c>
      <c r="B1578" t="s">
        <v>16148</v>
      </c>
      <c r="C1578">
        <v>54852000</v>
      </c>
      <c r="J1578" t="s">
        <v>16147</v>
      </c>
      <c r="K1578" t="s">
        <v>3605</v>
      </c>
    </row>
    <row r="1579" spans="1:11">
      <c r="A1579" t="s">
        <v>16149</v>
      </c>
      <c r="B1579" t="s">
        <v>16150</v>
      </c>
      <c r="J1579" t="s">
        <v>16149</v>
      </c>
      <c r="K1579" t="s">
        <v>3605</v>
      </c>
    </row>
    <row r="1580" spans="1:11">
      <c r="A1580" t="s">
        <v>16151</v>
      </c>
      <c r="B1580" t="s">
        <v>16152</v>
      </c>
      <c r="C1580">
        <v>50404100</v>
      </c>
      <c r="J1580" t="s">
        <v>16151</v>
      </c>
      <c r="K1580" t="s">
        <v>3605</v>
      </c>
    </row>
    <row r="1581" spans="1:11">
      <c r="A1581" t="s">
        <v>16153</v>
      </c>
      <c r="B1581" t="s">
        <v>16154</v>
      </c>
      <c r="C1581">
        <v>50404100</v>
      </c>
      <c r="J1581" t="s">
        <v>16153</v>
      </c>
      <c r="K1581" t="s">
        <v>3605</v>
      </c>
    </row>
    <row r="1582" spans="1:11">
      <c r="A1582" t="s">
        <v>16155</v>
      </c>
      <c r="B1582" t="s">
        <v>16156</v>
      </c>
      <c r="J1582" t="s">
        <v>16155</v>
      </c>
      <c r="K1582" t="s">
        <v>3605</v>
      </c>
    </row>
    <row r="1583" spans="1:11">
      <c r="A1583" t="s">
        <v>16157</v>
      </c>
      <c r="B1583" t="s">
        <v>16158</v>
      </c>
      <c r="J1583" t="s">
        <v>16157</v>
      </c>
      <c r="K1583" t="s">
        <v>3605</v>
      </c>
    </row>
    <row r="1584" spans="1:11">
      <c r="A1584" t="s">
        <v>16159</v>
      </c>
      <c r="B1584" t="s">
        <v>16160</v>
      </c>
      <c r="J1584" t="s">
        <v>16159</v>
      </c>
      <c r="K1584" t="s">
        <v>3605</v>
      </c>
    </row>
    <row r="1585" spans="1:11">
      <c r="A1585" t="s">
        <v>16161</v>
      </c>
      <c r="B1585" t="s">
        <v>16162</v>
      </c>
      <c r="J1585" t="s">
        <v>16161</v>
      </c>
      <c r="K1585" t="s">
        <v>3605</v>
      </c>
    </row>
    <row r="1586" spans="1:11">
      <c r="A1586" t="s">
        <v>16163</v>
      </c>
      <c r="B1586" t="s">
        <v>16164</v>
      </c>
      <c r="C1586">
        <v>50000100</v>
      </c>
      <c r="J1586" t="s">
        <v>16163</v>
      </c>
      <c r="K1586" t="s">
        <v>3605</v>
      </c>
    </row>
    <row r="1587" spans="1:11">
      <c r="A1587" t="s">
        <v>16165</v>
      </c>
      <c r="B1587" t="s">
        <v>16166</v>
      </c>
      <c r="C1587">
        <v>50004100</v>
      </c>
      <c r="J1587" t="s">
        <v>16165</v>
      </c>
      <c r="K1587" t="s">
        <v>3605</v>
      </c>
    </row>
    <row r="1588" spans="1:11">
      <c r="A1588" t="s">
        <v>16167</v>
      </c>
      <c r="B1588" t="s">
        <v>16168</v>
      </c>
      <c r="C1588">
        <v>50405100</v>
      </c>
      <c r="J1588" t="s">
        <v>16167</v>
      </c>
      <c r="K1588" t="s">
        <v>3605</v>
      </c>
    </row>
    <row r="1589" spans="1:11">
      <c r="A1589" t="s">
        <v>16169</v>
      </c>
      <c r="B1589" t="s">
        <v>16170</v>
      </c>
      <c r="C1589">
        <v>53600100</v>
      </c>
      <c r="J1589" t="s">
        <v>16169</v>
      </c>
      <c r="K1589" t="s">
        <v>3605</v>
      </c>
    </row>
    <row r="1590" spans="1:11">
      <c r="A1590" t="s">
        <v>16171</v>
      </c>
      <c r="B1590" t="s">
        <v>16172</v>
      </c>
      <c r="C1590">
        <v>50205200</v>
      </c>
      <c r="E1590" t="s">
        <v>13745</v>
      </c>
      <c r="F1590">
        <v>45366</v>
      </c>
      <c r="J1590" t="s">
        <v>16171</v>
      </c>
      <c r="K1590" t="s">
        <v>3605</v>
      </c>
    </row>
    <row r="1591" spans="1:11">
      <c r="A1591" t="s">
        <v>16173</v>
      </c>
      <c r="B1591" t="s">
        <v>16174</v>
      </c>
      <c r="C1591">
        <v>50497100</v>
      </c>
      <c r="E1591" t="s">
        <v>13745</v>
      </c>
      <c r="F1591">
        <v>45366</v>
      </c>
      <c r="J1591" t="s">
        <v>16173</v>
      </c>
      <c r="K1591" t="s">
        <v>3605</v>
      </c>
    </row>
    <row r="1592" spans="1:11">
      <c r="A1592" t="s">
        <v>16175</v>
      </c>
      <c r="B1592" t="s">
        <v>16176</v>
      </c>
      <c r="J1592" t="s">
        <v>16175</v>
      </c>
      <c r="K1592" t="s">
        <v>3605</v>
      </c>
    </row>
    <row r="1593" spans="1:11">
      <c r="A1593" t="s">
        <v>16177</v>
      </c>
      <c r="B1593" t="s">
        <v>16178</v>
      </c>
      <c r="C1593">
        <v>50400200</v>
      </c>
      <c r="J1593" t="s">
        <v>16177</v>
      </c>
      <c r="K1593" t="s">
        <v>3605</v>
      </c>
    </row>
    <row r="1594" spans="1:11">
      <c r="A1594" t="s">
        <v>16179</v>
      </c>
      <c r="B1594" t="s">
        <v>16180</v>
      </c>
      <c r="J1594" t="s">
        <v>16179</v>
      </c>
      <c r="K1594" t="s">
        <v>3605</v>
      </c>
    </row>
    <row r="1595" spans="1:11">
      <c r="A1595" t="s">
        <v>16179</v>
      </c>
      <c r="B1595" t="s">
        <v>16181</v>
      </c>
      <c r="C1595">
        <v>50432200</v>
      </c>
      <c r="J1595" t="s">
        <v>16179</v>
      </c>
      <c r="K1595" t="s">
        <v>3605</v>
      </c>
    </row>
    <row r="1596" spans="1:11">
      <c r="A1596" t="s">
        <v>16182</v>
      </c>
      <c r="B1596" t="s">
        <v>16183</v>
      </c>
      <c r="J1596" t="s">
        <v>16182</v>
      </c>
      <c r="K1596" t="s">
        <v>3605</v>
      </c>
    </row>
    <row r="1597" spans="1:11">
      <c r="A1597" t="s">
        <v>16184</v>
      </c>
      <c r="B1597" t="s">
        <v>16185</v>
      </c>
      <c r="J1597" t="s">
        <v>16184</v>
      </c>
      <c r="K1597" t="s">
        <v>3605</v>
      </c>
    </row>
    <row r="1598" spans="1:11">
      <c r="A1598" t="s">
        <v>16186</v>
      </c>
      <c r="B1598" t="s">
        <v>16187</v>
      </c>
      <c r="J1598" t="s">
        <v>16186</v>
      </c>
      <c r="K1598" t="s">
        <v>3605</v>
      </c>
    </row>
    <row r="1599" spans="1:11">
      <c r="A1599" t="s">
        <v>16188</v>
      </c>
      <c r="B1599" t="s">
        <v>16189</v>
      </c>
      <c r="C1599">
        <v>50900200</v>
      </c>
      <c r="J1599" t="s">
        <v>16188</v>
      </c>
      <c r="K1599" t="s">
        <v>3605</v>
      </c>
    </row>
    <row r="1600" spans="1:11">
      <c r="A1600" t="s">
        <v>16190</v>
      </c>
      <c r="B1600" t="s">
        <v>16191</v>
      </c>
      <c r="C1600">
        <v>58000200</v>
      </c>
      <c r="J1600" t="s">
        <v>16190</v>
      </c>
      <c r="K1600" t="s">
        <v>3605</v>
      </c>
    </row>
    <row r="1601" spans="1:11">
      <c r="A1601" t="s">
        <v>16192</v>
      </c>
      <c r="B1601" t="s">
        <v>16193</v>
      </c>
      <c r="J1601" t="s">
        <v>16192</v>
      </c>
      <c r="K1601" t="s">
        <v>3605</v>
      </c>
    </row>
    <row r="1602" spans="1:11">
      <c r="A1602" t="s">
        <v>16194</v>
      </c>
      <c r="B1602" t="s">
        <v>16195</v>
      </c>
      <c r="C1602">
        <v>50508200</v>
      </c>
      <c r="J1602" t="s">
        <v>16194</v>
      </c>
      <c r="K1602" t="s">
        <v>3605</v>
      </c>
    </row>
    <row r="1603" spans="1:11">
      <c r="A1603" t="s">
        <v>16194</v>
      </c>
      <c r="B1603" t="s">
        <v>16195</v>
      </c>
      <c r="C1603">
        <v>50608200</v>
      </c>
      <c r="J1603" t="s">
        <v>16194</v>
      </c>
      <c r="K1603" t="s">
        <v>3605</v>
      </c>
    </row>
    <row r="1604" spans="1:11">
      <c r="A1604" t="s">
        <v>16196</v>
      </c>
      <c r="B1604" t="s">
        <v>16197</v>
      </c>
      <c r="J1604" t="s">
        <v>16196</v>
      </c>
      <c r="K1604" t="s">
        <v>3605</v>
      </c>
    </row>
    <row r="1605" spans="1:11">
      <c r="A1605" t="s">
        <v>16198</v>
      </c>
      <c r="B1605" t="s">
        <v>16199</v>
      </c>
      <c r="C1605">
        <v>50000200</v>
      </c>
      <c r="J1605" t="s">
        <v>16198</v>
      </c>
      <c r="K1605" t="s">
        <v>3605</v>
      </c>
    </row>
    <row r="1606" spans="1:11">
      <c r="A1606" t="s">
        <v>16200</v>
      </c>
      <c r="B1606" t="s">
        <v>16201</v>
      </c>
      <c r="C1606">
        <v>50004200</v>
      </c>
      <c r="J1606" t="s">
        <v>16200</v>
      </c>
      <c r="K1606" t="s">
        <v>3605</v>
      </c>
    </row>
    <row r="1607" spans="1:11">
      <c r="A1607" t="s">
        <v>16202</v>
      </c>
      <c r="B1607" t="s">
        <v>16203</v>
      </c>
      <c r="C1607">
        <v>50416200</v>
      </c>
      <c r="E1607" t="s">
        <v>13745</v>
      </c>
      <c r="F1607">
        <v>45366</v>
      </c>
      <c r="J1607" t="s">
        <v>16202</v>
      </c>
      <c r="K1607" t="s">
        <v>3605</v>
      </c>
    </row>
    <row r="1608" spans="1:11">
      <c r="A1608" t="s">
        <v>16204</v>
      </c>
      <c r="B1608" t="s">
        <v>16205</v>
      </c>
      <c r="C1608">
        <v>50505200</v>
      </c>
      <c r="J1608" t="s">
        <v>16204</v>
      </c>
      <c r="K1608" t="s">
        <v>3605</v>
      </c>
    </row>
    <row r="1609" spans="1:11">
      <c r="A1609" t="s">
        <v>16206</v>
      </c>
      <c r="B1609" t="s">
        <v>16207</v>
      </c>
      <c r="C1609">
        <v>50405200</v>
      </c>
      <c r="J1609" t="s">
        <v>16206</v>
      </c>
      <c r="K1609" t="s">
        <v>3605</v>
      </c>
    </row>
    <row r="1610" spans="1:11">
      <c r="A1610" t="s">
        <v>16208</v>
      </c>
      <c r="B1610" t="s">
        <v>16209</v>
      </c>
      <c r="C1610">
        <v>50298200</v>
      </c>
      <c r="E1610" t="s">
        <v>13745</v>
      </c>
      <c r="F1610">
        <v>45366</v>
      </c>
      <c r="J1610" t="s">
        <v>16208</v>
      </c>
      <c r="K1610" t="s">
        <v>3605</v>
      </c>
    </row>
    <row r="1611" spans="1:11">
      <c r="A1611" t="s">
        <v>16210</v>
      </c>
      <c r="B1611" t="s">
        <v>16211</v>
      </c>
      <c r="C1611">
        <v>50300200</v>
      </c>
      <c r="E1611" t="s">
        <v>13745</v>
      </c>
      <c r="F1611">
        <v>45366</v>
      </c>
      <c r="J1611" t="s">
        <v>16210</v>
      </c>
      <c r="K1611" t="s">
        <v>3605</v>
      </c>
    </row>
    <row r="1612" spans="1:11">
      <c r="A1612" t="s">
        <v>16212</v>
      </c>
      <c r="B1612" t="s">
        <v>16213</v>
      </c>
      <c r="C1612">
        <v>53600200</v>
      </c>
      <c r="J1612" t="s">
        <v>16212</v>
      </c>
      <c r="K1612" t="s">
        <v>3605</v>
      </c>
    </row>
    <row r="1613" spans="1:11">
      <c r="A1613" t="s">
        <v>16214</v>
      </c>
      <c r="B1613" t="s">
        <v>16215</v>
      </c>
      <c r="J1613" t="s">
        <v>16214</v>
      </c>
      <c r="K1613" t="s">
        <v>3605</v>
      </c>
    </row>
    <row r="1614" spans="1:11">
      <c r="A1614" t="s">
        <v>16216</v>
      </c>
      <c r="B1614" t="s">
        <v>16217</v>
      </c>
      <c r="J1614" t="s">
        <v>16216</v>
      </c>
      <c r="K1614" t="s">
        <v>3605</v>
      </c>
    </row>
    <row r="1615" spans="1:11">
      <c r="A1615" t="s">
        <v>16218</v>
      </c>
      <c r="B1615" t="s">
        <v>16219</v>
      </c>
      <c r="C1615">
        <v>54860000</v>
      </c>
      <c r="J1615" t="s">
        <v>16218</v>
      </c>
      <c r="K1615" t="s">
        <v>3605</v>
      </c>
    </row>
    <row r="1616" spans="1:11">
      <c r="A1616" t="s">
        <v>16220</v>
      </c>
      <c r="B1616" t="s">
        <v>16221</v>
      </c>
      <c r="C1616">
        <v>50601200</v>
      </c>
      <c r="E1616" t="s">
        <v>13745</v>
      </c>
      <c r="F1616">
        <v>45366</v>
      </c>
      <c r="J1616" t="s">
        <v>16220</v>
      </c>
      <c r="K1616" t="s">
        <v>3605</v>
      </c>
    </row>
    <row r="1617" spans="1:11">
      <c r="A1617" t="s">
        <v>16222</v>
      </c>
      <c r="B1617" t="s">
        <v>16223</v>
      </c>
      <c r="C1617">
        <v>58000201</v>
      </c>
      <c r="E1617" t="s">
        <v>13745</v>
      </c>
      <c r="F1617">
        <v>45366</v>
      </c>
      <c r="J1617" t="s">
        <v>16222</v>
      </c>
      <c r="K1617" t="s">
        <v>3605</v>
      </c>
    </row>
    <row r="1618" spans="1:11">
      <c r="A1618" t="s">
        <v>16224</v>
      </c>
      <c r="B1618" t="s">
        <v>16225</v>
      </c>
      <c r="J1618" t="s">
        <v>16224</v>
      </c>
      <c r="K1618" t="s">
        <v>3605</v>
      </c>
    </row>
    <row r="1619" spans="1:11">
      <c r="A1619" t="s">
        <v>16226</v>
      </c>
      <c r="B1619" t="s">
        <v>16227</v>
      </c>
      <c r="J1619" t="s">
        <v>16226</v>
      </c>
      <c r="K1619" t="s">
        <v>3605</v>
      </c>
    </row>
    <row r="1620" spans="1:11">
      <c r="A1620" t="s">
        <v>16228</v>
      </c>
      <c r="B1620" t="s">
        <v>16229</v>
      </c>
      <c r="C1620">
        <v>50404100</v>
      </c>
      <c r="J1620" t="s">
        <v>16228</v>
      </c>
      <c r="K1620" t="s">
        <v>3605</v>
      </c>
    </row>
    <row r="1621" spans="1:11">
      <c r="A1621" t="s">
        <v>16230</v>
      </c>
      <c r="B1621" t="s">
        <v>16231</v>
      </c>
      <c r="J1621" t="s">
        <v>16230</v>
      </c>
      <c r="K1621" t="s">
        <v>3605</v>
      </c>
    </row>
    <row r="1622" spans="1:11">
      <c r="A1622" t="s">
        <v>16232</v>
      </c>
      <c r="B1622" t="s">
        <v>16233</v>
      </c>
      <c r="C1622">
        <v>50404100</v>
      </c>
      <c r="J1622" t="s">
        <v>16232</v>
      </c>
      <c r="K1622" t="s">
        <v>3605</v>
      </c>
    </row>
    <row r="1623" spans="1:11">
      <c r="A1623" t="s">
        <v>16234</v>
      </c>
      <c r="B1623" t="s">
        <v>16235</v>
      </c>
      <c r="C1623">
        <v>50000100</v>
      </c>
      <c r="J1623" t="s">
        <v>16234</v>
      </c>
      <c r="K1623" t="s">
        <v>3605</v>
      </c>
    </row>
    <row r="1624" spans="1:11">
      <c r="A1624" t="s">
        <v>16236</v>
      </c>
      <c r="B1624" t="s">
        <v>16237</v>
      </c>
      <c r="C1624">
        <v>50004100</v>
      </c>
      <c r="J1624" t="s">
        <v>16236</v>
      </c>
      <c r="K1624" t="s">
        <v>3605</v>
      </c>
    </row>
    <row r="1625" spans="1:11">
      <c r="A1625" t="s">
        <v>16238</v>
      </c>
      <c r="B1625" t="s">
        <v>16239</v>
      </c>
      <c r="C1625">
        <v>53600100</v>
      </c>
      <c r="J1625" t="s">
        <v>16238</v>
      </c>
      <c r="K1625" t="s">
        <v>3605</v>
      </c>
    </row>
    <row r="1626" spans="1:11">
      <c r="A1626" t="s">
        <v>16240</v>
      </c>
      <c r="B1626" t="s">
        <v>16241</v>
      </c>
      <c r="J1626" t="s">
        <v>16240</v>
      </c>
      <c r="K1626" t="s">
        <v>3605</v>
      </c>
    </row>
    <row r="1627" spans="1:11">
      <c r="A1627" t="s">
        <v>16242</v>
      </c>
      <c r="B1627" t="s">
        <v>16243</v>
      </c>
      <c r="C1627">
        <v>50400200</v>
      </c>
      <c r="J1627" t="s">
        <v>16242</v>
      </c>
      <c r="K1627" t="s">
        <v>3605</v>
      </c>
    </row>
    <row r="1628" spans="1:11">
      <c r="A1628" t="s">
        <v>16244</v>
      </c>
      <c r="B1628" t="s">
        <v>16245</v>
      </c>
      <c r="C1628">
        <v>50404200</v>
      </c>
      <c r="J1628" t="s">
        <v>16244</v>
      </c>
      <c r="K1628" t="s">
        <v>3605</v>
      </c>
    </row>
    <row r="1629" spans="1:11">
      <c r="A1629" t="s">
        <v>16246</v>
      </c>
      <c r="B1629" t="s">
        <v>16247</v>
      </c>
      <c r="J1629" t="s">
        <v>16246</v>
      </c>
      <c r="K1629" t="s">
        <v>3605</v>
      </c>
    </row>
    <row r="1630" spans="1:11">
      <c r="A1630" t="s">
        <v>16248</v>
      </c>
      <c r="B1630" t="s">
        <v>16249</v>
      </c>
      <c r="J1630" t="s">
        <v>16248</v>
      </c>
      <c r="K1630" t="s">
        <v>3605</v>
      </c>
    </row>
    <row r="1631" spans="1:11">
      <c r="A1631" t="s">
        <v>16250</v>
      </c>
      <c r="B1631" t="s">
        <v>16251</v>
      </c>
      <c r="F1631">
        <v>45356</v>
      </c>
      <c r="J1631" t="s">
        <v>16250</v>
      </c>
      <c r="K1631" t="s">
        <v>3605</v>
      </c>
    </row>
    <row r="1632" spans="1:11">
      <c r="A1632" t="s">
        <v>16252</v>
      </c>
      <c r="B1632" t="s">
        <v>16253</v>
      </c>
      <c r="F1632">
        <v>45356</v>
      </c>
      <c r="J1632" t="s">
        <v>16252</v>
      </c>
      <c r="K1632" t="s">
        <v>3605</v>
      </c>
    </row>
    <row r="1633" spans="1:11">
      <c r="A1633" t="s">
        <v>16254</v>
      </c>
      <c r="B1633" t="s">
        <v>16255</v>
      </c>
      <c r="F1633">
        <v>45356</v>
      </c>
      <c r="J1633" t="s">
        <v>16254</v>
      </c>
      <c r="K1633" t="s">
        <v>3605</v>
      </c>
    </row>
    <row r="1634" spans="1:11">
      <c r="A1634" t="s">
        <v>16256</v>
      </c>
      <c r="B1634" t="s">
        <v>16257</v>
      </c>
      <c r="C1634">
        <v>58000200</v>
      </c>
      <c r="J1634" t="s">
        <v>16256</v>
      </c>
      <c r="K1634" t="s">
        <v>3605</v>
      </c>
    </row>
    <row r="1635" spans="1:11">
      <c r="A1635" t="s">
        <v>16258</v>
      </c>
      <c r="B1635" t="s">
        <v>16259</v>
      </c>
      <c r="J1635" t="s">
        <v>16258</v>
      </c>
      <c r="K1635" t="s">
        <v>3605</v>
      </c>
    </row>
    <row r="1636" spans="1:11">
      <c r="A1636" t="s">
        <v>16260</v>
      </c>
      <c r="B1636" t="s">
        <v>16261</v>
      </c>
      <c r="C1636">
        <v>50416200</v>
      </c>
      <c r="E1636" t="s">
        <v>13745</v>
      </c>
      <c r="F1636">
        <v>45380</v>
      </c>
      <c r="J1636" t="s">
        <v>16260</v>
      </c>
      <c r="K1636" t="s">
        <v>3605</v>
      </c>
    </row>
    <row r="1637" spans="1:11">
      <c r="A1637" t="s">
        <v>16262</v>
      </c>
      <c r="B1637" t="s">
        <v>16263</v>
      </c>
      <c r="C1637">
        <v>50505200</v>
      </c>
      <c r="J1637" t="s">
        <v>16262</v>
      </c>
      <c r="K1637" t="s">
        <v>3605</v>
      </c>
    </row>
    <row r="1638" spans="1:11">
      <c r="A1638" t="s">
        <v>16264</v>
      </c>
      <c r="B1638" t="s">
        <v>16265</v>
      </c>
      <c r="C1638">
        <v>53600200</v>
      </c>
      <c r="J1638" t="s">
        <v>16264</v>
      </c>
      <c r="K1638" t="s">
        <v>3605</v>
      </c>
    </row>
    <row r="1639" spans="1:11">
      <c r="A1639" t="s">
        <v>16266</v>
      </c>
      <c r="B1639" t="s">
        <v>16267</v>
      </c>
      <c r="J1639" t="s">
        <v>16266</v>
      </c>
      <c r="K1639" t="s">
        <v>3605</v>
      </c>
    </row>
    <row r="1640" spans="1:11">
      <c r="A1640" t="s">
        <v>16268</v>
      </c>
      <c r="B1640" t="s">
        <v>16269</v>
      </c>
      <c r="J1640" t="s">
        <v>16268</v>
      </c>
      <c r="K1640" t="s">
        <v>3605</v>
      </c>
    </row>
    <row r="1641" spans="1:11">
      <c r="A1641" t="s">
        <v>16270</v>
      </c>
      <c r="B1641" t="s">
        <v>16271</v>
      </c>
      <c r="J1641" t="s">
        <v>16270</v>
      </c>
      <c r="K1641" t="s">
        <v>3605</v>
      </c>
    </row>
    <row r="1642" spans="1:11">
      <c r="A1642" t="s">
        <v>16272</v>
      </c>
      <c r="B1642" t="s">
        <v>16273</v>
      </c>
      <c r="C1642">
        <v>50444000</v>
      </c>
      <c r="J1642" t="s">
        <v>16272</v>
      </c>
      <c r="K1642" t="s">
        <v>3605</v>
      </c>
    </row>
    <row r="1643" spans="1:11">
      <c r="A1643" t="s">
        <v>16272</v>
      </c>
      <c r="B1643" t="s">
        <v>16273</v>
      </c>
      <c r="C1643">
        <v>50444200</v>
      </c>
      <c r="J1643" t="s">
        <v>16272</v>
      </c>
      <c r="K1643" t="s">
        <v>3605</v>
      </c>
    </row>
    <row r="1644" spans="1:11">
      <c r="A1644" t="s">
        <v>16272</v>
      </c>
      <c r="B1644" t="s">
        <v>16273</v>
      </c>
      <c r="C1644">
        <v>59900000</v>
      </c>
      <c r="J1644" t="s">
        <v>16272</v>
      </c>
      <c r="K1644" t="s">
        <v>3605</v>
      </c>
    </row>
    <row r="1645" spans="1:11">
      <c r="A1645" t="s">
        <v>16274</v>
      </c>
      <c r="B1645" t="s">
        <v>16275</v>
      </c>
      <c r="J1645" t="s">
        <v>16274</v>
      </c>
      <c r="K1645" t="s">
        <v>3605</v>
      </c>
    </row>
    <row r="1646" spans="1:11">
      <c r="A1646" t="s">
        <v>16276</v>
      </c>
      <c r="B1646" t="s">
        <v>16277</v>
      </c>
      <c r="J1646" t="s">
        <v>16276</v>
      </c>
      <c r="K1646" t="s">
        <v>3605</v>
      </c>
    </row>
    <row r="1647" spans="1:11">
      <c r="A1647" t="s">
        <v>16278</v>
      </c>
      <c r="B1647" t="s">
        <v>16279</v>
      </c>
      <c r="C1647">
        <v>50497001</v>
      </c>
      <c r="J1647" t="s">
        <v>16278</v>
      </c>
      <c r="K1647" t="s">
        <v>3605</v>
      </c>
    </row>
    <row r="1648" spans="1:11">
      <c r="A1648" t="s">
        <v>16280</v>
      </c>
      <c r="B1648" t="s">
        <v>16281</v>
      </c>
      <c r="J1648" t="s">
        <v>16280</v>
      </c>
      <c r="K1648" t="s">
        <v>3605</v>
      </c>
    </row>
    <row r="1649" spans="1:11">
      <c r="A1649" t="s">
        <v>16282</v>
      </c>
      <c r="B1649" t="s">
        <v>16283</v>
      </c>
      <c r="J1649" t="s">
        <v>16282</v>
      </c>
      <c r="K1649" t="s">
        <v>3605</v>
      </c>
    </row>
    <row r="1650" spans="1:11">
      <c r="A1650" t="s">
        <v>16284</v>
      </c>
      <c r="B1650" t="s">
        <v>16285</v>
      </c>
      <c r="C1650">
        <v>50440000</v>
      </c>
      <c r="J1650" t="s">
        <v>16284</v>
      </c>
      <c r="K1650" t="s">
        <v>3605</v>
      </c>
    </row>
    <row r="1651" spans="1:11">
      <c r="A1651" t="s">
        <v>16286</v>
      </c>
      <c r="B1651" t="s">
        <v>16287</v>
      </c>
      <c r="J1651" t="s">
        <v>16286</v>
      </c>
      <c r="K1651" t="s">
        <v>3605</v>
      </c>
    </row>
    <row r="1652" spans="1:11">
      <c r="A1652" t="s">
        <v>16288</v>
      </c>
      <c r="B1652" t="s">
        <v>16289</v>
      </c>
      <c r="J1652" t="s">
        <v>16288</v>
      </c>
      <c r="K1652" t="s">
        <v>3605</v>
      </c>
    </row>
    <row r="1653" spans="1:11">
      <c r="A1653" t="s">
        <v>16290</v>
      </c>
      <c r="B1653" t="s">
        <v>16291</v>
      </c>
      <c r="C1653">
        <v>50448000</v>
      </c>
      <c r="J1653" t="s">
        <v>16290</v>
      </c>
      <c r="K1653" t="s">
        <v>3605</v>
      </c>
    </row>
    <row r="1654" spans="1:11">
      <c r="A1654" t="s">
        <v>16292</v>
      </c>
      <c r="B1654" t="s">
        <v>16293</v>
      </c>
      <c r="C1654">
        <v>50448000</v>
      </c>
      <c r="J1654" t="s">
        <v>16292</v>
      </c>
      <c r="K1654" t="s">
        <v>3605</v>
      </c>
    </row>
    <row r="1655" spans="1:11">
      <c r="A1655" t="s">
        <v>16294</v>
      </c>
      <c r="B1655" t="s">
        <v>16295</v>
      </c>
      <c r="C1655">
        <v>50448000</v>
      </c>
      <c r="J1655" t="s">
        <v>16294</v>
      </c>
      <c r="K1655" t="s">
        <v>3605</v>
      </c>
    </row>
    <row r="1656" spans="1:11">
      <c r="A1656" t="s">
        <v>16296</v>
      </c>
      <c r="B1656" t="s">
        <v>16297</v>
      </c>
      <c r="C1656">
        <v>50445000</v>
      </c>
      <c r="J1656" t="s">
        <v>16296</v>
      </c>
      <c r="K1656" t="s">
        <v>3605</v>
      </c>
    </row>
    <row r="1657" spans="1:11">
      <c r="A1657" t="s">
        <v>16298</v>
      </c>
      <c r="B1657" t="s">
        <v>16299</v>
      </c>
      <c r="C1657">
        <v>51200005</v>
      </c>
      <c r="J1657" t="s">
        <v>16298</v>
      </c>
      <c r="K1657" t="s">
        <v>3605</v>
      </c>
    </row>
    <row r="1658" spans="1:11">
      <c r="A1658" t="s">
        <v>16298</v>
      </c>
      <c r="B1658" t="s">
        <v>16299</v>
      </c>
      <c r="C1658">
        <v>51200005</v>
      </c>
      <c r="J1658" t="s">
        <v>16298</v>
      </c>
      <c r="K1658" t="s">
        <v>3605</v>
      </c>
    </row>
    <row r="1659" spans="1:11">
      <c r="A1659" t="s">
        <v>16300</v>
      </c>
      <c r="B1659" t="s">
        <v>16301</v>
      </c>
      <c r="C1659">
        <v>51200005</v>
      </c>
      <c r="J1659" t="s">
        <v>16300</v>
      </c>
      <c r="K1659" t="s">
        <v>3605</v>
      </c>
    </row>
    <row r="1660" spans="1:11">
      <c r="A1660" t="s">
        <v>16302</v>
      </c>
      <c r="B1660" t="s">
        <v>16303</v>
      </c>
      <c r="C1660">
        <v>51200005</v>
      </c>
      <c r="J1660" t="s">
        <v>16302</v>
      </c>
      <c r="K1660" t="s">
        <v>3605</v>
      </c>
    </row>
    <row r="1661" spans="1:11">
      <c r="A1661" t="s">
        <v>16304</v>
      </c>
      <c r="B1661" t="s">
        <v>16305</v>
      </c>
      <c r="C1661">
        <v>51200009</v>
      </c>
      <c r="J1661" t="s">
        <v>16304</v>
      </c>
      <c r="K1661" t="s">
        <v>3605</v>
      </c>
    </row>
    <row r="1662" spans="1:11">
      <c r="A1662" t="s">
        <v>16306</v>
      </c>
      <c r="B1662" t="s">
        <v>16307</v>
      </c>
      <c r="C1662">
        <v>50448500</v>
      </c>
      <c r="J1662" t="s">
        <v>16306</v>
      </c>
      <c r="K1662" t="s">
        <v>3605</v>
      </c>
    </row>
    <row r="1663" spans="1:11">
      <c r="A1663" t="s">
        <v>16308</v>
      </c>
      <c r="B1663" t="s">
        <v>16309</v>
      </c>
      <c r="C1663">
        <v>50444301</v>
      </c>
      <c r="J1663" t="s">
        <v>16308</v>
      </c>
      <c r="K1663" t="s">
        <v>3605</v>
      </c>
    </row>
    <row r="1664" spans="1:11">
      <c r="A1664" t="s">
        <v>16310</v>
      </c>
      <c r="B1664" t="s">
        <v>16311</v>
      </c>
      <c r="C1664">
        <v>50444100</v>
      </c>
      <c r="J1664" t="s">
        <v>16310</v>
      </c>
      <c r="K1664" t="s">
        <v>3605</v>
      </c>
    </row>
    <row r="1665" spans="1:11">
      <c r="A1665" t="s">
        <v>16312</v>
      </c>
      <c r="B1665" t="s">
        <v>16313</v>
      </c>
      <c r="C1665">
        <v>50440100</v>
      </c>
      <c r="J1665" t="s">
        <v>16312</v>
      </c>
      <c r="K1665" t="s">
        <v>3605</v>
      </c>
    </row>
    <row r="1666" spans="1:11">
      <c r="A1666" t="s">
        <v>16314</v>
      </c>
      <c r="B1666" t="s">
        <v>16315</v>
      </c>
      <c r="J1666" t="s">
        <v>16314</v>
      </c>
      <c r="K1666" t="s">
        <v>3605</v>
      </c>
    </row>
    <row r="1667" spans="1:11">
      <c r="A1667" t="s">
        <v>16316</v>
      </c>
      <c r="B1667" t="s">
        <v>16317</v>
      </c>
      <c r="C1667">
        <v>50445100</v>
      </c>
      <c r="J1667" t="s">
        <v>16316</v>
      </c>
      <c r="K1667" t="s">
        <v>3605</v>
      </c>
    </row>
    <row r="1668" spans="1:11">
      <c r="A1668" t="s">
        <v>16318</v>
      </c>
      <c r="B1668" t="s">
        <v>16319</v>
      </c>
      <c r="C1668">
        <v>51200105</v>
      </c>
      <c r="J1668" t="s">
        <v>16318</v>
      </c>
      <c r="K1668" t="s">
        <v>3605</v>
      </c>
    </row>
    <row r="1669" spans="1:11">
      <c r="A1669" t="s">
        <v>16318</v>
      </c>
      <c r="B1669" t="s">
        <v>16319</v>
      </c>
      <c r="C1669">
        <v>50448100</v>
      </c>
      <c r="J1669" t="s">
        <v>16318</v>
      </c>
      <c r="K1669" t="s">
        <v>3605</v>
      </c>
    </row>
    <row r="1670" spans="1:11">
      <c r="A1670" t="s">
        <v>16320</v>
      </c>
      <c r="B1670" t="s">
        <v>16321</v>
      </c>
      <c r="C1670">
        <v>51200109</v>
      </c>
      <c r="J1670" t="s">
        <v>16320</v>
      </c>
      <c r="K1670" t="s">
        <v>3605</v>
      </c>
    </row>
    <row r="1671" spans="1:11">
      <c r="A1671" t="s">
        <v>16322</v>
      </c>
      <c r="B1671" t="s">
        <v>16323</v>
      </c>
      <c r="C1671">
        <v>50497101</v>
      </c>
      <c r="D1671" t="s">
        <v>13745</v>
      </c>
      <c r="E1671">
        <v>45366</v>
      </c>
      <c r="J1671" t="s">
        <v>16322</v>
      </c>
      <c r="K1671" t="s">
        <v>3605</v>
      </c>
    </row>
    <row r="1672" spans="1:11">
      <c r="A1672" t="s">
        <v>16324</v>
      </c>
      <c r="B1672" t="s">
        <v>16325</v>
      </c>
      <c r="C1672">
        <v>50497201</v>
      </c>
      <c r="D1672" t="s">
        <v>13745</v>
      </c>
      <c r="E1672">
        <v>45366</v>
      </c>
      <c r="J1672" t="s">
        <v>16324</v>
      </c>
      <c r="K1672" t="s">
        <v>3605</v>
      </c>
    </row>
    <row r="1673" spans="1:11">
      <c r="A1673" t="s">
        <v>16326</v>
      </c>
      <c r="B1673" t="s">
        <v>16327</v>
      </c>
      <c r="C1673">
        <v>50497200</v>
      </c>
      <c r="D1673" t="s">
        <v>13745</v>
      </c>
      <c r="E1673">
        <v>45366</v>
      </c>
      <c r="J1673" t="s">
        <v>16326</v>
      </c>
      <c r="K1673" t="s">
        <v>3605</v>
      </c>
    </row>
    <row r="1674" spans="1:11">
      <c r="A1674" t="s">
        <v>16328</v>
      </c>
      <c r="B1674" t="s">
        <v>16329</v>
      </c>
      <c r="C1674">
        <v>50444200</v>
      </c>
      <c r="J1674" t="s">
        <v>16328</v>
      </c>
      <c r="K1674" t="s">
        <v>3605</v>
      </c>
    </row>
    <row r="1675" spans="1:11">
      <c r="A1675" t="s">
        <v>16330</v>
      </c>
      <c r="B1675" t="s">
        <v>16331</v>
      </c>
      <c r="J1675" t="s">
        <v>16330</v>
      </c>
      <c r="K1675" t="s">
        <v>3605</v>
      </c>
    </row>
    <row r="1676" spans="1:11">
      <c r="A1676" t="s">
        <v>16332</v>
      </c>
      <c r="B1676" t="s">
        <v>16333</v>
      </c>
      <c r="C1676">
        <v>50448200</v>
      </c>
      <c r="J1676" t="s">
        <v>16332</v>
      </c>
      <c r="K1676" t="s">
        <v>3605</v>
      </c>
    </row>
    <row r="1677" spans="1:11">
      <c r="A1677" t="s">
        <v>16334</v>
      </c>
      <c r="B1677" t="s">
        <v>16335</v>
      </c>
      <c r="C1677">
        <v>50440200</v>
      </c>
      <c r="J1677" t="s">
        <v>16334</v>
      </c>
      <c r="K1677" t="s">
        <v>3605</v>
      </c>
    </row>
    <row r="1678" spans="1:11">
      <c r="A1678" t="s">
        <v>16334</v>
      </c>
      <c r="B1678" t="s">
        <v>16335</v>
      </c>
      <c r="C1678">
        <v>50445200</v>
      </c>
      <c r="J1678" t="s">
        <v>16334</v>
      </c>
      <c r="K1678" t="s">
        <v>3605</v>
      </c>
    </row>
    <row r="1679" spans="1:11">
      <c r="A1679" t="s">
        <v>16336</v>
      </c>
      <c r="B1679" t="s">
        <v>16337</v>
      </c>
      <c r="C1679">
        <v>51200205</v>
      </c>
      <c r="J1679" t="s">
        <v>16336</v>
      </c>
      <c r="K1679" t="s">
        <v>3605</v>
      </c>
    </row>
    <row r="1680" spans="1:11">
      <c r="A1680" t="s">
        <v>16338</v>
      </c>
      <c r="B1680" t="s">
        <v>16339</v>
      </c>
      <c r="C1680">
        <v>51200209</v>
      </c>
      <c r="J1680" t="s">
        <v>16338</v>
      </c>
      <c r="K1680" t="s">
        <v>3605</v>
      </c>
    </row>
    <row r="1681" spans="1:11">
      <c r="A1681" t="s">
        <v>16340</v>
      </c>
      <c r="B1681" t="s">
        <v>16341</v>
      </c>
      <c r="C1681">
        <v>50444100</v>
      </c>
      <c r="J1681" t="s">
        <v>16340</v>
      </c>
      <c r="K1681" t="s">
        <v>3605</v>
      </c>
    </row>
    <row r="1682" spans="1:11">
      <c r="A1682" t="s">
        <v>16342</v>
      </c>
      <c r="B1682" t="s">
        <v>16343</v>
      </c>
      <c r="C1682">
        <v>50440100</v>
      </c>
      <c r="J1682" t="s">
        <v>16342</v>
      </c>
      <c r="K1682" t="s">
        <v>3605</v>
      </c>
    </row>
    <row r="1683" spans="1:11">
      <c r="A1683" t="s">
        <v>16344</v>
      </c>
      <c r="B1683" t="s">
        <v>16345</v>
      </c>
      <c r="C1683">
        <v>50445100</v>
      </c>
      <c r="J1683" t="s">
        <v>16344</v>
      </c>
      <c r="K1683" t="s">
        <v>3605</v>
      </c>
    </row>
    <row r="1684" spans="1:11">
      <c r="A1684" t="s">
        <v>16346</v>
      </c>
      <c r="B1684" t="s">
        <v>16347</v>
      </c>
      <c r="C1684">
        <v>51200105</v>
      </c>
      <c r="J1684" t="s">
        <v>16346</v>
      </c>
      <c r="K1684" t="s">
        <v>3605</v>
      </c>
    </row>
    <row r="1685" spans="1:11">
      <c r="A1685" t="s">
        <v>16348</v>
      </c>
      <c r="B1685" t="s">
        <v>16349</v>
      </c>
      <c r="C1685">
        <v>51200105</v>
      </c>
      <c r="J1685" t="s">
        <v>16348</v>
      </c>
      <c r="K1685" t="s">
        <v>3605</v>
      </c>
    </row>
    <row r="1686" spans="1:11">
      <c r="A1686" t="s">
        <v>16348</v>
      </c>
      <c r="B1686" t="s">
        <v>16349</v>
      </c>
      <c r="C1686">
        <v>50448100</v>
      </c>
      <c r="J1686" t="s">
        <v>16348</v>
      </c>
      <c r="K1686" t="s">
        <v>3605</v>
      </c>
    </row>
    <row r="1687" spans="1:11">
      <c r="A1687" t="s">
        <v>16350</v>
      </c>
      <c r="B1687" t="s">
        <v>16351</v>
      </c>
      <c r="C1687">
        <v>51200109</v>
      </c>
      <c r="J1687" t="s">
        <v>16350</v>
      </c>
      <c r="K1687" t="s">
        <v>3605</v>
      </c>
    </row>
    <row r="1688" spans="1:11">
      <c r="A1688" t="s">
        <v>16352</v>
      </c>
      <c r="B1688" t="s">
        <v>16353</v>
      </c>
      <c r="C1688">
        <v>50444200</v>
      </c>
      <c r="J1688" t="s">
        <v>16352</v>
      </c>
      <c r="K1688" t="s">
        <v>3605</v>
      </c>
    </row>
    <row r="1689" spans="1:11">
      <c r="A1689" t="s">
        <v>16354</v>
      </c>
      <c r="B1689" t="s">
        <v>16355</v>
      </c>
      <c r="J1689" t="s">
        <v>16354</v>
      </c>
      <c r="K1689" t="s">
        <v>3605</v>
      </c>
    </row>
    <row r="1690" spans="1:11">
      <c r="A1690" t="s">
        <v>16356</v>
      </c>
      <c r="B1690" t="s">
        <v>16357</v>
      </c>
      <c r="C1690">
        <v>50448200</v>
      </c>
      <c r="J1690" t="s">
        <v>16356</v>
      </c>
      <c r="K1690" t="s">
        <v>3605</v>
      </c>
    </row>
    <row r="1691" spans="1:11">
      <c r="A1691" t="s">
        <v>16358</v>
      </c>
      <c r="B1691" t="s">
        <v>16359</v>
      </c>
      <c r="C1691">
        <v>50440200</v>
      </c>
      <c r="J1691" t="s">
        <v>16358</v>
      </c>
      <c r="K1691" t="s">
        <v>3605</v>
      </c>
    </row>
    <row r="1692" spans="1:11">
      <c r="A1692" t="s">
        <v>16358</v>
      </c>
      <c r="B1692" t="s">
        <v>16359</v>
      </c>
      <c r="C1692">
        <v>50445200</v>
      </c>
      <c r="J1692" t="s">
        <v>16358</v>
      </c>
      <c r="K1692" t="s">
        <v>3605</v>
      </c>
    </row>
    <row r="1693" spans="1:11">
      <c r="A1693" t="s">
        <v>16360</v>
      </c>
      <c r="B1693" t="s">
        <v>16361</v>
      </c>
      <c r="C1693">
        <v>51200205</v>
      </c>
      <c r="J1693" t="s">
        <v>16360</v>
      </c>
      <c r="K1693" t="s">
        <v>3605</v>
      </c>
    </row>
    <row r="1694" spans="1:11">
      <c r="A1694" t="s">
        <v>16362</v>
      </c>
      <c r="B1694" t="s">
        <v>16363</v>
      </c>
      <c r="C1694">
        <v>51200209</v>
      </c>
      <c r="J1694" t="s">
        <v>16362</v>
      </c>
      <c r="K1694" t="s">
        <v>3605</v>
      </c>
    </row>
    <row r="1695" spans="1:11">
      <c r="A1695" t="s">
        <v>16364</v>
      </c>
      <c r="B1695" t="s">
        <v>16365</v>
      </c>
      <c r="C1695">
        <v>50000000</v>
      </c>
      <c r="J1695" t="s">
        <v>16364</v>
      </c>
      <c r="K1695" t="s">
        <v>3605</v>
      </c>
    </row>
    <row r="1696" spans="1:11">
      <c r="A1696" t="s">
        <v>16366</v>
      </c>
      <c r="B1696" t="s">
        <v>16120</v>
      </c>
      <c r="J1696" t="s">
        <v>16366</v>
      </c>
      <c r="K1696" t="s">
        <v>3605</v>
      </c>
    </row>
    <row r="1697" spans="1:11">
      <c r="A1697" t="s">
        <v>16367</v>
      </c>
      <c r="B1697" t="s">
        <v>16368</v>
      </c>
      <c r="C1697">
        <v>50000100</v>
      </c>
      <c r="J1697" t="s">
        <v>16367</v>
      </c>
      <c r="K1697" t="s">
        <v>3605</v>
      </c>
    </row>
    <row r="1698" spans="1:11">
      <c r="A1698" t="s">
        <v>16369</v>
      </c>
      <c r="B1698" t="s">
        <v>16370</v>
      </c>
      <c r="J1698" t="s">
        <v>16369</v>
      </c>
      <c r="K1698" t="s">
        <v>3605</v>
      </c>
    </row>
    <row r="1699" spans="1:11">
      <c r="A1699" t="s">
        <v>16371</v>
      </c>
      <c r="B1699" t="s">
        <v>16195</v>
      </c>
      <c r="C1699">
        <v>51200200</v>
      </c>
      <c r="J1699" t="s">
        <v>16371</v>
      </c>
      <c r="K1699" t="s">
        <v>3605</v>
      </c>
    </row>
    <row r="1700" spans="1:11">
      <c r="A1700" t="s">
        <v>16372</v>
      </c>
      <c r="B1700" t="s">
        <v>16373</v>
      </c>
      <c r="J1700" t="s">
        <v>16372</v>
      </c>
      <c r="K1700" t="s">
        <v>3605</v>
      </c>
    </row>
    <row r="1701" spans="1:11">
      <c r="A1701" t="s">
        <v>16374</v>
      </c>
      <c r="B1701" t="s">
        <v>16375</v>
      </c>
      <c r="C1701">
        <v>50000100</v>
      </c>
      <c r="J1701" t="s">
        <v>16374</v>
      </c>
      <c r="K1701" t="s">
        <v>3605</v>
      </c>
    </row>
    <row r="1702" spans="1:11">
      <c r="A1702" t="s">
        <v>16376</v>
      </c>
      <c r="B1702" t="s">
        <v>16377</v>
      </c>
      <c r="J1702" t="s">
        <v>16376</v>
      </c>
      <c r="K1702" t="s">
        <v>3605</v>
      </c>
    </row>
    <row r="1703" spans="1:11">
      <c r="A1703" t="s">
        <v>16378</v>
      </c>
      <c r="B1703" t="s">
        <v>16379</v>
      </c>
      <c r="C1703">
        <v>50508200</v>
      </c>
      <c r="J1703" t="s">
        <v>16378</v>
      </c>
      <c r="K1703" t="s">
        <v>3605</v>
      </c>
    </row>
    <row r="1704" spans="1:11">
      <c r="A1704" t="s">
        <v>16380</v>
      </c>
      <c r="B1704" t="s">
        <v>16381</v>
      </c>
      <c r="J1704" t="s">
        <v>16380</v>
      </c>
      <c r="K1704" t="s">
        <v>3605</v>
      </c>
    </row>
    <row r="1705" spans="1:11">
      <c r="A1705" t="s">
        <v>16382</v>
      </c>
      <c r="B1705" t="s">
        <v>16383</v>
      </c>
      <c r="D1705" t="s">
        <v>16384</v>
      </c>
      <c r="J1705" t="s">
        <v>16382</v>
      </c>
      <c r="K1705" t="s">
        <v>3605</v>
      </c>
    </row>
    <row r="1706" spans="1:11">
      <c r="A1706" t="s">
        <v>16385</v>
      </c>
      <c r="B1706" t="s">
        <v>16386</v>
      </c>
      <c r="C1706">
        <v>60099057</v>
      </c>
      <c r="J1706" t="s">
        <v>16385</v>
      </c>
      <c r="K1706" t="s">
        <v>3605</v>
      </c>
    </row>
    <row r="1707" spans="1:11">
      <c r="A1707" t="s">
        <v>16385</v>
      </c>
      <c r="B1707" t="s">
        <v>16386</v>
      </c>
      <c r="C1707">
        <v>60005000</v>
      </c>
      <c r="J1707" t="s">
        <v>16385</v>
      </c>
      <c r="K1707" t="s">
        <v>3605</v>
      </c>
    </row>
    <row r="1708" spans="1:11">
      <c r="A1708" t="s">
        <v>16387</v>
      </c>
      <c r="B1708" t="s">
        <v>16388</v>
      </c>
      <c r="C1708">
        <v>60005002</v>
      </c>
      <c r="J1708" t="s">
        <v>16387</v>
      </c>
      <c r="K1708" t="s">
        <v>3605</v>
      </c>
    </row>
    <row r="1709" spans="1:11">
      <c r="A1709" t="s">
        <v>16389</v>
      </c>
      <c r="B1709" t="s">
        <v>16390</v>
      </c>
      <c r="C1709">
        <v>60005000</v>
      </c>
      <c r="D1709" t="s">
        <v>16391</v>
      </c>
      <c r="J1709" t="s">
        <v>16389</v>
      </c>
      <c r="K1709" t="s">
        <v>3605</v>
      </c>
    </row>
    <row r="1710" spans="1:11">
      <c r="A1710" t="s">
        <v>16389</v>
      </c>
      <c r="B1710" t="s">
        <v>16390</v>
      </c>
      <c r="C1710">
        <v>60005006</v>
      </c>
      <c r="J1710" t="s">
        <v>16389</v>
      </c>
      <c r="K1710" t="s">
        <v>3605</v>
      </c>
    </row>
    <row r="1711" spans="1:11">
      <c r="A1711" t="s">
        <v>16392</v>
      </c>
      <c r="B1711" t="s">
        <v>16393</v>
      </c>
      <c r="C1711">
        <v>60005004</v>
      </c>
      <c r="J1711" t="s">
        <v>16392</v>
      </c>
      <c r="K1711" t="s">
        <v>3605</v>
      </c>
    </row>
    <row r="1712" spans="1:11">
      <c r="A1712" t="s">
        <v>16392</v>
      </c>
      <c r="B1712" t="s">
        <v>16393</v>
      </c>
      <c r="C1712">
        <v>69904004</v>
      </c>
      <c r="J1712" t="s">
        <v>16392</v>
      </c>
      <c r="K1712" t="s">
        <v>3605</v>
      </c>
    </row>
    <row r="1713" spans="1:11">
      <c r="A1713" t="s">
        <v>16394</v>
      </c>
      <c r="B1713" t="s">
        <v>16395</v>
      </c>
      <c r="C1713">
        <v>60005003</v>
      </c>
      <c r="J1713" t="s">
        <v>16394</v>
      </c>
      <c r="K1713" t="s">
        <v>3605</v>
      </c>
    </row>
    <row r="1714" spans="1:11">
      <c r="A1714" t="s">
        <v>16396</v>
      </c>
      <c r="B1714" t="s">
        <v>16397</v>
      </c>
      <c r="C1714">
        <v>60005001</v>
      </c>
      <c r="J1714" t="s">
        <v>16396</v>
      </c>
      <c r="K1714" t="s">
        <v>3605</v>
      </c>
    </row>
    <row r="1715" spans="1:11">
      <c r="A1715" t="s">
        <v>16398</v>
      </c>
      <c r="B1715" t="s">
        <v>16399</v>
      </c>
      <c r="C1715">
        <v>60005007</v>
      </c>
      <c r="J1715" t="s">
        <v>16398</v>
      </c>
      <c r="K1715" t="s">
        <v>3605</v>
      </c>
    </row>
    <row r="1716" spans="1:11">
      <c r="A1716" t="s">
        <v>16398</v>
      </c>
      <c r="B1716" t="s">
        <v>16399</v>
      </c>
      <c r="C1716">
        <v>60005008</v>
      </c>
      <c r="J1716" t="s">
        <v>16398</v>
      </c>
      <c r="K1716" t="s">
        <v>3605</v>
      </c>
    </row>
    <row r="1717" spans="1:11">
      <c r="A1717" t="s">
        <v>16400</v>
      </c>
      <c r="B1717" t="s">
        <v>16401</v>
      </c>
      <c r="J1717" t="s">
        <v>16400</v>
      </c>
      <c r="K1717" t="s">
        <v>3605</v>
      </c>
    </row>
    <row r="1718" spans="1:11">
      <c r="A1718" t="s">
        <v>16402</v>
      </c>
      <c r="B1718" t="s">
        <v>16403</v>
      </c>
      <c r="C1718">
        <v>60099048</v>
      </c>
      <c r="J1718" t="s">
        <v>16402</v>
      </c>
      <c r="K1718" t="s">
        <v>3605</v>
      </c>
    </row>
    <row r="1719" spans="1:11">
      <c r="A1719" t="s">
        <v>16402</v>
      </c>
      <c r="B1719" t="s">
        <v>16403</v>
      </c>
      <c r="C1719">
        <v>60099040</v>
      </c>
      <c r="J1719" t="s">
        <v>16402</v>
      </c>
      <c r="K1719" t="s">
        <v>3605</v>
      </c>
    </row>
    <row r="1720" spans="1:11">
      <c r="A1720" t="s">
        <v>16402</v>
      </c>
      <c r="B1720" t="s">
        <v>16403</v>
      </c>
      <c r="C1720">
        <v>74200200</v>
      </c>
      <c r="J1720" t="s">
        <v>16402</v>
      </c>
      <c r="K1720" t="s">
        <v>3605</v>
      </c>
    </row>
    <row r="1721" spans="1:11">
      <c r="A1721" t="s">
        <v>16404</v>
      </c>
      <c r="B1721" t="s">
        <v>16405</v>
      </c>
      <c r="C1721">
        <v>60099039</v>
      </c>
      <c r="J1721" t="s">
        <v>16404</v>
      </c>
      <c r="K1721" t="s">
        <v>3605</v>
      </c>
    </row>
    <row r="1722" spans="1:11">
      <c r="A1722" t="s">
        <v>16406</v>
      </c>
      <c r="B1722" t="s">
        <v>16407</v>
      </c>
      <c r="C1722">
        <v>60099041</v>
      </c>
      <c r="J1722" t="s">
        <v>16406</v>
      </c>
      <c r="K1722" t="s">
        <v>3605</v>
      </c>
    </row>
    <row r="1723" spans="1:11">
      <c r="A1723" t="s">
        <v>16408</v>
      </c>
      <c r="B1723" t="s">
        <v>16409</v>
      </c>
      <c r="C1723">
        <v>60099300</v>
      </c>
      <c r="J1723" t="s">
        <v>16408</v>
      </c>
      <c r="K1723" t="s">
        <v>3605</v>
      </c>
    </row>
    <row r="1724" spans="1:11">
      <c r="A1724" t="s">
        <v>16410</v>
      </c>
      <c r="B1724" t="s">
        <v>16411</v>
      </c>
      <c r="C1724">
        <v>60099065</v>
      </c>
      <c r="J1724" t="s">
        <v>16410</v>
      </c>
      <c r="K1724" t="s">
        <v>3605</v>
      </c>
    </row>
    <row r="1725" spans="1:11">
      <c r="A1725" t="s">
        <v>16412</v>
      </c>
      <c r="B1725" t="s">
        <v>16413</v>
      </c>
      <c r="C1725">
        <v>60099051</v>
      </c>
      <c r="D1725" t="s">
        <v>16414</v>
      </c>
      <c r="J1725" t="s">
        <v>16412</v>
      </c>
      <c r="K1725" t="s">
        <v>3605</v>
      </c>
    </row>
    <row r="1726" spans="1:11">
      <c r="A1726" t="s">
        <v>16415</v>
      </c>
      <c r="B1726" t="s">
        <v>16416</v>
      </c>
      <c r="C1726">
        <v>74200202</v>
      </c>
      <c r="J1726" t="s">
        <v>16415</v>
      </c>
      <c r="K1726" t="s">
        <v>3605</v>
      </c>
    </row>
    <row r="1727" spans="1:11">
      <c r="A1727" t="s">
        <v>16417</v>
      </c>
      <c r="B1727" t="s">
        <v>16418</v>
      </c>
      <c r="J1727" t="s">
        <v>16417</v>
      </c>
      <c r="K1727" t="s">
        <v>3605</v>
      </c>
    </row>
    <row r="1728" spans="1:11">
      <c r="A1728" t="s">
        <v>16419</v>
      </c>
      <c r="B1728" t="s">
        <v>16420</v>
      </c>
      <c r="C1728">
        <v>60099055</v>
      </c>
      <c r="J1728" t="s">
        <v>16419</v>
      </c>
      <c r="K1728" t="s">
        <v>3605</v>
      </c>
    </row>
    <row r="1729" spans="1:11">
      <c r="A1729" t="s">
        <v>16421</v>
      </c>
      <c r="B1729" t="s">
        <v>16422</v>
      </c>
      <c r="J1729" t="s">
        <v>16421</v>
      </c>
      <c r="K1729" t="s">
        <v>3605</v>
      </c>
    </row>
    <row r="1730" spans="1:11">
      <c r="A1730" t="s">
        <v>16423</v>
      </c>
      <c r="B1730" t="s">
        <v>16424</v>
      </c>
      <c r="C1730">
        <v>60100310</v>
      </c>
      <c r="J1730" t="s">
        <v>16423</v>
      </c>
      <c r="K1730" t="s">
        <v>3605</v>
      </c>
    </row>
    <row r="1731" spans="1:11">
      <c r="A1731" t="s">
        <v>16423</v>
      </c>
      <c r="B1731" t="s">
        <v>16424</v>
      </c>
      <c r="C1731">
        <v>60100312</v>
      </c>
      <c r="J1731" t="s">
        <v>16423</v>
      </c>
      <c r="K1731" t="s">
        <v>3605</v>
      </c>
    </row>
    <row r="1732" spans="1:11">
      <c r="A1732" t="s">
        <v>16425</v>
      </c>
      <c r="B1732" t="s">
        <v>16426</v>
      </c>
      <c r="C1732">
        <v>60100315</v>
      </c>
      <c r="J1732" t="s">
        <v>16425</v>
      </c>
      <c r="K1732" t="s">
        <v>3605</v>
      </c>
    </row>
    <row r="1733" spans="1:11">
      <c r="A1733" t="s">
        <v>16427</v>
      </c>
      <c r="B1733" t="s">
        <v>16428</v>
      </c>
      <c r="C1733">
        <v>60100320</v>
      </c>
      <c r="J1733" t="s">
        <v>16427</v>
      </c>
      <c r="K1733" t="s">
        <v>3605</v>
      </c>
    </row>
    <row r="1734" spans="1:11">
      <c r="A1734" t="s">
        <v>16429</v>
      </c>
      <c r="B1734" t="s">
        <v>16430</v>
      </c>
      <c r="C1734">
        <v>60100325</v>
      </c>
      <c r="J1734" t="s">
        <v>16429</v>
      </c>
      <c r="K1734" t="s">
        <v>3605</v>
      </c>
    </row>
    <row r="1735" spans="1:11">
      <c r="A1735" t="s">
        <v>16431</v>
      </c>
      <c r="B1735" t="s">
        <v>16432</v>
      </c>
      <c r="C1735">
        <v>60100330</v>
      </c>
      <c r="J1735" t="s">
        <v>16431</v>
      </c>
      <c r="K1735" t="s">
        <v>3605</v>
      </c>
    </row>
    <row r="1736" spans="1:11">
      <c r="A1736" t="s">
        <v>16433</v>
      </c>
      <c r="B1736" t="s">
        <v>16434</v>
      </c>
      <c r="C1736">
        <v>60100345</v>
      </c>
      <c r="J1736" t="s">
        <v>16433</v>
      </c>
      <c r="K1736" t="s">
        <v>3605</v>
      </c>
    </row>
    <row r="1737" spans="1:11">
      <c r="A1737" t="s">
        <v>16435</v>
      </c>
      <c r="B1737" t="s">
        <v>16436</v>
      </c>
      <c r="C1737">
        <v>60099056</v>
      </c>
      <c r="J1737" t="s">
        <v>16435</v>
      </c>
      <c r="K1737" t="s">
        <v>3605</v>
      </c>
    </row>
    <row r="1738" spans="1:11">
      <c r="A1738" t="s">
        <v>16437</v>
      </c>
      <c r="B1738" t="s">
        <v>16438</v>
      </c>
      <c r="C1738">
        <v>60099056</v>
      </c>
      <c r="J1738" t="s">
        <v>16437</v>
      </c>
      <c r="K1738" t="s">
        <v>3605</v>
      </c>
    </row>
    <row r="1739" spans="1:11">
      <c r="A1739" t="s">
        <v>16439</v>
      </c>
      <c r="B1739" t="s">
        <v>16440</v>
      </c>
      <c r="C1739">
        <v>60099056</v>
      </c>
      <c r="J1739" t="s">
        <v>16439</v>
      </c>
      <c r="K1739" t="s">
        <v>3605</v>
      </c>
    </row>
    <row r="1740" spans="1:11">
      <c r="A1740" t="s">
        <v>16441</v>
      </c>
      <c r="B1740" t="s">
        <v>16442</v>
      </c>
      <c r="C1740">
        <v>60099050</v>
      </c>
      <c r="J1740" t="s">
        <v>16441</v>
      </c>
      <c r="K1740" t="s">
        <v>3605</v>
      </c>
    </row>
    <row r="1741" spans="1:11">
      <c r="A1741" t="s">
        <v>16443</v>
      </c>
      <c r="B1741" t="s">
        <v>16444</v>
      </c>
      <c r="C1741">
        <v>60005002</v>
      </c>
      <c r="D1741" t="s">
        <v>16445</v>
      </c>
      <c r="J1741" t="s">
        <v>16443</v>
      </c>
      <c r="K1741" t="s">
        <v>3605</v>
      </c>
    </row>
    <row r="1742" spans="1:11">
      <c r="A1742" t="s">
        <v>16443</v>
      </c>
      <c r="B1742" t="s">
        <v>16444</v>
      </c>
      <c r="C1742">
        <v>60099250</v>
      </c>
      <c r="J1742" t="s">
        <v>16443</v>
      </c>
      <c r="K1742" t="s">
        <v>3605</v>
      </c>
    </row>
    <row r="1743" spans="1:11">
      <c r="A1743" t="s">
        <v>16446</v>
      </c>
      <c r="B1743" t="s">
        <v>16447</v>
      </c>
      <c r="C1743">
        <v>60005009</v>
      </c>
      <c r="J1743" t="s">
        <v>16446</v>
      </c>
      <c r="K1743" t="s">
        <v>3605</v>
      </c>
    </row>
    <row r="1744" spans="1:11">
      <c r="A1744" t="s">
        <v>16448</v>
      </c>
      <c r="B1744" t="s">
        <v>16449</v>
      </c>
      <c r="C1744">
        <v>60005010</v>
      </c>
      <c r="G1744" t="s">
        <v>16448</v>
      </c>
      <c r="H1744" t="s">
        <v>3605</v>
      </c>
      <c r="I1744">
        <v>60005010</v>
      </c>
      <c r="J1744" t="s">
        <v>16448</v>
      </c>
      <c r="K1744" t="s">
        <v>3605</v>
      </c>
    </row>
    <row r="1745" spans="1:11">
      <c r="A1745" t="s">
        <v>16450</v>
      </c>
      <c r="B1745" t="s">
        <v>16451</v>
      </c>
      <c r="C1745">
        <v>60005100</v>
      </c>
      <c r="J1745" t="s">
        <v>16450</v>
      </c>
      <c r="K1745" t="s">
        <v>3605</v>
      </c>
    </row>
    <row r="1746" spans="1:11">
      <c r="A1746" t="s">
        <v>16450</v>
      </c>
      <c r="B1746" t="s">
        <v>16451</v>
      </c>
      <c r="C1746">
        <v>60005102</v>
      </c>
      <c r="J1746" t="s">
        <v>16450</v>
      </c>
      <c r="K1746" t="s">
        <v>3605</v>
      </c>
    </row>
    <row r="1747" spans="1:11">
      <c r="A1747" t="s">
        <v>16452</v>
      </c>
      <c r="B1747" t="s">
        <v>16453</v>
      </c>
      <c r="J1747" t="s">
        <v>16452</v>
      </c>
      <c r="K1747" t="s">
        <v>3605</v>
      </c>
    </row>
    <row r="1748" spans="1:11">
      <c r="A1748" t="s">
        <v>16454</v>
      </c>
      <c r="B1748" t="s">
        <v>16455</v>
      </c>
      <c r="J1748" t="s">
        <v>16454</v>
      </c>
      <c r="K1748" t="s">
        <v>3605</v>
      </c>
    </row>
    <row r="1749" spans="1:11">
      <c r="A1749" t="s">
        <v>16456</v>
      </c>
      <c r="B1749" t="s">
        <v>16457</v>
      </c>
      <c r="C1749">
        <v>60099139</v>
      </c>
      <c r="J1749" t="s">
        <v>16456</v>
      </c>
      <c r="K1749" t="s">
        <v>3605</v>
      </c>
    </row>
    <row r="1750" spans="1:11">
      <c r="A1750" t="s">
        <v>16458</v>
      </c>
      <c r="B1750" t="s">
        <v>16459</v>
      </c>
      <c r="C1750">
        <v>60099139</v>
      </c>
      <c r="J1750" t="s">
        <v>16458</v>
      </c>
      <c r="K1750" t="s">
        <v>3605</v>
      </c>
    </row>
    <row r="1751" spans="1:11">
      <c r="A1751" t="s">
        <v>16458</v>
      </c>
      <c r="B1751" t="s">
        <v>16459</v>
      </c>
      <c r="C1751">
        <v>60099144</v>
      </c>
      <c r="J1751" t="s">
        <v>16458</v>
      </c>
      <c r="K1751" t="s">
        <v>3605</v>
      </c>
    </row>
    <row r="1752" spans="1:11">
      <c r="A1752" t="s">
        <v>16458</v>
      </c>
      <c r="B1752" t="s">
        <v>16459</v>
      </c>
      <c r="J1752" t="s">
        <v>16458</v>
      </c>
      <c r="K1752" t="s">
        <v>3605</v>
      </c>
    </row>
    <row r="1753" spans="1:11">
      <c r="A1753" t="s">
        <v>16460</v>
      </c>
      <c r="B1753" t="s">
        <v>16461</v>
      </c>
      <c r="J1753" t="s">
        <v>16460</v>
      </c>
      <c r="K1753" t="s">
        <v>3605</v>
      </c>
    </row>
    <row r="1754" spans="1:11">
      <c r="A1754" t="s">
        <v>16462</v>
      </c>
      <c r="B1754" t="s">
        <v>16463</v>
      </c>
      <c r="J1754" t="s">
        <v>16462</v>
      </c>
      <c r="K1754" t="s">
        <v>3605</v>
      </c>
    </row>
    <row r="1755" spans="1:11">
      <c r="A1755" t="s">
        <v>16464</v>
      </c>
      <c r="B1755" t="s">
        <v>16465</v>
      </c>
      <c r="J1755" t="s">
        <v>16464</v>
      </c>
      <c r="K1755" t="s">
        <v>3605</v>
      </c>
    </row>
    <row r="1756" spans="1:11">
      <c r="A1756" t="s">
        <v>16466</v>
      </c>
      <c r="B1756" t="s">
        <v>16467</v>
      </c>
      <c r="J1756" t="s">
        <v>16466</v>
      </c>
      <c r="K1756" t="s">
        <v>3605</v>
      </c>
    </row>
    <row r="1757" spans="1:11">
      <c r="A1757" t="s">
        <v>16468</v>
      </c>
      <c r="B1757" t="s">
        <v>16469</v>
      </c>
      <c r="C1757">
        <v>60099239</v>
      </c>
      <c r="J1757" t="s">
        <v>16468</v>
      </c>
      <c r="K1757" t="s">
        <v>3605</v>
      </c>
    </row>
    <row r="1758" spans="1:11">
      <c r="A1758" t="s">
        <v>16470</v>
      </c>
      <c r="B1758" t="s">
        <v>16471</v>
      </c>
      <c r="J1758" t="s">
        <v>16470</v>
      </c>
      <c r="K1758" t="s">
        <v>3605</v>
      </c>
    </row>
    <row r="1759" spans="1:11">
      <c r="A1759" t="s">
        <v>16472</v>
      </c>
      <c r="B1759" t="s">
        <v>16473</v>
      </c>
      <c r="J1759" t="s">
        <v>16472</v>
      </c>
      <c r="K1759" t="s">
        <v>3605</v>
      </c>
    </row>
    <row r="1760" spans="1:11">
      <c r="A1760" t="s">
        <v>16474</v>
      </c>
      <c r="B1760" t="s">
        <v>16475</v>
      </c>
      <c r="J1760" t="s">
        <v>16474</v>
      </c>
      <c r="K1760" t="s">
        <v>3605</v>
      </c>
    </row>
    <row r="1761" spans="1:11">
      <c r="A1761" t="s">
        <v>16476</v>
      </c>
      <c r="B1761" t="s">
        <v>16477</v>
      </c>
      <c r="C1761">
        <v>60099239</v>
      </c>
      <c r="J1761" t="s">
        <v>16476</v>
      </c>
      <c r="K1761" t="s">
        <v>3605</v>
      </c>
    </row>
    <row r="1762" spans="1:11">
      <c r="A1762" t="s">
        <v>16478</v>
      </c>
      <c r="B1762" t="s">
        <v>16479</v>
      </c>
      <c r="C1762">
        <v>60099241</v>
      </c>
      <c r="J1762" t="s">
        <v>16478</v>
      </c>
      <c r="K1762" t="s">
        <v>3605</v>
      </c>
    </row>
    <row r="1763" spans="1:11">
      <c r="A1763" t="s">
        <v>16480</v>
      </c>
      <c r="B1763" t="s">
        <v>16481</v>
      </c>
      <c r="C1763">
        <v>60099244</v>
      </c>
      <c r="J1763" t="s">
        <v>16480</v>
      </c>
      <c r="K1763" t="s">
        <v>3605</v>
      </c>
    </row>
    <row r="1764" spans="1:11">
      <c r="A1764" t="s">
        <v>16482</v>
      </c>
      <c r="B1764" t="s">
        <v>16483</v>
      </c>
      <c r="J1764" t="s">
        <v>16482</v>
      </c>
      <c r="K1764" t="s">
        <v>3605</v>
      </c>
    </row>
    <row r="1765" spans="1:11">
      <c r="A1765" t="s">
        <v>16484</v>
      </c>
      <c r="B1765" t="s">
        <v>16485</v>
      </c>
      <c r="J1765" t="s">
        <v>16484</v>
      </c>
      <c r="K1765" t="s">
        <v>3605</v>
      </c>
    </row>
    <row r="1766" spans="1:11">
      <c r="A1766" t="s">
        <v>16486</v>
      </c>
      <c r="B1766" t="s">
        <v>16487</v>
      </c>
      <c r="C1766">
        <v>60005200</v>
      </c>
      <c r="D1766">
        <v>6056900</v>
      </c>
      <c r="J1766" t="s">
        <v>16486</v>
      </c>
      <c r="K1766" t="s">
        <v>3605</v>
      </c>
    </row>
    <row r="1767" spans="1:11">
      <c r="A1767" t="s">
        <v>16488</v>
      </c>
      <c r="B1767" t="s">
        <v>16489</v>
      </c>
      <c r="C1767">
        <v>69920200</v>
      </c>
      <c r="J1767" t="s">
        <v>16488</v>
      </c>
      <c r="K1767" t="s">
        <v>3605</v>
      </c>
    </row>
    <row r="1768" spans="1:11">
      <c r="A1768" t="s">
        <v>16490</v>
      </c>
      <c r="B1768" t="s">
        <v>16491</v>
      </c>
      <c r="C1768">
        <v>60005100</v>
      </c>
      <c r="J1768" t="s">
        <v>16490</v>
      </c>
      <c r="K1768" t="s">
        <v>3605</v>
      </c>
    </row>
    <row r="1769" spans="1:11">
      <c r="A1769" t="s">
        <v>16492</v>
      </c>
      <c r="B1769" t="s">
        <v>16493</v>
      </c>
      <c r="J1769" t="s">
        <v>16492</v>
      </c>
      <c r="K1769" t="s">
        <v>3605</v>
      </c>
    </row>
    <row r="1770" spans="1:11">
      <c r="A1770" t="s">
        <v>16494</v>
      </c>
      <c r="B1770" t="s">
        <v>16495</v>
      </c>
      <c r="J1770" t="s">
        <v>16494</v>
      </c>
      <c r="K1770" t="s">
        <v>3605</v>
      </c>
    </row>
    <row r="1771" spans="1:11">
      <c r="A1771" t="s">
        <v>16496</v>
      </c>
      <c r="B1771" t="s">
        <v>16497</v>
      </c>
      <c r="J1771" t="s">
        <v>16496</v>
      </c>
      <c r="K1771" t="s">
        <v>3605</v>
      </c>
    </row>
    <row r="1772" spans="1:11">
      <c r="A1772" t="s">
        <v>16498</v>
      </c>
      <c r="B1772" t="s">
        <v>16499</v>
      </c>
      <c r="C1772">
        <v>60099139</v>
      </c>
      <c r="J1772" t="s">
        <v>16498</v>
      </c>
      <c r="K1772" t="s">
        <v>3605</v>
      </c>
    </row>
    <row r="1773" spans="1:11">
      <c r="A1773" t="s">
        <v>16500</v>
      </c>
      <c r="B1773" t="s">
        <v>16501</v>
      </c>
      <c r="C1773">
        <v>60099141</v>
      </c>
      <c r="J1773" t="s">
        <v>16500</v>
      </c>
      <c r="K1773" t="s">
        <v>3605</v>
      </c>
    </row>
    <row r="1774" spans="1:11">
      <c r="A1774" t="s">
        <v>16502</v>
      </c>
      <c r="B1774" t="s">
        <v>16503</v>
      </c>
      <c r="J1774" t="s">
        <v>16502</v>
      </c>
      <c r="K1774" t="s">
        <v>3605</v>
      </c>
    </row>
    <row r="1775" spans="1:11">
      <c r="A1775" t="s">
        <v>16504</v>
      </c>
      <c r="B1775" t="s">
        <v>16505</v>
      </c>
      <c r="J1775" t="s">
        <v>16504</v>
      </c>
      <c r="K1775" t="s">
        <v>3605</v>
      </c>
    </row>
    <row r="1776" spans="1:11">
      <c r="A1776" t="s">
        <v>16506</v>
      </c>
      <c r="B1776" t="s">
        <v>16507</v>
      </c>
      <c r="J1776" t="s">
        <v>16506</v>
      </c>
      <c r="K1776" t="s">
        <v>3605</v>
      </c>
    </row>
    <row r="1777" spans="1:11">
      <c r="A1777" t="s">
        <v>16508</v>
      </c>
      <c r="B1777" t="s">
        <v>16509</v>
      </c>
      <c r="J1777" t="s">
        <v>16508</v>
      </c>
      <c r="K1777" t="s">
        <v>3605</v>
      </c>
    </row>
    <row r="1778" spans="1:11">
      <c r="A1778" t="s">
        <v>16510</v>
      </c>
      <c r="B1778" t="s">
        <v>16511</v>
      </c>
      <c r="J1778" t="s">
        <v>16510</v>
      </c>
      <c r="K1778" t="s">
        <v>3605</v>
      </c>
    </row>
    <row r="1779" spans="1:11">
      <c r="A1779" t="s">
        <v>16512</v>
      </c>
      <c r="B1779" t="s">
        <v>16513</v>
      </c>
      <c r="C1779">
        <v>60099239</v>
      </c>
      <c r="J1779" t="s">
        <v>16512</v>
      </c>
      <c r="K1779" t="s">
        <v>3605</v>
      </c>
    </row>
    <row r="1780" spans="1:11">
      <c r="A1780" t="s">
        <v>16514</v>
      </c>
      <c r="B1780" t="s">
        <v>16515</v>
      </c>
      <c r="C1780">
        <v>60099241</v>
      </c>
      <c r="J1780" t="s">
        <v>16514</v>
      </c>
      <c r="K1780" t="s">
        <v>3605</v>
      </c>
    </row>
    <row r="1781" spans="1:11">
      <c r="A1781" t="s">
        <v>16516</v>
      </c>
      <c r="B1781" t="s">
        <v>16517</v>
      </c>
      <c r="C1781">
        <v>60099244</v>
      </c>
      <c r="J1781" t="s">
        <v>16516</v>
      </c>
      <c r="K1781" t="s">
        <v>3605</v>
      </c>
    </row>
    <row r="1782" spans="1:11">
      <c r="A1782" t="s">
        <v>16518</v>
      </c>
      <c r="B1782" t="s">
        <v>16519</v>
      </c>
      <c r="J1782" t="s">
        <v>16518</v>
      </c>
      <c r="K1782" t="s">
        <v>3605</v>
      </c>
    </row>
    <row r="1783" spans="1:11">
      <c r="A1783" t="s">
        <v>16520</v>
      </c>
      <c r="B1783" t="s">
        <v>16521</v>
      </c>
      <c r="J1783" t="s">
        <v>16520</v>
      </c>
      <c r="K1783" t="s">
        <v>3605</v>
      </c>
    </row>
    <row r="1784" spans="1:11">
      <c r="A1784" t="s">
        <v>16522</v>
      </c>
      <c r="B1784" t="s">
        <v>16523</v>
      </c>
      <c r="C1784">
        <v>60000002</v>
      </c>
      <c r="D1784" t="s">
        <v>16524</v>
      </c>
      <c r="J1784" t="s">
        <v>16522</v>
      </c>
      <c r="K1784" t="s">
        <v>3605</v>
      </c>
    </row>
    <row r="1785" spans="1:11">
      <c r="A1785" t="s">
        <v>16525</v>
      </c>
      <c r="B1785" t="s">
        <v>16526</v>
      </c>
      <c r="C1785">
        <v>60000000</v>
      </c>
      <c r="J1785" t="s">
        <v>16525</v>
      </c>
      <c r="K1785" t="s">
        <v>3605</v>
      </c>
    </row>
    <row r="1786" spans="1:11">
      <c r="A1786" t="s">
        <v>16527</v>
      </c>
      <c r="B1786" t="s">
        <v>16528</v>
      </c>
      <c r="C1786">
        <v>60000002</v>
      </c>
      <c r="J1786" t="s">
        <v>16527</v>
      </c>
      <c r="K1786" t="s">
        <v>3605</v>
      </c>
    </row>
    <row r="1787" spans="1:11">
      <c r="A1787" t="s">
        <v>16529</v>
      </c>
      <c r="B1787" t="s">
        <v>16530</v>
      </c>
      <c r="C1787">
        <v>60004000</v>
      </c>
      <c r="J1787" t="s">
        <v>16529</v>
      </c>
      <c r="K1787" t="s">
        <v>3605</v>
      </c>
    </row>
    <row r="1788" spans="1:11">
      <c r="A1788" t="s">
        <v>16531</v>
      </c>
      <c r="B1788" t="s">
        <v>16532</v>
      </c>
      <c r="C1788">
        <v>60004002</v>
      </c>
      <c r="J1788" t="s">
        <v>16531</v>
      </c>
      <c r="K1788" t="s">
        <v>3605</v>
      </c>
    </row>
    <row r="1789" spans="1:11">
      <c r="A1789" t="s">
        <v>16533</v>
      </c>
      <c r="B1789" t="s">
        <v>16534</v>
      </c>
      <c r="J1789" t="s">
        <v>16533</v>
      </c>
      <c r="K1789" t="s">
        <v>3605</v>
      </c>
    </row>
    <row r="1790" spans="1:11">
      <c r="A1790" t="s">
        <v>16535</v>
      </c>
      <c r="B1790" t="s">
        <v>16536</v>
      </c>
      <c r="C1790">
        <v>60008002</v>
      </c>
      <c r="J1790" t="s">
        <v>16535</v>
      </c>
      <c r="K1790" t="s">
        <v>3605</v>
      </c>
    </row>
    <row r="1791" spans="1:11">
      <c r="A1791" t="s">
        <v>16537</v>
      </c>
      <c r="B1791" t="s">
        <v>16538</v>
      </c>
      <c r="J1791" t="s">
        <v>16537</v>
      </c>
      <c r="K1791" t="s">
        <v>3605</v>
      </c>
    </row>
    <row r="1792" spans="1:11">
      <c r="A1792" t="s">
        <v>16539</v>
      </c>
      <c r="B1792" t="s">
        <v>16540</v>
      </c>
      <c r="J1792" t="s">
        <v>16539</v>
      </c>
      <c r="K1792" t="s">
        <v>3605</v>
      </c>
    </row>
    <row r="1793" spans="1:11">
      <c r="A1793" t="s">
        <v>16541</v>
      </c>
      <c r="B1793" t="s">
        <v>16542</v>
      </c>
      <c r="C1793">
        <v>60000100</v>
      </c>
      <c r="J1793" t="s">
        <v>16541</v>
      </c>
      <c r="K1793" t="s">
        <v>3605</v>
      </c>
    </row>
    <row r="1794" spans="1:11">
      <c r="A1794" t="s">
        <v>16543</v>
      </c>
      <c r="B1794" t="s">
        <v>16544</v>
      </c>
      <c r="C1794">
        <v>60004100</v>
      </c>
      <c r="J1794" t="s">
        <v>16543</v>
      </c>
      <c r="K1794" t="s">
        <v>3605</v>
      </c>
    </row>
    <row r="1795" spans="1:11">
      <c r="A1795" t="s">
        <v>16545</v>
      </c>
      <c r="B1795" t="s">
        <v>16546</v>
      </c>
      <c r="J1795" t="s">
        <v>16545</v>
      </c>
      <c r="K1795" t="s">
        <v>3605</v>
      </c>
    </row>
    <row r="1796" spans="1:11">
      <c r="A1796" t="s">
        <v>16547</v>
      </c>
      <c r="B1796" t="s">
        <v>16548</v>
      </c>
      <c r="J1796" t="s">
        <v>16547</v>
      </c>
      <c r="K1796" t="s">
        <v>3605</v>
      </c>
    </row>
    <row r="1797" spans="1:11">
      <c r="A1797" t="s">
        <v>16549</v>
      </c>
      <c r="B1797" t="s">
        <v>16550</v>
      </c>
      <c r="J1797" t="s">
        <v>16549</v>
      </c>
      <c r="K1797" t="s">
        <v>3605</v>
      </c>
    </row>
    <row r="1798" spans="1:11">
      <c r="A1798" t="s">
        <v>16551</v>
      </c>
      <c r="B1798" t="s">
        <v>16552</v>
      </c>
      <c r="C1798">
        <v>60000200</v>
      </c>
      <c r="J1798" t="s">
        <v>16551</v>
      </c>
      <c r="K1798" t="s">
        <v>3605</v>
      </c>
    </row>
    <row r="1799" spans="1:11">
      <c r="A1799" t="s">
        <v>16553</v>
      </c>
      <c r="B1799" t="s">
        <v>16554</v>
      </c>
      <c r="C1799">
        <v>60004200</v>
      </c>
      <c r="J1799" t="s">
        <v>16553</v>
      </c>
      <c r="K1799" t="s">
        <v>3605</v>
      </c>
    </row>
    <row r="1800" spans="1:11">
      <c r="A1800" t="s">
        <v>16555</v>
      </c>
      <c r="B1800" t="s">
        <v>16556</v>
      </c>
      <c r="J1800" t="s">
        <v>16555</v>
      </c>
      <c r="K1800" t="s">
        <v>3605</v>
      </c>
    </row>
    <row r="1801" spans="1:11">
      <c r="A1801" t="s">
        <v>16557</v>
      </c>
      <c r="B1801" t="s">
        <v>16558</v>
      </c>
      <c r="J1801" t="s">
        <v>16557</v>
      </c>
      <c r="K1801" t="s">
        <v>3605</v>
      </c>
    </row>
    <row r="1802" spans="1:11">
      <c r="A1802" t="s">
        <v>16559</v>
      </c>
      <c r="B1802" t="s">
        <v>16560</v>
      </c>
      <c r="J1802" t="s">
        <v>16559</v>
      </c>
      <c r="K1802" t="s">
        <v>3605</v>
      </c>
    </row>
    <row r="1803" spans="1:11">
      <c r="A1803" t="s">
        <v>16561</v>
      </c>
      <c r="B1803" t="s">
        <v>16562</v>
      </c>
      <c r="C1803">
        <v>60000100</v>
      </c>
      <c r="J1803" t="s">
        <v>16561</v>
      </c>
      <c r="K1803" t="s">
        <v>3605</v>
      </c>
    </row>
    <row r="1804" spans="1:11">
      <c r="A1804" t="s">
        <v>16563</v>
      </c>
      <c r="B1804" t="s">
        <v>16564</v>
      </c>
      <c r="C1804">
        <v>60004100</v>
      </c>
      <c r="J1804" t="s">
        <v>16563</v>
      </c>
      <c r="K1804" t="s">
        <v>3605</v>
      </c>
    </row>
    <row r="1805" spans="1:11">
      <c r="A1805" t="s">
        <v>16565</v>
      </c>
      <c r="B1805" t="s">
        <v>16566</v>
      </c>
      <c r="J1805" t="s">
        <v>16565</v>
      </c>
      <c r="K1805" t="s">
        <v>3605</v>
      </c>
    </row>
    <row r="1806" spans="1:11">
      <c r="A1806" t="s">
        <v>16567</v>
      </c>
      <c r="B1806" t="s">
        <v>16568</v>
      </c>
      <c r="J1806" t="s">
        <v>16567</v>
      </c>
      <c r="K1806" t="s">
        <v>3605</v>
      </c>
    </row>
    <row r="1807" spans="1:11">
      <c r="A1807" t="s">
        <v>16569</v>
      </c>
      <c r="B1807" t="s">
        <v>16570</v>
      </c>
      <c r="J1807" t="s">
        <v>16569</v>
      </c>
      <c r="K1807" t="s">
        <v>3605</v>
      </c>
    </row>
    <row r="1808" spans="1:11">
      <c r="A1808" t="s">
        <v>16571</v>
      </c>
      <c r="B1808" t="s">
        <v>16572</v>
      </c>
      <c r="J1808" t="s">
        <v>16571</v>
      </c>
      <c r="K1808" t="s">
        <v>3605</v>
      </c>
    </row>
    <row r="1809" spans="1:11">
      <c r="A1809" t="s">
        <v>16573</v>
      </c>
      <c r="B1809" t="s">
        <v>16574</v>
      </c>
      <c r="J1809" t="s">
        <v>16573</v>
      </c>
      <c r="K1809" t="s">
        <v>3605</v>
      </c>
    </row>
    <row r="1810" spans="1:11">
      <c r="A1810" t="s">
        <v>16575</v>
      </c>
      <c r="B1810" t="s">
        <v>16576</v>
      </c>
      <c r="C1810">
        <v>60008200</v>
      </c>
      <c r="J1810" t="s">
        <v>16575</v>
      </c>
      <c r="K1810" t="s">
        <v>3605</v>
      </c>
    </row>
    <row r="1811" spans="1:11">
      <c r="A1811" t="s">
        <v>16577</v>
      </c>
      <c r="B1811" t="s">
        <v>16578</v>
      </c>
      <c r="J1811" t="s">
        <v>16577</v>
      </c>
      <c r="K1811" t="s">
        <v>3605</v>
      </c>
    </row>
    <row r="1812" spans="1:11">
      <c r="A1812" t="s">
        <v>16579</v>
      </c>
      <c r="B1812" t="s">
        <v>16580</v>
      </c>
      <c r="C1812">
        <v>60005200</v>
      </c>
      <c r="J1812" t="s">
        <v>16579</v>
      </c>
      <c r="K1812" t="s">
        <v>3605</v>
      </c>
    </row>
    <row r="1813" spans="1:11">
      <c r="A1813" t="s">
        <v>16581</v>
      </c>
      <c r="B1813" t="s">
        <v>16582</v>
      </c>
      <c r="C1813">
        <v>60005202</v>
      </c>
      <c r="J1813" t="s">
        <v>16581</v>
      </c>
      <c r="K1813" t="s">
        <v>3605</v>
      </c>
    </row>
    <row r="1814" spans="1:11">
      <c r="A1814" t="s">
        <v>16583</v>
      </c>
      <c r="B1814" t="s">
        <v>16584</v>
      </c>
      <c r="C1814">
        <v>60005200</v>
      </c>
      <c r="D1814">
        <v>6006910</v>
      </c>
      <c r="J1814" t="s">
        <v>16583</v>
      </c>
      <c r="K1814" t="s">
        <v>3605</v>
      </c>
    </row>
    <row r="1815" spans="1:11">
      <c r="A1815" t="s">
        <v>16585</v>
      </c>
      <c r="B1815" t="s">
        <v>16586</v>
      </c>
      <c r="C1815">
        <v>60005300</v>
      </c>
      <c r="J1815" t="s">
        <v>16585</v>
      </c>
      <c r="K1815" t="s">
        <v>3605</v>
      </c>
    </row>
    <row r="1816" spans="1:11">
      <c r="A1816" t="s">
        <v>16587</v>
      </c>
      <c r="B1816" t="s">
        <v>16588</v>
      </c>
      <c r="C1816">
        <v>60005200</v>
      </c>
      <c r="J1816" t="s">
        <v>16587</v>
      </c>
      <c r="K1816" t="s">
        <v>3605</v>
      </c>
    </row>
    <row r="1817" spans="1:11">
      <c r="A1817" t="s">
        <v>16589</v>
      </c>
      <c r="B1817" t="s">
        <v>16590</v>
      </c>
      <c r="C1817">
        <v>60005202</v>
      </c>
      <c r="J1817" t="s">
        <v>16589</v>
      </c>
      <c r="K1817" t="s">
        <v>3605</v>
      </c>
    </row>
    <row r="1818" spans="1:11">
      <c r="A1818" t="s">
        <v>16591</v>
      </c>
      <c r="B1818" t="s">
        <v>16592</v>
      </c>
      <c r="C1818">
        <v>60005300</v>
      </c>
      <c r="J1818" t="s">
        <v>16591</v>
      </c>
      <c r="K1818" t="s">
        <v>3605</v>
      </c>
    </row>
    <row r="1819" spans="1:11">
      <c r="A1819" t="s">
        <v>16593</v>
      </c>
      <c r="B1819" t="s">
        <v>16594</v>
      </c>
      <c r="J1819" t="s">
        <v>16593</v>
      </c>
      <c r="K1819" t="s">
        <v>3605</v>
      </c>
    </row>
    <row r="1820" spans="1:11">
      <c r="A1820" t="s">
        <v>16595</v>
      </c>
      <c r="B1820" t="s">
        <v>16596</v>
      </c>
      <c r="C1820">
        <v>60800000</v>
      </c>
      <c r="D1820" t="s">
        <v>16597</v>
      </c>
      <c r="J1820" t="s">
        <v>16595</v>
      </c>
      <c r="K1820" t="s">
        <v>3605</v>
      </c>
    </row>
    <row r="1821" spans="1:11">
      <c r="A1821" t="s">
        <v>16595</v>
      </c>
      <c r="B1821" t="s">
        <v>16596</v>
      </c>
      <c r="C1821">
        <v>60800301</v>
      </c>
      <c r="J1821" t="s">
        <v>16595</v>
      </c>
      <c r="K1821" t="s">
        <v>3605</v>
      </c>
    </row>
    <row r="1822" spans="1:11">
      <c r="A1822" t="s">
        <v>16598</v>
      </c>
      <c r="B1822" t="s">
        <v>16599</v>
      </c>
      <c r="C1822">
        <v>60800000</v>
      </c>
      <c r="D1822" t="s">
        <v>16600</v>
      </c>
      <c r="J1822" t="s">
        <v>16598</v>
      </c>
      <c r="K1822" t="s">
        <v>3605</v>
      </c>
    </row>
    <row r="1823" spans="1:11">
      <c r="A1823" t="s">
        <v>16598</v>
      </c>
      <c r="B1823" t="s">
        <v>16599</v>
      </c>
      <c r="C1823">
        <v>60800005</v>
      </c>
      <c r="J1823" t="s">
        <v>16598</v>
      </c>
      <c r="K1823" t="s">
        <v>3605</v>
      </c>
    </row>
    <row r="1824" spans="1:11">
      <c r="A1824" t="s">
        <v>16598</v>
      </c>
      <c r="B1824" t="s">
        <v>16599</v>
      </c>
      <c r="C1824">
        <v>60800006</v>
      </c>
      <c r="J1824" t="s">
        <v>16598</v>
      </c>
      <c r="K1824" t="s">
        <v>3605</v>
      </c>
    </row>
    <row r="1825" spans="1:11">
      <c r="A1825" t="s">
        <v>16601</v>
      </c>
      <c r="B1825" t="s">
        <v>16602</v>
      </c>
      <c r="C1825">
        <v>60880000</v>
      </c>
      <c r="J1825" t="s">
        <v>16601</v>
      </c>
      <c r="K1825" t="s">
        <v>3605</v>
      </c>
    </row>
    <row r="1826" spans="1:11">
      <c r="A1826" t="s">
        <v>16603</v>
      </c>
      <c r="B1826" t="s">
        <v>16604</v>
      </c>
      <c r="C1826">
        <v>60800004</v>
      </c>
      <c r="J1826" t="s">
        <v>16603</v>
      </c>
      <c r="K1826" t="s">
        <v>3605</v>
      </c>
    </row>
    <row r="1827" spans="1:11">
      <c r="A1827" t="s">
        <v>16603</v>
      </c>
      <c r="B1827" t="s">
        <v>16604</v>
      </c>
      <c r="C1827">
        <v>60800009</v>
      </c>
      <c r="J1827" t="s">
        <v>16603</v>
      </c>
      <c r="K1827" t="s">
        <v>3605</v>
      </c>
    </row>
    <row r="1828" spans="1:11">
      <c r="A1828" t="s">
        <v>16603</v>
      </c>
      <c r="B1828" t="s">
        <v>16604</v>
      </c>
      <c r="C1828">
        <v>60800415</v>
      </c>
      <c r="J1828" t="s">
        <v>16603</v>
      </c>
      <c r="K1828" t="s">
        <v>3605</v>
      </c>
    </row>
    <row r="1829" spans="1:11">
      <c r="A1829" t="s">
        <v>16603</v>
      </c>
      <c r="B1829" t="s">
        <v>16604</v>
      </c>
      <c r="C1829">
        <v>60899300</v>
      </c>
      <c r="J1829" t="s">
        <v>16603</v>
      </c>
      <c r="K1829" t="s">
        <v>3605</v>
      </c>
    </row>
    <row r="1830" spans="1:11">
      <c r="A1830" t="s">
        <v>16605</v>
      </c>
      <c r="B1830" t="s">
        <v>16606</v>
      </c>
      <c r="C1830">
        <v>60800007</v>
      </c>
      <c r="J1830" t="s">
        <v>16605</v>
      </c>
      <c r="K1830" t="s">
        <v>3605</v>
      </c>
    </row>
    <row r="1831" spans="1:11">
      <c r="A1831" t="s">
        <v>16605</v>
      </c>
      <c r="B1831" t="s">
        <v>16606</v>
      </c>
      <c r="C1831">
        <v>60800008</v>
      </c>
      <c r="J1831" t="s">
        <v>16605</v>
      </c>
      <c r="K1831" t="s">
        <v>3605</v>
      </c>
    </row>
    <row r="1832" spans="1:11">
      <c r="A1832" t="s">
        <v>16607</v>
      </c>
      <c r="B1832" t="s">
        <v>16608</v>
      </c>
      <c r="C1832" t="s">
        <v>16609</v>
      </c>
      <c r="J1832" t="s">
        <v>16607</v>
      </c>
      <c r="K1832" t="s">
        <v>3605</v>
      </c>
    </row>
    <row r="1833" spans="1:11">
      <c r="A1833" t="s">
        <v>16610</v>
      </c>
      <c r="B1833" t="s">
        <v>16611</v>
      </c>
      <c r="C1833">
        <v>60800310</v>
      </c>
      <c r="J1833" t="s">
        <v>16610</v>
      </c>
      <c r="K1833" t="s">
        <v>3605</v>
      </c>
    </row>
    <row r="1834" spans="1:11">
      <c r="A1834" t="s">
        <v>16612</v>
      </c>
      <c r="B1834" t="s">
        <v>16613</v>
      </c>
      <c r="C1834">
        <v>60816000</v>
      </c>
      <c r="J1834" t="s">
        <v>16612</v>
      </c>
      <c r="K1834" t="s">
        <v>3605</v>
      </c>
    </row>
    <row r="1835" spans="1:11">
      <c r="A1835" t="s">
        <v>16614</v>
      </c>
      <c r="B1835" t="s">
        <v>16615</v>
      </c>
      <c r="C1835">
        <v>60800410</v>
      </c>
      <c r="J1835" t="s">
        <v>16614</v>
      </c>
      <c r="K1835" t="s">
        <v>3605</v>
      </c>
    </row>
    <row r="1836" spans="1:11">
      <c r="A1836" t="s">
        <v>16614</v>
      </c>
      <c r="B1836" t="s">
        <v>16615</v>
      </c>
      <c r="C1836">
        <v>60800400</v>
      </c>
      <c r="J1836" t="s">
        <v>16614</v>
      </c>
      <c r="K1836" t="s">
        <v>3605</v>
      </c>
    </row>
    <row r="1837" spans="1:11">
      <c r="A1837" t="s">
        <v>16616</v>
      </c>
      <c r="B1837" t="s">
        <v>16617</v>
      </c>
      <c r="C1837">
        <v>60800415</v>
      </c>
      <c r="J1837" t="s">
        <v>16616</v>
      </c>
      <c r="K1837" t="s">
        <v>3605</v>
      </c>
    </row>
    <row r="1838" spans="1:11">
      <c r="A1838" t="s">
        <v>16618</v>
      </c>
      <c r="B1838" t="s">
        <v>16619</v>
      </c>
      <c r="C1838">
        <v>60400400</v>
      </c>
      <c r="J1838" t="s">
        <v>16618</v>
      </c>
      <c r="K1838" t="s">
        <v>3605</v>
      </c>
    </row>
    <row r="1839" spans="1:11">
      <c r="A1839" t="s">
        <v>16620</v>
      </c>
      <c r="B1839" t="s">
        <v>16621</v>
      </c>
      <c r="C1839">
        <v>60400400</v>
      </c>
      <c r="J1839" t="s">
        <v>16620</v>
      </c>
      <c r="K1839" t="s">
        <v>3605</v>
      </c>
    </row>
    <row r="1840" spans="1:11">
      <c r="A1840" t="s">
        <v>16622</v>
      </c>
      <c r="B1840" t="s">
        <v>16623</v>
      </c>
      <c r="C1840">
        <v>60899000</v>
      </c>
      <c r="J1840" t="s">
        <v>16622</v>
      </c>
      <c r="K1840" t="s">
        <v>3605</v>
      </c>
    </row>
    <row r="1841" spans="1:11">
      <c r="A1841" t="s">
        <v>16624</v>
      </c>
      <c r="B1841" t="s">
        <v>16625</v>
      </c>
      <c r="C1841">
        <v>60800010</v>
      </c>
      <c r="J1841" t="s">
        <v>16624</v>
      </c>
      <c r="K1841" t="s">
        <v>3605</v>
      </c>
    </row>
    <row r="1842" spans="1:11">
      <c r="A1842" t="s">
        <v>16626</v>
      </c>
      <c r="B1842" t="s">
        <v>16627</v>
      </c>
      <c r="C1842">
        <v>60800011</v>
      </c>
      <c r="J1842" t="s">
        <v>16626</v>
      </c>
      <c r="K1842" t="s">
        <v>3605</v>
      </c>
    </row>
    <row r="1843" spans="1:11">
      <c r="A1843" t="s">
        <v>16628</v>
      </c>
      <c r="B1843" t="s">
        <v>16629</v>
      </c>
      <c r="C1843">
        <v>60800001</v>
      </c>
      <c r="J1843" t="s">
        <v>16628</v>
      </c>
      <c r="K1843" t="s">
        <v>3605</v>
      </c>
    </row>
    <row r="1844" spans="1:11">
      <c r="A1844" t="s">
        <v>16630</v>
      </c>
      <c r="B1844" t="s">
        <v>16631</v>
      </c>
      <c r="C1844">
        <v>60800100</v>
      </c>
      <c r="J1844" t="s">
        <v>16630</v>
      </c>
      <c r="K1844" t="s">
        <v>3605</v>
      </c>
    </row>
    <row r="1845" spans="1:11">
      <c r="A1845" t="s">
        <v>16630</v>
      </c>
      <c r="B1845" t="s">
        <v>16631</v>
      </c>
      <c r="C1845">
        <v>60800101</v>
      </c>
      <c r="J1845" t="s">
        <v>16630</v>
      </c>
      <c r="K1845" t="s">
        <v>3605</v>
      </c>
    </row>
    <row r="1846" spans="1:11">
      <c r="A1846" t="s">
        <v>16632</v>
      </c>
      <c r="B1846" t="s">
        <v>16633</v>
      </c>
      <c r="C1846">
        <v>60800100</v>
      </c>
      <c r="J1846" t="s">
        <v>16632</v>
      </c>
      <c r="K1846" t="s">
        <v>3605</v>
      </c>
    </row>
    <row r="1847" spans="1:11">
      <c r="A1847" t="s">
        <v>16634</v>
      </c>
      <c r="B1847" t="s">
        <v>16635</v>
      </c>
      <c r="C1847">
        <v>60820000</v>
      </c>
      <c r="J1847" t="s">
        <v>16634</v>
      </c>
      <c r="K1847" t="s">
        <v>3605</v>
      </c>
    </row>
    <row r="1848" spans="1:11">
      <c r="A1848" t="s">
        <v>16636</v>
      </c>
      <c r="B1848" t="s">
        <v>16637</v>
      </c>
      <c r="C1848">
        <v>60800101</v>
      </c>
      <c r="J1848" t="s">
        <v>16636</v>
      </c>
      <c r="K1848" t="s">
        <v>3605</v>
      </c>
    </row>
    <row r="1849" spans="1:11">
      <c r="A1849" t="s">
        <v>16638</v>
      </c>
      <c r="B1849" t="s">
        <v>16639</v>
      </c>
      <c r="C1849">
        <v>60800100</v>
      </c>
      <c r="J1849" t="s">
        <v>16638</v>
      </c>
      <c r="K1849" t="s">
        <v>3605</v>
      </c>
    </row>
    <row r="1850" spans="1:11">
      <c r="A1850" t="s">
        <v>16640</v>
      </c>
      <c r="B1850" t="s">
        <v>16641</v>
      </c>
      <c r="C1850">
        <v>60000203</v>
      </c>
      <c r="J1850" t="s">
        <v>16640</v>
      </c>
      <c r="K1850" t="s">
        <v>3605</v>
      </c>
    </row>
    <row r="1851" spans="1:11">
      <c r="A1851" t="s">
        <v>16642</v>
      </c>
      <c r="B1851" t="s">
        <v>16643</v>
      </c>
      <c r="C1851">
        <v>60000203</v>
      </c>
      <c r="J1851" t="s">
        <v>16642</v>
      </c>
      <c r="K1851" t="s">
        <v>3605</v>
      </c>
    </row>
    <row r="1852" spans="1:11">
      <c r="A1852" t="s">
        <v>16644</v>
      </c>
      <c r="B1852" t="s">
        <v>16645</v>
      </c>
      <c r="C1852">
        <v>60000203</v>
      </c>
      <c r="J1852" t="s">
        <v>16644</v>
      </c>
      <c r="K1852" t="s">
        <v>3605</v>
      </c>
    </row>
    <row r="1853" spans="1:11">
      <c r="A1853" t="s">
        <v>16646</v>
      </c>
      <c r="B1853" t="s">
        <v>16647</v>
      </c>
      <c r="C1853">
        <v>60000203</v>
      </c>
      <c r="J1853" t="s">
        <v>16646</v>
      </c>
      <c r="K1853" t="s">
        <v>3605</v>
      </c>
    </row>
    <row r="1854" spans="1:11">
      <c r="A1854" t="s">
        <v>16648</v>
      </c>
      <c r="B1854" t="s">
        <v>16649</v>
      </c>
      <c r="C1854">
        <v>60000203</v>
      </c>
      <c r="J1854" t="s">
        <v>16648</v>
      </c>
      <c r="K1854" t="s">
        <v>3605</v>
      </c>
    </row>
    <row r="1855" spans="1:11">
      <c r="A1855" t="s">
        <v>16650</v>
      </c>
      <c r="B1855" t="s">
        <v>16651</v>
      </c>
      <c r="C1855">
        <v>60800300</v>
      </c>
      <c r="J1855" t="s">
        <v>16650</v>
      </c>
      <c r="K1855" t="s">
        <v>3605</v>
      </c>
    </row>
    <row r="1856" spans="1:11">
      <c r="A1856" t="s">
        <v>16652</v>
      </c>
      <c r="B1856" t="s">
        <v>16653</v>
      </c>
      <c r="C1856">
        <v>60800100</v>
      </c>
      <c r="J1856" t="s">
        <v>16652</v>
      </c>
      <c r="K1856" t="s">
        <v>3605</v>
      </c>
    </row>
    <row r="1857" spans="1:11">
      <c r="A1857" t="s">
        <v>16654</v>
      </c>
      <c r="B1857" t="s">
        <v>16655</v>
      </c>
      <c r="C1857">
        <v>60800100</v>
      </c>
      <c r="J1857" t="s">
        <v>16654</v>
      </c>
      <c r="K1857" t="s">
        <v>3605</v>
      </c>
    </row>
    <row r="1858" spans="1:11">
      <c r="A1858" t="s">
        <v>16656</v>
      </c>
      <c r="B1858" t="s">
        <v>16657</v>
      </c>
      <c r="C1858">
        <v>60800100</v>
      </c>
      <c r="J1858" t="s">
        <v>16656</v>
      </c>
      <c r="K1858" t="s">
        <v>3605</v>
      </c>
    </row>
    <row r="1859" spans="1:11">
      <c r="A1859" t="s">
        <v>16658</v>
      </c>
      <c r="B1859" t="s">
        <v>16659</v>
      </c>
      <c r="C1859">
        <v>60800101</v>
      </c>
      <c r="J1859" t="s">
        <v>16658</v>
      </c>
      <c r="K1859" t="s">
        <v>3605</v>
      </c>
    </row>
    <row r="1860" spans="1:11">
      <c r="A1860" t="s">
        <v>16660</v>
      </c>
      <c r="B1860" t="s">
        <v>16661</v>
      </c>
      <c r="C1860">
        <v>60800001</v>
      </c>
      <c r="J1860" t="s">
        <v>16660</v>
      </c>
      <c r="K1860" t="s">
        <v>3605</v>
      </c>
    </row>
    <row r="1861" spans="1:11">
      <c r="A1861" t="s">
        <v>16662</v>
      </c>
      <c r="B1861" t="s">
        <v>16663</v>
      </c>
      <c r="C1861">
        <v>60000203</v>
      </c>
      <c r="J1861" t="s">
        <v>16662</v>
      </c>
      <c r="K1861" t="s">
        <v>3605</v>
      </c>
    </row>
    <row r="1862" spans="1:11">
      <c r="A1862" t="s">
        <v>16664</v>
      </c>
      <c r="B1862" t="s">
        <v>16665</v>
      </c>
      <c r="C1862">
        <v>60000203</v>
      </c>
      <c r="J1862" t="s">
        <v>16664</v>
      </c>
      <c r="K1862" t="s">
        <v>3605</v>
      </c>
    </row>
    <row r="1863" spans="1:11">
      <c r="A1863" t="s">
        <v>16666</v>
      </c>
      <c r="B1863" t="s">
        <v>16667</v>
      </c>
      <c r="C1863">
        <v>60000203</v>
      </c>
      <c r="J1863" t="s">
        <v>16666</v>
      </c>
      <c r="K1863" t="s">
        <v>3605</v>
      </c>
    </row>
    <row r="1864" spans="1:11">
      <c r="A1864" t="s">
        <v>16668</v>
      </c>
      <c r="B1864" t="s">
        <v>16669</v>
      </c>
      <c r="C1864">
        <v>60000203</v>
      </c>
      <c r="J1864" t="s">
        <v>16668</v>
      </c>
      <c r="K1864" t="s">
        <v>3605</v>
      </c>
    </row>
    <row r="1865" spans="1:11">
      <c r="A1865" t="s">
        <v>16670</v>
      </c>
      <c r="B1865" t="s">
        <v>16671</v>
      </c>
      <c r="C1865">
        <v>60099244</v>
      </c>
      <c r="J1865" t="s">
        <v>16670</v>
      </c>
      <c r="K1865" t="s">
        <v>3605</v>
      </c>
    </row>
    <row r="1866" spans="1:11">
      <c r="A1866" t="s">
        <v>16672</v>
      </c>
      <c r="B1866" t="s">
        <v>16651</v>
      </c>
      <c r="C1866">
        <v>60800300</v>
      </c>
      <c r="J1866" t="s">
        <v>16672</v>
      </c>
      <c r="K1866" t="s">
        <v>3605</v>
      </c>
    </row>
    <row r="1867" spans="1:11">
      <c r="A1867" t="s">
        <v>16673</v>
      </c>
      <c r="B1867" t="s">
        <v>16674</v>
      </c>
      <c r="J1867" t="s">
        <v>16673</v>
      </c>
      <c r="K1867" t="s">
        <v>3605</v>
      </c>
    </row>
    <row r="1868" spans="1:11">
      <c r="A1868" t="s">
        <v>16675</v>
      </c>
      <c r="B1868" t="s">
        <v>16676</v>
      </c>
      <c r="C1868">
        <v>70200500</v>
      </c>
      <c r="J1868" t="s">
        <v>16675</v>
      </c>
      <c r="K1868" t="s">
        <v>3605</v>
      </c>
    </row>
    <row r="1869" spans="1:11">
      <c r="A1869" t="s">
        <v>16677</v>
      </c>
      <c r="B1869" t="s">
        <v>16678</v>
      </c>
      <c r="C1869">
        <v>70201000</v>
      </c>
      <c r="J1869" t="s">
        <v>16677</v>
      </c>
      <c r="K1869" t="s">
        <v>3605</v>
      </c>
    </row>
    <row r="1870" spans="1:11">
      <c r="A1870" t="s">
        <v>16679</v>
      </c>
      <c r="B1870" t="s">
        <v>16680</v>
      </c>
      <c r="C1870">
        <v>70200501</v>
      </c>
      <c r="J1870" t="s">
        <v>16679</v>
      </c>
      <c r="K1870" t="s">
        <v>3605</v>
      </c>
    </row>
    <row r="1871" spans="1:11">
      <c r="A1871" t="s">
        <v>16681</v>
      </c>
      <c r="B1871" t="s">
        <v>16682</v>
      </c>
      <c r="C1871">
        <v>70200511</v>
      </c>
      <c r="J1871" t="s">
        <v>16681</v>
      </c>
      <c r="K1871" t="s">
        <v>3605</v>
      </c>
    </row>
    <row r="1872" spans="1:11">
      <c r="A1872" t="s">
        <v>16683</v>
      </c>
      <c r="B1872" t="s">
        <v>16684</v>
      </c>
      <c r="C1872">
        <v>70202600</v>
      </c>
      <c r="J1872" t="s">
        <v>16683</v>
      </c>
      <c r="K1872" t="s">
        <v>3605</v>
      </c>
    </row>
    <row r="1873" spans="1:11">
      <c r="A1873" t="s">
        <v>16685</v>
      </c>
      <c r="B1873" t="s">
        <v>16686</v>
      </c>
      <c r="C1873">
        <v>7020999</v>
      </c>
      <c r="J1873" t="s">
        <v>16685</v>
      </c>
      <c r="K1873" t="s">
        <v>3605</v>
      </c>
    </row>
    <row r="1874" spans="1:11">
      <c r="A1874" t="s">
        <v>16687</v>
      </c>
      <c r="B1874" t="s">
        <v>16688</v>
      </c>
      <c r="C1874">
        <v>70201500</v>
      </c>
      <c r="J1874" t="s">
        <v>16687</v>
      </c>
      <c r="K1874" t="s">
        <v>3605</v>
      </c>
    </row>
    <row r="1875" spans="1:11">
      <c r="A1875" t="s">
        <v>16689</v>
      </c>
      <c r="B1875" t="s">
        <v>16690</v>
      </c>
      <c r="C1875">
        <v>70201500</v>
      </c>
      <c r="J1875" t="s">
        <v>16689</v>
      </c>
      <c r="K1875" t="s">
        <v>3605</v>
      </c>
    </row>
    <row r="1876" spans="1:11">
      <c r="A1876" t="s">
        <v>16691</v>
      </c>
      <c r="B1876" t="s">
        <v>16692</v>
      </c>
      <c r="C1876">
        <v>70202000</v>
      </c>
      <c r="J1876" t="s">
        <v>16691</v>
      </c>
      <c r="K1876" t="s">
        <v>3605</v>
      </c>
    </row>
    <row r="1877" spans="1:11">
      <c r="A1877" t="s">
        <v>16693</v>
      </c>
      <c r="B1877" t="s">
        <v>16694</v>
      </c>
      <c r="C1877">
        <v>70202001</v>
      </c>
      <c r="J1877" t="s">
        <v>16693</v>
      </c>
      <c r="K1877" t="s">
        <v>3605</v>
      </c>
    </row>
    <row r="1878" spans="1:11">
      <c r="A1878" t="s">
        <v>16695</v>
      </c>
      <c r="B1878" t="s">
        <v>16696</v>
      </c>
      <c r="C1878">
        <v>70203000</v>
      </c>
      <c r="J1878" t="s">
        <v>16695</v>
      </c>
      <c r="K1878" t="s">
        <v>3605</v>
      </c>
    </row>
    <row r="1879" spans="1:11">
      <c r="A1879" t="s">
        <v>16697</v>
      </c>
      <c r="B1879" t="s">
        <v>16698</v>
      </c>
      <c r="C1879">
        <v>70203001</v>
      </c>
      <c r="J1879" t="s">
        <v>16697</v>
      </c>
      <c r="K1879" t="s">
        <v>3605</v>
      </c>
    </row>
    <row r="1880" spans="1:11">
      <c r="A1880" t="s">
        <v>16699</v>
      </c>
      <c r="B1880" t="s">
        <v>16700</v>
      </c>
      <c r="C1880">
        <v>60808700</v>
      </c>
      <c r="J1880" t="s">
        <v>16699</v>
      </c>
      <c r="K1880" t="s">
        <v>3605</v>
      </c>
    </row>
    <row r="1881" spans="1:11">
      <c r="A1881" t="s">
        <v>16701</v>
      </c>
      <c r="B1881" t="s">
        <v>16702</v>
      </c>
      <c r="C1881">
        <v>60808710</v>
      </c>
      <c r="J1881" t="s">
        <v>16701</v>
      </c>
      <c r="K1881" t="s">
        <v>3605</v>
      </c>
    </row>
    <row r="1882" spans="1:11">
      <c r="A1882" t="s">
        <v>16703</v>
      </c>
      <c r="B1882" t="s">
        <v>16704</v>
      </c>
      <c r="C1882">
        <v>70203501</v>
      </c>
      <c r="J1882" t="s">
        <v>16703</v>
      </c>
      <c r="K1882" t="s">
        <v>3605</v>
      </c>
    </row>
    <row r="1883" spans="1:11">
      <c r="A1883" t="s">
        <v>16703</v>
      </c>
      <c r="B1883" t="s">
        <v>16704</v>
      </c>
      <c r="C1883">
        <v>70203500</v>
      </c>
      <c r="D1883" t="s">
        <v>16705</v>
      </c>
      <c r="J1883" t="s">
        <v>16703</v>
      </c>
      <c r="K1883" t="s">
        <v>3605</v>
      </c>
    </row>
    <row r="1884" spans="1:11">
      <c r="A1884" t="s">
        <v>16706</v>
      </c>
      <c r="B1884" t="s">
        <v>16707</v>
      </c>
    </row>
    <row r="1885" spans="1:11">
      <c r="A1885" t="s">
        <v>16708</v>
      </c>
      <c r="B1885" t="s">
        <v>16707</v>
      </c>
      <c r="J1885" t="s">
        <v>16708</v>
      </c>
      <c r="K1885" t="s">
        <v>3605</v>
      </c>
    </row>
    <row r="1886" spans="1:11">
      <c r="A1886" t="s">
        <v>16709</v>
      </c>
      <c r="B1886" t="s">
        <v>16710</v>
      </c>
      <c r="C1886">
        <v>72300500</v>
      </c>
      <c r="J1886" t="s">
        <v>16709</v>
      </c>
      <c r="K1886" t="s">
        <v>3605</v>
      </c>
    </row>
    <row r="1887" spans="1:11">
      <c r="A1887" t="s">
        <v>16711</v>
      </c>
      <c r="B1887" t="s">
        <v>16712</v>
      </c>
    </row>
    <row r="1888" spans="1:11">
      <c r="A1888" t="s">
        <v>16713</v>
      </c>
      <c r="B1888" t="s">
        <v>16714</v>
      </c>
      <c r="C1888">
        <v>70501500</v>
      </c>
      <c r="J1888" t="s">
        <v>16713</v>
      </c>
      <c r="K1888" t="s">
        <v>3605</v>
      </c>
    </row>
    <row r="1889" spans="1:11">
      <c r="A1889" t="s">
        <v>16715</v>
      </c>
      <c r="B1889" t="s">
        <v>16716</v>
      </c>
      <c r="C1889">
        <v>70204001</v>
      </c>
      <c r="J1889" t="s">
        <v>16715</v>
      </c>
      <c r="K1889" t="s">
        <v>3605</v>
      </c>
    </row>
    <row r="1890" spans="1:11">
      <c r="A1890" t="s">
        <v>16717</v>
      </c>
      <c r="B1890" t="s">
        <v>16718</v>
      </c>
      <c r="C1890">
        <v>70206000</v>
      </c>
      <c r="J1890" t="s">
        <v>16717</v>
      </c>
      <c r="K1890" t="s">
        <v>3605</v>
      </c>
    </row>
    <row r="1891" spans="1:11">
      <c r="A1891" t="s">
        <v>16719</v>
      </c>
      <c r="B1891" t="s">
        <v>16720</v>
      </c>
      <c r="C1891">
        <v>70206010</v>
      </c>
      <c r="J1891" t="s">
        <v>16719</v>
      </c>
      <c r="K1891" t="s">
        <v>3605</v>
      </c>
    </row>
    <row r="1892" spans="1:11">
      <c r="A1892" t="s">
        <v>16721</v>
      </c>
      <c r="B1892" t="s">
        <v>5512</v>
      </c>
      <c r="C1892">
        <v>70300500</v>
      </c>
      <c r="J1892" t="s">
        <v>16721</v>
      </c>
      <c r="K1892" t="s">
        <v>3605</v>
      </c>
    </row>
    <row r="1893" spans="1:11">
      <c r="A1893" t="s">
        <v>16722</v>
      </c>
      <c r="B1893" t="s">
        <v>16723</v>
      </c>
      <c r="C1893">
        <v>70300600</v>
      </c>
      <c r="J1893" t="s">
        <v>16722</v>
      </c>
      <c r="K1893" t="s">
        <v>3605</v>
      </c>
    </row>
    <row r="1894" spans="1:11">
      <c r="A1894" t="s">
        <v>16724</v>
      </c>
      <c r="B1894" t="s">
        <v>16725</v>
      </c>
      <c r="C1894">
        <v>70301000</v>
      </c>
      <c r="J1894" t="s">
        <v>16724</v>
      </c>
      <c r="K1894" t="s">
        <v>3605</v>
      </c>
    </row>
    <row r="1895" spans="1:11">
      <c r="A1895" t="s">
        <v>16726</v>
      </c>
      <c r="B1895" t="s">
        <v>16727</v>
      </c>
      <c r="C1895">
        <v>70302000</v>
      </c>
      <c r="J1895" t="s">
        <v>16726</v>
      </c>
      <c r="K1895" t="s">
        <v>3605</v>
      </c>
    </row>
    <row r="1896" spans="1:11">
      <c r="A1896" t="s">
        <v>16728</v>
      </c>
      <c r="B1896" t="s">
        <v>16729</v>
      </c>
      <c r="J1896" t="s">
        <v>16728</v>
      </c>
      <c r="K1896" t="s">
        <v>3605</v>
      </c>
    </row>
    <row r="1897" spans="1:11">
      <c r="A1897" t="s">
        <v>16730</v>
      </c>
      <c r="B1897" t="s">
        <v>14728</v>
      </c>
      <c r="C1897">
        <v>70304000</v>
      </c>
      <c r="J1897" t="s">
        <v>16730</v>
      </c>
      <c r="K1897" t="s">
        <v>3605</v>
      </c>
    </row>
    <row r="1898" spans="1:11">
      <c r="A1898" t="s">
        <v>16731</v>
      </c>
      <c r="B1898" t="s">
        <v>16732</v>
      </c>
      <c r="C1898">
        <v>70303500</v>
      </c>
      <c r="J1898" t="s">
        <v>16731</v>
      </c>
      <c r="K1898" t="s">
        <v>3605</v>
      </c>
    </row>
    <row r="1899" spans="1:11">
      <c r="A1899" t="s">
        <v>16733</v>
      </c>
      <c r="B1899" t="s">
        <v>16734</v>
      </c>
      <c r="C1899">
        <v>70501000</v>
      </c>
      <c r="J1899" t="s">
        <v>16733</v>
      </c>
      <c r="K1899" t="s">
        <v>3605</v>
      </c>
    </row>
    <row r="1900" spans="1:11">
      <c r="A1900" t="s">
        <v>16735</v>
      </c>
      <c r="B1900" t="s">
        <v>16736</v>
      </c>
      <c r="C1900">
        <v>70501100</v>
      </c>
      <c r="J1900" t="s">
        <v>16735</v>
      </c>
      <c r="K1900" t="s">
        <v>3605</v>
      </c>
    </row>
    <row r="1901" spans="1:11">
      <c r="A1901" t="s">
        <v>16737</v>
      </c>
      <c r="B1901" t="s">
        <v>16738</v>
      </c>
      <c r="C1901">
        <v>70504500</v>
      </c>
      <c r="J1901" t="s">
        <v>16737</v>
      </c>
      <c r="K1901" t="s">
        <v>3605</v>
      </c>
    </row>
    <row r="1902" spans="1:11">
      <c r="A1902" t="s">
        <v>16739</v>
      </c>
      <c r="B1902" t="s">
        <v>16740</v>
      </c>
      <c r="C1902">
        <v>73400500</v>
      </c>
      <c r="J1902" t="s">
        <v>16739</v>
      </c>
      <c r="K1902" t="s">
        <v>3605</v>
      </c>
    </row>
    <row r="1903" spans="1:11">
      <c r="A1903" t="s">
        <v>16741</v>
      </c>
      <c r="B1903" t="s">
        <v>16742</v>
      </c>
      <c r="C1903">
        <v>70500508</v>
      </c>
      <c r="J1903" t="s">
        <v>16741</v>
      </c>
      <c r="K1903" t="s">
        <v>3605</v>
      </c>
    </row>
    <row r="1904" spans="1:11">
      <c r="A1904" t="s">
        <v>16741</v>
      </c>
      <c r="B1904" t="s">
        <v>16742</v>
      </c>
      <c r="C1904">
        <v>70503000</v>
      </c>
      <c r="J1904" t="s">
        <v>16741</v>
      </c>
      <c r="K1904" t="s">
        <v>3605</v>
      </c>
    </row>
    <row r="1905" spans="1:11">
      <c r="A1905" t="s">
        <v>16743</v>
      </c>
      <c r="B1905" t="s">
        <v>16744</v>
      </c>
      <c r="C1905">
        <v>73500500</v>
      </c>
      <c r="J1905" t="s">
        <v>16743</v>
      </c>
      <c r="K1905" t="s">
        <v>3605</v>
      </c>
    </row>
    <row r="1906" spans="1:11">
      <c r="A1906" t="s">
        <v>16745</v>
      </c>
      <c r="B1906" t="s">
        <v>16746</v>
      </c>
      <c r="C1906">
        <v>73600500</v>
      </c>
      <c r="J1906" t="s">
        <v>16745</v>
      </c>
      <c r="K1906" t="s">
        <v>3605</v>
      </c>
    </row>
    <row r="1907" spans="1:11">
      <c r="A1907" t="s">
        <v>16747</v>
      </c>
      <c r="B1907" t="s">
        <v>16748</v>
      </c>
      <c r="C1907">
        <v>70202500</v>
      </c>
      <c r="J1907" t="s">
        <v>16747</v>
      </c>
      <c r="K1907" t="s">
        <v>3605</v>
      </c>
    </row>
    <row r="1908" spans="1:11">
      <c r="A1908" t="s">
        <v>16749</v>
      </c>
      <c r="B1908" t="s">
        <v>16750</v>
      </c>
      <c r="C1908">
        <v>70200502</v>
      </c>
      <c r="J1908" t="s">
        <v>16749</v>
      </c>
      <c r="K1908" t="s">
        <v>3605</v>
      </c>
    </row>
    <row r="1909" spans="1:11">
      <c r="A1909" t="s">
        <v>16751</v>
      </c>
      <c r="B1909" t="s">
        <v>16752</v>
      </c>
      <c r="C1909">
        <v>70200502</v>
      </c>
      <c r="J1909" t="s">
        <v>16751</v>
      </c>
      <c r="K1909" t="s">
        <v>3605</v>
      </c>
    </row>
    <row r="1910" spans="1:11">
      <c r="A1910" t="s">
        <v>16753</v>
      </c>
      <c r="B1910" t="s">
        <v>16754</v>
      </c>
      <c r="C1910">
        <v>70200502</v>
      </c>
      <c r="J1910" t="s">
        <v>16753</v>
      </c>
      <c r="K1910" t="s">
        <v>3605</v>
      </c>
    </row>
    <row r="1911" spans="1:11">
      <c r="A1911" t="s">
        <v>16755</v>
      </c>
      <c r="B1911" t="s">
        <v>16756</v>
      </c>
      <c r="C1911">
        <v>70200502</v>
      </c>
      <c r="J1911" t="s">
        <v>16755</v>
      </c>
      <c r="K1911" t="s">
        <v>3605</v>
      </c>
    </row>
    <row r="1912" spans="1:11">
      <c r="A1912" t="s">
        <v>16757</v>
      </c>
      <c r="B1912" t="s">
        <v>16758</v>
      </c>
      <c r="C1912">
        <v>70200502</v>
      </c>
      <c r="J1912" t="s">
        <v>16757</v>
      </c>
      <c r="K1912" t="s">
        <v>3605</v>
      </c>
    </row>
    <row r="1913" spans="1:11">
      <c r="A1913" t="s">
        <v>16759</v>
      </c>
      <c r="B1913" t="s">
        <v>16760</v>
      </c>
      <c r="C1913">
        <v>70204600</v>
      </c>
      <c r="J1913" t="s">
        <v>16759</v>
      </c>
      <c r="K1913" t="s">
        <v>3605</v>
      </c>
    </row>
    <row r="1914" spans="1:11">
      <c r="A1914" t="s">
        <v>16761</v>
      </c>
      <c r="B1914" t="s">
        <v>16762</v>
      </c>
      <c r="C1914">
        <v>70204700</v>
      </c>
      <c r="J1914" t="s">
        <v>16761</v>
      </c>
      <c r="K1914" t="s">
        <v>3605</v>
      </c>
    </row>
    <row r="1915" spans="1:11">
      <c r="A1915" t="s">
        <v>16763</v>
      </c>
      <c r="B1915" t="s">
        <v>16764</v>
      </c>
      <c r="C1915">
        <v>70500500</v>
      </c>
      <c r="J1915" t="s">
        <v>16763</v>
      </c>
      <c r="K1915" t="s">
        <v>3605</v>
      </c>
    </row>
    <row r="1916" spans="1:11">
      <c r="A1916" t="s">
        <v>16765</v>
      </c>
      <c r="B1916" t="s">
        <v>16766</v>
      </c>
      <c r="C1916">
        <v>70500504</v>
      </c>
      <c r="J1916" t="s">
        <v>16765</v>
      </c>
      <c r="K1916" t="s">
        <v>3605</v>
      </c>
    </row>
    <row r="1917" spans="1:11">
      <c r="A1917" t="s">
        <v>16767</v>
      </c>
      <c r="B1917" t="s">
        <v>16768</v>
      </c>
      <c r="C1917">
        <v>70500509</v>
      </c>
      <c r="J1917" t="s">
        <v>16767</v>
      </c>
      <c r="K1917" t="s">
        <v>3605</v>
      </c>
    </row>
    <row r="1918" spans="1:11">
      <c r="A1918" t="s">
        <v>16769</v>
      </c>
      <c r="B1918" t="s">
        <v>16770</v>
      </c>
      <c r="C1918">
        <v>70500510</v>
      </c>
      <c r="J1918" t="s">
        <v>16769</v>
      </c>
      <c r="K1918" t="s">
        <v>3605</v>
      </c>
    </row>
    <row r="1919" spans="1:11">
      <c r="A1919" t="s">
        <v>16771</v>
      </c>
      <c r="B1919" t="s">
        <v>16772</v>
      </c>
      <c r="C1919">
        <v>70500511</v>
      </c>
      <c r="J1919" t="s">
        <v>16771</v>
      </c>
      <c r="K1919" t="s">
        <v>3605</v>
      </c>
    </row>
    <row r="1920" spans="1:11">
      <c r="A1920" t="s">
        <v>16773</v>
      </c>
      <c r="B1920" t="s">
        <v>16774</v>
      </c>
      <c r="C1920">
        <v>70204500</v>
      </c>
      <c r="G1920" t="s">
        <v>16741</v>
      </c>
      <c r="H1920" t="s">
        <v>3605</v>
      </c>
      <c r="J1920" t="s">
        <v>16773</v>
      </c>
      <c r="K1920" t="s">
        <v>3605</v>
      </c>
    </row>
    <row r="1921" spans="1:11">
      <c r="A1921" t="s">
        <v>16775</v>
      </c>
      <c r="B1921" t="s">
        <v>16776</v>
      </c>
      <c r="C1921">
        <v>70501700</v>
      </c>
      <c r="J1921" t="s">
        <v>16775</v>
      </c>
      <c r="K1921" t="s">
        <v>3605</v>
      </c>
    </row>
    <row r="1922" spans="1:11">
      <c r="A1922" t="s">
        <v>16777</v>
      </c>
      <c r="B1922" t="s">
        <v>16778</v>
      </c>
      <c r="C1922">
        <v>70501700</v>
      </c>
      <c r="J1922" t="s">
        <v>16777</v>
      </c>
      <c r="K1922" t="s">
        <v>3605</v>
      </c>
    </row>
    <row r="1923" spans="1:11">
      <c r="A1923" t="s">
        <v>16779</v>
      </c>
      <c r="B1923" t="s">
        <v>16780</v>
      </c>
      <c r="C1923">
        <v>70502000</v>
      </c>
      <c r="J1923" t="s">
        <v>16779</v>
      </c>
      <c r="K1923" t="s">
        <v>3605</v>
      </c>
    </row>
    <row r="1924" spans="1:11">
      <c r="A1924" t="s">
        <v>16781</v>
      </c>
      <c r="B1924" t="s">
        <v>16782</v>
      </c>
      <c r="C1924">
        <v>70502500</v>
      </c>
      <c r="J1924" t="s">
        <v>16781</v>
      </c>
      <c r="K1924" t="s">
        <v>3605</v>
      </c>
    </row>
    <row r="1925" spans="1:11">
      <c r="A1925" t="s">
        <v>16783</v>
      </c>
      <c r="B1925" t="s">
        <v>16784</v>
      </c>
      <c r="C1925">
        <v>70504000</v>
      </c>
      <c r="J1925" t="s">
        <v>16783</v>
      </c>
      <c r="K1925" t="s">
        <v>3605</v>
      </c>
    </row>
    <row r="1926" spans="1:11">
      <c r="A1926" t="s">
        <v>16785</v>
      </c>
      <c r="B1926" t="s">
        <v>16786</v>
      </c>
      <c r="C1926">
        <v>70505101</v>
      </c>
      <c r="J1926" t="s">
        <v>16785</v>
      </c>
      <c r="K1926" t="s">
        <v>3605</v>
      </c>
    </row>
    <row r="1927" spans="1:11">
      <c r="A1927" t="s">
        <v>16787</v>
      </c>
      <c r="B1927" t="s">
        <v>16788</v>
      </c>
      <c r="C1927">
        <v>71901500</v>
      </c>
      <c r="J1927" t="s">
        <v>16787</v>
      </c>
      <c r="K1927" t="s">
        <v>3605</v>
      </c>
    </row>
    <row r="1928" spans="1:11">
      <c r="A1928" t="s">
        <v>16789</v>
      </c>
      <c r="B1928" t="s">
        <v>16790</v>
      </c>
      <c r="C1928">
        <v>72501010</v>
      </c>
      <c r="J1928" t="s">
        <v>16789</v>
      </c>
      <c r="K1928" t="s">
        <v>3605</v>
      </c>
    </row>
    <row r="1929" spans="1:11">
      <c r="A1929" t="s">
        <v>16791</v>
      </c>
      <c r="B1929" t="s">
        <v>16792</v>
      </c>
      <c r="C1929">
        <v>71902000</v>
      </c>
      <c r="J1929" t="s">
        <v>16791</v>
      </c>
      <c r="K1929" t="s">
        <v>3605</v>
      </c>
    </row>
    <row r="1930" spans="1:11">
      <c r="A1930" t="s">
        <v>16793</v>
      </c>
      <c r="B1930" t="s">
        <v>16794</v>
      </c>
      <c r="C1930">
        <v>70503500</v>
      </c>
      <c r="J1930" t="s">
        <v>16793</v>
      </c>
      <c r="K1930" t="s">
        <v>3605</v>
      </c>
    </row>
    <row r="1931" spans="1:11">
      <c r="A1931" t="s">
        <v>16795</v>
      </c>
      <c r="B1931" t="s">
        <v>16796</v>
      </c>
    </row>
    <row r="1932" spans="1:11">
      <c r="A1932" t="s">
        <v>16797</v>
      </c>
      <c r="B1932" t="s">
        <v>16798</v>
      </c>
      <c r="C1932">
        <v>70209000</v>
      </c>
      <c r="J1932" t="s">
        <v>16797</v>
      </c>
      <c r="K1932" t="s">
        <v>3605</v>
      </c>
    </row>
    <row r="1933" spans="1:11">
      <c r="A1933" t="s">
        <v>16797</v>
      </c>
      <c r="B1933" t="s">
        <v>16798</v>
      </c>
      <c r="C1933">
        <v>70209999</v>
      </c>
      <c r="J1933" t="s">
        <v>16797</v>
      </c>
      <c r="K1933" t="s">
        <v>3605</v>
      </c>
    </row>
    <row r="1934" spans="1:11">
      <c r="A1934" t="s">
        <v>16799</v>
      </c>
      <c r="B1934" t="s">
        <v>16800</v>
      </c>
      <c r="C1934">
        <v>72400532</v>
      </c>
      <c r="J1934" t="s">
        <v>16799</v>
      </c>
      <c r="K1934" t="s">
        <v>3605</v>
      </c>
    </row>
    <row r="1935" spans="1:11">
      <c r="A1935" t="s">
        <v>16801</v>
      </c>
      <c r="B1935" t="s">
        <v>16802</v>
      </c>
      <c r="C1935">
        <v>72400533</v>
      </c>
      <c r="J1935" t="s">
        <v>16801</v>
      </c>
      <c r="K1935" t="s">
        <v>3605</v>
      </c>
    </row>
    <row r="1936" spans="1:11">
      <c r="A1936" t="s">
        <v>16803</v>
      </c>
      <c r="B1936" t="s">
        <v>16804</v>
      </c>
    </row>
    <row r="1937" spans="1:11">
      <c r="A1937" t="s">
        <v>16805</v>
      </c>
      <c r="B1937" t="s">
        <v>16806</v>
      </c>
    </row>
    <row r="1938" spans="1:11">
      <c r="A1938" t="s">
        <v>16807</v>
      </c>
      <c r="B1938" t="s">
        <v>16808</v>
      </c>
      <c r="C1938">
        <v>70500501</v>
      </c>
      <c r="J1938" t="s">
        <v>16807</v>
      </c>
      <c r="K1938" t="s">
        <v>3605</v>
      </c>
    </row>
    <row r="1939" spans="1:11">
      <c r="A1939" t="s">
        <v>16809</v>
      </c>
      <c r="B1939" t="s">
        <v>16810</v>
      </c>
      <c r="C1939">
        <v>71100510</v>
      </c>
      <c r="J1939" t="s">
        <v>16809</v>
      </c>
      <c r="K1939" t="s">
        <v>3605</v>
      </c>
    </row>
    <row r="1940" spans="1:11">
      <c r="A1940" t="s">
        <v>16811</v>
      </c>
      <c r="B1940" t="s">
        <v>16812</v>
      </c>
      <c r="C1940">
        <v>71100520</v>
      </c>
      <c r="J1940" t="s">
        <v>16811</v>
      </c>
      <c r="K1940" t="s">
        <v>3605</v>
      </c>
    </row>
    <row r="1941" spans="1:11">
      <c r="A1941" t="s">
        <v>16813</v>
      </c>
      <c r="B1941" t="s">
        <v>16814</v>
      </c>
    </row>
    <row r="1942" spans="1:11">
      <c r="A1942" t="s">
        <v>16815</v>
      </c>
      <c r="B1942" t="s">
        <v>16816</v>
      </c>
      <c r="C1942">
        <v>71101000</v>
      </c>
      <c r="J1942" t="s">
        <v>16815</v>
      </c>
      <c r="K1942" t="s">
        <v>3605</v>
      </c>
    </row>
    <row r="1943" spans="1:11">
      <c r="A1943" t="s">
        <v>16817</v>
      </c>
      <c r="B1943" t="s">
        <v>16818</v>
      </c>
      <c r="C1943">
        <v>71101500</v>
      </c>
      <c r="J1943" t="s">
        <v>16817</v>
      </c>
      <c r="K1943" t="s">
        <v>3605</v>
      </c>
    </row>
    <row r="1944" spans="1:11">
      <c r="A1944" t="s">
        <v>16819</v>
      </c>
      <c r="B1944" t="s">
        <v>16820</v>
      </c>
      <c r="C1944">
        <v>71200500</v>
      </c>
      <c r="J1944" t="s">
        <v>16819</v>
      </c>
      <c r="K1944" t="s">
        <v>3605</v>
      </c>
    </row>
    <row r="1945" spans="1:11">
      <c r="A1945" t="s">
        <v>16821</v>
      </c>
      <c r="B1945" t="s">
        <v>16822</v>
      </c>
      <c r="C1945">
        <v>71102100</v>
      </c>
      <c r="J1945" t="s">
        <v>16821</v>
      </c>
      <c r="K1945" t="s">
        <v>3605</v>
      </c>
    </row>
    <row r="1946" spans="1:11">
      <c r="A1946" t="s">
        <v>16823</v>
      </c>
      <c r="B1946" t="s">
        <v>16824</v>
      </c>
      <c r="C1946">
        <v>71200501</v>
      </c>
      <c r="J1946" t="s">
        <v>16823</v>
      </c>
      <c r="K1946" t="s">
        <v>3605</v>
      </c>
    </row>
    <row r="1947" spans="1:11">
      <c r="A1947" t="s">
        <v>16825</v>
      </c>
      <c r="B1947" t="s">
        <v>16826</v>
      </c>
      <c r="C1947">
        <v>71200502</v>
      </c>
      <c r="J1947" t="s">
        <v>16825</v>
      </c>
      <c r="K1947" t="s">
        <v>3605</v>
      </c>
    </row>
    <row r="1948" spans="1:11">
      <c r="A1948" t="s">
        <v>16825</v>
      </c>
      <c r="B1948" t="s">
        <v>16826</v>
      </c>
      <c r="C1948">
        <v>71200503</v>
      </c>
      <c r="J1948" t="s">
        <v>16825</v>
      </c>
      <c r="K1948" t="s">
        <v>3605</v>
      </c>
    </row>
    <row r="1949" spans="1:11">
      <c r="A1949" t="s">
        <v>16827</v>
      </c>
      <c r="B1949" t="s">
        <v>16828</v>
      </c>
      <c r="C1949">
        <v>71106000</v>
      </c>
      <c r="J1949" t="s">
        <v>16827</v>
      </c>
      <c r="K1949" t="s">
        <v>3605</v>
      </c>
    </row>
    <row r="1950" spans="1:11">
      <c r="A1950" t="s">
        <v>16829</v>
      </c>
      <c r="B1950" t="s">
        <v>16830</v>
      </c>
    </row>
    <row r="1951" spans="1:11">
      <c r="A1951" t="s">
        <v>16831</v>
      </c>
      <c r="B1951" t="s">
        <v>16832</v>
      </c>
      <c r="C1951">
        <v>71102000</v>
      </c>
      <c r="J1951" t="s">
        <v>16831</v>
      </c>
      <c r="K1951" t="s">
        <v>3605</v>
      </c>
    </row>
    <row r="1952" spans="1:11">
      <c r="A1952" t="s">
        <v>16833</v>
      </c>
      <c r="B1952" t="s">
        <v>16834</v>
      </c>
      <c r="C1952">
        <v>71102500</v>
      </c>
      <c r="J1952" t="s">
        <v>16833</v>
      </c>
      <c r="K1952" t="s">
        <v>3605</v>
      </c>
    </row>
    <row r="1953" spans="1:11">
      <c r="A1953" t="s">
        <v>16835</v>
      </c>
      <c r="B1953" t="s">
        <v>16836</v>
      </c>
      <c r="C1953">
        <v>71103500</v>
      </c>
      <c r="J1953" t="s">
        <v>16835</v>
      </c>
      <c r="K1953" t="s">
        <v>3605</v>
      </c>
    </row>
    <row r="1954" spans="1:11">
      <c r="A1954" t="s">
        <v>16837</v>
      </c>
      <c r="B1954" t="s">
        <v>16838</v>
      </c>
      <c r="C1954">
        <v>71104000</v>
      </c>
      <c r="J1954" t="s">
        <v>16837</v>
      </c>
      <c r="K1954" t="s">
        <v>3605</v>
      </c>
    </row>
    <row r="1955" spans="1:11">
      <c r="A1955" t="s">
        <v>16839</v>
      </c>
      <c r="B1955" t="s">
        <v>16840</v>
      </c>
      <c r="C1955">
        <v>71106000</v>
      </c>
      <c r="J1955" t="s">
        <v>16839</v>
      </c>
      <c r="K1955" t="s">
        <v>3605</v>
      </c>
    </row>
    <row r="1956" spans="1:11">
      <c r="A1956" t="s">
        <v>16841</v>
      </c>
      <c r="B1956" t="s">
        <v>16842</v>
      </c>
      <c r="C1956">
        <v>72306915</v>
      </c>
      <c r="J1956" t="s">
        <v>16841</v>
      </c>
      <c r="K1956" t="s">
        <v>3605</v>
      </c>
    </row>
    <row r="1957" spans="1:11">
      <c r="A1957" t="s">
        <v>16843</v>
      </c>
      <c r="B1957" t="s">
        <v>16844</v>
      </c>
    </row>
    <row r="1958" spans="1:11">
      <c r="A1958" t="s">
        <v>16845</v>
      </c>
      <c r="B1958" t="s">
        <v>16846</v>
      </c>
    </row>
    <row r="1959" spans="1:11">
      <c r="A1959" t="s">
        <v>16847</v>
      </c>
      <c r="B1959" t="s">
        <v>16848</v>
      </c>
      <c r="C1959">
        <v>72802002</v>
      </c>
      <c r="J1959" t="s">
        <v>16847</v>
      </c>
      <c r="K1959" t="s">
        <v>3605</v>
      </c>
    </row>
    <row r="1960" spans="1:11">
      <c r="A1960" t="s">
        <v>16849</v>
      </c>
      <c r="B1960" t="s">
        <v>16850</v>
      </c>
      <c r="C1960">
        <v>70100500</v>
      </c>
      <c r="J1960" t="s">
        <v>16849</v>
      </c>
      <c r="K1960" t="s">
        <v>3605</v>
      </c>
    </row>
    <row r="1961" spans="1:11">
      <c r="A1961" t="s">
        <v>16851</v>
      </c>
      <c r="B1961" t="s">
        <v>16852</v>
      </c>
      <c r="C1961">
        <v>72801000</v>
      </c>
      <c r="J1961" t="s">
        <v>16851</v>
      </c>
      <c r="K1961" t="s">
        <v>3605</v>
      </c>
    </row>
    <row r="1962" spans="1:11">
      <c r="A1962" t="s">
        <v>16853</v>
      </c>
      <c r="B1962" t="s">
        <v>16854</v>
      </c>
      <c r="C1962">
        <v>72800500</v>
      </c>
      <c r="J1962" t="s">
        <v>16853</v>
      </c>
      <c r="K1962" t="s">
        <v>3605</v>
      </c>
    </row>
    <row r="1963" spans="1:11">
      <c r="A1963" t="s">
        <v>16855</v>
      </c>
      <c r="B1963" t="s">
        <v>16856</v>
      </c>
      <c r="C1963">
        <v>70100500</v>
      </c>
      <c r="J1963" t="s">
        <v>16855</v>
      </c>
      <c r="K1963" t="s">
        <v>3605</v>
      </c>
    </row>
    <row r="1964" spans="1:11">
      <c r="A1964" t="s">
        <v>16857</v>
      </c>
      <c r="B1964" t="s">
        <v>16858</v>
      </c>
      <c r="C1964">
        <v>70100504</v>
      </c>
      <c r="J1964" t="s">
        <v>16857</v>
      </c>
      <c r="K1964" t="s">
        <v>3605</v>
      </c>
    </row>
    <row r="1965" spans="1:11">
      <c r="A1965" t="s">
        <v>16859</v>
      </c>
      <c r="B1965" t="s">
        <v>16860</v>
      </c>
      <c r="C1965">
        <v>70100510</v>
      </c>
      <c r="J1965" t="s">
        <v>16859</v>
      </c>
      <c r="K1965" t="s">
        <v>3605</v>
      </c>
    </row>
    <row r="1966" spans="1:11">
      <c r="A1966" t="s">
        <v>16861</v>
      </c>
      <c r="B1966" t="s">
        <v>16862</v>
      </c>
      <c r="C1966">
        <v>70100600</v>
      </c>
      <c r="J1966" t="s">
        <v>16861</v>
      </c>
      <c r="K1966" t="s">
        <v>3605</v>
      </c>
    </row>
    <row r="1967" spans="1:11">
      <c r="A1967" t="s">
        <v>16863</v>
      </c>
      <c r="B1967" t="s">
        <v>16864</v>
      </c>
      <c r="C1967">
        <v>70103000</v>
      </c>
      <c r="J1967" t="s">
        <v>16863</v>
      </c>
      <c r="K1967" t="s">
        <v>3605</v>
      </c>
    </row>
    <row r="1968" spans="1:11">
      <c r="A1968" t="s">
        <v>16865</v>
      </c>
      <c r="B1968" t="s">
        <v>16866</v>
      </c>
      <c r="C1968">
        <v>70100503</v>
      </c>
      <c r="J1968" t="s">
        <v>16865</v>
      </c>
      <c r="K1968" t="s">
        <v>3605</v>
      </c>
    </row>
    <row r="1969" spans="1:11">
      <c r="A1969" t="s">
        <v>16867</v>
      </c>
      <c r="B1969" t="s">
        <v>16868</v>
      </c>
      <c r="C1969">
        <v>70102500</v>
      </c>
      <c r="J1969" t="s">
        <v>16867</v>
      </c>
      <c r="K1969" t="s">
        <v>3605</v>
      </c>
    </row>
    <row r="1970" spans="1:11">
      <c r="A1970" t="s">
        <v>16869</v>
      </c>
      <c r="B1970" t="s">
        <v>16870</v>
      </c>
    </row>
    <row r="1971" spans="1:11">
      <c r="A1971" t="s">
        <v>16871</v>
      </c>
      <c r="B1971" t="s">
        <v>16872</v>
      </c>
      <c r="C1971">
        <v>73100500</v>
      </c>
      <c r="J1971" t="s">
        <v>16871</v>
      </c>
      <c r="K1971" t="s">
        <v>3605</v>
      </c>
    </row>
    <row r="1972" spans="1:11">
      <c r="A1972" t="s">
        <v>16873</v>
      </c>
      <c r="B1972" t="s">
        <v>16874</v>
      </c>
      <c r="C1972">
        <v>73101000</v>
      </c>
      <c r="J1972" t="s">
        <v>16873</v>
      </c>
      <c r="K1972" t="s">
        <v>3605</v>
      </c>
    </row>
    <row r="1973" spans="1:11">
      <c r="A1973" t="s">
        <v>16875</v>
      </c>
      <c r="B1973" t="s">
        <v>16876</v>
      </c>
      <c r="C1973">
        <v>70101500</v>
      </c>
      <c r="J1973" t="s">
        <v>16875</v>
      </c>
      <c r="K1973" t="s">
        <v>3605</v>
      </c>
    </row>
    <row r="1974" spans="1:11">
      <c r="A1974" t="s">
        <v>16877</v>
      </c>
      <c r="B1974" t="s">
        <v>16878</v>
      </c>
      <c r="C1974">
        <v>72802500</v>
      </c>
      <c r="J1974" t="s">
        <v>16877</v>
      </c>
      <c r="K1974" t="s">
        <v>3605</v>
      </c>
    </row>
    <row r="1975" spans="1:11">
      <c r="A1975" t="s">
        <v>16879</v>
      </c>
      <c r="B1975" t="s">
        <v>16880</v>
      </c>
      <c r="C1975">
        <v>72802600</v>
      </c>
      <c r="J1975" t="s">
        <v>16879</v>
      </c>
      <c r="K1975" t="s">
        <v>3605</v>
      </c>
    </row>
    <row r="1976" spans="1:11">
      <c r="A1976" t="s">
        <v>16881</v>
      </c>
      <c r="B1976" t="s">
        <v>16882</v>
      </c>
      <c r="C1976">
        <v>72802700</v>
      </c>
      <c r="J1976" t="s">
        <v>16881</v>
      </c>
      <c r="K1976" t="s">
        <v>3605</v>
      </c>
    </row>
    <row r="1977" spans="1:11">
      <c r="A1977" t="s">
        <v>16883</v>
      </c>
      <c r="B1977" t="s">
        <v>16884</v>
      </c>
      <c r="C1977">
        <v>72802800</v>
      </c>
      <c r="J1977" t="s">
        <v>16883</v>
      </c>
      <c r="K1977" t="s">
        <v>3605</v>
      </c>
    </row>
    <row r="1978" spans="1:11">
      <c r="A1978" t="s">
        <v>16885</v>
      </c>
      <c r="B1978" t="s">
        <v>16886</v>
      </c>
      <c r="C1978">
        <v>72801000</v>
      </c>
      <c r="J1978" t="s">
        <v>16885</v>
      </c>
      <c r="K1978" t="s">
        <v>3605</v>
      </c>
    </row>
    <row r="1979" spans="1:11">
      <c r="A1979" t="s">
        <v>16887</v>
      </c>
      <c r="B1979" t="s">
        <v>16888</v>
      </c>
      <c r="C1979">
        <v>72801500</v>
      </c>
      <c r="J1979" t="s">
        <v>16887</v>
      </c>
      <c r="K1979" t="s">
        <v>3605</v>
      </c>
    </row>
    <row r="1980" spans="1:11">
      <c r="A1980" t="s">
        <v>16889</v>
      </c>
      <c r="B1980" t="s">
        <v>16890</v>
      </c>
      <c r="C1980">
        <v>72802000</v>
      </c>
      <c r="J1980" t="s">
        <v>16889</v>
      </c>
      <c r="K1980" t="s">
        <v>3605</v>
      </c>
    </row>
    <row r="1981" spans="1:11">
      <c r="A1981" t="s">
        <v>16891</v>
      </c>
      <c r="B1981" t="s">
        <v>16892</v>
      </c>
      <c r="C1981">
        <v>72802002</v>
      </c>
      <c r="J1981" t="s">
        <v>16891</v>
      </c>
      <c r="K1981" t="s">
        <v>3605</v>
      </c>
    </row>
    <row r="1982" spans="1:11">
      <c r="A1982" t="s">
        <v>16893</v>
      </c>
      <c r="B1982" t="s">
        <v>16894</v>
      </c>
      <c r="C1982">
        <v>72802005</v>
      </c>
      <c r="J1982" t="s">
        <v>16893</v>
      </c>
      <c r="K1982" t="s">
        <v>3605</v>
      </c>
    </row>
    <row r="1983" spans="1:11">
      <c r="A1983" t="s">
        <v>16895</v>
      </c>
      <c r="B1983" t="s">
        <v>16896</v>
      </c>
      <c r="C1983">
        <v>72802006</v>
      </c>
      <c r="J1983" t="s">
        <v>16895</v>
      </c>
      <c r="K1983" t="s">
        <v>3605</v>
      </c>
    </row>
    <row r="1984" spans="1:11">
      <c r="A1984" t="s">
        <v>16897</v>
      </c>
      <c r="B1984" t="s">
        <v>16898</v>
      </c>
      <c r="C1984">
        <v>72802007</v>
      </c>
      <c r="J1984" t="s">
        <v>16897</v>
      </c>
      <c r="K1984" t="s">
        <v>3605</v>
      </c>
    </row>
    <row r="1985" spans="1:11">
      <c r="A1985" t="s">
        <v>16899</v>
      </c>
      <c r="B1985" t="s">
        <v>16900</v>
      </c>
      <c r="C1985">
        <v>72802008</v>
      </c>
      <c r="J1985" t="s">
        <v>16899</v>
      </c>
      <c r="K1985" t="s">
        <v>3605</v>
      </c>
    </row>
    <row r="1986" spans="1:11">
      <c r="A1986" t="s">
        <v>16901</v>
      </c>
      <c r="B1986" t="s">
        <v>16902</v>
      </c>
      <c r="C1986">
        <v>72802010</v>
      </c>
      <c r="J1986" t="s">
        <v>16901</v>
      </c>
      <c r="K1986" t="s">
        <v>3605</v>
      </c>
    </row>
    <row r="1987" spans="1:11">
      <c r="A1987" t="s">
        <v>16903</v>
      </c>
      <c r="B1987" t="s">
        <v>16904</v>
      </c>
      <c r="C1987">
        <v>72802020</v>
      </c>
      <c r="J1987" t="s">
        <v>16903</v>
      </c>
      <c r="K1987" t="s">
        <v>3605</v>
      </c>
    </row>
    <row r="1988" spans="1:11">
      <c r="A1988" t="s">
        <v>16905</v>
      </c>
      <c r="B1988" t="s">
        <v>16906</v>
      </c>
      <c r="C1988">
        <v>72802030</v>
      </c>
      <c r="J1988" t="s">
        <v>16905</v>
      </c>
      <c r="K1988" t="s">
        <v>3605</v>
      </c>
    </row>
    <row r="1989" spans="1:11">
      <c r="A1989" t="s">
        <v>16907</v>
      </c>
      <c r="B1989" t="s">
        <v>16908</v>
      </c>
      <c r="C1989">
        <v>72802400</v>
      </c>
      <c r="J1989" t="s">
        <v>16907</v>
      </c>
      <c r="K1989" t="s">
        <v>3605</v>
      </c>
    </row>
    <row r="1990" spans="1:11">
      <c r="A1990" t="s">
        <v>16909</v>
      </c>
      <c r="B1990" t="s">
        <v>16910</v>
      </c>
      <c r="C1990">
        <v>72804000</v>
      </c>
      <c r="J1990" t="s">
        <v>16909</v>
      </c>
      <c r="K1990" t="s">
        <v>3605</v>
      </c>
    </row>
    <row r="1991" spans="1:11">
      <c r="A1991" t="s">
        <v>16911</v>
      </c>
      <c r="B1991" t="s">
        <v>16912</v>
      </c>
      <c r="C1991">
        <v>71600500</v>
      </c>
      <c r="J1991" t="s">
        <v>16911</v>
      </c>
      <c r="K1991" t="s">
        <v>3605</v>
      </c>
    </row>
    <row r="1992" spans="1:11">
      <c r="A1992" t="s">
        <v>16913</v>
      </c>
      <c r="B1992" t="s">
        <v>16914</v>
      </c>
      <c r="C1992">
        <v>71502000</v>
      </c>
      <c r="J1992" t="s">
        <v>16913</v>
      </c>
      <c r="K1992" t="s">
        <v>3605</v>
      </c>
    </row>
    <row r="1993" spans="1:11">
      <c r="A1993" t="s">
        <v>16915</v>
      </c>
      <c r="B1993" t="s">
        <v>16916</v>
      </c>
      <c r="C1993">
        <v>71602000</v>
      </c>
      <c r="J1993" t="s">
        <v>16915</v>
      </c>
      <c r="K1993" t="s">
        <v>3605</v>
      </c>
    </row>
    <row r="1994" spans="1:11">
      <c r="A1994" t="s">
        <v>16917</v>
      </c>
      <c r="B1994" t="s">
        <v>16918</v>
      </c>
      <c r="C1994">
        <v>71701000</v>
      </c>
      <c r="J1994" t="s">
        <v>16917</v>
      </c>
      <c r="K1994" t="s">
        <v>3605</v>
      </c>
    </row>
    <row r="1995" spans="1:11">
      <c r="A1995" t="s">
        <v>16917</v>
      </c>
      <c r="B1995" t="s">
        <v>16918</v>
      </c>
      <c r="C1995">
        <v>71700500</v>
      </c>
      <c r="J1995" t="s">
        <v>16917</v>
      </c>
      <c r="K1995" t="s">
        <v>3605</v>
      </c>
    </row>
    <row r="1996" spans="1:11">
      <c r="A1996" t="s">
        <v>16919</v>
      </c>
      <c r="B1996" t="s">
        <v>16920</v>
      </c>
      <c r="C1996">
        <v>72302500</v>
      </c>
      <c r="J1996" t="s">
        <v>16919</v>
      </c>
      <c r="K1996" t="s">
        <v>3605</v>
      </c>
    </row>
    <row r="1997" spans="1:11">
      <c r="A1997" t="s">
        <v>16921</v>
      </c>
      <c r="B1997" t="s">
        <v>16922</v>
      </c>
      <c r="C1997">
        <v>71601600</v>
      </c>
      <c r="J1997" t="s">
        <v>16921</v>
      </c>
      <c r="K1997" t="s">
        <v>3605</v>
      </c>
    </row>
    <row r="1998" spans="1:11">
      <c r="A1998" t="s">
        <v>16923</v>
      </c>
      <c r="B1998" t="s">
        <v>16924</v>
      </c>
      <c r="C1998">
        <v>71601100</v>
      </c>
      <c r="J1998" t="s">
        <v>16923</v>
      </c>
      <c r="K1998" t="s">
        <v>3605</v>
      </c>
    </row>
    <row r="1999" spans="1:11">
      <c r="A1999" t="s">
        <v>16925</v>
      </c>
      <c r="B1999" t="s">
        <v>16926</v>
      </c>
      <c r="C1999">
        <v>70900500</v>
      </c>
      <c r="J1999" t="s">
        <v>16925</v>
      </c>
      <c r="K1999" t="s">
        <v>3605</v>
      </c>
    </row>
    <row r="2000" spans="1:11">
      <c r="A2000" t="s">
        <v>16927</v>
      </c>
      <c r="B2000" t="s">
        <v>16928</v>
      </c>
      <c r="C2000">
        <v>70901500</v>
      </c>
      <c r="J2000" t="s">
        <v>16927</v>
      </c>
      <c r="K2000" t="s">
        <v>3605</v>
      </c>
    </row>
    <row r="2001" spans="1:11">
      <c r="A2001" t="s">
        <v>16929</v>
      </c>
      <c r="B2001" t="s">
        <v>16930</v>
      </c>
      <c r="C2001">
        <v>72300650</v>
      </c>
      <c r="J2001" t="s">
        <v>16929</v>
      </c>
      <c r="K2001" t="s">
        <v>3605</v>
      </c>
    </row>
    <row r="2002" spans="1:11">
      <c r="A2002" t="s">
        <v>16931</v>
      </c>
      <c r="B2002" t="s">
        <v>16932</v>
      </c>
      <c r="C2002">
        <v>72301000</v>
      </c>
      <c r="J2002" t="s">
        <v>16931</v>
      </c>
      <c r="K2002" t="s">
        <v>3605</v>
      </c>
    </row>
    <row r="2003" spans="1:11">
      <c r="A2003" t="s">
        <v>16933</v>
      </c>
      <c r="B2003" t="s">
        <v>16934</v>
      </c>
      <c r="C2003">
        <v>72301500</v>
      </c>
      <c r="J2003" t="s">
        <v>16933</v>
      </c>
      <c r="K2003" t="s">
        <v>3605</v>
      </c>
    </row>
    <row r="2004" spans="1:11">
      <c r="A2004" t="s">
        <v>16935</v>
      </c>
      <c r="B2004" t="s">
        <v>16936</v>
      </c>
      <c r="C2004">
        <v>72301922</v>
      </c>
      <c r="J2004" t="s">
        <v>16935</v>
      </c>
      <c r="K2004" t="s">
        <v>3605</v>
      </c>
    </row>
    <row r="2005" spans="1:11">
      <c r="A2005" t="s">
        <v>16937</v>
      </c>
      <c r="B2005" t="s">
        <v>16938</v>
      </c>
      <c r="C2005">
        <v>72300400</v>
      </c>
      <c r="J2005" t="s">
        <v>16937</v>
      </c>
      <c r="K2005" t="s">
        <v>3605</v>
      </c>
    </row>
    <row r="2006" spans="1:11">
      <c r="A2006" t="s">
        <v>16939</v>
      </c>
      <c r="B2006" t="s">
        <v>16940</v>
      </c>
      <c r="C2006">
        <v>72300501</v>
      </c>
      <c r="J2006" t="s">
        <v>16939</v>
      </c>
      <c r="K2006" t="s">
        <v>3605</v>
      </c>
    </row>
    <row r="2007" spans="1:11">
      <c r="A2007" t="s">
        <v>16941</v>
      </c>
      <c r="B2007" t="s">
        <v>16942</v>
      </c>
      <c r="C2007">
        <v>72300600</v>
      </c>
      <c r="J2007" t="s">
        <v>16941</v>
      </c>
      <c r="K2007" t="s">
        <v>3605</v>
      </c>
    </row>
    <row r="2008" spans="1:11">
      <c r="A2008" t="s">
        <v>16943</v>
      </c>
      <c r="B2008" t="s">
        <v>16944</v>
      </c>
      <c r="C2008">
        <v>72300700</v>
      </c>
      <c r="J2008" t="s">
        <v>16943</v>
      </c>
      <c r="K2008" t="s">
        <v>3605</v>
      </c>
    </row>
    <row r="2009" spans="1:11">
      <c r="A2009" t="s">
        <v>16945</v>
      </c>
      <c r="B2009" t="s">
        <v>16946</v>
      </c>
      <c r="C2009">
        <v>72300900</v>
      </c>
      <c r="J2009" t="s">
        <v>16945</v>
      </c>
      <c r="K2009" t="s">
        <v>3605</v>
      </c>
    </row>
    <row r="2010" spans="1:11">
      <c r="A2010" t="s">
        <v>16947</v>
      </c>
      <c r="B2010" t="s">
        <v>16948</v>
      </c>
      <c r="C2010">
        <v>72301002</v>
      </c>
      <c r="J2010" t="s">
        <v>16947</v>
      </c>
      <c r="K2010" t="s">
        <v>3605</v>
      </c>
    </row>
    <row r="2011" spans="1:11">
      <c r="A2011" t="s">
        <v>16949</v>
      </c>
      <c r="B2011" t="s">
        <v>16950</v>
      </c>
      <c r="C2011">
        <v>72301900</v>
      </c>
      <c r="J2011" t="s">
        <v>16949</v>
      </c>
      <c r="K2011" t="s">
        <v>3605</v>
      </c>
    </row>
    <row r="2012" spans="1:11">
      <c r="A2012" t="s">
        <v>16951</v>
      </c>
      <c r="B2012" t="s">
        <v>16952</v>
      </c>
      <c r="C2012">
        <v>72303510</v>
      </c>
      <c r="J2012" t="s">
        <v>16951</v>
      </c>
      <c r="K2012" t="s">
        <v>3605</v>
      </c>
    </row>
    <row r="2013" spans="1:11">
      <c r="A2013" t="s">
        <v>16953</v>
      </c>
      <c r="B2013" t="s">
        <v>16954</v>
      </c>
      <c r="C2013">
        <v>72401400</v>
      </c>
      <c r="J2013" t="s">
        <v>16953</v>
      </c>
      <c r="K2013" t="s">
        <v>3605</v>
      </c>
    </row>
    <row r="2014" spans="1:11">
      <c r="A2014" t="s">
        <v>16955</v>
      </c>
      <c r="B2014" t="s">
        <v>16956</v>
      </c>
      <c r="C2014">
        <v>72300200</v>
      </c>
      <c r="J2014" t="s">
        <v>16955</v>
      </c>
      <c r="K2014" t="s">
        <v>3605</v>
      </c>
    </row>
    <row r="2015" spans="1:11">
      <c r="A2015" t="s">
        <v>16957</v>
      </c>
      <c r="B2015" t="s">
        <v>16958</v>
      </c>
      <c r="C2015">
        <v>72402100</v>
      </c>
      <c r="J2015" t="s">
        <v>16957</v>
      </c>
      <c r="K2015" t="s">
        <v>3605</v>
      </c>
    </row>
    <row r="2016" spans="1:11">
      <c r="A2016" t="s">
        <v>16959</v>
      </c>
      <c r="B2016" t="s">
        <v>16960</v>
      </c>
      <c r="C2016">
        <v>72402300</v>
      </c>
      <c r="J2016" t="s">
        <v>16959</v>
      </c>
      <c r="K2016" t="s">
        <v>3605</v>
      </c>
    </row>
    <row r="2017" spans="1:11">
      <c r="A2017" t="s">
        <v>16961</v>
      </c>
      <c r="B2017" t="s">
        <v>16962</v>
      </c>
      <c r="C2017">
        <v>72402500</v>
      </c>
      <c r="J2017" t="s">
        <v>16961</v>
      </c>
      <c r="K2017" t="s">
        <v>3605</v>
      </c>
    </row>
    <row r="2018" spans="1:11">
      <c r="A2018" t="s">
        <v>16963</v>
      </c>
      <c r="B2018" t="s">
        <v>16964</v>
      </c>
      <c r="C2018">
        <v>72301004</v>
      </c>
      <c r="J2018" t="s">
        <v>16963</v>
      </c>
      <c r="K2018" t="s">
        <v>3605</v>
      </c>
    </row>
    <row r="2019" spans="1:11">
      <c r="A2019" t="s">
        <v>16965</v>
      </c>
      <c r="B2019" t="s">
        <v>16966</v>
      </c>
      <c r="C2019">
        <v>72301001</v>
      </c>
      <c r="J2019" t="s">
        <v>16965</v>
      </c>
      <c r="K2019" t="s">
        <v>3605</v>
      </c>
    </row>
    <row r="2020" spans="1:11">
      <c r="A2020" t="s">
        <v>16967</v>
      </c>
      <c r="B2020" t="s">
        <v>9287</v>
      </c>
      <c r="C2020">
        <v>72400500</v>
      </c>
      <c r="J2020" t="s">
        <v>16967</v>
      </c>
      <c r="K2020" t="s">
        <v>3605</v>
      </c>
    </row>
    <row r="2021" spans="1:11">
      <c r="A2021" t="s">
        <v>16968</v>
      </c>
      <c r="B2021" t="s">
        <v>16969</v>
      </c>
      <c r="C2021">
        <v>72400502</v>
      </c>
      <c r="J2021" t="s">
        <v>16968</v>
      </c>
      <c r="K2021" t="s">
        <v>3605</v>
      </c>
    </row>
    <row r="2022" spans="1:11">
      <c r="A2022" t="s">
        <v>16970</v>
      </c>
      <c r="B2022" t="s">
        <v>16971</v>
      </c>
      <c r="C2022">
        <v>72400503</v>
      </c>
      <c r="J2022" t="s">
        <v>16970</v>
      </c>
      <c r="K2022" t="s">
        <v>3605</v>
      </c>
    </row>
    <row r="2023" spans="1:11">
      <c r="A2023" t="s">
        <v>16972</v>
      </c>
      <c r="B2023" t="s">
        <v>16973</v>
      </c>
      <c r="C2023">
        <v>72400504</v>
      </c>
      <c r="J2023" t="s">
        <v>16972</v>
      </c>
      <c r="K2023" t="s">
        <v>3605</v>
      </c>
    </row>
    <row r="2024" spans="1:11">
      <c r="A2024" t="s">
        <v>16974</v>
      </c>
      <c r="B2024" t="s">
        <v>16975</v>
      </c>
      <c r="C2024">
        <v>72400599</v>
      </c>
      <c r="J2024" t="s">
        <v>16974</v>
      </c>
      <c r="K2024" t="s">
        <v>3605</v>
      </c>
    </row>
    <row r="2025" spans="1:11">
      <c r="A2025" t="s">
        <v>16976</v>
      </c>
      <c r="B2025" t="s">
        <v>16977</v>
      </c>
      <c r="C2025">
        <v>72401700</v>
      </c>
      <c r="J2025" t="s">
        <v>16976</v>
      </c>
      <c r="K2025" t="s">
        <v>3605</v>
      </c>
    </row>
    <row r="2026" spans="1:11">
      <c r="A2026" t="s">
        <v>16978</v>
      </c>
      <c r="B2026" t="s">
        <v>16979</v>
      </c>
      <c r="C2026">
        <v>72400599</v>
      </c>
      <c r="D2026" t="s">
        <v>13745</v>
      </c>
      <c r="E2026">
        <v>45371</v>
      </c>
      <c r="J2026" t="s">
        <v>16978</v>
      </c>
      <c r="K2026" t="s">
        <v>3605</v>
      </c>
    </row>
    <row r="2027" spans="1:11">
      <c r="A2027" t="s">
        <v>16980</v>
      </c>
      <c r="B2027" t="s">
        <v>16981</v>
      </c>
      <c r="C2027">
        <v>70600500</v>
      </c>
      <c r="J2027" t="s">
        <v>16980</v>
      </c>
      <c r="K2027" t="s">
        <v>3605</v>
      </c>
    </row>
    <row r="2028" spans="1:11">
      <c r="A2028" t="s">
        <v>16982</v>
      </c>
      <c r="B2028" t="s">
        <v>16983</v>
      </c>
      <c r="C2028">
        <v>70601500</v>
      </c>
      <c r="J2028" t="s">
        <v>16982</v>
      </c>
      <c r="K2028" t="s">
        <v>3605</v>
      </c>
    </row>
    <row r="2029" spans="1:11">
      <c r="A2029" t="s">
        <v>16984</v>
      </c>
      <c r="B2029" t="s">
        <v>16985</v>
      </c>
      <c r="C2029">
        <v>70601501</v>
      </c>
      <c r="J2029" t="s">
        <v>16984</v>
      </c>
      <c r="K2029" t="s">
        <v>3605</v>
      </c>
    </row>
    <row r="2030" spans="1:11">
      <c r="A2030" t="s">
        <v>16986</v>
      </c>
      <c r="B2030" t="s">
        <v>16987</v>
      </c>
      <c r="C2030">
        <v>70615500</v>
      </c>
      <c r="J2030" t="s">
        <v>16986</v>
      </c>
      <c r="K2030" t="s">
        <v>3605</v>
      </c>
    </row>
    <row r="2031" spans="1:11">
      <c r="A2031" t="s">
        <v>16988</v>
      </c>
      <c r="B2031" t="s">
        <v>16989</v>
      </c>
      <c r="C2031">
        <v>72303508</v>
      </c>
      <c r="D2031" t="s">
        <v>13745</v>
      </c>
      <c r="E2031">
        <v>45386</v>
      </c>
      <c r="J2031" t="s">
        <v>16988</v>
      </c>
      <c r="K2031" t="s">
        <v>3605</v>
      </c>
    </row>
    <row r="2032" spans="1:11">
      <c r="A2032" t="s">
        <v>16990</v>
      </c>
      <c r="B2032" t="s">
        <v>16991</v>
      </c>
      <c r="C2032">
        <v>71502000</v>
      </c>
      <c r="J2032" t="s">
        <v>16990</v>
      </c>
      <c r="K2032" t="s">
        <v>3605</v>
      </c>
    </row>
    <row r="2033" spans="1:11">
      <c r="A2033" t="s">
        <v>16992</v>
      </c>
      <c r="B2033" t="s">
        <v>16993</v>
      </c>
      <c r="C2033">
        <v>71603600</v>
      </c>
      <c r="J2033" t="s">
        <v>16992</v>
      </c>
      <c r="K2033" t="s">
        <v>3605</v>
      </c>
    </row>
    <row r="2034" spans="1:11">
      <c r="A2034" t="s">
        <v>16994</v>
      </c>
      <c r="B2034" t="s">
        <v>16995</v>
      </c>
      <c r="C2034">
        <v>71701500</v>
      </c>
      <c r="J2034" t="s">
        <v>16994</v>
      </c>
      <c r="K2034" t="s">
        <v>3605</v>
      </c>
    </row>
    <row r="2035" spans="1:11">
      <c r="A2035" t="s">
        <v>16996</v>
      </c>
      <c r="B2035" t="s">
        <v>16997</v>
      </c>
      <c r="C2035">
        <v>71701501</v>
      </c>
      <c r="J2035" t="s">
        <v>16996</v>
      </c>
      <c r="K2035" t="s">
        <v>3605</v>
      </c>
    </row>
    <row r="2036" spans="1:11">
      <c r="A2036" t="s">
        <v>16998</v>
      </c>
      <c r="B2036" t="s">
        <v>16999</v>
      </c>
      <c r="C2036">
        <v>72303000</v>
      </c>
      <c r="J2036" t="s">
        <v>16998</v>
      </c>
      <c r="K2036" t="s">
        <v>3605</v>
      </c>
    </row>
    <row r="2037" spans="1:11">
      <c r="A2037" t="s">
        <v>17000</v>
      </c>
      <c r="B2037" t="s">
        <v>17001</v>
      </c>
      <c r="C2037">
        <v>72303002</v>
      </c>
      <c r="J2037" t="s">
        <v>17000</v>
      </c>
      <c r="K2037" t="s">
        <v>3605</v>
      </c>
    </row>
    <row r="2038" spans="1:11">
      <c r="A2038" t="s">
        <v>17002</v>
      </c>
      <c r="B2038" t="s">
        <v>17003</v>
      </c>
      <c r="C2038">
        <v>72303100</v>
      </c>
      <c r="J2038" t="s">
        <v>17002</v>
      </c>
      <c r="K2038" t="s">
        <v>3605</v>
      </c>
    </row>
    <row r="2039" spans="1:11">
      <c r="A2039" t="s">
        <v>17004</v>
      </c>
      <c r="B2039" t="s">
        <v>17005</v>
      </c>
      <c r="C2039">
        <v>72303500</v>
      </c>
      <c r="J2039" t="s">
        <v>17004</v>
      </c>
      <c r="K2039" t="s">
        <v>3605</v>
      </c>
    </row>
    <row r="2040" spans="1:11">
      <c r="A2040" t="s">
        <v>17006</v>
      </c>
      <c r="B2040" t="s">
        <v>17007</v>
      </c>
      <c r="C2040">
        <v>72303502</v>
      </c>
      <c r="J2040" t="s">
        <v>17006</v>
      </c>
      <c r="K2040" t="s">
        <v>3605</v>
      </c>
    </row>
    <row r="2041" spans="1:11">
      <c r="A2041" t="s">
        <v>17008</v>
      </c>
      <c r="B2041" t="s">
        <v>17009</v>
      </c>
      <c r="C2041">
        <v>72303503</v>
      </c>
      <c r="J2041" t="s">
        <v>17008</v>
      </c>
      <c r="K2041" t="s">
        <v>3605</v>
      </c>
    </row>
    <row r="2042" spans="1:11">
      <c r="A2042" t="s">
        <v>17010</v>
      </c>
      <c r="B2042" t="s">
        <v>17011</v>
      </c>
      <c r="C2042">
        <v>72304000</v>
      </c>
      <c r="J2042" t="s">
        <v>17010</v>
      </c>
      <c r="K2042" t="s">
        <v>3605</v>
      </c>
    </row>
    <row r="2043" spans="1:11">
      <c r="A2043" t="s">
        <v>17012</v>
      </c>
      <c r="B2043" t="s">
        <v>17013</v>
      </c>
      <c r="C2043">
        <v>72304100</v>
      </c>
      <c r="J2043" t="s">
        <v>17012</v>
      </c>
      <c r="K2043" t="s">
        <v>3605</v>
      </c>
    </row>
    <row r="2044" spans="1:11">
      <c r="A2044" t="s">
        <v>17014</v>
      </c>
      <c r="B2044" t="s">
        <v>17015</v>
      </c>
      <c r="C2044">
        <v>72398815</v>
      </c>
      <c r="J2044" t="s">
        <v>17014</v>
      </c>
      <c r="K2044" t="s">
        <v>3605</v>
      </c>
    </row>
    <row r="2045" spans="1:11">
      <c r="A2045" t="s">
        <v>17016</v>
      </c>
      <c r="B2045" t="s">
        <v>17017</v>
      </c>
      <c r="C2045">
        <v>71605000</v>
      </c>
      <c r="D2045" t="s">
        <v>13745</v>
      </c>
      <c r="E2045">
        <v>45386</v>
      </c>
      <c r="J2045" t="s">
        <v>17016</v>
      </c>
      <c r="K2045" t="s">
        <v>3605</v>
      </c>
    </row>
    <row r="2046" spans="1:11">
      <c r="A2046" t="s">
        <v>17018</v>
      </c>
      <c r="B2046" t="s">
        <v>17019</v>
      </c>
      <c r="C2046">
        <v>72304800</v>
      </c>
      <c r="J2046" t="s">
        <v>17018</v>
      </c>
      <c r="K2046" t="s">
        <v>3605</v>
      </c>
    </row>
    <row r="2047" spans="1:11">
      <c r="A2047" t="s">
        <v>17020</v>
      </c>
      <c r="B2047" t="s">
        <v>17021</v>
      </c>
      <c r="C2047">
        <v>72304900</v>
      </c>
      <c r="J2047" t="s">
        <v>17020</v>
      </c>
      <c r="K2047" t="s">
        <v>3605</v>
      </c>
    </row>
    <row r="2048" spans="1:11">
      <c r="A2048" t="s">
        <v>17022</v>
      </c>
      <c r="B2048" t="s">
        <v>17023</v>
      </c>
      <c r="C2048">
        <v>71301500</v>
      </c>
      <c r="J2048" t="s">
        <v>17022</v>
      </c>
      <c r="K2048" t="s">
        <v>3605</v>
      </c>
    </row>
    <row r="2049" spans="1:11">
      <c r="A2049" t="s">
        <v>17024</v>
      </c>
      <c r="B2049" t="s">
        <v>17025</v>
      </c>
      <c r="C2049">
        <v>71302000</v>
      </c>
      <c r="J2049" t="s">
        <v>17024</v>
      </c>
      <c r="K2049" t="s">
        <v>3605</v>
      </c>
    </row>
    <row r="2050" spans="1:11">
      <c r="A2050" t="s">
        <v>17026</v>
      </c>
      <c r="B2050" t="s">
        <v>17027</v>
      </c>
      <c r="C2050">
        <v>71302002</v>
      </c>
      <c r="J2050" t="s">
        <v>17026</v>
      </c>
      <c r="K2050" t="s">
        <v>3605</v>
      </c>
    </row>
    <row r="2051" spans="1:11">
      <c r="A2051" t="s">
        <v>17028</v>
      </c>
      <c r="B2051" t="s">
        <v>17029</v>
      </c>
      <c r="C2051">
        <v>71302003</v>
      </c>
      <c r="J2051" t="s">
        <v>17028</v>
      </c>
      <c r="K2051" t="s">
        <v>3605</v>
      </c>
    </row>
    <row r="2052" spans="1:11">
      <c r="A2052" t="s">
        <v>17030</v>
      </c>
      <c r="B2052" t="s">
        <v>17031</v>
      </c>
      <c r="C2052">
        <v>71302500</v>
      </c>
      <c r="J2052" t="s">
        <v>17030</v>
      </c>
      <c r="K2052" t="s">
        <v>3605</v>
      </c>
    </row>
    <row r="2053" spans="1:11">
      <c r="A2053" t="s">
        <v>17032</v>
      </c>
      <c r="B2053" t="s">
        <v>17033</v>
      </c>
      <c r="C2053">
        <v>72400900</v>
      </c>
      <c r="J2053" t="s">
        <v>17032</v>
      </c>
      <c r="K2053" t="s">
        <v>3605</v>
      </c>
    </row>
    <row r="2054" spans="1:11">
      <c r="A2054" t="s">
        <v>17034</v>
      </c>
      <c r="B2054" t="s">
        <v>17035</v>
      </c>
      <c r="C2054">
        <v>72500500</v>
      </c>
      <c r="J2054" t="s">
        <v>17034</v>
      </c>
      <c r="K2054" t="s">
        <v>3605</v>
      </c>
    </row>
    <row r="2055" spans="1:11">
      <c r="A2055" t="s">
        <v>17036</v>
      </c>
      <c r="B2055" t="s">
        <v>17037</v>
      </c>
      <c r="C2055">
        <v>72501000</v>
      </c>
      <c r="J2055" t="s">
        <v>17036</v>
      </c>
      <c r="K2055" t="s">
        <v>3605</v>
      </c>
    </row>
    <row r="2056" spans="1:11">
      <c r="A2056" t="s">
        <v>17038</v>
      </c>
      <c r="B2056" t="s">
        <v>17039</v>
      </c>
      <c r="C2056">
        <v>72501011</v>
      </c>
      <c r="J2056" t="s">
        <v>17038</v>
      </c>
      <c r="K2056" t="s">
        <v>3605</v>
      </c>
    </row>
    <row r="2057" spans="1:11">
      <c r="A2057" t="s">
        <v>17040</v>
      </c>
      <c r="B2057" t="s">
        <v>17041</v>
      </c>
      <c r="C2057">
        <v>72501500</v>
      </c>
      <c r="J2057" t="s">
        <v>17040</v>
      </c>
      <c r="K2057" t="s">
        <v>3605</v>
      </c>
    </row>
    <row r="2058" spans="1:11">
      <c r="A2058" t="s">
        <v>17042</v>
      </c>
      <c r="B2058" t="s">
        <v>17043</v>
      </c>
      <c r="C2058">
        <v>72700500</v>
      </c>
      <c r="J2058" t="s">
        <v>17042</v>
      </c>
      <c r="K2058" t="s">
        <v>3605</v>
      </c>
    </row>
    <row r="2059" spans="1:11">
      <c r="A2059" t="s">
        <v>17044</v>
      </c>
      <c r="B2059" t="s">
        <v>17045</v>
      </c>
      <c r="C2059">
        <v>72700501</v>
      </c>
      <c r="J2059" t="s">
        <v>17044</v>
      </c>
      <c r="K2059" t="s">
        <v>3605</v>
      </c>
    </row>
    <row r="2060" spans="1:11">
      <c r="A2060" t="s">
        <v>17046</v>
      </c>
      <c r="B2060" t="s">
        <v>17047</v>
      </c>
      <c r="C2060">
        <v>71301002</v>
      </c>
      <c r="J2060" t="s">
        <v>17046</v>
      </c>
      <c r="K2060" t="s">
        <v>3605</v>
      </c>
    </row>
    <row r="2061" spans="1:11">
      <c r="A2061" t="s">
        <v>17048</v>
      </c>
      <c r="B2061" t="s">
        <v>17049</v>
      </c>
      <c r="C2061">
        <v>71302022</v>
      </c>
      <c r="J2061" t="s">
        <v>17048</v>
      </c>
      <c r="K2061" t="s">
        <v>3605</v>
      </c>
    </row>
    <row r="2062" spans="1:11">
      <c r="A2062" t="s">
        <v>17050</v>
      </c>
      <c r="B2062" t="s">
        <v>17051</v>
      </c>
      <c r="C2062">
        <v>60805000</v>
      </c>
      <c r="J2062" t="s">
        <v>17050</v>
      </c>
      <c r="K2062" t="s">
        <v>3605</v>
      </c>
    </row>
    <row r="2063" spans="1:11">
      <c r="A2063" t="s">
        <v>17050</v>
      </c>
      <c r="B2063" t="s">
        <v>17051</v>
      </c>
      <c r="C2063">
        <v>60805001</v>
      </c>
      <c r="J2063" t="s">
        <v>17050</v>
      </c>
      <c r="K2063" t="s">
        <v>3605</v>
      </c>
    </row>
    <row r="2064" spans="1:11">
      <c r="A2064" t="s">
        <v>17052</v>
      </c>
      <c r="B2064" t="s">
        <v>17053</v>
      </c>
      <c r="C2064">
        <v>60805310</v>
      </c>
      <c r="J2064" t="s">
        <v>17052</v>
      </c>
      <c r="K2064" t="s">
        <v>3605</v>
      </c>
    </row>
    <row r="2065" spans="1:11">
      <c r="A2065" t="s">
        <v>17054</v>
      </c>
      <c r="B2065" t="s">
        <v>17055</v>
      </c>
      <c r="C2065">
        <v>60805410</v>
      </c>
      <c r="J2065" t="s">
        <v>17054</v>
      </c>
      <c r="K2065" t="s">
        <v>3605</v>
      </c>
    </row>
    <row r="2066" spans="1:11">
      <c r="A2066" t="s">
        <v>17056</v>
      </c>
      <c r="B2066" t="s">
        <v>17057</v>
      </c>
      <c r="C2066">
        <v>71302008</v>
      </c>
      <c r="J2066" t="s">
        <v>17056</v>
      </c>
      <c r="K2066" t="s">
        <v>3605</v>
      </c>
    </row>
    <row r="2067" spans="1:11">
      <c r="A2067" t="s">
        <v>17058</v>
      </c>
      <c r="B2067" t="s">
        <v>17059</v>
      </c>
      <c r="C2067">
        <v>71302021</v>
      </c>
      <c r="J2067" t="s">
        <v>17058</v>
      </c>
      <c r="K2067" t="s">
        <v>3605</v>
      </c>
    </row>
    <row r="2068" spans="1:11">
      <c r="A2068" t="s">
        <v>17060</v>
      </c>
      <c r="B2068" t="s">
        <v>17061</v>
      </c>
      <c r="C2068">
        <v>73900500</v>
      </c>
      <c r="J2068" t="s">
        <v>17060</v>
      </c>
      <c r="K2068" t="s">
        <v>3605</v>
      </c>
    </row>
    <row r="2069" spans="1:11">
      <c r="A2069" t="s">
        <v>17062</v>
      </c>
      <c r="B2069" t="s">
        <v>17063</v>
      </c>
      <c r="C2069">
        <v>73900501</v>
      </c>
      <c r="J2069" t="s">
        <v>17062</v>
      </c>
      <c r="K2069" t="s">
        <v>3605</v>
      </c>
    </row>
    <row r="2070" spans="1:11">
      <c r="A2070" t="s">
        <v>17064</v>
      </c>
      <c r="B2070" t="s">
        <v>17065</v>
      </c>
      <c r="C2070">
        <v>73900504</v>
      </c>
      <c r="J2070" t="s">
        <v>17064</v>
      </c>
      <c r="K2070" t="s">
        <v>3605</v>
      </c>
    </row>
    <row r="2071" spans="1:11">
      <c r="A2071" t="s">
        <v>17066</v>
      </c>
      <c r="B2071" t="s">
        <v>17067</v>
      </c>
      <c r="C2071">
        <v>73900507</v>
      </c>
      <c r="J2071" t="s">
        <v>17066</v>
      </c>
      <c r="K2071" t="s">
        <v>3605</v>
      </c>
    </row>
    <row r="2072" spans="1:11">
      <c r="A2072" t="s">
        <v>17068</v>
      </c>
      <c r="B2072" t="s">
        <v>17069</v>
      </c>
      <c r="C2072">
        <v>79990006</v>
      </c>
      <c r="J2072" t="s">
        <v>17068</v>
      </c>
      <c r="K2072" t="s">
        <v>3605</v>
      </c>
    </row>
    <row r="2073" spans="1:11">
      <c r="A2073" t="s">
        <v>17070</v>
      </c>
      <c r="B2073" t="s">
        <v>17071</v>
      </c>
      <c r="C2073">
        <v>71401500</v>
      </c>
      <c r="J2073" t="s">
        <v>17070</v>
      </c>
      <c r="K2073" t="s">
        <v>3605</v>
      </c>
    </row>
    <row r="2074" spans="1:11">
      <c r="A2074" t="s">
        <v>17072</v>
      </c>
      <c r="B2074" t="s">
        <v>9936</v>
      </c>
      <c r="C2074">
        <v>71400500</v>
      </c>
      <c r="J2074" t="s">
        <v>17072</v>
      </c>
      <c r="K2074" t="s">
        <v>3605</v>
      </c>
    </row>
    <row r="2075" spans="1:11">
      <c r="A2075" t="s">
        <v>17073</v>
      </c>
      <c r="B2075" t="s">
        <v>17074</v>
      </c>
      <c r="C2075">
        <v>71400501</v>
      </c>
      <c r="J2075" t="s">
        <v>17073</v>
      </c>
      <c r="K2075" t="s">
        <v>3605</v>
      </c>
    </row>
    <row r="2076" spans="1:11">
      <c r="A2076" t="s">
        <v>17075</v>
      </c>
      <c r="B2076" t="s">
        <v>17076</v>
      </c>
      <c r="C2076">
        <v>71401000</v>
      </c>
      <c r="J2076" t="s">
        <v>17075</v>
      </c>
      <c r="K2076" t="s">
        <v>3605</v>
      </c>
    </row>
    <row r="2077" spans="1:11">
      <c r="A2077" t="s">
        <v>17077</v>
      </c>
      <c r="B2077" t="s">
        <v>17078</v>
      </c>
      <c r="C2077">
        <v>71401500</v>
      </c>
      <c r="J2077" t="s">
        <v>17077</v>
      </c>
      <c r="K2077" t="s">
        <v>3605</v>
      </c>
    </row>
    <row r="2078" spans="1:11">
      <c r="A2078" t="s">
        <v>17079</v>
      </c>
      <c r="B2078" t="s">
        <v>17080</v>
      </c>
      <c r="C2078">
        <v>71401501</v>
      </c>
      <c r="J2078" t="s">
        <v>17079</v>
      </c>
      <c r="K2078" t="s">
        <v>3605</v>
      </c>
    </row>
    <row r="2079" spans="1:11">
      <c r="A2079" t="s">
        <v>17081</v>
      </c>
      <c r="B2079" t="s">
        <v>17082</v>
      </c>
      <c r="C2079">
        <v>71500500</v>
      </c>
      <c r="J2079" t="s">
        <v>17081</v>
      </c>
      <c r="K2079" t="s">
        <v>3605</v>
      </c>
    </row>
    <row r="2080" spans="1:11">
      <c r="A2080" t="s">
        <v>17083</v>
      </c>
      <c r="B2080" t="s">
        <v>17084</v>
      </c>
      <c r="C2080">
        <v>71500502</v>
      </c>
      <c r="J2080" t="s">
        <v>17083</v>
      </c>
      <c r="K2080" t="s">
        <v>3605</v>
      </c>
    </row>
    <row r="2081" spans="1:11">
      <c r="A2081" t="s">
        <v>17085</v>
      </c>
      <c r="B2081" t="s">
        <v>17086</v>
      </c>
      <c r="C2081">
        <v>71500509</v>
      </c>
      <c r="J2081" t="s">
        <v>17085</v>
      </c>
      <c r="K2081" t="s">
        <v>3605</v>
      </c>
    </row>
    <row r="2082" spans="1:11">
      <c r="A2082" t="s">
        <v>17087</v>
      </c>
      <c r="B2082" t="s">
        <v>17088</v>
      </c>
      <c r="C2082">
        <v>71500520</v>
      </c>
      <c r="J2082" t="s">
        <v>17087</v>
      </c>
      <c r="K2082" t="s">
        <v>3605</v>
      </c>
    </row>
    <row r="2083" spans="1:11">
      <c r="A2083" t="s">
        <v>17089</v>
      </c>
      <c r="B2083" t="s">
        <v>17090</v>
      </c>
      <c r="C2083">
        <v>71501000</v>
      </c>
      <c r="J2083" t="s">
        <v>17089</v>
      </c>
      <c r="K2083" t="s">
        <v>3605</v>
      </c>
    </row>
    <row r="2084" spans="1:11">
      <c r="A2084" t="s">
        <v>17091</v>
      </c>
      <c r="B2084" t="s">
        <v>17092</v>
      </c>
      <c r="C2084">
        <v>71501500</v>
      </c>
      <c r="J2084" t="s">
        <v>17091</v>
      </c>
      <c r="K2084" t="s">
        <v>3605</v>
      </c>
    </row>
    <row r="2085" spans="1:11">
      <c r="A2085" t="s">
        <v>17093</v>
      </c>
      <c r="B2085" t="s">
        <v>17094</v>
      </c>
      <c r="C2085">
        <v>71503000</v>
      </c>
      <c r="J2085" t="s">
        <v>17093</v>
      </c>
      <c r="K2085" t="s">
        <v>3605</v>
      </c>
    </row>
    <row r="2086" spans="1:11">
      <c r="A2086" t="s">
        <v>17095</v>
      </c>
      <c r="B2086" t="s">
        <v>17096</v>
      </c>
      <c r="C2086">
        <v>71800500</v>
      </c>
      <c r="J2086" t="s">
        <v>17095</v>
      </c>
      <c r="K2086" t="s">
        <v>3605</v>
      </c>
    </row>
    <row r="2087" spans="1:11">
      <c r="A2087" t="s">
        <v>17097</v>
      </c>
      <c r="B2087" t="s">
        <v>17080</v>
      </c>
      <c r="C2087">
        <v>71401501</v>
      </c>
      <c r="J2087" t="s">
        <v>17097</v>
      </c>
      <c r="K2087" t="s">
        <v>3605</v>
      </c>
    </row>
    <row r="2088" spans="1:11">
      <c r="A2088" t="s">
        <v>17098</v>
      </c>
      <c r="B2088" t="s">
        <v>17099</v>
      </c>
      <c r="C2088">
        <v>71402100</v>
      </c>
      <c r="J2088" t="s">
        <v>17098</v>
      </c>
      <c r="K2088" t="s">
        <v>3605</v>
      </c>
    </row>
    <row r="2089" spans="1:11">
      <c r="A2089" t="s">
        <v>17100</v>
      </c>
      <c r="B2089" t="s">
        <v>17101</v>
      </c>
      <c r="C2089">
        <v>71402000</v>
      </c>
      <c r="J2089" t="s">
        <v>17100</v>
      </c>
      <c r="K2089" t="s">
        <v>3605</v>
      </c>
    </row>
    <row r="2090" spans="1:11">
      <c r="A2090" t="s">
        <v>17102</v>
      </c>
      <c r="B2090" t="s">
        <v>17103</v>
      </c>
      <c r="C2090">
        <v>71402001</v>
      </c>
      <c r="J2090" t="s">
        <v>17102</v>
      </c>
      <c r="K2090" t="s">
        <v>3605</v>
      </c>
    </row>
    <row r="2091" spans="1:11">
      <c r="A2091" t="s">
        <v>17104</v>
      </c>
      <c r="B2091" t="s">
        <v>17105</v>
      </c>
      <c r="C2091">
        <v>71402002</v>
      </c>
      <c r="J2091" t="s">
        <v>17104</v>
      </c>
      <c r="K2091" t="s">
        <v>3605</v>
      </c>
    </row>
    <row r="2092" spans="1:11">
      <c r="A2092" t="s">
        <v>17106</v>
      </c>
      <c r="B2092" t="s">
        <v>17107</v>
      </c>
      <c r="C2092">
        <v>71402500</v>
      </c>
      <c r="J2092" t="s">
        <v>17106</v>
      </c>
      <c r="K2092" t="s">
        <v>3605</v>
      </c>
    </row>
    <row r="2093" spans="1:11">
      <c r="A2093" t="s">
        <v>17108</v>
      </c>
      <c r="B2093" t="s">
        <v>17109</v>
      </c>
      <c r="C2093">
        <v>71402600</v>
      </c>
      <c r="J2093" t="s">
        <v>17108</v>
      </c>
      <c r="K2093" t="s">
        <v>3605</v>
      </c>
    </row>
    <row r="2094" spans="1:11">
      <c r="A2094" t="s">
        <v>17110</v>
      </c>
      <c r="B2094" t="s">
        <v>17111</v>
      </c>
      <c r="C2094">
        <v>71403000</v>
      </c>
      <c r="J2094" t="s">
        <v>17110</v>
      </c>
      <c r="K2094" t="s">
        <v>3605</v>
      </c>
    </row>
    <row r="2095" spans="1:11">
      <c r="A2095" t="s">
        <v>17112</v>
      </c>
      <c r="B2095" t="s">
        <v>17113</v>
      </c>
      <c r="C2095">
        <v>71403500</v>
      </c>
      <c r="J2095" t="s">
        <v>17112</v>
      </c>
      <c r="K2095" t="s">
        <v>3605</v>
      </c>
    </row>
    <row r="2096" spans="1:11">
      <c r="A2096" t="s">
        <v>17114</v>
      </c>
      <c r="B2096" t="s">
        <v>17115</v>
      </c>
      <c r="C2096">
        <v>71403600</v>
      </c>
      <c r="J2096" t="s">
        <v>17114</v>
      </c>
      <c r="K2096" t="s">
        <v>3605</v>
      </c>
    </row>
    <row r="2097" spans="1:11">
      <c r="A2097" t="s">
        <v>17116</v>
      </c>
      <c r="B2097" t="s">
        <v>17117</v>
      </c>
      <c r="C2097">
        <v>71404500</v>
      </c>
      <c r="J2097" t="s">
        <v>17116</v>
      </c>
      <c r="K2097" t="s">
        <v>3605</v>
      </c>
    </row>
    <row r="2098" spans="1:11">
      <c r="A2098" t="s">
        <v>17118</v>
      </c>
      <c r="B2098" t="s">
        <v>17119</v>
      </c>
      <c r="C2098">
        <v>72303200</v>
      </c>
      <c r="J2098" t="s">
        <v>17118</v>
      </c>
      <c r="K2098" t="s">
        <v>3605</v>
      </c>
    </row>
    <row r="2099" spans="1:11">
      <c r="A2099" t="s">
        <v>17120</v>
      </c>
      <c r="B2099" t="s">
        <v>17121</v>
      </c>
      <c r="C2099">
        <v>71402000</v>
      </c>
      <c r="J2099" t="s">
        <v>17120</v>
      </c>
      <c r="K2099" t="s">
        <v>3605</v>
      </c>
    </row>
    <row r="2100" spans="1:11">
      <c r="A2100" t="s">
        <v>17122</v>
      </c>
      <c r="B2100" t="s">
        <v>17123</v>
      </c>
      <c r="C2100">
        <v>72401500</v>
      </c>
      <c r="J2100" t="s">
        <v>17122</v>
      </c>
      <c r="K2100" t="s">
        <v>3605</v>
      </c>
    </row>
    <row r="2101" spans="1:11">
      <c r="A2101" t="s">
        <v>17124</v>
      </c>
      <c r="B2101" t="s">
        <v>17125</v>
      </c>
      <c r="C2101">
        <v>72402200</v>
      </c>
      <c r="J2101" t="s">
        <v>17124</v>
      </c>
      <c r="K2101" t="s">
        <v>3605</v>
      </c>
    </row>
    <row r="2102" spans="1:11">
      <c r="A2102" t="s">
        <v>17126</v>
      </c>
      <c r="B2102" t="s">
        <v>17127</v>
      </c>
      <c r="C2102">
        <v>72402600</v>
      </c>
      <c r="J2102" t="s">
        <v>17126</v>
      </c>
      <c r="K2102" t="s">
        <v>3605</v>
      </c>
    </row>
    <row r="2103" spans="1:11">
      <c r="A2103" t="s">
        <v>17128</v>
      </c>
      <c r="B2103" t="s">
        <v>17129</v>
      </c>
      <c r="C2103">
        <v>72402700</v>
      </c>
      <c r="J2103" t="s">
        <v>17128</v>
      </c>
      <c r="K2103" t="s">
        <v>3605</v>
      </c>
    </row>
    <row r="2104" spans="1:11">
      <c r="A2104" t="s">
        <v>17130</v>
      </c>
      <c r="B2104" t="s">
        <v>17131</v>
      </c>
      <c r="C2104">
        <v>72402800</v>
      </c>
      <c r="J2104" t="s">
        <v>17130</v>
      </c>
      <c r="K2104" t="s">
        <v>3605</v>
      </c>
    </row>
    <row r="2105" spans="1:11">
      <c r="A2105" t="s">
        <v>17132</v>
      </c>
      <c r="B2105" t="s">
        <v>17133</v>
      </c>
      <c r="C2105">
        <v>72401600</v>
      </c>
      <c r="J2105" t="s">
        <v>17132</v>
      </c>
      <c r="K2105" t="s">
        <v>3605</v>
      </c>
    </row>
    <row r="2106" spans="1:11">
      <c r="A2106" t="s">
        <v>17134</v>
      </c>
      <c r="B2106" t="s">
        <v>17135</v>
      </c>
      <c r="C2106">
        <v>70209500</v>
      </c>
      <c r="J2106" t="s">
        <v>17134</v>
      </c>
      <c r="K2106" t="s">
        <v>3605</v>
      </c>
    </row>
    <row r="2107" spans="1:11">
      <c r="A2107" t="s">
        <v>17136</v>
      </c>
      <c r="B2107" t="s">
        <v>17137</v>
      </c>
      <c r="C2107">
        <v>70601000</v>
      </c>
      <c r="J2107" t="s">
        <v>17136</v>
      </c>
      <c r="K2107" t="s">
        <v>3605</v>
      </c>
    </row>
    <row r="2108" spans="1:11">
      <c r="A2108" t="s">
        <v>17138</v>
      </c>
      <c r="B2108" t="s">
        <v>17139</v>
      </c>
      <c r="C2108">
        <v>70901000</v>
      </c>
      <c r="J2108" t="s">
        <v>17138</v>
      </c>
      <c r="K2108" t="s">
        <v>3605</v>
      </c>
    </row>
    <row r="2109" spans="1:11">
      <c r="A2109" t="s">
        <v>17140</v>
      </c>
      <c r="B2109" t="s">
        <v>17141</v>
      </c>
      <c r="C2109">
        <v>71800550</v>
      </c>
      <c r="J2109" t="s">
        <v>17140</v>
      </c>
      <c r="K2109" t="s">
        <v>3605</v>
      </c>
    </row>
    <row r="2110" spans="1:11">
      <c r="A2110" t="s">
        <v>17142</v>
      </c>
      <c r="B2110" t="s">
        <v>17143</v>
      </c>
      <c r="C2110">
        <v>72000500</v>
      </c>
      <c r="J2110" t="s">
        <v>17142</v>
      </c>
      <c r="K2110" t="s">
        <v>3605</v>
      </c>
    </row>
    <row r="2111" spans="1:11">
      <c r="A2111" t="s">
        <v>17144</v>
      </c>
      <c r="B2111" t="s">
        <v>17145</v>
      </c>
      <c r="C2111">
        <v>72001100</v>
      </c>
      <c r="J2111" t="s">
        <v>17144</v>
      </c>
      <c r="K2111" t="s">
        <v>3605</v>
      </c>
    </row>
    <row r="2112" spans="1:11">
      <c r="A2112" t="s">
        <v>17146</v>
      </c>
      <c r="B2112" t="s">
        <v>17147</v>
      </c>
      <c r="C2112">
        <v>72001200</v>
      </c>
      <c r="J2112" t="s">
        <v>17146</v>
      </c>
      <c r="K2112" t="s">
        <v>3605</v>
      </c>
    </row>
    <row r="2113" spans="1:11">
      <c r="A2113" t="s">
        <v>17148</v>
      </c>
      <c r="B2113" t="s">
        <v>17149</v>
      </c>
      <c r="C2113">
        <v>72001300</v>
      </c>
      <c r="J2113" t="s">
        <v>17148</v>
      </c>
      <c r="K2113" t="s">
        <v>3605</v>
      </c>
    </row>
    <row r="2114" spans="1:11">
      <c r="A2114" t="s">
        <v>17150</v>
      </c>
      <c r="B2114" t="s">
        <v>17151</v>
      </c>
      <c r="C2114">
        <v>72001400</v>
      </c>
      <c r="J2114" t="s">
        <v>17150</v>
      </c>
      <c r="K2114" t="s">
        <v>3605</v>
      </c>
    </row>
    <row r="2115" spans="1:11">
      <c r="A2115" t="s">
        <v>17152</v>
      </c>
      <c r="B2115" t="s">
        <v>17153</v>
      </c>
      <c r="C2115">
        <v>72001500</v>
      </c>
      <c r="J2115" t="s">
        <v>17152</v>
      </c>
      <c r="K2115" t="s">
        <v>3605</v>
      </c>
    </row>
    <row r="2116" spans="1:11">
      <c r="A2116" t="s">
        <v>17154</v>
      </c>
      <c r="B2116" t="s">
        <v>17155</v>
      </c>
      <c r="C2116">
        <v>72001600</v>
      </c>
      <c r="J2116" t="s">
        <v>17154</v>
      </c>
      <c r="K2116" t="s">
        <v>3605</v>
      </c>
    </row>
    <row r="2117" spans="1:11">
      <c r="A2117" t="s">
        <v>17156</v>
      </c>
      <c r="B2117" t="s">
        <v>17157</v>
      </c>
      <c r="C2117">
        <v>72001700</v>
      </c>
      <c r="J2117" t="s">
        <v>17156</v>
      </c>
      <c r="K2117" t="s">
        <v>3605</v>
      </c>
    </row>
    <row r="2118" spans="1:11">
      <c r="A2118" t="s">
        <v>17158</v>
      </c>
      <c r="B2118" t="s">
        <v>17159</v>
      </c>
      <c r="C2118">
        <v>72001800</v>
      </c>
      <c r="J2118" t="s">
        <v>17158</v>
      </c>
      <c r="K2118" t="s">
        <v>3605</v>
      </c>
    </row>
    <row r="2119" spans="1:11">
      <c r="A2119" t="s">
        <v>17160</v>
      </c>
      <c r="B2119" t="s">
        <v>17161</v>
      </c>
      <c r="C2119">
        <v>72001900</v>
      </c>
      <c r="J2119" t="s">
        <v>17160</v>
      </c>
      <c r="K2119" t="s">
        <v>3605</v>
      </c>
    </row>
    <row r="2120" spans="1:11">
      <c r="A2120" t="s">
        <v>17162</v>
      </c>
      <c r="B2120" t="s">
        <v>17163</v>
      </c>
      <c r="C2120">
        <v>72002000</v>
      </c>
      <c r="J2120" t="s">
        <v>17162</v>
      </c>
      <c r="K2120" t="s">
        <v>3605</v>
      </c>
    </row>
    <row r="2121" spans="1:11">
      <c r="A2121" t="s">
        <v>17164</v>
      </c>
      <c r="B2121" t="s">
        <v>17165</v>
      </c>
      <c r="C2121">
        <v>72200500</v>
      </c>
      <c r="J2121" t="s">
        <v>17164</v>
      </c>
      <c r="K2121" t="s">
        <v>3605</v>
      </c>
    </row>
    <row r="2122" spans="1:11">
      <c r="A2122" t="s">
        <v>17166</v>
      </c>
      <c r="B2122" t="s">
        <v>17167</v>
      </c>
      <c r="C2122">
        <v>72200525</v>
      </c>
      <c r="J2122" t="s">
        <v>17166</v>
      </c>
      <c r="K2122" t="s">
        <v>3605</v>
      </c>
    </row>
    <row r="2123" spans="1:11">
      <c r="A2123" t="s">
        <v>17168</v>
      </c>
      <c r="B2123" t="s">
        <v>17169</v>
      </c>
      <c r="C2123">
        <v>72901504</v>
      </c>
      <c r="J2123" t="s">
        <v>17168</v>
      </c>
      <c r="K2123" t="s">
        <v>3605</v>
      </c>
    </row>
    <row r="2124" spans="1:11">
      <c r="A2124" t="s">
        <v>17170</v>
      </c>
      <c r="B2124" t="s">
        <v>17171</v>
      </c>
      <c r="C2124">
        <v>72302000</v>
      </c>
      <c r="J2124" t="s">
        <v>17170</v>
      </c>
      <c r="K2124" t="s">
        <v>3605</v>
      </c>
    </row>
    <row r="2125" spans="1:11">
      <c r="A2125" t="s">
        <v>17172</v>
      </c>
      <c r="B2125" t="s">
        <v>17173</v>
      </c>
      <c r="C2125">
        <v>71902500</v>
      </c>
      <c r="J2125" t="s">
        <v>17172</v>
      </c>
      <c r="K2125" t="s">
        <v>3605</v>
      </c>
    </row>
    <row r="2126" spans="1:11">
      <c r="A2126" t="s">
        <v>17174</v>
      </c>
      <c r="B2126" t="s">
        <v>17175</v>
      </c>
      <c r="C2126">
        <v>70700500</v>
      </c>
      <c r="J2126" t="s">
        <v>17174</v>
      </c>
      <c r="K2126" t="s">
        <v>3605</v>
      </c>
    </row>
    <row r="2127" spans="1:11">
      <c r="A2127" t="s">
        <v>17176</v>
      </c>
      <c r="B2127" t="s">
        <v>17177</v>
      </c>
      <c r="C2127">
        <v>70800500</v>
      </c>
      <c r="J2127" t="s">
        <v>17176</v>
      </c>
      <c r="K2127" t="s">
        <v>3605</v>
      </c>
    </row>
    <row r="2128" spans="1:11">
      <c r="A2128" t="s">
        <v>17178</v>
      </c>
      <c r="B2128" t="s">
        <v>17179</v>
      </c>
      <c r="C2128">
        <v>71000501</v>
      </c>
      <c r="J2128" t="s">
        <v>17178</v>
      </c>
      <c r="K2128" t="s">
        <v>3605</v>
      </c>
    </row>
    <row r="2129" spans="1:11">
      <c r="A2129" t="s">
        <v>17180</v>
      </c>
      <c r="B2129" t="s">
        <v>17181</v>
      </c>
      <c r="C2129">
        <v>70601700</v>
      </c>
      <c r="J2129" t="s">
        <v>17180</v>
      </c>
      <c r="K2129" t="s">
        <v>3605</v>
      </c>
    </row>
    <row r="2130" spans="1:11">
      <c r="A2130" t="s">
        <v>17182</v>
      </c>
      <c r="B2130" t="s">
        <v>17183</v>
      </c>
      <c r="C2130">
        <v>71601600</v>
      </c>
      <c r="J2130" t="s">
        <v>17182</v>
      </c>
      <c r="K2130" t="s">
        <v>3605</v>
      </c>
    </row>
    <row r="2131" spans="1:11">
      <c r="A2131" t="s">
        <v>17184</v>
      </c>
      <c r="B2131" t="s">
        <v>17185</v>
      </c>
      <c r="C2131">
        <v>71900500</v>
      </c>
      <c r="J2131" t="s">
        <v>17184</v>
      </c>
      <c r="K2131" t="s">
        <v>3605</v>
      </c>
    </row>
    <row r="2132" spans="1:11">
      <c r="A2132" t="s">
        <v>17186</v>
      </c>
      <c r="B2132" t="s">
        <v>17187</v>
      </c>
      <c r="C2132">
        <v>71904000</v>
      </c>
      <c r="J2132" t="s">
        <v>17186</v>
      </c>
      <c r="K2132" t="s">
        <v>3605</v>
      </c>
    </row>
    <row r="2133" spans="1:11">
      <c r="A2133" t="s">
        <v>17188</v>
      </c>
      <c r="B2133" t="s">
        <v>17189</v>
      </c>
      <c r="C2133">
        <v>72100500</v>
      </c>
      <c r="J2133" t="s">
        <v>17188</v>
      </c>
      <c r="K2133" t="s">
        <v>3605</v>
      </c>
    </row>
    <row r="2134" spans="1:11">
      <c r="A2134" t="s">
        <v>17190</v>
      </c>
      <c r="B2134" t="s">
        <v>17191</v>
      </c>
      <c r="C2134">
        <v>72306000</v>
      </c>
      <c r="J2134" t="s">
        <v>17190</v>
      </c>
      <c r="K2134" t="s">
        <v>3605</v>
      </c>
    </row>
    <row r="2135" spans="1:11">
      <c r="A2135" t="s">
        <v>17190</v>
      </c>
      <c r="B2135" t="s">
        <v>17191</v>
      </c>
      <c r="C2135">
        <v>72399000</v>
      </c>
      <c r="J2135" t="s">
        <v>17190</v>
      </c>
      <c r="K2135" t="s">
        <v>3605</v>
      </c>
    </row>
    <row r="2136" spans="1:11">
      <c r="A2136" t="s">
        <v>17190</v>
      </c>
      <c r="B2136" t="s">
        <v>17191</v>
      </c>
      <c r="C2136">
        <v>72306017</v>
      </c>
      <c r="J2136" t="s">
        <v>17190</v>
      </c>
      <c r="K2136" t="s">
        <v>3605</v>
      </c>
    </row>
    <row r="2137" spans="1:11">
      <c r="A2137" t="s">
        <v>17190</v>
      </c>
      <c r="B2137" t="s">
        <v>17191</v>
      </c>
      <c r="C2137">
        <v>72306400</v>
      </c>
      <c r="J2137" t="s">
        <v>17190</v>
      </c>
      <c r="K2137" t="s">
        <v>3605</v>
      </c>
    </row>
    <row r="2138" spans="1:11">
      <c r="A2138" t="s">
        <v>17190</v>
      </c>
      <c r="B2138" t="s">
        <v>17191</v>
      </c>
      <c r="C2138">
        <v>72309450</v>
      </c>
      <c r="J2138" t="s">
        <v>17190</v>
      </c>
      <c r="K2138" t="s">
        <v>3605</v>
      </c>
    </row>
    <row r="2139" spans="1:11">
      <c r="A2139" t="s">
        <v>17192</v>
      </c>
      <c r="B2139" t="s">
        <v>17193</v>
      </c>
      <c r="C2139">
        <v>72306100</v>
      </c>
      <c r="J2139" t="s">
        <v>17192</v>
      </c>
      <c r="K2139" t="s">
        <v>3605</v>
      </c>
    </row>
    <row r="2140" spans="1:11">
      <c r="A2140" t="s">
        <v>17194</v>
      </c>
      <c r="B2140" t="s">
        <v>17195</v>
      </c>
      <c r="C2140">
        <v>72307000</v>
      </c>
      <c r="J2140" t="s">
        <v>17194</v>
      </c>
      <c r="K2140" t="s">
        <v>3605</v>
      </c>
    </row>
    <row r="2141" spans="1:11">
      <c r="A2141" t="s">
        <v>17196</v>
      </c>
      <c r="B2141" t="s">
        <v>17197</v>
      </c>
      <c r="C2141">
        <v>72309700</v>
      </c>
      <c r="J2141" t="s">
        <v>17196</v>
      </c>
      <c r="K2141" t="s">
        <v>3605</v>
      </c>
    </row>
    <row r="2142" spans="1:11">
      <c r="A2142" t="s">
        <v>17198</v>
      </c>
      <c r="B2142" t="s">
        <v>17199</v>
      </c>
      <c r="C2142">
        <v>72309999</v>
      </c>
      <c r="J2142" t="s">
        <v>17198</v>
      </c>
      <c r="K2142" t="s">
        <v>3605</v>
      </c>
    </row>
    <row r="2143" spans="1:11">
      <c r="A2143" t="s">
        <v>17200</v>
      </c>
      <c r="B2143" t="s">
        <v>17201</v>
      </c>
      <c r="C2143">
        <v>72310000</v>
      </c>
      <c r="J2143" t="s">
        <v>17200</v>
      </c>
      <c r="K2143" t="s">
        <v>3605</v>
      </c>
    </row>
    <row r="2144" spans="1:11">
      <c r="A2144" t="s">
        <v>17202</v>
      </c>
      <c r="B2144" t="s">
        <v>17203</v>
      </c>
      <c r="C2144">
        <v>73202500</v>
      </c>
      <c r="J2144" t="s">
        <v>17202</v>
      </c>
      <c r="K2144" t="s">
        <v>3605</v>
      </c>
    </row>
    <row r="2145" spans="1:11">
      <c r="A2145" t="s">
        <v>17204</v>
      </c>
      <c r="B2145" t="s">
        <v>17205</v>
      </c>
      <c r="C2145">
        <v>74200000</v>
      </c>
      <c r="J2145" t="s">
        <v>17204</v>
      </c>
      <c r="K2145" t="s">
        <v>3605</v>
      </c>
    </row>
    <row r="2146" spans="1:11">
      <c r="A2146" t="s">
        <v>17206</v>
      </c>
      <c r="B2146" t="s">
        <v>17207</v>
      </c>
      <c r="C2146">
        <v>77700001</v>
      </c>
      <c r="J2146" t="s">
        <v>17206</v>
      </c>
      <c r="K2146" t="s">
        <v>3605</v>
      </c>
    </row>
    <row r="2147" spans="1:11">
      <c r="A2147" t="s">
        <v>17208</v>
      </c>
      <c r="B2147" t="s">
        <v>17209</v>
      </c>
      <c r="C2147">
        <v>71900522</v>
      </c>
      <c r="J2147" t="s">
        <v>17208</v>
      </c>
      <c r="K2147" t="s">
        <v>3605</v>
      </c>
    </row>
    <row r="2148" spans="1:11">
      <c r="A2148" t="s">
        <v>17210</v>
      </c>
      <c r="B2148" t="s">
        <v>17211</v>
      </c>
      <c r="C2148">
        <v>72901000</v>
      </c>
      <c r="J2148" t="s">
        <v>17210</v>
      </c>
      <c r="K2148" t="s">
        <v>3605</v>
      </c>
    </row>
    <row r="2149" spans="1:11">
      <c r="A2149" t="s">
        <v>17212</v>
      </c>
      <c r="B2149" t="s">
        <v>17213</v>
      </c>
      <c r="C2149">
        <v>72901500</v>
      </c>
      <c r="J2149" t="s">
        <v>17212</v>
      </c>
      <c r="K2149" t="s">
        <v>3605</v>
      </c>
    </row>
    <row r="2150" spans="1:11">
      <c r="A2150" t="s">
        <v>17214</v>
      </c>
      <c r="B2150" t="s">
        <v>17215</v>
      </c>
      <c r="C2150">
        <v>72901502</v>
      </c>
      <c r="J2150" t="s">
        <v>17214</v>
      </c>
      <c r="K2150" t="s">
        <v>3605</v>
      </c>
    </row>
    <row r="2151" spans="1:11">
      <c r="A2151" t="s">
        <v>17216</v>
      </c>
      <c r="B2151" t="s">
        <v>17217</v>
      </c>
      <c r="C2151">
        <v>72902500</v>
      </c>
      <c r="J2151" t="s">
        <v>17216</v>
      </c>
      <c r="K2151" t="s">
        <v>3605</v>
      </c>
    </row>
    <row r="2152" spans="1:11">
      <c r="A2152" t="s">
        <v>17218</v>
      </c>
      <c r="B2152" t="s">
        <v>17219</v>
      </c>
      <c r="C2152">
        <v>72900500</v>
      </c>
      <c r="J2152" t="s">
        <v>17218</v>
      </c>
      <c r="K2152" t="s">
        <v>3605</v>
      </c>
    </row>
    <row r="2153" spans="1:11">
      <c r="A2153" t="s">
        <v>17220</v>
      </c>
      <c r="B2153" t="s">
        <v>17221</v>
      </c>
      <c r="C2153">
        <v>72901100</v>
      </c>
      <c r="J2153" t="s">
        <v>17220</v>
      </c>
      <c r="K2153" t="s">
        <v>3605</v>
      </c>
    </row>
    <row r="2154" spans="1:11">
      <c r="A2154" t="s">
        <v>17222</v>
      </c>
      <c r="B2154" t="s">
        <v>17223</v>
      </c>
      <c r="C2154">
        <v>72901501</v>
      </c>
      <c r="J2154" t="s">
        <v>17222</v>
      </c>
      <c r="K2154" t="s">
        <v>3605</v>
      </c>
    </row>
    <row r="2155" spans="1:11">
      <c r="A2155" t="s">
        <v>17224</v>
      </c>
      <c r="B2155" t="s">
        <v>17225</v>
      </c>
      <c r="C2155">
        <v>72902000</v>
      </c>
      <c r="J2155" t="s">
        <v>17224</v>
      </c>
      <c r="K2155" t="s">
        <v>3605</v>
      </c>
    </row>
    <row r="2156" spans="1:11">
      <c r="A2156" t="s">
        <v>17226</v>
      </c>
      <c r="B2156" t="s">
        <v>17227</v>
      </c>
      <c r="C2156">
        <v>72909997</v>
      </c>
      <c r="J2156" t="s">
        <v>17226</v>
      </c>
      <c r="K2156" t="s">
        <v>3605</v>
      </c>
    </row>
    <row r="2157" spans="1:11">
      <c r="A2157" t="s">
        <v>17228</v>
      </c>
      <c r="B2157" t="s">
        <v>17229</v>
      </c>
      <c r="C2157">
        <v>72909999</v>
      </c>
      <c r="J2157" t="s">
        <v>17228</v>
      </c>
      <c r="K2157" t="s">
        <v>3605</v>
      </c>
    </row>
    <row r="2158" spans="1:11">
      <c r="A2158" t="s">
        <v>17230</v>
      </c>
      <c r="B2158" t="s">
        <v>17231</v>
      </c>
      <c r="C2158">
        <v>72901505</v>
      </c>
      <c r="J2158" t="s">
        <v>17230</v>
      </c>
      <c r="K2158" t="s">
        <v>3605</v>
      </c>
    </row>
    <row r="2159" spans="1:11">
      <c r="A2159" t="s">
        <v>17232</v>
      </c>
      <c r="B2159" t="s">
        <v>17233</v>
      </c>
      <c r="C2159">
        <v>79914200</v>
      </c>
      <c r="J2159" t="s">
        <v>17232</v>
      </c>
      <c r="K2159" t="s">
        <v>3605</v>
      </c>
    </row>
    <row r="2160" spans="1:11">
      <c r="A2160" t="s">
        <v>17234</v>
      </c>
      <c r="B2160" t="s">
        <v>17235</v>
      </c>
      <c r="C2160">
        <v>79994200</v>
      </c>
      <c r="J2160" t="s">
        <v>17234</v>
      </c>
      <c r="K2160" t="s">
        <v>3605</v>
      </c>
    </row>
    <row r="2161" spans="1:11">
      <c r="A2161" t="s">
        <v>17236</v>
      </c>
      <c r="B2161" t="s">
        <v>17237</v>
      </c>
      <c r="C2161">
        <v>72903500</v>
      </c>
      <c r="J2161" t="s">
        <v>17236</v>
      </c>
      <c r="K2161" t="s">
        <v>3605</v>
      </c>
    </row>
    <row r="2162" spans="1:11">
      <c r="A2162" t="s">
        <v>17238</v>
      </c>
      <c r="B2162" t="s">
        <v>17239</v>
      </c>
      <c r="C2162">
        <v>72400600</v>
      </c>
      <c r="J2162" t="s">
        <v>17238</v>
      </c>
      <c r="K2162" t="s">
        <v>3605</v>
      </c>
    </row>
    <row r="2163" spans="1:11">
      <c r="A2163" t="s">
        <v>17240</v>
      </c>
      <c r="B2163" t="s">
        <v>17241</v>
      </c>
      <c r="C2163">
        <v>79914000</v>
      </c>
      <c r="J2163" t="s">
        <v>17240</v>
      </c>
      <c r="K2163" t="s">
        <v>3605</v>
      </c>
    </row>
    <row r="2164" spans="1:11">
      <c r="A2164" t="s">
        <v>17242</v>
      </c>
      <c r="B2164" t="s">
        <v>17243</v>
      </c>
      <c r="C2164">
        <v>72400547</v>
      </c>
      <c r="J2164" t="s">
        <v>17242</v>
      </c>
      <c r="K2164" t="s">
        <v>3605</v>
      </c>
    </row>
    <row r="2165" spans="1:11">
      <c r="A2165" t="s">
        <v>17244</v>
      </c>
      <c r="B2165" t="s">
        <v>17245</v>
      </c>
      <c r="C2165">
        <v>72400402</v>
      </c>
      <c r="J2165" t="s">
        <v>17244</v>
      </c>
      <c r="K2165" t="s">
        <v>3605</v>
      </c>
    </row>
    <row r="2166" spans="1:11">
      <c r="A2166" t="s">
        <v>17246</v>
      </c>
      <c r="B2166" t="s">
        <v>17247</v>
      </c>
      <c r="C2166">
        <v>72400403</v>
      </c>
      <c r="J2166" t="s">
        <v>17246</v>
      </c>
      <c r="K2166" t="s">
        <v>3605</v>
      </c>
    </row>
    <row r="2167" spans="1:11">
      <c r="A2167" t="s">
        <v>17248</v>
      </c>
      <c r="B2167" t="s">
        <v>17249</v>
      </c>
      <c r="C2167">
        <v>72400407</v>
      </c>
      <c r="J2167" t="s">
        <v>17248</v>
      </c>
      <c r="K2167" t="s">
        <v>3605</v>
      </c>
    </row>
    <row r="2168" spans="1:11">
      <c r="A2168" t="s">
        <v>17250</v>
      </c>
      <c r="B2168" t="s">
        <v>17251</v>
      </c>
      <c r="C2168">
        <v>72400510</v>
      </c>
      <c r="J2168" t="s">
        <v>17250</v>
      </c>
      <c r="K2168" t="s">
        <v>3605</v>
      </c>
    </row>
    <row r="2169" spans="1:11">
      <c r="A2169" t="s">
        <v>17252</v>
      </c>
      <c r="B2169" t="s">
        <v>17253</v>
      </c>
      <c r="C2169">
        <v>72400511</v>
      </c>
      <c r="J2169" t="s">
        <v>17252</v>
      </c>
      <c r="K2169" t="s">
        <v>3605</v>
      </c>
    </row>
    <row r="2170" spans="1:11">
      <c r="A2170" t="s">
        <v>17254</v>
      </c>
      <c r="B2170" t="s">
        <v>17255</v>
      </c>
      <c r="C2170">
        <v>72400512</v>
      </c>
      <c r="J2170" t="s">
        <v>17254</v>
      </c>
      <c r="K2170" t="s">
        <v>3605</v>
      </c>
    </row>
    <row r="2171" spans="1:11">
      <c r="A2171" t="s">
        <v>17256</v>
      </c>
      <c r="B2171" t="s">
        <v>17257</v>
      </c>
      <c r="C2171">
        <v>72400515</v>
      </c>
      <c r="J2171" t="s">
        <v>17256</v>
      </c>
      <c r="K2171" t="s">
        <v>3605</v>
      </c>
    </row>
    <row r="2172" spans="1:11">
      <c r="A2172" t="s">
        <v>17258</v>
      </c>
      <c r="B2172" t="s">
        <v>17259</v>
      </c>
      <c r="C2172">
        <v>72400516</v>
      </c>
      <c r="J2172" t="s">
        <v>17258</v>
      </c>
      <c r="K2172" t="s">
        <v>3605</v>
      </c>
    </row>
    <row r="2173" spans="1:11">
      <c r="A2173" t="s">
        <v>17260</v>
      </c>
      <c r="B2173" t="s">
        <v>17261</v>
      </c>
      <c r="C2173">
        <v>72400517</v>
      </c>
      <c r="J2173" t="s">
        <v>17260</v>
      </c>
      <c r="K2173" t="s">
        <v>3605</v>
      </c>
    </row>
    <row r="2174" spans="1:11">
      <c r="A2174" t="s">
        <v>17262</v>
      </c>
      <c r="B2174" t="s">
        <v>17263</v>
      </c>
      <c r="C2174">
        <v>72400518</v>
      </c>
      <c r="J2174" t="s">
        <v>17262</v>
      </c>
      <c r="K2174" t="s">
        <v>3605</v>
      </c>
    </row>
    <row r="2175" spans="1:11">
      <c r="A2175" t="s">
        <v>17264</v>
      </c>
      <c r="B2175" t="s">
        <v>17265</v>
      </c>
      <c r="C2175">
        <v>72400519</v>
      </c>
      <c r="J2175" t="s">
        <v>17264</v>
      </c>
      <c r="K2175" t="s">
        <v>3605</v>
      </c>
    </row>
    <row r="2176" spans="1:11">
      <c r="A2176" t="s">
        <v>17266</v>
      </c>
      <c r="B2176" t="s">
        <v>17267</v>
      </c>
      <c r="C2176">
        <v>72400525</v>
      </c>
      <c r="J2176" t="s">
        <v>17266</v>
      </c>
      <c r="K2176" t="s">
        <v>3605</v>
      </c>
    </row>
    <row r="2177" spans="1:11">
      <c r="A2177" t="s">
        <v>17268</v>
      </c>
      <c r="B2177" t="s">
        <v>17269</v>
      </c>
      <c r="C2177">
        <v>72400526</v>
      </c>
      <c r="J2177" t="s">
        <v>17268</v>
      </c>
      <c r="K2177" t="s">
        <v>3605</v>
      </c>
    </row>
    <row r="2178" spans="1:11">
      <c r="A2178" t="s">
        <v>17270</v>
      </c>
      <c r="B2178" t="s">
        <v>17271</v>
      </c>
      <c r="C2178">
        <v>72400528</v>
      </c>
      <c r="J2178" t="s">
        <v>17270</v>
      </c>
      <c r="K2178" t="s">
        <v>3605</v>
      </c>
    </row>
    <row r="2179" spans="1:11">
      <c r="A2179" t="s">
        <v>17272</v>
      </c>
      <c r="B2179" t="s">
        <v>17273</v>
      </c>
      <c r="C2179">
        <v>72400529</v>
      </c>
      <c r="J2179" t="s">
        <v>17272</v>
      </c>
      <c r="K2179" t="s">
        <v>3605</v>
      </c>
    </row>
    <row r="2180" spans="1:11">
      <c r="A2180" t="s">
        <v>17274</v>
      </c>
      <c r="B2180" t="s">
        <v>17275</v>
      </c>
      <c r="C2180">
        <v>72400534</v>
      </c>
      <c r="J2180" t="s">
        <v>17274</v>
      </c>
      <c r="K2180" t="s">
        <v>3605</v>
      </c>
    </row>
    <row r="2181" spans="1:11">
      <c r="A2181" t="s">
        <v>17276</v>
      </c>
      <c r="B2181" t="s">
        <v>17277</v>
      </c>
      <c r="C2181">
        <v>72400537</v>
      </c>
      <c r="J2181" t="s">
        <v>17276</v>
      </c>
      <c r="K2181" t="s">
        <v>3605</v>
      </c>
    </row>
    <row r="2182" spans="1:11">
      <c r="A2182" t="s">
        <v>17278</v>
      </c>
      <c r="B2182" t="s">
        <v>17279</v>
      </c>
      <c r="C2182">
        <v>72400537</v>
      </c>
      <c r="J2182" t="s">
        <v>17278</v>
      </c>
      <c r="K2182" t="s">
        <v>3605</v>
      </c>
    </row>
    <row r="2183" spans="1:11">
      <c r="A2183" t="s">
        <v>17280</v>
      </c>
      <c r="B2183" t="s">
        <v>17281</v>
      </c>
      <c r="C2183">
        <v>72400538</v>
      </c>
      <c r="J2183" t="s">
        <v>17280</v>
      </c>
      <c r="K2183" t="s">
        <v>3605</v>
      </c>
    </row>
    <row r="2184" spans="1:11">
      <c r="A2184" t="s">
        <v>17282</v>
      </c>
      <c r="B2184" t="s">
        <v>17283</v>
      </c>
      <c r="C2184">
        <v>72400540</v>
      </c>
      <c r="J2184" t="s">
        <v>17282</v>
      </c>
      <c r="K2184" t="s">
        <v>3605</v>
      </c>
    </row>
    <row r="2185" spans="1:11">
      <c r="A2185" t="s">
        <v>17284</v>
      </c>
      <c r="B2185" t="s">
        <v>17285</v>
      </c>
      <c r="C2185">
        <v>72400543</v>
      </c>
      <c r="J2185" t="s">
        <v>17284</v>
      </c>
      <c r="K2185" t="s">
        <v>3605</v>
      </c>
    </row>
    <row r="2186" spans="1:11">
      <c r="A2186" t="s">
        <v>17286</v>
      </c>
      <c r="B2186" t="s">
        <v>17287</v>
      </c>
      <c r="C2186">
        <v>72400544</v>
      </c>
      <c r="J2186" t="s">
        <v>17286</v>
      </c>
      <c r="K2186" t="s">
        <v>3605</v>
      </c>
    </row>
    <row r="2187" spans="1:11">
      <c r="A2187" t="s">
        <v>17288</v>
      </c>
      <c r="B2187" t="s">
        <v>17289</v>
      </c>
      <c r="C2187">
        <v>72400545</v>
      </c>
      <c r="J2187" t="s">
        <v>17288</v>
      </c>
      <c r="K2187" t="s">
        <v>3605</v>
      </c>
    </row>
    <row r="2188" spans="1:11">
      <c r="A2188" t="s">
        <v>17290</v>
      </c>
      <c r="B2188" t="s">
        <v>17291</v>
      </c>
      <c r="C2188">
        <v>72400546</v>
      </c>
      <c r="J2188" t="s">
        <v>17290</v>
      </c>
      <c r="K2188" t="s">
        <v>3605</v>
      </c>
    </row>
    <row r="2189" spans="1:11">
      <c r="A2189" t="s">
        <v>17292</v>
      </c>
      <c r="B2189" t="s">
        <v>17293</v>
      </c>
      <c r="C2189">
        <v>72400547</v>
      </c>
      <c r="J2189" t="s">
        <v>17292</v>
      </c>
      <c r="K2189" t="s">
        <v>3605</v>
      </c>
    </row>
    <row r="2190" spans="1:11">
      <c r="A2190" t="s">
        <v>17294</v>
      </c>
      <c r="B2190" t="s">
        <v>17295</v>
      </c>
      <c r="C2190">
        <v>72400555</v>
      </c>
      <c r="J2190" t="s">
        <v>17294</v>
      </c>
      <c r="K2190" t="s">
        <v>3605</v>
      </c>
    </row>
    <row r="2191" spans="1:11">
      <c r="A2191" t="s">
        <v>17296</v>
      </c>
      <c r="B2191" t="s">
        <v>17297</v>
      </c>
      <c r="C2191">
        <v>72400570</v>
      </c>
      <c r="J2191" t="s">
        <v>17296</v>
      </c>
      <c r="K2191" t="s">
        <v>3605</v>
      </c>
    </row>
    <row r="2192" spans="1:11">
      <c r="A2192" t="s">
        <v>17298</v>
      </c>
      <c r="B2192" t="s">
        <v>17299</v>
      </c>
      <c r="C2192">
        <v>72400580</v>
      </c>
      <c r="J2192" t="s">
        <v>17298</v>
      </c>
      <c r="K2192" t="s">
        <v>3605</v>
      </c>
    </row>
    <row r="2193" spans="1:11">
      <c r="A2193" t="s">
        <v>17300</v>
      </c>
      <c r="B2193" t="s">
        <v>17301</v>
      </c>
      <c r="C2193">
        <v>73900503</v>
      </c>
      <c r="J2193" t="s">
        <v>17300</v>
      </c>
      <c r="K2193" t="s">
        <v>3605</v>
      </c>
    </row>
    <row r="2194" spans="1:11">
      <c r="A2194" t="s">
        <v>17302</v>
      </c>
      <c r="B2194" t="s">
        <v>17303</v>
      </c>
      <c r="C2194">
        <v>73300400</v>
      </c>
      <c r="J2194" t="s">
        <v>17302</v>
      </c>
      <c r="K2194" t="s">
        <v>3605</v>
      </c>
    </row>
    <row r="2195" spans="1:11">
      <c r="A2195" t="s">
        <v>17304</v>
      </c>
      <c r="B2195" t="s">
        <v>17305</v>
      </c>
      <c r="C2195">
        <v>73300700</v>
      </c>
      <c r="J2195" t="s">
        <v>17304</v>
      </c>
      <c r="K2195" t="s">
        <v>3605</v>
      </c>
    </row>
    <row r="2196" spans="1:11">
      <c r="A2196" t="s">
        <v>17306</v>
      </c>
      <c r="B2196" t="s">
        <v>17307</v>
      </c>
      <c r="C2196">
        <v>73300500</v>
      </c>
      <c r="J2196" t="s">
        <v>17306</v>
      </c>
      <c r="K2196" t="s">
        <v>3605</v>
      </c>
    </row>
    <row r="2197" spans="1:11">
      <c r="A2197" t="s">
        <v>17308</v>
      </c>
      <c r="B2197" t="s">
        <v>17309</v>
      </c>
      <c r="C2197">
        <v>73302000</v>
      </c>
      <c r="J2197" t="s">
        <v>17308</v>
      </c>
      <c r="K2197" t="s">
        <v>3605</v>
      </c>
    </row>
    <row r="2198" spans="1:11">
      <c r="A2198" t="s">
        <v>17310</v>
      </c>
      <c r="B2198" t="s">
        <v>17311</v>
      </c>
      <c r="C2198">
        <v>73300900</v>
      </c>
      <c r="J2198" t="s">
        <v>17310</v>
      </c>
      <c r="K2198" t="s">
        <v>3605</v>
      </c>
    </row>
    <row r="2199" spans="1:11">
      <c r="A2199" t="s">
        <v>17312</v>
      </c>
      <c r="B2199" t="s">
        <v>17313</v>
      </c>
      <c r="C2199">
        <v>73601000</v>
      </c>
      <c r="J2199" t="s">
        <v>17312</v>
      </c>
      <c r="K2199" t="s">
        <v>3605</v>
      </c>
    </row>
    <row r="2200" spans="1:11">
      <c r="A2200" t="s">
        <v>17314</v>
      </c>
      <c r="B2200" t="s">
        <v>17315</v>
      </c>
      <c r="C2200">
        <v>73200500</v>
      </c>
      <c r="J2200" t="s">
        <v>17314</v>
      </c>
      <c r="K2200" t="s">
        <v>3605</v>
      </c>
    </row>
    <row r="2201" spans="1:11">
      <c r="A2201" t="s">
        <v>17316</v>
      </c>
      <c r="B2201" t="s">
        <v>17317</v>
      </c>
      <c r="C2201">
        <v>73200505</v>
      </c>
      <c r="J2201" t="s">
        <v>17316</v>
      </c>
      <c r="K2201" t="s">
        <v>3605</v>
      </c>
    </row>
    <row r="2202" spans="1:11">
      <c r="A2202" t="s">
        <v>17318</v>
      </c>
      <c r="B2202" t="s">
        <v>17319</v>
      </c>
      <c r="C2202">
        <v>73201000</v>
      </c>
      <c r="J2202" t="s">
        <v>17318</v>
      </c>
      <c r="K2202" t="s">
        <v>3605</v>
      </c>
    </row>
    <row r="2203" spans="1:11">
      <c r="A2203" t="s">
        <v>17320</v>
      </c>
      <c r="B2203" t="s">
        <v>17321</v>
      </c>
      <c r="C2203">
        <v>73201500</v>
      </c>
      <c r="J2203" t="s">
        <v>17320</v>
      </c>
      <c r="K2203" t="s">
        <v>3605</v>
      </c>
    </row>
    <row r="2204" spans="1:11">
      <c r="A2204" t="s">
        <v>17322</v>
      </c>
      <c r="B2204" t="s">
        <v>17323</v>
      </c>
      <c r="C2204">
        <v>73202000</v>
      </c>
      <c r="J2204" t="s">
        <v>17322</v>
      </c>
      <c r="K2204" t="s">
        <v>3605</v>
      </c>
    </row>
    <row r="2205" spans="1:11">
      <c r="A2205" t="s">
        <v>17324</v>
      </c>
      <c r="B2205" t="s">
        <v>17325</v>
      </c>
      <c r="C2205">
        <v>73601500</v>
      </c>
      <c r="J2205" t="s">
        <v>17324</v>
      </c>
      <c r="K2205" t="s">
        <v>3605</v>
      </c>
    </row>
    <row r="2206" spans="1:11">
      <c r="A2206" t="s">
        <v>17326</v>
      </c>
      <c r="B2206" t="s">
        <v>17327</v>
      </c>
      <c r="C2206">
        <v>73401000</v>
      </c>
      <c r="J2206" t="s">
        <v>17326</v>
      </c>
      <c r="K2206" t="s">
        <v>3605</v>
      </c>
    </row>
    <row r="2207" spans="1:11">
      <c r="A2207" t="s">
        <v>17328</v>
      </c>
      <c r="B2207" t="s">
        <v>17329</v>
      </c>
      <c r="C2207">
        <v>73401001</v>
      </c>
      <c r="J2207" t="s">
        <v>17328</v>
      </c>
      <c r="K2207" t="s">
        <v>3605</v>
      </c>
    </row>
    <row r="2208" spans="1:11">
      <c r="A2208" t="s">
        <v>17330</v>
      </c>
      <c r="B2208" t="s">
        <v>17331</v>
      </c>
      <c r="C2208">
        <v>73401002</v>
      </c>
      <c r="J2208" t="s">
        <v>17330</v>
      </c>
      <c r="K2208" t="s">
        <v>3605</v>
      </c>
    </row>
    <row r="2209" spans="1:11">
      <c r="A2209" t="s">
        <v>17332</v>
      </c>
      <c r="B2209" t="s">
        <v>17333</v>
      </c>
      <c r="C2209">
        <v>73401003</v>
      </c>
      <c r="J2209" t="s">
        <v>17332</v>
      </c>
      <c r="K2209" t="s">
        <v>3605</v>
      </c>
    </row>
    <row r="2210" spans="1:11">
      <c r="A2210" t="s">
        <v>17334</v>
      </c>
      <c r="B2210" t="s">
        <v>17335</v>
      </c>
      <c r="C2210">
        <v>73401500</v>
      </c>
      <c r="J2210" t="s">
        <v>17334</v>
      </c>
      <c r="K2210" t="s">
        <v>3605</v>
      </c>
    </row>
    <row r="2211" spans="1:11">
      <c r="A2211" t="s">
        <v>17336</v>
      </c>
      <c r="B2211" t="s">
        <v>17337</v>
      </c>
      <c r="C2211">
        <v>73401501</v>
      </c>
      <c r="J2211" t="s">
        <v>17336</v>
      </c>
      <c r="K2211" t="s">
        <v>3605</v>
      </c>
    </row>
    <row r="2212" spans="1:11">
      <c r="A2212" t="s">
        <v>17338</v>
      </c>
      <c r="B2212" t="s">
        <v>17339</v>
      </c>
      <c r="C2212">
        <v>73401502</v>
      </c>
      <c r="J2212" t="s">
        <v>17338</v>
      </c>
      <c r="K2212" t="s">
        <v>3605</v>
      </c>
    </row>
    <row r="2213" spans="1:11">
      <c r="A2213" t="s">
        <v>17340</v>
      </c>
      <c r="B2213" t="s">
        <v>17341</v>
      </c>
      <c r="C2213">
        <v>73401503</v>
      </c>
      <c r="J2213" t="s">
        <v>17340</v>
      </c>
      <c r="K2213" t="s">
        <v>3605</v>
      </c>
    </row>
    <row r="2214" spans="1:11">
      <c r="A2214" t="s">
        <v>17342</v>
      </c>
      <c r="B2214" t="s">
        <v>17343</v>
      </c>
      <c r="C2214">
        <v>73401504</v>
      </c>
      <c r="J2214" t="s">
        <v>17342</v>
      </c>
      <c r="K2214" t="s">
        <v>3605</v>
      </c>
    </row>
    <row r="2215" spans="1:11">
      <c r="A2215" t="s">
        <v>17344</v>
      </c>
      <c r="B2215" t="s">
        <v>17345</v>
      </c>
      <c r="C2215">
        <v>73401508</v>
      </c>
      <c r="J2215" t="s">
        <v>17344</v>
      </c>
      <c r="K2215" t="s">
        <v>3605</v>
      </c>
    </row>
    <row r="2216" spans="1:11">
      <c r="A2216" t="s">
        <v>17346</v>
      </c>
      <c r="B2216" t="s">
        <v>17347</v>
      </c>
      <c r="C2216">
        <v>73410000</v>
      </c>
      <c r="J2216" t="s">
        <v>17346</v>
      </c>
      <c r="K2216" t="s">
        <v>3605</v>
      </c>
    </row>
    <row r="2217" spans="1:11">
      <c r="A2217" t="s">
        <v>17348</v>
      </c>
      <c r="B2217" t="s">
        <v>17349</v>
      </c>
      <c r="C2217">
        <v>73609999</v>
      </c>
      <c r="J2217" t="s">
        <v>17348</v>
      </c>
      <c r="K2217" t="s">
        <v>3605</v>
      </c>
    </row>
    <row r="2218" spans="1:11">
      <c r="A2218" t="s">
        <v>17350</v>
      </c>
      <c r="B2218" t="s">
        <v>17351</v>
      </c>
      <c r="C2218">
        <v>74080080</v>
      </c>
      <c r="J2218" t="s">
        <v>17350</v>
      </c>
      <c r="K2218" t="s">
        <v>3605</v>
      </c>
    </row>
    <row r="2219" spans="1:11">
      <c r="A2219" t="s">
        <v>17352</v>
      </c>
      <c r="B2219" t="s">
        <v>17353</v>
      </c>
      <c r="C2219">
        <v>74080081</v>
      </c>
      <c r="J2219" t="s">
        <v>17352</v>
      </c>
      <c r="K2219" t="s">
        <v>3605</v>
      </c>
    </row>
    <row r="2220" spans="1:11">
      <c r="A2220" t="s">
        <v>17354</v>
      </c>
      <c r="B2220" t="s">
        <v>17355</v>
      </c>
      <c r="C2220">
        <v>74400000</v>
      </c>
      <c r="J2220" t="s">
        <v>17354</v>
      </c>
      <c r="K2220" t="s">
        <v>3605</v>
      </c>
    </row>
    <row r="2221" spans="1:11">
      <c r="A2221" t="s">
        <v>17356</v>
      </c>
      <c r="B2221" t="s">
        <v>14091</v>
      </c>
      <c r="C2221">
        <v>74400001</v>
      </c>
      <c r="J2221" t="s">
        <v>17356</v>
      </c>
      <c r="K2221" t="s">
        <v>3605</v>
      </c>
    </row>
    <row r="2222" spans="1:11">
      <c r="A2222" t="s">
        <v>17357</v>
      </c>
      <c r="B2222" t="s">
        <v>17358</v>
      </c>
      <c r="C2222">
        <v>79990017</v>
      </c>
      <c r="J2222" t="s">
        <v>17357</v>
      </c>
      <c r="K2222" t="s">
        <v>3605</v>
      </c>
    </row>
    <row r="2223" spans="1:11">
      <c r="A2223" t="s">
        <v>17359</v>
      </c>
      <c r="B2223" t="s">
        <v>17360</v>
      </c>
      <c r="C2223">
        <v>73001000</v>
      </c>
      <c r="J2223" t="s">
        <v>17359</v>
      </c>
      <c r="K2223" t="s">
        <v>3605</v>
      </c>
    </row>
    <row r="2224" spans="1:11">
      <c r="A2224" t="s">
        <v>17361</v>
      </c>
      <c r="B2224" t="s">
        <v>17362</v>
      </c>
      <c r="C2224">
        <v>60816310</v>
      </c>
      <c r="J2224" t="s">
        <v>17361</v>
      </c>
      <c r="K2224" t="s">
        <v>3605</v>
      </c>
    </row>
    <row r="2225" spans="1:11">
      <c r="A2225" t="s">
        <v>17363</v>
      </c>
      <c r="B2225" t="s">
        <v>17364</v>
      </c>
      <c r="C2225">
        <v>73203000</v>
      </c>
      <c r="J2225" t="s">
        <v>17363</v>
      </c>
      <c r="K2225" t="s">
        <v>3605</v>
      </c>
    </row>
    <row r="2226" spans="1:11">
      <c r="A2226" t="s">
        <v>17365</v>
      </c>
      <c r="B2226" t="s">
        <v>17366</v>
      </c>
      <c r="C2226">
        <v>74080084</v>
      </c>
      <c r="J2226" t="s">
        <v>17365</v>
      </c>
      <c r="K2226" t="s">
        <v>3605</v>
      </c>
    </row>
    <row r="2227" spans="1:11">
      <c r="A2227" t="s">
        <v>17367</v>
      </c>
      <c r="B2227" t="s">
        <v>17368</v>
      </c>
      <c r="C2227">
        <v>72101000</v>
      </c>
      <c r="J2227" t="s">
        <v>17367</v>
      </c>
      <c r="K2227" t="s">
        <v>3605</v>
      </c>
    </row>
    <row r="2228" spans="1:11">
      <c r="A2228" t="s">
        <v>17369</v>
      </c>
      <c r="B2228" t="s">
        <v>17370</v>
      </c>
      <c r="C2228">
        <v>72101500</v>
      </c>
      <c r="J2228" t="s">
        <v>17369</v>
      </c>
      <c r="K2228" t="s">
        <v>3605</v>
      </c>
    </row>
    <row r="2229" spans="1:11">
      <c r="A2229" t="s">
        <v>17371</v>
      </c>
      <c r="B2229" t="s">
        <v>17372</v>
      </c>
      <c r="C2229">
        <v>72101800</v>
      </c>
      <c r="J2229" t="s">
        <v>17371</v>
      </c>
      <c r="K2229" t="s">
        <v>3605</v>
      </c>
    </row>
    <row r="2230" spans="1:11">
      <c r="A2230" t="s">
        <v>17373</v>
      </c>
      <c r="B2230" t="s">
        <v>17374</v>
      </c>
      <c r="C2230">
        <v>72101801</v>
      </c>
      <c r="J2230" t="s">
        <v>17373</v>
      </c>
      <c r="K2230" t="s">
        <v>3605</v>
      </c>
    </row>
    <row r="2231" spans="1:11">
      <c r="A2231" t="s">
        <v>17375</v>
      </c>
      <c r="B2231" t="s">
        <v>17376</v>
      </c>
      <c r="C2231">
        <v>72101802</v>
      </c>
      <c r="J2231" t="s">
        <v>17375</v>
      </c>
      <c r="K2231" t="s">
        <v>3605</v>
      </c>
    </row>
    <row r="2232" spans="1:11">
      <c r="A2232" t="s">
        <v>17377</v>
      </c>
      <c r="B2232" t="s">
        <v>17378</v>
      </c>
      <c r="C2232">
        <v>72600500</v>
      </c>
      <c r="J2232" t="s">
        <v>17377</v>
      </c>
      <c r="K2232" t="s">
        <v>3605</v>
      </c>
    </row>
    <row r="2233" spans="1:11">
      <c r="A2233" t="s">
        <v>17379</v>
      </c>
      <c r="B2233" t="s">
        <v>17380</v>
      </c>
      <c r="C2233">
        <v>79917000</v>
      </c>
      <c r="J2233" t="s">
        <v>17379</v>
      </c>
      <c r="K2233" t="s">
        <v>3605</v>
      </c>
    </row>
    <row r="2234" spans="1:11">
      <c r="A2234" t="s">
        <v>17381</v>
      </c>
      <c r="B2234" t="s">
        <v>17382</v>
      </c>
      <c r="C2234">
        <v>79915000</v>
      </c>
      <c r="J2234" t="s">
        <v>17381</v>
      </c>
      <c r="K2234" t="s">
        <v>3605</v>
      </c>
    </row>
    <row r="2235" spans="1:11">
      <c r="A2235" t="s">
        <v>17383</v>
      </c>
      <c r="B2235" t="s">
        <v>17384</v>
      </c>
      <c r="C2235">
        <v>79913000</v>
      </c>
      <c r="J2235" t="s">
        <v>17383</v>
      </c>
      <c r="K2235" t="s">
        <v>3605</v>
      </c>
    </row>
    <row r="2236" spans="1:11">
      <c r="A2236" t="s">
        <v>17385</v>
      </c>
      <c r="B2236" t="s">
        <v>17386</v>
      </c>
      <c r="C2236">
        <v>73001500</v>
      </c>
      <c r="J2236" t="s">
        <v>17385</v>
      </c>
      <c r="K2236" t="s">
        <v>3605</v>
      </c>
    </row>
    <row r="2237" spans="1:11">
      <c r="A2237" t="s">
        <v>17387</v>
      </c>
      <c r="B2237" t="s">
        <v>17388</v>
      </c>
      <c r="C2237">
        <v>73001599</v>
      </c>
      <c r="J2237" t="s">
        <v>17387</v>
      </c>
      <c r="K2237" t="s">
        <v>3605</v>
      </c>
    </row>
    <row r="2238" spans="1:11">
      <c r="A2238" t="s">
        <v>17389</v>
      </c>
      <c r="B2238" t="s">
        <v>17390</v>
      </c>
      <c r="C2238">
        <v>70302500</v>
      </c>
      <c r="J2238" t="s">
        <v>17389</v>
      </c>
      <c r="K2238" t="s">
        <v>3605</v>
      </c>
    </row>
    <row r="2239" spans="1:11">
      <c r="A2239" t="s">
        <v>17391</v>
      </c>
      <c r="B2239" t="s">
        <v>17392</v>
      </c>
      <c r="C2239">
        <v>70303000</v>
      </c>
      <c r="J2239" t="s">
        <v>17391</v>
      </c>
      <c r="K2239" t="s">
        <v>3605</v>
      </c>
    </row>
    <row r="2240" spans="1:11">
      <c r="A2240" t="s">
        <v>17393</v>
      </c>
      <c r="B2240" t="s">
        <v>17394</v>
      </c>
      <c r="C2240">
        <v>71416000</v>
      </c>
      <c r="J2240" t="s">
        <v>17393</v>
      </c>
      <c r="K2240" t="s">
        <v>3605</v>
      </c>
    </row>
    <row r="2241" spans="1:11">
      <c r="A2241" t="s">
        <v>17395</v>
      </c>
      <c r="B2241" t="s">
        <v>17396</v>
      </c>
      <c r="C2241">
        <v>72306200</v>
      </c>
      <c r="J2241" t="s">
        <v>17395</v>
      </c>
      <c r="K2241" t="s">
        <v>3605</v>
      </c>
    </row>
    <row r="2242" spans="1:11">
      <c r="A2242" t="s">
        <v>17397</v>
      </c>
      <c r="B2242" t="s">
        <v>17398</v>
      </c>
      <c r="C2242">
        <v>72306900</v>
      </c>
      <c r="J2242" t="s">
        <v>17397</v>
      </c>
      <c r="K2242" t="s">
        <v>3605</v>
      </c>
    </row>
    <row r="2243" spans="1:11">
      <c r="A2243" t="s">
        <v>17399</v>
      </c>
      <c r="B2243" t="s">
        <v>17400</v>
      </c>
      <c r="C2243">
        <v>72306910</v>
      </c>
      <c r="J2243" t="s">
        <v>17399</v>
      </c>
      <c r="K2243" t="s">
        <v>3605</v>
      </c>
    </row>
    <row r="2244" spans="1:11">
      <c r="A2244" t="s">
        <v>17401</v>
      </c>
      <c r="B2244" t="s">
        <v>17402</v>
      </c>
      <c r="C2244">
        <v>72306902</v>
      </c>
      <c r="J2244" t="s">
        <v>17401</v>
      </c>
      <c r="K2244" t="s">
        <v>3605</v>
      </c>
    </row>
    <row r="2245" spans="1:11">
      <c r="A2245" t="s">
        <v>17403</v>
      </c>
      <c r="B2245" t="s">
        <v>17404</v>
      </c>
      <c r="J2245" t="s">
        <v>17403</v>
      </c>
      <c r="K2245" t="s">
        <v>3605</v>
      </c>
    </row>
    <row r="2246" spans="1:11">
      <c r="A2246" t="s">
        <v>17405</v>
      </c>
      <c r="B2246" t="s">
        <v>17406</v>
      </c>
      <c r="J2246" t="s">
        <v>17405</v>
      </c>
      <c r="K2246" t="s">
        <v>3605</v>
      </c>
    </row>
    <row r="2247" spans="1:11">
      <c r="A2247" t="s">
        <v>17407</v>
      </c>
      <c r="B2247" t="s">
        <v>17408</v>
      </c>
      <c r="J2247" t="s">
        <v>17407</v>
      </c>
      <c r="K2247" t="s">
        <v>3605</v>
      </c>
    </row>
    <row r="2248" spans="1:11">
      <c r="A2248" t="s">
        <v>17409</v>
      </c>
      <c r="B2248" t="s">
        <v>17410</v>
      </c>
      <c r="J2248" t="s">
        <v>17409</v>
      </c>
      <c r="K2248" t="s">
        <v>3605</v>
      </c>
    </row>
    <row r="2249" spans="1:11">
      <c r="A2249" t="s">
        <v>17411</v>
      </c>
      <c r="B2249" t="s">
        <v>17412</v>
      </c>
      <c r="J2249" t="s">
        <v>17411</v>
      </c>
      <c r="K2249" t="s">
        <v>3605</v>
      </c>
    </row>
    <row r="2250" spans="1:11">
      <c r="A2250" t="s">
        <v>17413</v>
      </c>
      <c r="B2250" t="s">
        <v>17414</v>
      </c>
      <c r="J2250" t="s">
        <v>17413</v>
      </c>
      <c r="K2250" t="s">
        <v>3605</v>
      </c>
    </row>
    <row r="2251" spans="1:11">
      <c r="A2251" t="s">
        <v>17415</v>
      </c>
      <c r="B2251" t="s">
        <v>17416</v>
      </c>
      <c r="J2251" t="s">
        <v>17415</v>
      </c>
      <c r="K2251" t="s">
        <v>3605</v>
      </c>
    </row>
    <row r="2252" spans="1:11">
      <c r="A2252" t="s">
        <v>17417</v>
      </c>
      <c r="B2252" t="s">
        <v>17418</v>
      </c>
      <c r="J2252" t="s">
        <v>17417</v>
      </c>
      <c r="K2252" t="s">
        <v>3605</v>
      </c>
    </row>
    <row r="2253" spans="1:11">
      <c r="A2253" t="s">
        <v>17419</v>
      </c>
      <c r="B2253" t="s">
        <v>17420</v>
      </c>
      <c r="J2253" t="s">
        <v>17419</v>
      </c>
      <c r="K2253" t="s">
        <v>3605</v>
      </c>
    </row>
    <row r="2254" spans="1:11">
      <c r="A2254" t="s">
        <v>17421</v>
      </c>
      <c r="B2254" t="s">
        <v>17422</v>
      </c>
      <c r="J2254" t="s">
        <v>17421</v>
      </c>
      <c r="K2254" t="s">
        <v>3605</v>
      </c>
    </row>
    <row r="2255" spans="1:11">
      <c r="A2255" t="s">
        <v>17423</v>
      </c>
      <c r="B2255" t="s">
        <v>17424</v>
      </c>
      <c r="J2255" t="s">
        <v>17423</v>
      </c>
      <c r="K2255" t="s">
        <v>3605</v>
      </c>
    </row>
    <row r="2256" spans="1:11">
      <c r="A2256" t="s">
        <v>17425</v>
      </c>
      <c r="B2256" t="s">
        <v>17426</v>
      </c>
      <c r="J2256" t="s">
        <v>17425</v>
      </c>
      <c r="K2256" t="s">
        <v>3605</v>
      </c>
    </row>
    <row r="2257" spans="1:11">
      <c r="A2257" t="s">
        <v>17427</v>
      </c>
      <c r="B2257" t="s">
        <v>17428</v>
      </c>
      <c r="J2257" t="s">
        <v>17427</v>
      </c>
      <c r="K2257" t="s">
        <v>3605</v>
      </c>
    </row>
    <row r="2258" spans="1:11">
      <c r="A2258" t="s">
        <v>17429</v>
      </c>
      <c r="B2258" t="s">
        <v>17430</v>
      </c>
      <c r="J2258" t="s">
        <v>17429</v>
      </c>
      <c r="K2258" t="s">
        <v>3605</v>
      </c>
    </row>
    <row r="2259" spans="1:11">
      <c r="A2259" t="s">
        <v>17431</v>
      </c>
      <c r="B2259" t="s">
        <v>17432</v>
      </c>
      <c r="C2259">
        <v>72399900</v>
      </c>
      <c r="J2259" t="s">
        <v>17431</v>
      </c>
      <c r="K2259" t="s">
        <v>3605</v>
      </c>
    </row>
    <row r="2260" spans="1:11">
      <c r="A2260" t="s">
        <v>17433</v>
      </c>
      <c r="B2260" t="s">
        <v>17434</v>
      </c>
      <c r="J2260" t="s">
        <v>17433</v>
      </c>
      <c r="K2260" t="s">
        <v>3605</v>
      </c>
    </row>
    <row r="2261" spans="1:11">
      <c r="A2261" t="s">
        <v>17435</v>
      </c>
      <c r="B2261" t="s">
        <v>17436</v>
      </c>
      <c r="C2261">
        <v>72399908</v>
      </c>
      <c r="J2261" t="s">
        <v>17435</v>
      </c>
      <c r="K2261" t="s">
        <v>3605</v>
      </c>
    </row>
    <row r="2262" spans="1:11">
      <c r="A2262" t="s">
        <v>17437</v>
      </c>
      <c r="B2262" t="s">
        <v>17438</v>
      </c>
      <c r="C2262">
        <v>72399910</v>
      </c>
      <c r="J2262" t="s">
        <v>17437</v>
      </c>
      <c r="K2262" t="s">
        <v>3605</v>
      </c>
    </row>
    <row r="2263" spans="1:11">
      <c r="A2263" t="s">
        <v>17439</v>
      </c>
      <c r="B2263" t="s">
        <v>17440</v>
      </c>
      <c r="C2263">
        <v>72399912</v>
      </c>
      <c r="J2263" t="s">
        <v>17439</v>
      </c>
      <c r="K2263" t="s">
        <v>3605</v>
      </c>
    </row>
    <row r="2264" spans="1:11">
      <c r="A2264" t="s">
        <v>17441</v>
      </c>
      <c r="B2264" t="s">
        <v>17442</v>
      </c>
      <c r="C2264">
        <v>72399914</v>
      </c>
      <c r="J2264" t="s">
        <v>17441</v>
      </c>
      <c r="K2264" t="s">
        <v>3605</v>
      </c>
    </row>
    <row r="2265" spans="1:11">
      <c r="A2265" t="s">
        <v>17443</v>
      </c>
      <c r="B2265" t="s">
        <v>17444</v>
      </c>
      <c r="C2265">
        <v>72399916</v>
      </c>
      <c r="J2265" t="s">
        <v>17443</v>
      </c>
      <c r="K2265" t="s">
        <v>3605</v>
      </c>
    </row>
    <row r="2266" spans="1:11">
      <c r="A2266" t="s">
        <v>17445</v>
      </c>
      <c r="B2266" t="s">
        <v>17446</v>
      </c>
      <c r="C2266">
        <v>72399920</v>
      </c>
      <c r="J2266" t="s">
        <v>17445</v>
      </c>
      <c r="K2266" t="s">
        <v>3605</v>
      </c>
    </row>
    <row r="2267" spans="1:11">
      <c r="A2267" t="s">
        <v>17447</v>
      </c>
      <c r="B2267" t="s">
        <v>17448</v>
      </c>
      <c r="C2267">
        <v>72399922</v>
      </c>
      <c r="J2267" t="s">
        <v>17447</v>
      </c>
      <c r="K2267" t="s">
        <v>3605</v>
      </c>
    </row>
    <row r="2268" spans="1:11">
      <c r="A2268" t="s">
        <v>17449</v>
      </c>
      <c r="B2268" t="s">
        <v>17450</v>
      </c>
      <c r="C2268">
        <v>72399930</v>
      </c>
      <c r="J2268" t="s">
        <v>17449</v>
      </c>
      <c r="K2268" t="s">
        <v>3605</v>
      </c>
    </row>
    <row r="2269" spans="1:11">
      <c r="A2269" t="s">
        <v>17451</v>
      </c>
      <c r="B2269" t="s">
        <v>17452</v>
      </c>
      <c r="J2269" t="s">
        <v>17451</v>
      </c>
      <c r="K2269" t="s">
        <v>3605</v>
      </c>
    </row>
    <row r="2270" spans="1:11">
      <c r="A2270" t="s">
        <v>17453</v>
      </c>
      <c r="B2270" t="s">
        <v>17454</v>
      </c>
      <c r="J2270" t="s">
        <v>17453</v>
      </c>
      <c r="K2270" t="s">
        <v>3605</v>
      </c>
    </row>
    <row r="2271" spans="1:11">
      <c r="A2271" t="s">
        <v>17455</v>
      </c>
      <c r="B2271" t="s">
        <v>17456</v>
      </c>
      <c r="J2271" t="s">
        <v>17455</v>
      </c>
      <c r="K2271" t="s">
        <v>3605</v>
      </c>
    </row>
    <row r="2272" spans="1:11">
      <c r="A2272" t="s">
        <v>17457</v>
      </c>
      <c r="B2272" t="s">
        <v>17458</v>
      </c>
      <c r="J2272" t="s">
        <v>17457</v>
      </c>
      <c r="K2272" t="s">
        <v>3605</v>
      </c>
    </row>
    <row r="2273" spans="1:11">
      <c r="A2273" t="s">
        <v>17459</v>
      </c>
      <c r="B2273" t="s">
        <v>17460</v>
      </c>
      <c r="C2273">
        <v>72306011</v>
      </c>
      <c r="J2273" t="s">
        <v>17459</v>
      </c>
      <c r="K2273" t="s">
        <v>3605</v>
      </c>
    </row>
    <row r="2274" spans="1:11">
      <c r="A2274" t="s">
        <v>17461</v>
      </c>
      <c r="B2274" t="s">
        <v>17462</v>
      </c>
      <c r="C2274">
        <v>72306012</v>
      </c>
      <c r="J2274" t="s">
        <v>17461</v>
      </c>
      <c r="K2274" t="s">
        <v>3605</v>
      </c>
    </row>
    <row r="2275" spans="1:11">
      <c r="A2275" t="s">
        <v>17463</v>
      </c>
      <c r="B2275" t="s">
        <v>17464</v>
      </c>
      <c r="C2275">
        <v>72306013</v>
      </c>
      <c r="J2275" t="s">
        <v>17463</v>
      </c>
      <c r="K2275" t="s">
        <v>3605</v>
      </c>
    </row>
    <row r="2276" spans="1:11">
      <c r="A2276" t="s">
        <v>17465</v>
      </c>
      <c r="B2276" t="s">
        <v>17466</v>
      </c>
      <c r="J2276" t="s">
        <v>17465</v>
      </c>
      <c r="K2276" t="s">
        <v>3605</v>
      </c>
    </row>
    <row r="2277" spans="1:11">
      <c r="A2277" t="s">
        <v>17467</v>
      </c>
      <c r="B2277" t="s">
        <v>17468</v>
      </c>
      <c r="C2277">
        <v>72309500</v>
      </c>
      <c r="J2277" t="s">
        <v>17467</v>
      </c>
      <c r="K2277" t="s">
        <v>3605</v>
      </c>
    </row>
    <row r="2278" spans="1:11">
      <c r="A2278" t="s">
        <v>17469</v>
      </c>
      <c r="B2278" t="s">
        <v>17470</v>
      </c>
      <c r="C2278">
        <v>72399901</v>
      </c>
      <c r="J2278" t="s">
        <v>17469</v>
      </c>
      <c r="K2278" t="s">
        <v>3605</v>
      </c>
    </row>
    <row r="2279" spans="1:11">
      <c r="A2279" t="s">
        <v>17471</v>
      </c>
      <c r="B2279" t="s">
        <v>17472</v>
      </c>
      <c r="C2279">
        <v>70200508</v>
      </c>
      <c r="J2279" t="s">
        <v>17471</v>
      </c>
      <c r="K2279" t="s">
        <v>3605</v>
      </c>
    </row>
    <row r="2280" spans="1:11">
      <c r="A2280" t="s">
        <v>17473</v>
      </c>
      <c r="B2280" t="s">
        <v>17474</v>
      </c>
      <c r="C2280">
        <v>72398118</v>
      </c>
      <c r="J2280" t="s">
        <v>17473</v>
      </c>
      <c r="K2280" t="s">
        <v>3605</v>
      </c>
    </row>
    <row r="2281" spans="1:11">
      <c r="A2281" t="s">
        <v>17475</v>
      </c>
      <c r="B2281" t="s">
        <v>17476</v>
      </c>
      <c r="C2281">
        <v>74080096</v>
      </c>
      <c r="J2281" t="s">
        <v>17475</v>
      </c>
      <c r="K2281" t="s">
        <v>3605</v>
      </c>
    </row>
    <row r="2282" spans="1:11">
      <c r="A2282" t="s">
        <v>17477</v>
      </c>
      <c r="B2282" t="s">
        <v>17478</v>
      </c>
      <c r="J2282" t="s">
        <v>17477</v>
      </c>
      <c r="K2282" t="s">
        <v>3605</v>
      </c>
    </row>
    <row r="2283" spans="1:11">
      <c r="A2283" t="s">
        <v>17479</v>
      </c>
      <c r="B2283" t="s">
        <v>17480</v>
      </c>
      <c r="J2283" t="s">
        <v>17479</v>
      </c>
      <c r="K2283" t="s">
        <v>3605</v>
      </c>
    </row>
    <row r="2284" spans="1:11">
      <c r="A2284" t="s">
        <v>17481</v>
      </c>
      <c r="B2284" t="s">
        <v>17482</v>
      </c>
      <c r="C2284">
        <v>72398110</v>
      </c>
      <c r="J2284" t="s">
        <v>17481</v>
      </c>
      <c r="K2284" t="s">
        <v>3605</v>
      </c>
    </row>
    <row r="2285" spans="1:11">
      <c r="A2285" t="s">
        <v>17483</v>
      </c>
      <c r="B2285" t="s">
        <v>17484</v>
      </c>
      <c r="C2285">
        <v>72398111</v>
      </c>
      <c r="J2285" t="s">
        <v>17483</v>
      </c>
      <c r="K2285" t="s">
        <v>3605</v>
      </c>
    </row>
    <row r="2286" spans="1:11">
      <c r="A2286" t="s">
        <v>17485</v>
      </c>
      <c r="B2286" t="s">
        <v>17486</v>
      </c>
      <c r="C2286">
        <v>72398112</v>
      </c>
      <c r="J2286" t="s">
        <v>17485</v>
      </c>
      <c r="K2286" t="s">
        <v>3605</v>
      </c>
    </row>
    <row r="2287" spans="1:11">
      <c r="A2287" t="s">
        <v>17487</v>
      </c>
      <c r="B2287" t="s">
        <v>17488</v>
      </c>
      <c r="C2287">
        <v>72398113</v>
      </c>
      <c r="J2287" t="s">
        <v>17487</v>
      </c>
      <c r="K2287" t="s">
        <v>3605</v>
      </c>
    </row>
    <row r="2288" spans="1:11">
      <c r="A2288" t="s">
        <v>17489</v>
      </c>
      <c r="B2288" t="s">
        <v>17490</v>
      </c>
      <c r="C2288">
        <v>72398925</v>
      </c>
      <c r="J2288" t="s">
        <v>17489</v>
      </c>
      <c r="K2288" t="s">
        <v>3605</v>
      </c>
    </row>
    <row r="2289" spans="1:11">
      <c r="A2289" t="s">
        <v>17491</v>
      </c>
      <c r="B2289" t="s">
        <v>17492</v>
      </c>
      <c r="C2289">
        <v>72398114</v>
      </c>
      <c r="J2289" t="s">
        <v>17491</v>
      </c>
      <c r="K2289" t="s">
        <v>3605</v>
      </c>
    </row>
    <row r="2290" spans="1:11">
      <c r="A2290" t="s">
        <v>17493</v>
      </c>
      <c r="B2290" t="s">
        <v>17494</v>
      </c>
      <c r="C2290">
        <v>72398114</v>
      </c>
      <c r="J2290" t="s">
        <v>17493</v>
      </c>
      <c r="K2290" t="s">
        <v>3605</v>
      </c>
    </row>
    <row r="2291" spans="1:11">
      <c r="A2291" t="s">
        <v>17495</v>
      </c>
      <c r="B2291" t="s">
        <v>17496</v>
      </c>
      <c r="C2291">
        <v>72398115</v>
      </c>
      <c r="J2291" t="s">
        <v>17495</v>
      </c>
      <c r="K2291" t="s">
        <v>3605</v>
      </c>
    </row>
    <row r="2292" spans="1:11">
      <c r="A2292" t="s">
        <v>17497</v>
      </c>
      <c r="B2292" t="s">
        <v>17498</v>
      </c>
      <c r="C2292">
        <v>72398116</v>
      </c>
      <c r="J2292" t="s">
        <v>17497</v>
      </c>
      <c r="K2292" t="s">
        <v>3605</v>
      </c>
    </row>
    <row r="2293" spans="1:11">
      <c r="A2293" t="s">
        <v>17499</v>
      </c>
      <c r="B2293" t="s">
        <v>17500</v>
      </c>
      <c r="C2293">
        <v>72398117</v>
      </c>
      <c r="J2293" t="s">
        <v>17499</v>
      </c>
      <c r="K2293" t="s">
        <v>3605</v>
      </c>
    </row>
    <row r="2294" spans="1:11">
      <c r="A2294" t="s">
        <v>17501</v>
      </c>
      <c r="B2294" t="s">
        <v>17502</v>
      </c>
      <c r="C2294">
        <v>72398121</v>
      </c>
      <c r="J2294" t="s">
        <v>17501</v>
      </c>
      <c r="K2294" t="s">
        <v>3605</v>
      </c>
    </row>
    <row r="2295" spans="1:11">
      <c r="A2295" t="s">
        <v>17503</v>
      </c>
      <c r="B2295" t="s">
        <v>17504</v>
      </c>
      <c r="C2295">
        <v>72399931</v>
      </c>
      <c r="J2295" t="s">
        <v>17503</v>
      </c>
      <c r="K2295" t="s">
        <v>3605</v>
      </c>
    </row>
    <row r="2296" spans="1:11">
      <c r="A2296" t="s">
        <v>17505</v>
      </c>
      <c r="B2296" t="s">
        <v>17506</v>
      </c>
      <c r="J2296" t="s">
        <v>17505</v>
      </c>
      <c r="K2296" t="s">
        <v>3605</v>
      </c>
    </row>
    <row r="2297" spans="1:11">
      <c r="A2297" t="s">
        <v>17507</v>
      </c>
      <c r="B2297" t="s">
        <v>17508</v>
      </c>
      <c r="C2297">
        <v>72399917</v>
      </c>
      <c r="J2297" t="s">
        <v>17507</v>
      </c>
      <c r="K2297" t="s">
        <v>3605</v>
      </c>
    </row>
    <row r="2298" spans="1:11">
      <c r="A2298" t="s">
        <v>17509</v>
      </c>
      <c r="B2298" t="s">
        <v>17510</v>
      </c>
      <c r="C2298">
        <v>72399921</v>
      </c>
      <c r="J2298" t="s">
        <v>17509</v>
      </c>
      <c r="K2298" t="s">
        <v>3605</v>
      </c>
    </row>
    <row r="2299" spans="1:11">
      <c r="A2299" t="s">
        <v>17511</v>
      </c>
      <c r="B2299" t="s">
        <v>17512</v>
      </c>
      <c r="C2299">
        <v>72399923</v>
      </c>
      <c r="J2299" t="s">
        <v>17511</v>
      </c>
      <c r="K2299" t="s">
        <v>3605</v>
      </c>
    </row>
    <row r="2300" spans="1:11">
      <c r="A2300" t="s">
        <v>17513</v>
      </c>
      <c r="B2300" t="s">
        <v>17514</v>
      </c>
      <c r="C2300">
        <v>72399909</v>
      </c>
      <c r="J2300" t="s">
        <v>17513</v>
      </c>
      <c r="K2300" t="s">
        <v>3605</v>
      </c>
    </row>
    <row r="2301" spans="1:11">
      <c r="A2301" t="s">
        <v>17515</v>
      </c>
      <c r="B2301" t="s">
        <v>17516</v>
      </c>
      <c r="C2301">
        <v>72399911</v>
      </c>
      <c r="J2301" t="s">
        <v>17515</v>
      </c>
      <c r="K2301" t="s">
        <v>3605</v>
      </c>
    </row>
    <row r="2302" spans="1:11">
      <c r="A2302" t="s">
        <v>17517</v>
      </c>
      <c r="B2302" t="s">
        <v>17518</v>
      </c>
      <c r="C2302">
        <v>72399913</v>
      </c>
      <c r="J2302" t="s">
        <v>17517</v>
      </c>
      <c r="K2302" t="s">
        <v>3605</v>
      </c>
    </row>
    <row r="2303" spans="1:11">
      <c r="A2303" t="s">
        <v>17519</v>
      </c>
      <c r="B2303" t="s">
        <v>17520</v>
      </c>
      <c r="C2303">
        <v>72399915</v>
      </c>
      <c r="J2303" t="s">
        <v>17519</v>
      </c>
      <c r="K2303" t="s">
        <v>3605</v>
      </c>
    </row>
    <row r="2304" spans="1:11">
      <c r="A2304" t="s">
        <v>17521</v>
      </c>
      <c r="B2304" t="s">
        <v>17522</v>
      </c>
      <c r="C2304">
        <v>72399931</v>
      </c>
      <c r="J2304" t="s">
        <v>17521</v>
      </c>
      <c r="K2304" t="s">
        <v>3605</v>
      </c>
    </row>
    <row r="2305" spans="1:11">
      <c r="A2305" t="s">
        <v>17523</v>
      </c>
      <c r="B2305" t="s">
        <v>17524</v>
      </c>
      <c r="C2305">
        <v>72398925</v>
      </c>
      <c r="J2305" t="s">
        <v>17523</v>
      </c>
      <c r="K2305" t="s">
        <v>3605</v>
      </c>
    </row>
    <row r="2306" spans="1:11">
      <c r="A2306" t="s">
        <v>17525</v>
      </c>
      <c r="B2306" t="s">
        <v>17015</v>
      </c>
      <c r="C2306">
        <v>72398815</v>
      </c>
      <c r="J2306" t="s">
        <v>17525</v>
      </c>
      <c r="K2306" t="s">
        <v>3605</v>
      </c>
    </row>
    <row r="2307" spans="1:11">
      <c r="A2307" t="s">
        <v>17526</v>
      </c>
      <c r="B2307" t="s">
        <v>17527</v>
      </c>
      <c r="C2307">
        <v>72399931</v>
      </c>
      <c r="J2307" t="s">
        <v>17526</v>
      </c>
      <c r="K2307" t="s">
        <v>3605</v>
      </c>
    </row>
    <row r="2308" spans="1:11">
      <c r="A2308" t="s">
        <v>17528</v>
      </c>
      <c r="B2308" t="s">
        <v>17529</v>
      </c>
      <c r="C2308">
        <v>72398815</v>
      </c>
      <c r="J2308" t="s">
        <v>17528</v>
      </c>
      <c r="K2308" t="s">
        <v>3605</v>
      </c>
    </row>
    <row r="2309" spans="1:11">
      <c r="A2309" t="s">
        <v>17530</v>
      </c>
      <c r="B2309" t="s">
        <v>17531</v>
      </c>
      <c r="C2309">
        <v>72398925</v>
      </c>
      <c r="J2309" t="s">
        <v>17530</v>
      </c>
      <c r="K2309" t="s">
        <v>3605</v>
      </c>
    </row>
    <row r="2310" spans="1:11">
      <c r="A2310" t="s">
        <v>17532</v>
      </c>
      <c r="B2310" t="s">
        <v>17533</v>
      </c>
      <c r="C2310">
        <v>72399931</v>
      </c>
      <c r="J2310" t="s">
        <v>17532</v>
      </c>
      <c r="K2310" t="s">
        <v>3605</v>
      </c>
    </row>
    <row r="2311" spans="1:11">
      <c r="A2311" t="s">
        <v>17534</v>
      </c>
      <c r="B2311" t="s">
        <v>17535</v>
      </c>
      <c r="C2311">
        <v>72398815</v>
      </c>
      <c r="J2311" t="s">
        <v>17534</v>
      </c>
      <c r="K2311" t="s">
        <v>3605</v>
      </c>
    </row>
    <row r="2312" spans="1:11">
      <c r="A2312" t="s">
        <v>17536</v>
      </c>
      <c r="B2312" t="s">
        <v>17537</v>
      </c>
      <c r="C2312">
        <v>72398925</v>
      </c>
      <c r="J2312" t="s">
        <v>17536</v>
      </c>
      <c r="K2312" t="s">
        <v>3605</v>
      </c>
    </row>
    <row r="2313" spans="1:11">
      <c r="A2313" t="s">
        <v>17538</v>
      </c>
      <c r="B2313" t="s">
        <v>17539</v>
      </c>
      <c r="J2313" t="s">
        <v>17538</v>
      </c>
      <c r="K2313" t="s">
        <v>3605</v>
      </c>
    </row>
    <row r="2314" spans="1:11">
      <c r="A2314" t="s">
        <v>17540</v>
      </c>
      <c r="B2314" t="s">
        <v>17541</v>
      </c>
      <c r="C2314">
        <v>74000005</v>
      </c>
      <c r="J2314" t="s">
        <v>17540</v>
      </c>
      <c r="K2314" t="s">
        <v>3605</v>
      </c>
    </row>
    <row r="2315" spans="1:11">
      <c r="A2315" t="s">
        <v>17542</v>
      </c>
      <c r="B2315" t="s">
        <v>17541</v>
      </c>
      <c r="C2315">
        <v>74010000</v>
      </c>
      <c r="J2315" t="s">
        <v>17542</v>
      </c>
      <c r="K2315" t="s">
        <v>3605</v>
      </c>
    </row>
    <row r="2316" spans="1:11">
      <c r="A2316" t="s">
        <v>17543</v>
      </c>
      <c r="B2316" t="s">
        <v>17541</v>
      </c>
      <c r="C2316">
        <v>74020005</v>
      </c>
      <c r="J2316" t="s">
        <v>17543</v>
      </c>
      <c r="K2316" t="s">
        <v>3605</v>
      </c>
    </row>
    <row r="2317" spans="1:11">
      <c r="A2317" t="s">
        <v>17544</v>
      </c>
      <c r="B2317" t="s">
        <v>17541</v>
      </c>
      <c r="C2317">
        <v>74100005</v>
      </c>
      <c r="J2317" t="s">
        <v>17544</v>
      </c>
      <c r="K2317" t="s">
        <v>3605</v>
      </c>
    </row>
    <row r="2318" spans="1:11">
      <c r="A2318" t="s">
        <v>17545</v>
      </c>
      <c r="B2318" t="s">
        <v>17546</v>
      </c>
      <c r="C2318">
        <v>74110020</v>
      </c>
      <c r="J2318" t="s">
        <v>17545</v>
      </c>
      <c r="K2318" t="s">
        <v>3605</v>
      </c>
    </row>
    <row r="2319" spans="1:11">
      <c r="A2319" t="s">
        <v>17547</v>
      </c>
      <c r="B2319" t="s">
        <v>17541</v>
      </c>
      <c r="C2319">
        <v>74120005</v>
      </c>
      <c r="J2319" t="s">
        <v>17547</v>
      </c>
      <c r="K2319" t="s">
        <v>3605</v>
      </c>
    </row>
    <row r="2320" spans="1:11">
      <c r="A2320" t="s">
        <v>17548</v>
      </c>
      <c r="B2320" t="s">
        <v>17549</v>
      </c>
      <c r="J2320" t="s">
        <v>17548</v>
      </c>
      <c r="K2320" t="s">
        <v>3605</v>
      </c>
    </row>
    <row r="2321" spans="1:11">
      <c r="A2321" t="s">
        <v>17550</v>
      </c>
      <c r="B2321" t="s">
        <v>17551</v>
      </c>
      <c r="C2321">
        <v>74000005</v>
      </c>
      <c r="D2321" t="s">
        <v>17552</v>
      </c>
      <c r="J2321" t="s">
        <v>17550</v>
      </c>
      <c r="K2321" t="s">
        <v>3605</v>
      </c>
    </row>
    <row r="2322" spans="1:11">
      <c r="A2322" t="s">
        <v>17553</v>
      </c>
      <c r="B2322" t="s">
        <v>17554</v>
      </c>
      <c r="C2322">
        <v>74100005</v>
      </c>
      <c r="D2322" t="s">
        <v>17552</v>
      </c>
      <c r="J2322" t="s">
        <v>17553</v>
      </c>
      <c r="K2322" t="s">
        <v>3605</v>
      </c>
    </row>
    <row r="2323" spans="1:11">
      <c r="A2323" t="s">
        <v>17555</v>
      </c>
      <c r="B2323" t="s">
        <v>17556</v>
      </c>
      <c r="J2323" t="s">
        <v>17555</v>
      </c>
      <c r="K2323" t="s">
        <v>3605</v>
      </c>
    </row>
    <row r="2324" spans="1:11">
      <c r="A2324" t="s">
        <v>17557</v>
      </c>
      <c r="B2324" t="s">
        <v>17558</v>
      </c>
      <c r="C2324">
        <v>74080070</v>
      </c>
      <c r="J2324" t="s">
        <v>17557</v>
      </c>
      <c r="K2324" t="s">
        <v>3605</v>
      </c>
    </row>
    <row r="2325" spans="1:11">
      <c r="A2325" t="s">
        <v>17559</v>
      </c>
      <c r="B2325" t="s">
        <v>17560</v>
      </c>
      <c r="C2325">
        <v>74080071</v>
      </c>
      <c r="J2325" t="s">
        <v>17559</v>
      </c>
      <c r="K2325" t="s">
        <v>3605</v>
      </c>
    </row>
    <row r="2326" spans="1:11">
      <c r="A2326" t="s">
        <v>17561</v>
      </c>
      <c r="B2326" t="s">
        <v>17562</v>
      </c>
      <c r="C2326">
        <v>74080090</v>
      </c>
      <c r="J2326" t="s">
        <v>17561</v>
      </c>
      <c r="K2326" t="s">
        <v>3605</v>
      </c>
    </row>
    <row r="2327" spans="1:11">
      <c r="A2327" t="s">
        <v>17563</v>
      </c>
      <c r="B2327" t="s">
        <v>17564</v>
      </c>
      <c r="C2327">
        <v>74080091</v>
      </c>
      <c r="J2327" t="s">
        <v>17563</v>
      </c>
      <c r="K2327" t="s">
        <v>3605</v>
      </c>
    </row>
    <row r="2328" spans="1:11">
      <c r="A2328" t="s">
        <v>17565</v>
      </c>
      <c r="B2328" t="s">
        <v>17566</v>
      </c>
      <c r="C2328">
        <v>74080095</v>
      </c>
      <c r="J2328" t="s">
        <v>17565</v>
      </c>
      <c r="K2328" t="s">
        <v>3605</v>
      </c>
    </row>
    <row r="2329" spans="1:11">
      <c r="A2329" t="s">
        <v>17567</v>
      </c>
      <c r="B2329" t="s">
        <v>17568</v>
      </c>
      <c r="C2329">
        <v>74080096</v>
      </c>
      <c r="J2329" t="s">
        <v>17567</v>
      </c>
      <c r="K2329" t="s">
        <v>3605</v>
      </c>
    </row>
    <row r="2330" spans="1:11">
      <c r="A2330" t="s">
        <v>17569</v>
      </c>
      <c r="B2330" t="s">
        <v>17570</v>
      </c>
      <c r="C2330">
        <v>74110010</v>
      </c>
      <c r="J2330" t="s">
        <v>17569</v>
      </c>
      <c r="K2330" t="s">
        <v>3605</v>
      </c>
    </row>
    <row r="2331" spans="1:11">
      <c r="A2331" t="s">
        <v>17571</v>
      </c>
      <c r="B2331" t="s">
        <v>17572</v>
      </c>
      <c r="C2331">
        <v>74110011</v>
      </c>
      <c r="J2331" t="s">
        <v>17571</v>
      </c>
      <c r="K2331" t="s">
        <v>3605</v>
      </c>
    </row>
    <row r="2332" spans="1:11">
      <c r="A2332" t="s">
        <v>17573</v>
      </c>
      <c r="B2332" t="s">
        <v>17574</v>
      </c>
      <c r="C2332">
        <v>74110015</v>
      </c>
      <c r="J2332" t="s">
        <v>17573</v>
      </c>
      <c r="K2332" t="s">
        <v>3605</v>
      </c>
    </row>
    <row r="2333" spans="1:11">
      <c r="A2333" t="s">
        <v>17575</v>
      </c>
      <c r="B2333" t="s">
        <v>17576</v>
      </c>
      <c r="C2333">
        <v>74110016</v>
      </c>
      <c r="J2333" t="s">
        <v>17575</v>
      </c>
      <c r="K2333" t="s">
        <v>3605</v>
      </c>
    </row>
    <row r="2334" spans="1:11">
      <c r="A2334" t="s">
        <v>17577</v>
      </c>
      <c r="B2334" t="s">
        <v>17578</v>
      </c>
      <c r="C2334">
        <v>73401100</v>
      </c>
      <c r="J2334" t="s">
        <v>17577</v>
      </c>
      <c r="K2334" t="s">
        <v>3605</v>
      </c>
    </row>
    <row r="2335" spans="1:11">
      <c r="A2335" t="s">
        <v>17579</v>
      </c>
      <c r="B2335" t="s">
        <v>17580</v>
      </c>
      <c r="C2335">
        <v>73401200</v>
      </c>
      <c r="J2335" t="s">
        <v>17579</v>
      </c>
      <c r="K2335" t="s">
        <v>3605</v>
      </c>
    </row>
    <row r="2336" spans="1:11">
      <c r="A2336" t="s">
        <v>17581</v>
      </c>
      <c r="B2336" t="s">
        <v>14067</v>
      </c>
      <c r="C2336">
        <v>73402200</v>
      </c>
      <c r="J2336" t="s">
        <v>17581</v>
      </c>
      <c r="K2336" t="s">
        <v>3605</v>
      </c>
    </row>
    <row r="2337" spans="1:11">
      <c r="A2337" t="s">
        <v>17582</v>
      </c>
      <c r="B2337" t="s">
        <v>17583</v>
      </c>
      <c r="C2337">
        <v>73700500</v>
      </c>
      <c r="J2337" t="s">
        <v>17582</v>
      </c>
      <c r="K2337" t="s">
        <v>3605</v>
      </c>
    </row>
    <row r="2338" spans="1:11">
      <c r="A2338" t="s">
        <v>17584</v>
      </c>
      <c r="B2338" t="s">
        <v>17585</v>
      </c>
      <c r="C2338">
        <v>73700700</v>
      </c>
      <c r="J2338" t="s">
        <v>17584</v>
      </c>
      <c r="K2338" t="s">
        <v>3605</v>
      </c>
    </row>
    <row r="2339" spans="1:11">
      <c r="A2339" t="s">
        <v>17586</v>
      </c>
      <c r="B2339" t="s">
        <v>17587</v>
      </c>
      <c r="C2339">
        <v>73701000</v>
      </c>
      <c r="J2339" t="s">
        <v>17586</v>
      </c>
      <c r="K2339" t="s">
        <v>3605</v>
      </c>
    </row>
    <row r="2340" spans="1:11">
      <c r="A2340" t="s">
        <v>17588</v>
      </c>
      <c r="B2340" t="s">
        <v>17589</v>
      </c>
      <c r="C2340">
        <v>73701400</v>
      </c>
      <c r="J2340" t="s">
        <v>17588</v>
      </c>
      <c r="K2340" t="s">
        <v>3605</v>
      </c>
    </row>
    <row r="2341" spans="1:11">
      <c r="A2341" t="s">
        <v>17590</v>
      </c>
      <c r="B2341" t="s">
        <v>17591</v>
      </c>
      <c r="C2341">
        <v>73701500</v>
      </c>
      <c r="J2341" t="s">
        <v>17590</v>
      </c>
      <c r="K2341" t="s">
        <v>3605</v>
      </c>
    </row>
    <row r="2342" spans="1:11">
      <c r="A2342" t="s">
        <v>17592</v>
      </c>
      <c r="B2342" t="s">
        <v>17593</v>
      </c>
      <c r="C2342">
        <v>73799999</v>
      </c>
      <c r="J2342" t="s">
        <v>17592</v>
      </c>
      <c r="K2342" t="s">
        <v>3605</v>
      </c>
    </row>
    <row r="2343" spans="1:11">
      <c r="A2343" t="s">
        <v>17594</v>
      </c>
      <c r="B2343" t="s">
        <v>17595</v>
      </c>
      <c r="C2343">
        <v>73702000</v>
      </c>
      <c r="J2343" t="s">
        <v>17594</v>
      </c>
      <c r="K2343" t="s">
        <v>3605</v>
      </c>
    </row>
    <row r="2344" spans="1:11">
      <c r="A2344" t="s">
        <v>17596</v>
      </c>
      <c r="B2344" t="s">
        <v>14069</v>
      </c>
      <c r="C2344">
        <v>73700200</v>
      </c>
      <c r="J2344" t="s">
        <v>17596</v>
      </c>
      <c r="K2344" t="s">
        <v>3605</v>
      </c>
    </row>
    <row r="2345" spans="1:11">
      <c r="A2345" t="s">
        <v>17597</v>
      </c>
      <c r="B2345" t="s">
        <v>14065</v>
      </c>
      <c r="C2345">
        <v>73701200</v>
      </c>
      <c r="J2345" t="s">
        <v>17597</v>
      </c>
      <c r="K2345" t="s">
        <v>3605</v>
      </c>
    </row>
    <row r="2346" spans="1:11">
      <c r="A2346" t="s">
        <v>17598</v>
      </c>
      <c r="B2346" t="s">
        <v>17599</v>
      </c>
      <c r="C2346">
        <v>97000007</v>
      </c>
      <c r="J2346" t="s">
        <v>17598</v>
      </c>
      <c r="K2346" t="s">
        <v>3605</v>
      </c>
    </row>
    <row r="2347" spans="1:11">
      <c r="A2347" t="s">
        <v>17600</v>
      </c>
      <c r="B2347" t="s">
        <v>17601</v>
      </c>
      <c r="C2347">
        <v>97000007</v>
      </c>
      <c r="J2347" t="s">
        <v>17600</v>
      </c>
      <c r="K2347" t="s">
        <v>3605</v>
      </c>
    </row>
    <row r="2348" spans="1:11">
      <c r="A2348" t="s">
        <v>17602</v>
      </c>
      <c r="B2348" t="s">
        <v>17603</v>
      </c>
      <c r="C2348">
        <v>97000019</v>
      </c>
      <c r="J2348" t="s">
        <v>17602</v>
      </c>
      <c r="K2348" t="s">
        <v>3605</v>
      </c>
    </row>
    <row r="2349" spans="1:11">
      <c r="A2349" t="s">
        <v>17604</v>
      </c>
      <c r="B2349" t="s">
        <v>17605</v>
      </c>
      <c r="C2349">
        <v>97000018</v>
      </c>
      <c r="J2349" t="s">
        <v>17604</v>
      </c>
      <c r="K2349" t="s">
        <v>3605</v>
      </c>
    </row>
    <row r="2350" spans="1:11">
      <c r="A2350" t="s">
        <v>17606</v>
      </c>
      <c r="B2350" t="s">
        <v>17607</v>
      </c>
      <c r="C2350">
        <v>97000207</v>
      </c>
      <c r="J2350" t="s">
        <v>17606</v>
      </c>
      <c r="K2350" t="s">
        <v>3605</v>
      </c>
    </row>
    <row r="2351" spans="1:11">
      <c r="A2351" t="s">
        <v>17608</v>
      </c>
      <c r="B2351" t="s">
        <v>17609</v>
      </c>
      <c r="C2351">
        <v>97000012</v>
      </c>
      <c r="J2351" t="s">
        <v>17608</v>
      </c>
      <c r="K2351" t="s">
        <v>3605</v>
      </c>
    </row>
    <row r="2352" spans="1:11">
      <c r="A2352" t="s">
        <v>17610</v>
      </c>
      <c r="B2352" t="s">
        <v>17611</v>
      </c>
      <c r="C2352">
        <v>97000012</v>
      </c>
      <c r="J2352" t="s">
        <v>17610</v>
      </c>
      <c r="K2352" t="s">
        <v>3605</v>
      </c>
    </row>
    <row r="2353" spans="1:11">
      <c r="A2353" t="s">
        <v>17612</v>
      </c>
      <c r="B2353" t="s">
        <v>17613</v>
      </c>
      <c r="C2353">
        <v>97000015</v>
      </c>
      <c r="J2353" t="s">
        <v>17612</v>
      </c>
      <c r="K2353" t="s">
        <v>3605</v>
      </c>
    </row>
    <row r="2354" spans="1:11">
      <c r="A2354" t="s">
        <v>17614</v>
      </c>
      <c r="B2354" t="s">
        <v>17615</v>
      </c>
      <c r="C2354">
        <v>97000014</v>
      </c>
      <c r="J2354" t="s">
        <v>17614</v>
      </c>
      <c r="K2354" t="s">
        <v>3605</v>
      </c>
    </row>
    <row r="2355" spans="1:11">
      <c r="A2355" t="s">
        <v>17616</v>
      </c>
      <c r="B2355" t="s">
        <v>17617</v>
      </c>
      <c r="C2355">
        <v>97000212</v>
      </c>
      <c r="J2355" t="s">
        <v>17616</v>
      </c>
      <c r="K2355" t="s">
        <v>3605</v>
      </c>
    </row>
    <row r="2356" spans="1:11">
      <c r="A2356" t="s">
        <v>17618</v>
      </c>
      <c r="B2356" t="s">
        <v>17619</v>
      </c>
      <c r="C2356">
        <v>97000016</v>
      </c>
      <c r="J2356" t="s">
        <v>17618</v>
      </c>
      <c r="K2356" t="s">
        <v>3605</v>
      </c>
    </row>
    <row r="2357" spans="1:11">
      <c r="A2357" t="s">
        <v>17620</v>
      </c>
      <c r="B2357" t="s">
        <v>17621</v>
      </c>
      <c r="C2357">
        <v>97000017</v>
      </c>
      <c r="J2357" t="s">
        <v>17620</v>
      </c>
      <c r="K2357" t="s">
        <v>3605</v>
      </c>
    </row>
    <row r="2358" spans="1:11">
      <c r="A2358" t="s">
        <v>17622</v>
      </c>
      <c r="B2358" t="s">
        <v>17623</v>
      </c>
      <c r="C2358">
        <v>97000116</v>
      </c>
      <c r="J2358" t="s">
        <v>17622</v>
      </c>
      <c r="K2358" t="s">
        <v>3605</v>
      </c>
    </row>
    <row r="2359" spans="1:11">
      <c r="A2359" t="s">
        <v>17624</v>
      </c>
      <c r="B2359" t="s">
        <v>17625</v>
      </c>
      <c r="C2359">
        <v>97000116</v>
      </c>
      <c r="J2359" t="s">
        <v>17624</v>
      </c>
      <c r="K2359" t="s">
        <v>3605</v>
      </c>
    </row>
    <row r="2360" spans="1:11">
      <c r="A2360" t="s">
        <v>17626</v>
      </c>
      <c r="B2360" t="s">
        <v>17627</v>
      </c>
      <c r="C2360">
        <v>97000216</v>
      </c>
      <c r="J2360" t="s">
        <v>17626</v>
      </c>
      <c r="K2360" t="s">
        <v>3605</v>
      </c>
    </row>
    <row r="2361" spans="1:11">
      <c r="A2361" t="s">
        <v>17628</v>
      </c>
      <c r="B2361" t="s">
        <v>17629</v>
      </c>
      <c r="C2361">
        <v>97000217</v>
      </c>
      <c r="J2361" t="s">
        <v>17628</v>
      </c>
      <c r="K2361" t="s">
        <v>3605</v>
      </c>
    </row>
    <row r="2362" spans="1:11">
      <c r="A2362" t="s">
        <v>17630</v>
      </c>
      <c r="B2362" t="s">
        <v>17631</v>
      </c>
      <c r="C2362">
        <v>97000117</v>
      </c>
      <c r="J2362" t="s">
        <v>17630</v>
      </c>
      <c r="K2362" t="s">
        <v>3605</v>
      </c>
    </row>
    <row r="2363" spans="1:11">
      <c r="A2363" t="s">
        <v>17632</v>
      </c>
      <c r="B2363" t="s">
        <v>17633</v>
      </c>
      <c r="C2363">
        <v>97000217</v>
      </c>
      <c r="J2363" t="s">
        <v>17632</v>
      </c>
      <c r="K2363" t="s">
        <v>3605</v>
      </c>
    </row>
    <row r="2364" spans="1:11">
      <c r="A2364" t="s">
        <v>17634</v>
      </c>
      <c r="B2364" t="s">
        <v>17635</v>
      </c>
      <c r="C2364">
        <v>97000400</v>
      </c>
      <c r="J2364" t="s">
        <v>17634</v>
      </c>
      <c r="K2364" t="s">
        <v>3605</v>
      </c>
    </row>
    <row r="2365" spans="1:11">
      <c r="A2365" t="s">
        <v>17636</v>
      </c>
      <c r="B2365" t="s">
        <v>17637</v>
      </c>
      <c r="C2365">
        <v>97000401</v>
      </c>
      <c r="J2365" t="s">
        <v>17636</v>
      </c>
      <c r="K2365" t="s">
        <v>3605</v>
      </c>
    </row>
    <row r="2366" spans="1:11">
      <c r="A2366" t="s">
        <v>17638</v>
      </c>
      <c r="B2366" t="s">
        <v>17639</v>
      </c>
      <c r="C2366">
        <v>97000402</v>
      </c>
      <c r="J2366" t="s">
        <v>17638</v>
      </c>
      <c r="K2366" t="s">
        <v>3605</v>
      </c>
    </row>
    <row r="2367" spans="1:11">
      <c r="A2367" t="s">
        <v>17640</v>
      </c>
      <c r="B2367" t="s">
        <v>17641</v>
      </c>
      <c r="C2367">
        <v>97000403</v>
      </c>
      <c r="J2367" t="s">
        <v>17640</v>
      </c>
      <c r="K2367" t="s">
        <v>3605</v>
      </c>
    </row>
    <row r="2368" spans="1:11">
      <c r="A2368" t="s">
        <v>17642</v>
      </c>
      <c r="B2368" t="s">
        <v>17643</v>
      </c>
      <c r="C2368">
        <v>97000404</v>
      </c>
      <c r="J2368" t="s">
        <v>17642</v>
      </c>
      <c r="K2368" t="s">
        <v>3605</v>
      </c>
    </row>
    <row r="2369" spans="1:11">
      <c r="A2369" t="s">
        <v>17644</v>
      </c>
      <c r="B2369" t="s">
        <v>17645</v>
      </c>
      <c r="C2369">
        <v>97000405</v>
      </c>
      <c r="J2369" t="s">
        <v>17644</v>
      </c>
      <c r="K2369" t="s">
        <v>3605</v>
      </c>
    </row>
    <row r="2370" spans="1:11">
      <c r="A2370" t="s">
        <v>17646</v>
      </c>
      <c r="B2370" t="s">
        <v>17647</v>
      </c>
      <c r="C2370">
        <v>97000406</v>
      </c>
      <c r="J2370" t="s">
        <v>17646</v>
      </c>
      <c r="K2370" t="s">
        <v>3605</v>
      </c>
    </row>
    <row r="2371" spans="1:11">
      <c r="A2371" t="s">
        <v>17648</v>
      </c>
      <c r="B2371" t="s">
        <v>17649</v>
      </c>
      <c r="C2371">
        <v>97000046</v>
      </c>
      <c r="J2371" t="s">
        <v>17648</v>
      </c>
      <c r="K2371" t="s">
        <v>3605</v>
      </c>
    </row>
    <row r="2372" spans="1:11">
      <c r="A2372" t="s">
        <v>17650</v>
      </c>
      <c r="B2372" t="s">
        <v>17651</v>
      </c>
      <c r="C2372">
        <v>97000048</v>
      </c>
      <c r="J2372" t="s">
        <v>17650</v>
      </c>
      <c r="K2372" t="s">
        <v>3605</v>
      </c>
    </row>
    <row r="2373" spans="1:11">
      <c r="A2373" t="s">
        <v>17652</v>
      </c>
      <c r="B2373" t="s">
        <v>17653</v>
      </c>
      <c r="C2373">
        <v>97000121</v>
      </c>
      <c r="J2373" t="s">
        <v>17652</v>
      </c>
      <c r="K2373" t="s">
        <v>3605</v>
      </c>
    </row>
    <row r="2374" spans="1:11">
      <c r="A2374" t="s">
        <v>17654</v>
      </c>
      <c r="B2374" t="s">
        <v>17655</v>
      </c>
      <c r="C2374">
        <v>97000122</v>
      </c>
      <c r="J2374" t="s">
        <v>17654</v>
      </c>
      <c r="K2374" t="s">
        <v>3605</v>
      </c>
    </row>
    <row r="2375" spans="1:11">
      <c r="A2375" t="s">
        <v>17656</v>
      </c>
      <c r="B2375" t="s">
        <v>17657</v>
      </c>
      <c r="C2375">
        <v>97000123</v>
      </c>
      <c r="J2375" t="s">
        <v>17656</v>
      </c>
      <c r="K2375" t="s">
        <v>3605</v>
      </c>
    </row>
    <row r="2376" spans="1:11">
      <c r="A2376" t="s">
        <v>17658</v>
      </c>
      <c r="B2376" t="s">
        <v>17659</v>
      </c>
      <c r="C2376">
        <v>97000124</v>
      </c>
      <c r="J2376" t="s">
        <v>17658</v>
      </c>
      <c r="K2376" t="s">
        <v>3605</v>
      </c>
    </row>
    <row r="2377" spans="1:11">
      <c r="A2377" t="s">
        <v>17660</v>
      </c>
      <c r="B2377" t="s">
        <v>17661</v>
      </c>
      <c r="C2377">
        <v>99300020</v>
      </c>
      <c r="J2377" t="s">
        <v>17660</v>
      </c>
      <c r="K2377" t="s">
        <v>3605</v>
      </c>
    </row>
    <row r="2378" spans="1:11">
      <c r="A2378" t="s">
        <v>17662</v>
      </c>
      <c r="B2378" t="s">
        <v>17663</v>
      </c>
      <c r="C2378">
        <v>99300030</v>
      </c>
      <c r="J2378" t="s">
        <v>17662</v>
      </c>
      <c r="K2378" t="s">
        <v>3605</v>
      </c>
    </row>
    <row r="2379" spans="1:11">
      <c r="A2379" t="s">
        <v>17664</v>
      </c>
      <c r="B2379" t="s">
        <v>17665</v>
      </c>
      <c r="C2379">
        <v>99300040</v>
      </c>
      <c r="J2379" t="s">
        <v>17664</v>
      </c>
      <c r="K2379" t="s">
        <v>3605</v>
      </c>
    </row>
    <row r="2380" spans="1:11">
      <c r="A2380" t="s">
        <v>17666</v>
      </c>
      <c r="B2380" t="s">
        <v>17667</v>
      </c>
      <c r="C2380">
        <v>97000001</v>
      </c>
      <c r="J2380" t="s">
        <v>17666</v>
      </c>
      <c r="K2380" t="s">
        <v>3605</v>
      </c>
    </row>
    <row r="2381" spans="1:11">
      <c r="A2381" t="s">
        <v>17666</v>
      </c>
      <c r="B2381" t="s">
        <v>17667</v>
      </c>
      <c r="C2381">
        <v>97000008</v>
      </c>
      <c r="J2381" t="s">
        <v>17666</v>
      </c>
      <c r="K2381" t="s">
        <v>3605</v>
      </c>
    </row>
    <row r="2382" spans="1:11">
      <c r="A2382" t="s">
        <v>17668</v>
      </c>
      <c r="B2382" t="s">
        <v>17669</v>
      </c>
      <c r="C2382">
        <v>97000011</v>
      </c>
      <c r="J2382" t="s">
        <v>17668</v>
      </c>
      <c r="K2382" t="s">
        <v>3605</v>
      </c>
    </row>
    <row r="2383" spans="1:11">
      <c r="A2383" t="s">
        <v>17670</v>
      </c>
      <c r="B2383" t="s">
        <v>17671</v>
      </c>
      <c r="J2383" t="s">
        <v>17670</v>
      </c>
      <c r="K2383" t="s">
        <v>3605</v>
      </c>
    </row>
    <row r="2384" spans="1:11">
      <c r="A2384" t="s">
        <v>17672</v>
      </c>
      <c r="B2384" t="s">
        <v>17673</v>
      </c>
      <c r="J2384" t="s">
        <v>17672</v>
      </c>
      <c r="K2384" t="s">
        <v>3605</v>
      </c>
    </row>
    <row r="2385" spans="1:11">
      <c r="A2385" t="s">
        <v>17674</v>
      </c>
      <c r="B2385" t="s">
        <v>17675</v>
      </c>
      <c r="J2385" t="s">
        <v>17674</v>
      </c>
      <c r="K2385" t="s">
        <v>3605</v>
      </c>
    </row>
    <row r="2386" spans="1:11">
      <c r="A2386" t="s">
        <v>17676</v>
      </c>
      <c r="B2386" t="s">
        <v>17677</v>
      </c>
      <c r="J2386" t="s">
        <v>17676</v>
      </c>
      <c r="K2386" t="s">
        <v>3605</v>
      </c>
    </row>
    <row r="2387" spans="1:11">
      <c r="A2387" t="s">
        <v>17678</v>
      </c>
      <c r="B2387" t="s">
        <v>17679</v>
      </c>
      <c r="J2387" t="s">
        <v>17678</v>
      </c>
      <c r="K2387" t="s">
        <v>3605</v>
      </c>
    </row>
    <row r="2388" spans="1:11">
      <c r="A2388" t="s">
        <v>17680</v>
      </c>
      <c r="B2388" t="s">
        <v>17681</v>
      </c>
      <c r="J2388" t="s">
        <v>17680</v>
      </c>
      <c r="K2388" t="s">
        <v>3605</v>
      </c>
    </row>
    <row r="2389" spans="1:11">
      <c r="A2389" t="s">
        <v>17682</v>
      </c>
      <c r="B2389" t="s">
        <v>17683</v>
      </c>
      <c r="J2389" t="s">
        <v>17682</v>
      </c>
      <c r="K2389" t="s">
        <v>3605</v>
      </c>
    </row>
    <row r="2390" spans="1:11">
      <c r="A2390" t="s">
        <v>17684</v>
      </c>
      <c r="B2390" t="s">
        <v>17685</v>
      </c>
      <c r="J2390" t="s">
        <v>17684</v>
      </c>
      <c r="K2390" t="s">
        <v>3605</v>
      </c>
    </row>
    <row r="2391" spans="1:11">
      <c r="A2391" t="s">
        <v>17686</v>
      </c>
      <c r="B2391" t="s">
        <v>17687</v>
      </c>
      <c r="J2391" t="s">
        <v>17686</v>
      </c>
      <c r="K2391" t="s">
        <v>3605</v>
      </c>
    </row>
    <row r="2392" spans="1:11">
      <c r="A2392" t="s">
        <v>17688</v>
      </c>
      <c r="B2392" t="s">
        <v>17689</v>
      </c>
      <c r="J2392" t="s">
        <v>17688</v>
      </c>
      <c r="K2392" t="s">
        <v>3605</v>
      </c>
    </row>
    <row r="2393" spans="1:11">
      <c r="A2393" t="s">
        <v>17690</v>
      </c>
      <c r="B2393" t="s">
        <v>17691</v>
      </c>
      <c r="J2393" t="s">
        <v>17690</v>
      </c>
      <c r="K2393" t="s">
        <v>3605</v>
      </c>
    </row>
    <row r="2394" spans="1:11">
      <c r="A2394" t="s">
        <v>17692</v>
      </c>
      <c r="B2394" t="s">
        <v>17693</v>
      </c>
      <c r="J2394" t="s">
        <v>17692</v>
      </c>
      <c r="K2394" t="s">
        <v>3605</v>
      </c>
    </row>
    <row r="2395" spans="1:11">
      <c r="A2395" t="s">
        <v>17694</v>
      </c>
      <c r="B2395" t="s">
        <v>17695</v>
      </c>
      <c r="J2395" t="s">
        <v>17694</v>
      </c>
      <c r="K2395" t="s">
        <v>3605</v>
      </c>
    </row>
    <row r="2396" spans="1:11">
      <c r="A2396" t="s">
        <v>17696</v>
      </c>
      <c r="B2396" t="s">
        <v>17697</v>
      </c>
      <c r="J2396" t="s">
        <v>17696</v>
      </c>
      <c r="K2396" t="s">
        <v>3605</v>
      </c>
    </row>
    <row r="2397" spans="1:11">
      <c r="A2397" t="s">
        <v>17698</v>
      </c>
      <c r="B2397" t="s">
        <v>17699</v>
      </c>
      <c r="J2397" t="s">
        <v>17698</v>
      </c>
      <c r="K2397" t="s">
        <v>3605</v>
      </c>
    </row>
    <row r="2398" spans="1:11">
      <c r="A2398" t="s">
        <v>17700</v>
      </c>
      <c r="B2398" t="s">
        <v>17701</v>
      </c>
      <c r="J2398" t="s">
        <v>17700</v>
      </c>
      <c r="K2398" t="s">
        <v>3605</v>
      </c>
    </row>
    <row r="2399" spans="1:11">
      <c r="A2399" t="s">
        <v>17702</v>
      </c>
      <c r="B2399" t="s">
        <v>17703</v>
      </c>
      <c r="D2399" t="s">
        <v>13745</v>
      </c>
      <c r="E2399">
        <v>45386</v>
      </c>
      <c r="J2399" t="s">
        <v>17702</v>
      </c>
      <c r="K2399" t="s">
        <v>3605</v>
      </c>
    </row>
    <row r="2400" spans="1:11">
      <c r="A2400" t="s">
        <v>17704</v>
      </c>
      <c r="B2400" t="s">
        <v>17705</v>
      </c>
      <c r="J2400" t="s">
        <v>17704</v>
      </c>
      <c r="K2400" t="s">
        <v>3605</v>
      </c>
    </row>
    <row r="2401" spans="1:11">
      <c r="A2401" t="s">
        <v>17706</v>
      </c>
      <c r="B2401" t="s">
        <v>17707</v>
      </c>
      <c r="J2401" t="s">
        <v>17706</v>
      </c>
      <c r="K2401" t="s">
        <v>3605</v>
      </c>
    </row>
    <row r="2402" spans="1:11">
      <c r="A2402" t="s">
        <v>17708</v>
      </c>
      <c r="B2402" t="s">
        <v>17709</v>
      </c>
      <c r="J2402" t="s">
        <v>17708</v>
      </c>
      <c r="K2402" t="s">
        <v>3605</v>
      </c>
    </row>
    <row r="2403" spans="1:11">
      <c r="A2403" t="s">
        <v>17710</v>
      </c>
      <c r="B2403" t="s">
        <v>17711</v>
      </c>
      <c r="J2403" t="s">
        <v>17710</v>
      </c>
      <c r="K2403" t="s">
        <v>3605</v>
      </c>
    </row>
    <row r="2404" spans="1:11">
      <c r="A2404" t="s">
        <v>17712</v>
      </c>
      <c r="B2404" t="s">
        <v>17713</v>
      </c>
      <c r="J2404" t="s">
        <v>17712</v>
      </c>
      <c r="K2404" t="s">
        <v>3605</v>
      </c>
    </row>
    <row r="2405" spans="1:11">
      <c r="A2405" t="s">
        <v>17714</v>
      </c>
      <c r="B2405" t="s">
        <v>17715</v>
      </c>
      <c r="J2405" t="s">
        <v>17714</v>
      </c>
      <c r="K2405" t="s">
        <v>3605</v>
      </c>
    </row>
    <row r="2406" spans="1:11">
      <c r="A2406" t="s">
        <v>17716</v>
      </c>
      <c r="B2406" t="s">
        <v>17717</v>
      </c>
      <c r="J2406" t="s">
        <v>17716</v>
      </c>
      <c r="K2406" t="s">
        <v>3605</v>
      </c>
    </row>
    <row r="2407" spans="1:11">
      <c r="A2407" t="s">
        <v>17718</v>
      </c>
      <c r="B2407" t="s">
        <v>17719</v>
      </c>
      <c r="J2407" t="s">
        <v>17718</v>
      </c>
      <c r="K2407" t="s">
        <v>3605</v>
      </c>
    </row>
    <row r="2408" spans="1:11">
      <c r="A2408" t="s">
        <v>17720</v>
      </c>
      <c r="B2408" t="s">
        <v>17721</v>
      </c>
      <c r="J2408" t="s">
        <v>17720</v>
      </c>
      <c r="K2408" t="s">
        <v>3605</v>
      </c>
    </row>
    <row r="2409" spans="1:11">
      <c r="A2409" t="s">
        <v>17722</v>
      </c>
      <c r="B2409" t="s">
        <v>17723</v>
      </c>
      <c r="J2409" t="s">
        <v>17722</v>
      </c>
      <c r="K2409" t="s">
        <v>3605</v>
      </c>
    </row>
    <row r="2410" spans="1:11">
      <c r="A2410" t="s">
        <v>17724</v>
      </c>
      <c r="B2410" t="s">
        <v>17725</v>
      </c>
      <c r="J2410" t="s">
        <v>17724</v>
      </c>
      <c r="K2410" t="s">
        <v>3605</v>
      </c>
    </row>
    <row r="2411" spans="1:11">
      <c r="A2411" t="s">
        <v>17726</v>
      </c>
      <c r="B2411" t="s">
        <v>17727</v>
      </c>
      <c r="J2411" t="s">
        <v>17726</v>
      </c>
      <c r="K2411" t="s">
        <v>3605</v>
      </c>
    </row>
    <row r="2412" spans="1:11">
      <c r="A2412" t="s">
        <v>17728</v>
      </c>
      <c r="B2412" t="s">
        <v>17729</v>
      </c>
      <c r="J2412" t="s">
        <v>17728</v>
      </c>
      <c r="K2412" t="s">
        <v>3605</v>
      </c>
    </row>
    <row r="2413" spans="1:11">
      <c r="A2413" t="s">
        <v>17730</v>
      </c>
      <c r="B2413" t="s">
        <v>17731</v>
      </c>
      <c r="J2413" t="s">
        <v>17730</v>
      </c>
      <c r="K2413" t="s">
        <v>3605</v>
      </c>
    </row>
    <row r="2414" spans="1:11">
      <c r="A2414" t="s">
        <v>17732</v>
      </c>
      <c r="B2414" t="s">
        <v>17733</v>
      </c>
      <c r="J2414" t="s">
        <v>17732</v>
      </c>
      <c r="K2414" t="s">
        <v>3605</v>
      </c>
    </row>
    <row r="2415" spans="1:11">
      <c r="A2415" t="s">
        <v>17734</v>
      </c>
      <c r="B2415" t="s">
        <v>17735</v>
      </c>
      <c r="J2415" t="s">
        <v>17734</v>
      </c>
      <c r="K2415" t="s">
        <v>3605</v>
      </c>
    </row>
    <row r="2416" spans="1:11">
      <c r="A2416" t="s">
        <v>17736</v>
      </c>
      <c r="B2416" t="s">
        <v>17737</v>
      </c>
      <c r="J2416" t="s">
        <v>17736</v>
      </c>
      <c r="K2416" t="s">
        <v>3605</v>
      </c>
    </row>
    <row r="2417" spans="1:11">
      <c r="A2417" t="s">
        <v>17738</v>
      </c>
      <c r="B2417" t="s">
        <v>17739</v>
      </c>
      <c r="J2417" t="s">
        <v>17738</v>
      </c>
      <c r="K2417" t="s">
        <v>3605</v>
      </c>
    </row>
    <row r="2418" spans="1:11">
      <c r="A2418" t="s">
        <v>17740</v>
      </c>
      <c r="B2418" t="s">
        <v>17741</v>
      </c>
      <c r="J2418" t="s">
        <v>17740</v>
      </c>
      <c r="K2418" t="s">
        <v>3605</v>
      </c>
    </row>
    <row r="2419" spans="1:11">
      <c r="A2419" t="s">
        <v>17742</v>
      </c>
      <c r="B2419" t="s">
        <v>17743</v>
      </c>
      <c r="J2419" t="s">
        <v>17742</v>
      </c>
      <c r="K2419" t="s">
        <v>3605</v>
      </c>
    </row>
    <row r="2420" spans="1:11">
      <c r="A2420" t="s">
        <v>17744</v>
      </c>
      <c r="B2420" t="s">
        <v>17745</v>
      </c>
      <c r="J2420" t="s">
        <v>17744</v>
      </c>
      <c r="K2420" t="s">
        <v>3605</v>
      </c>
    </row>
    <row r="2421" spans="1:11">
      <c r="A2421" t="s">
        <v>17746</v>
      </c>
      <c r="B2421" t="s">
        <v>17747</v>
      </c>
      <c r="J2421" t="s">
        <v>17746</v>
      </c>
      <c r="K2421" t="s">
        <v>3605</v>
      </c>
    </row>
    <row r="2422" spans="1:11">
      <c r="A2422" t="s">
        <v>17748</v>
      </c>
      <c r="B2422" t="s">
        <v>17749</v>
      </c>
      <c r="J2422" t="s">
        <v>17748</v>
      </c>
      <c r="K2422" t="s">
        <v>3605</v>
      </c>
    </row>
    <row r="2423" spans="1:11">
      <c r="A2423" t="s">
        <v>17750</v>
      </c>
      <c r="B2423" t="s">
        <v>17751</v>
      </c>
      <c r="J2423" t="s">
        <v>17750</v>
      </c>
      <c r="K2423" t="s">
        <v>3605</v>
      </c>
    </row>
    <row r="2424" spans="1:11">
      <c r="A2424" t="s">
        <v>17752</v>
      </c>
      <c r="B2424" t="s">
        <v>17753</v>
      </c>
      <c r="J2424" t="s">
        <v>17752</v>
      </c>
      <c r="K2424" t="s">
        <v>3605</v>
      </c>
    </row>
    <row r="2425" spans="1:11">
      <c r="A2425" t="s">
        <v>17754</v>
      </c>
      <c r="B2425" t="s">
        <v>17755</v>
      </c>
      <c r="J2425" t="s">
        <v>17754</v>
      </c>
      <c r="K2425" t="s">
        <v>3605</v>
      </c>
    </row>
    <row r="2426" spans="1:11">
      <c r="A2426" t="s">
        <v>17756</v>
      </c>
      <c r="B2426" t="s">
        <v>17757</v>
      </c>
      <c r="J2426" t="s">
        <v>17756</v>
      </c>
      <c r="K2426" t="s">
        <v>3605</v>
      </c>
    </row>
    <row r="2427" spans="1:11">
      <c r="A2427" t="s">
        <v>17758</v>
      </c>
      <c r="B2427" t="s">
        <v>17759</v>
      </c>
      <c r="J2427" t="s">
        <v>17758</v>
      </c>
      <c r="K2427" t="s">
        <v>3605</v>
      </c>
    </row>
    <row r="2428" spans="1:11">
      <c r="A2428" t="s">
        <v>17760</v>
      </c>
      <c r="B2428" t="s">
        <v>17761</v>
      </c>
      <c r="J2428" t="s">
        <v>17760</v>
      </c>
      <c r="K2428" t="s">
        <v>3605</v>
      </c>
    </row>
    <row r="2429" spans="1:11">
      <c r="A2429" t="s">
        <v>17762</v>
      </c>
      <c r="B2429" t="s">
        <v>17763</v>
      </c>
      <c r="J2429" t="s">
        <v>17762</v>
      </c>
      <c r="K2429" t="s">
        <v>3605</v>
      </c>
    </row>
    <row r="2430" spans="1:11">
      <c r="A2430" t="s">
        <v>17764</v>
      </c>
      <c r="B2430" t="s">
        <v>17765</v>
      </c>
      <c r="J2430" t="s">
        <v>17764</v>
      </c>
      <c r="K2430" t="s">
        <v>3605</v>
      </c>
    </row>
    <row r="2431" spans="1:11">
      <c r="A2431" t="s">
        <v>17766</v>
      </c>
      <c r="B2431" t="s">
        <v>17767</v>
      </c>
      <c r="J2431" t="s">
        <v>17766</v>
      </c>
      <c r="K2431" t="s">
        <v>3605</v>
      </c>
    </row>
    <row r="2432" spans="1:11">
      <c r="A2432" t="s">
        <v>17768</v>
      </c>
      <c r="B2432" t="s">
        <v>17769</v>
      </c>
      <c r="J2432" t="s">
        <v>17768</v>
      </c>
      <c r="K2432" t="s">
        <v>3605</v>
      </c>
    </row>
    <row r="2433" spans="1:11">
      <c r="A2433" t="s">
        <v>17770</v>
      </c>
      <c r="B2433" t="s">
        <v>17771</v>
      </c>
      <c r="J2433" t="s">
        <v>17770</v>
      </c>
      <c r="K2433" t="s">
        <v>3605</v>
      </c>
    </row>
    <row r="2434" spans="1:11">
      <c r="A2434" t="s">
        <v>17772</v>
      </c>
      <c r="B2434" t="s">
        <v>17773</v>
      </c>
      <c r="D2434" t="s">
        <v>13745</v>
      </c>
      <c r="E2434">
        <v>45386</v>
      </c>
      <c r="J2434" t="s">
        <v>17772</v>
      </c>
      <c r="K2434" t="s">
        <v>3605</v>
      </c>
    </row>
    <row r="2435" spans="1:11">
      <c r="A2435" t="s">
        <v>17774</v>
      </c>
      <c r="B2435" t="s">
        <v>17775</v>
      </c>
      <c r="J2435" t="s">
        <v>17774</v>
      </c>
      <c r="K2435" t="s">
        <v>3605</v>
      </c>
    </row>
    <row r="2436" spans="1:11">
      <c r="A2436" t="s">
        <v>17776</v>
      </c>
      <c r="B2436" t="s">
        <v>17777</v>
      </c>
      <c r="J2436" t="s">
        <v>17776</v>
      </c>
      <c r="K2436" t="s">
        <v>3605</v>
      </c>
    </row>
    <row r="2437" spans="1:11">
      <c r="A2437" t="s">
        <v>17778</v>
      </c>
      <c r="B2437" t="s">
        <v>17779</v>
      </c>
      <c r="J2437" t="s">
        <v>17778</v>
      </c>
      <c r="K2437" t="s">
        <v>3605</v>
      </c>
    </row>
    <row r="2438" spans="1:11">
      <c r="A2438" t="s">
        <v>17780</v>
      </c>
      <c r="B2438" t="s">
        <v>17781</v>
      </c>
      <c r="J2438" t="s">
        <v>17780</v>
      </c>
      <c r="K2438" t="s">
        <v>3605</v>
      </c>
    </row>
    <row r="2439" spans="1:11">
      <c r="A2439" t="s">
        <v>17782</v>
      </c>
      <c r="B2439" t="s">
        <v>17783</v>
      </c>
      <c r="J2439" t="s">
        <v>17782</v>
      </c>
      <c r="K2439" t="s">
        <v>3605</v>
      </c>
    </row>
    <row r="2440" spans="1:11">
      <c r="A2440" t="s">
        <v>17784</v>
      </c>
      <c r="B2440" t="s">
        <v>17785</v>
      </c>
      <c r="J2440" t="s">
        <v>17784</v>
      </c>
      <c r="K2440" t="s">
        <v>3605</v>
      </c>
    </row>
    <row r="2441" spans="1:11">
      <c r="A2441" t="s">
        <v>17786</v>
      </c>
      <c r="B2441" t="s">
        <v>17787</v>
      </c>
      <c r="J2441" t="s">
        <v>17786</v>
      </c>
      <c r="K2441" t="s">
        <v>3605</v>
      </c>
    </row>
    <row r="2442" spans="1:11">
      <c r="A2442" t="s">
        <v>17788</v>
      </c>
      <c r="B2442" t="s">
        <v>17789</v>
      </c>
      <c r="J2442" t="s">
        <v>17788</v>
      </c>
      <c r="K2442" t="s">
        <v>3605</v>
      </c>
    </row>
    <row r="2443" spans="1:11">
      <c r="A2443" t="s">
        <v>17790</v>
      </c>
      <c r="B2443" t="s">
        <v>17791</v>
      </c>
      <c r="J2443" t="s">
        <v>17790</v>
      </c>
      <c r="K2443" t="s">
        <v>3605</v>
      </c>
    </row>
    <row r="2444" spans="1:11">
      <c r="A2444" t="s">
        <v>17792</v>
      </c>
      <c r="B2444" t="s">
        <v>17793</v>
      </c>
      <c r="J2444" t="s">
        <v>17792</v>
      </c>
      <c r="K2444" t="s">
        <v>3605</v>
      </c>
    </row>
    <row r="2445" spans="1:11">
      <c r="A2445" t="s">
        <v>17794</v>
      </c>
      <c r="B2445" t="s">
        <v>17795</v>
      </c>
      <c r="J2445" t="s">
        <v>17794</v>
      </c>
      <c r="K2445" t="s">
        <v>3605</v>
      </c>
    </row>
    <row r="2446" spans="1:11">
      <c r="A2446" t="s">
        <v>17796</v>
      </c>
      <c r="B2446" t="s">
        <v>17797</v>
      </c>
      <c r="J2446" t="s">
        <v>17796</v>
      </c>
      <c r="K2446" t="s">
        <v>3605</v>
      </c>
    </row>
    <row r="2447" spans="1:11">
      <c r="A2447" t="s">
        <v>17798</v>
      </c>
      <c r="B2447" t="s">
        <v>17799</v>
      </c>
      <c r="J2447" t="s">
        <v>17798</v>
      </c>
      <c r="K2447" t="s">
        <v>3605</v>
      </c>
    </row>
    <row r="2448" spans="1:11">
      <c r="A2448" t="s">
        <v>17800</v>
      </c>
      <c r="B2448" t="s">
        <v>17801</v>
      </c>
      <c r="J2448" t="s">
        <v>17800</v>
      </c>
      <c r="K2448" t="s">
        <v>3605</v>
      </c>
    </row>
    <row r="2449" spans="1:11">
      <c r="A2449" t="s">
        <v>17802</v>
      </c>
      <c r="B2449" t="s">
        <v>17803</v>
      </c>
      <c r="J2449" t="s">
        <v>17802</v>
      </c>
      <c r="K2449" t="s">
        <v>3605</v>
      </c>
    </row>
    <row r="2450" spans="1:11">
      <c r="A2450" t="s">
        <v>17804</v>
      </c>
      <c r="B2450" t="s">
        <v>17805</v>
      </c>
      <c r="J2450" t="s">
        <v>17804</v>
      </c>
      <c r="K2450" t="s">
        <v>3605</v>
      </c>
    </row>
    <row r="2451" spans="1:11">
      <c r="A2451" t="s">
        <v>17806</v>
      </c>
      <c r="B2451" t="s">
        <v>17807</v>
      </c>
      <c r="J2451" t="s">
        <v>17806</v>
      </c>
      <c r="K2451" t="s">
        <v>3605</v>
      </c>
    </row>
    <row r="2452" spans="1:11">
      <c r="A2452" t="s">
        <v>17808</v>
      </c>
      <c r="B2452" t="s">
        <v>17809</v>
      </c>
      <c r="J2452" t="s">
        <v>17808</v>
      </c>
      <c r="K2452" t="s">
        <v>3605</v>
      </c>
    </row>
    <row r="2453" spans="1:11">
      <c r="A2453" t="s">
        <v>17810</v>
      </c>
      <c r="B2453" t="s">
        <v>17811</v>
      </c>
      <c r="J2453" t="s">
        <v>17810</v>
      </c>
      <c r="K2453" t="s">
        <v>3605</v>
      </c>
    </row>
    <row r="2454" spans="1:11">
      <c r="A2454" t="s">
        <v>17812</v>
      </c>
      <c r="B2454" t="s">
        <v>17813</v>
      </c>
      <c r="J2454" t="s">
        <v>17812</v>
      </c>
      <c r="K2454" t="s">
        <v>3605</v>
      </c>
    </row>
    <row r="2455" spans="1:11">
      <c r="A2455" t="s">
        <v>17814</v>
      </c>
      <c r="B2455" t="s">
        <v>17815</v>
      </c>
      <c r="J2455" t="s">
        <v>17814</v>
      </c>
      <c r="K2455" t="s">
        <v>3605</v>
      </c>
    </row>
    <row r="2456" spans="1:11">
      <c r="A2456" t="s">
        <v>17816</v>
      </c>
      <c r="B2456" t="s">
        <v>17817</v>
      </c>
      <c r="J2456" t="s">
        <v>17816</v>
      </c>
      <c r="K2456" t="s">
        <v>3605</v>
      </c>
    </row>
    <row r="2457" spans="1:11">
      <c r="A2457" t="s">
        <v>17818</v>
      </c>
      <c r="B2457" t="s">
        <v>17819</v>
      </c>
      <c r="J2457" t="s">
        <v>17818</v>
      </c>
      <c r="K2457" t="s">
        <v>3605</v>
      </c>
    </row>
    <row r="2458" spans="1:11">
      <c r="A2458" t="s">
        <v>17820</v>
      </c>
      <c r="B2458" t="s">
        <v>17821</v>
      </c>
      <c r="J2458" t="s">
        <v>17820</v>
      </c>
      <c r="K2458" t="s">
        <v>3605</v>
      </c>
    </row>
    <row r="2459" spans="1:11">
      <c r="A2459" t="s">
        <v>17822</v>
      </c>
      <c r="B2459" t="s">
        <v>17823</v>
      </c>
      <c r="J2459" t="s">
        <v>17822</v>
      </c>
      <c r="K2459" t="s">
        <v>3605</v>
      </c>
    </row>
    <row r="2460" spans="1:11">
      <c r="A2460" t="s">
        <v>17824</v>
      </c>
      <c r="B2460" t="s">
        <v>17825</v>
      </c>
      <c r="J2460" t="s">
        <v>17824</v>
      </c>
      <c r="K2460" t="s">
        <v>3605</v>
      </c>
    </row>
    <row r="2461" spans="1:11">
      <c r="A2461" t="s">
        <v>17826</v>
      </c>
      <c r="B2461" t="s">
        <v>17827</v>
      </c>
      <c r="J2461" t="s">
        <v>17826</v>
      </c>
      <c r="K2461" t="s">
        <v>3605</v>
      </c>
    </row>
    <row r="2462" spans="1:11">
      <c r="A2462" t="s">
        <v>17828</v>
      </c>
      <c r="B2462" t="s">
        <v>17829</v>
      </c>
      <c r="J2462" t="s">
        <v>17828</v>
      </c>
      <c r="K2462" t="s">
        <v>3605</v>
      </c>
    </row>
    <row r="2463" spans="1:11">
      <c r="A2463" t="s">
        <v>17830</v>
      </c>
      <c r="B2463" t="s">
        <v>17831</v>
      </c>
      <c r="J2463" t="s">
        <v>17830</v>
      </c>
      <c r="K2463" t="s">
        <v>3605</v>
      </c>
    </row>
    <row r="2464" spans="1:11">
      <c r="A2464" t="s">
        <v>17832</v>
      </c>
      <c r="B2464" t="s">
        <v>17833</v>
      </c>
      <c r="J2464" t="s">
        <v>17832</v>
      </c>
      <c r="K2464" t="s">
        <v>3605</v>
      </c>
    </row>
    <row r="2465" spans="1:11">
      <c r="A2465" t="s">
        <v>17834</v>
      </c>
      <c r="B2465" t="s">
        <v>17835</v>
      </c>
      <c r="J2465" t="s">
        <v>17834</v>
      </c>
      <c r="K2465" t="s">
        <v>3605</v>
      </c>
    </row>
    <row r="2466" spans="1:11">
      <c r="A2466" t="s">
        <v>17836</v>
      </c>
      <c r="B2466" t="s">
        <v>17837</v>
      </c>
      <c r="J2466" t="s">
        <v>17836</v>
      </c>
      <c r="K2466" t="s">
        <v>3605</v>
      </c>
    </row>
    <row r="2467" spans="1:11">
      <c r="A2467" t="s">
        <v>17838</v>
      </c>
      <c r="B2467" t="s">
        <v>17839</v>
      </c>
      <c r="J2467" t="s">
        <v>17838</v>
      </c>
      <c r="K2467" t="s">
        <v>3605</v>
      </c>
    </row>
    <row r="2468" spans="1:11">
      <c r="A2468" t="s">
        <v>17840</v>
      </c>
      <c r="B2468" t="s">
        <v>17841</v>
      </c>
      <c r="J2468" t="s">
        <v>17840</v>
      </c>
      <c r="K2468" t="s">
        <v>3605</v>
      </c>
    </row>
    <row r="2469" spans="1:11">
      <c r="A2469" t="s">
        <v>17842</v>
      </c>
      <c r="B2469" t="s">
        <v>17843</v>
      </c>
      <c r="J2469" t="s">
        <v>17842</v>
      </c>
      <c r="K2469" t="s">
        <v>3605</v>
      </c>
    </row>
    <row r="2470" spans="1:11">
      <c r="A2470" t="s">
        <v>17844</v>
      </c>
      <c r="B2470" t="s">
        <v>17845</v>
      </c>
      <c r="J2470" t="s">
        <v>17844</v>
      </c>
      <c r="K2470" t="s">
        <v>3605</v>
      </c>
    </row>
    <row r="2471" spans="1:11">
      <c r="A2471" t="s">
        <v>17846</v>
      </c>
      <c r="B2471" t="s">
        <v>17847</v>
      </c>
      <c r="J2471" t="s">
        <v>17846</v>
      </c>
      <c r="K2471" t="s">
        <v>3605</v>
      </c>
    </row>
    <row r="2472" spans="1:11">
      <c r="A2472" t="s">
        <v>17848</v>
      </c>
      <c r="B2472" t="s">
        <v>17849</v>
      </c>
      <c r="J2472" t="s">
        <v>17848</v>
      </c>
      <c r="K2472" t="s">
        <v>3605</v>
      </c>
    </row>
    <row r="2473" spans="1:11">
      <c r="A2473" t="s">
        <v>17850</v>
      </c>
      <c r="B2473" t="s">
        <v>17851</v>
      </c>
      <c r="J2473" t="s">
        <v>17850</v>
      </c>
      <c r="K2473" t="s">
        <v>3605</v>
      </c>
    </row>
    <row r="2474" spans="1:11">
      <c r="A2474" t="s">
        <v>17852</v>
      </c>
      <c r="B2474" t="s">
        <v>17853</v>
      </c>
      <c r="J2474" t="s">
        <v>17852</v>
      </c>
      <c r="K2474" t="s">
        <v>3605</v>
      </c>
    </row>
    <row r="2475" spans="1:11">
      <c r="A2475" t="s">
        <v>17854</v>
      </c>
      <c r="B2475" t="s">
        <v>17855</v>
      </c>
      <c r="J2475" t="s">
        <v>17854</v>
      </c>
      <c r="K2475" t="s">
        <v>3605</v>
      </c>
    </row>
    <row r="2476" spans="1:11">
      <c r="A2476" t="s">
        <v>17856</v>
      </c>
      <c r="B2476" t="s">
        <v>17857</v>
      </c>
      <c r="J2476" t="s">
        <v>17856</v>
      </c>
      <c r="K2476" t="s">
        <v>3605</v>
      </c>
    </row>
    <row r="2477" spans="1:11">
      <c r="A2477" t="s">
        <v>17858</v>
      </c>
      <c r="B2477" t="s">
        <v>17859</v>
      </c>
      <c r="J2477" t="s">
        <v>17858</v>
      </c>
      <c r="K2477" t="s">
        <v>3605</v>
      </c>
    </row>
    <row r="2478" spans="1:11">
      <c r="A2478" t="s">
        <v>17860</v>
      </c>
      <c r="B2478" t="s">
        <v>17861</v>
      </c>
      <c r="J2478" t="s">
        <v>17860</v>
      </c>
      <c r="K2478" t="s">
        <v>3605</v>
      </c>
    </row>
    <row r="2479" spans="1:11">
      <c r="A2479" t="s">
        <v>17862</v>
      </c>
      <c r="B2479" t="s">
        <v>17863</v>
      </c>
      <c r="J2479" t="s">
        <v>17862</v>
      </c>
      <c r="K2479" t="s">
        <v>3605</v>
      </c>
    </row>
    <row r="2480" spans="1:11">
      <c r="A2480" t="s">
        <v>17864</v>
      </c>
      <c r="B2480" t="s">
        <v>17865</v>
      </c>
      <c r="J2480" t="s">
        <v>17864</v>
      </c>
      <c r="K2480" t="s">
        <v>3605</v>
      </c>
    </row>
    <row r="2481" spans="1:11">
      <c r="A2481" t="s">
        <v>17866</v>
      </c>
      <c r="B2481" t="s">
        <v>17867</v>
      </c>
      <c r="J2481" t="s">
        <v>17866</v>
      </c>
      <c r="K2481" t="s">
        <v>3605</v>
      </c>
    </row>
    <row r="2482" spans="1:11">
      <c r="A2482" t="s">
        <v>17868</v>
      </c>
      <c r="B2482" t="s">
        <v>17869</v>
      </c>
      <c r="J2482" t="s">
        <v>17868</v>
      </c>
      <c r="K2482" t="s">
        <v>3605</v>
      </c>
    </row>
    <row r="2483" spans="1:11">
      <c r="A2483" t="s">
        <v>17870</v>
      </c>
      <c r="B2483" t="s">
        <v>17871</v>
      </c>
      <c r="J2483" t="s">
        <v>17870</v>
      </c>
      <c r="K2483" t="s">
        <v>3605</v>
      </c>
    </row>
    <row r="2484" spans="1:11">
      <c r="A2484" t="s">
        <v>17872</v>
      </c>
      <c r="B2484" t="s">
        <v>17873</v>
      </c>
      <c r="J2484" t="s">
        <v>17872</v>
      </c>
      <c r="K2484" t="s">
        <v>3605</v>
      </c>
    </row>
    <row r="2485" spans="1:11">
      <c r="A2485" t="s">
        <v>17874</v>
      </c>
      <c r="B2485" t="s">
        <v>17875</v>
      </c>
      <c r="J2485" t="s">
        <v>17874</v>
      </c>
      <c r="K2485" t="s">
        <v>3605</v>
      </c>
    </row>
    <row r="2486" spans="1:11">
      <c r="A2486" t="s">
        <v>17876</v>
      </c>
      <c r="B2486" t="s">
        <v>17877</v>
      </c>
      <c r="J2486" t="s">
        <v>17876</v>
      </c>
      <c r="K2486" t="s">
        <v>3605</v>
      </c>
    </row>
    <row r="2487" spans="1:11">
      <c r="A2487" t="s">
        <v>17878</v>
      </c>
      <c r="B2487" t="s">
        <v>17879</v>
      </c>
      <c r="J2487" t="s">
        <v>17878</v>
      </c>
      <c r="K2487" t="s">
        <v>3605</v>
      </c>
    </row>
    <row r="2488" spans="1:11">
      <c r="A2488" t="s">
        <v>17880</v>
      </c>
      <c r="B2488" t="s">
        <v>17881</v>
      </c>
      <c r="J2488" t="s">
        <v>17880</v>
      </c>
      <c r="K2488" t="s">
        <v>3605</v>
      </c>
    </row>
    <row r="2489" spans="1:11">
      <c r="A2489" t="s">
        <v>17882</v>
      </c>
      <c r="B2489" t="s">
        <v>17883</v>
      </c>
      <c r="J2489" t="s">
        <v>17882</v>
      </c>
      <c r="K2489" t="s">
        <v>3605</v>
      </c>
    </row>
    <row r="2490" spans="1:11">
      <c r="A2490" t="s">
        <v>17884</v>
      </c>
      <c r="B2490" t="s">
        <v>17885</v>
      </c>
      <c r="J2490" t="s">
        <v>17884</v>
      </c>
      <c r="K2490" t="s">
        <v>3605</v>
      </c>
    </row>
    <row r="2491" spans="1:11">
      <c r="A2491" t="s">
        <v>17886</v>
      </c>
      <c r="B2491" t="s">
        <v>17887</v>
      </c>
      <c r="J2491" t="s">
        <v>17886</v>
      </c>
      <c r="K2491" t="s">
        <v>3605</v>
      </c>
    </row>
    <row r="2492" spans="1:11">
      <c r="A2492" t="s">
        <v>17888</v>
      </c>
      <c r="B2492" t="s">
        <v>17889</v>
      </c>
      <c r="J2492" t="s">
        <v>17888</v>
      </c>
      <c r="K2492" t="s">
        <v>3605</v>
      </c>
    </row>
    <row r="2493" spans="1:11">
      <c r="A2493" t="s">
        <v>17890</v>
      </c>
      <c r="B2493" t="s">
        <v>17891</v>
      </c>
      <c r="J2493" t="s">
        <v>17890</v>
      </c>
      <c r="K2493" t="s">
        <v>3605</v>
      </c>
    </row>
    <row r="2494" spans="1:11">
      <c r="A2494" t="s">
        <v>17892</v>
      </c>
      <c r="B2494" t="s">
        <v>17893</v>
      </c>
      <c r="J2494" t="s">
        <v>17892</v>
      </c>
      <c r="K2494" t="s">
        <v>3605</v>
      </c>
    </row>
    <row r="2495" spans="1:11">
      <c r="A2495" t="s">
        <v>17894</v>
      </c>
      <c r="B2495" t="s">
        <v>17895</v>
      </c>
      <c r="J2495" t="s">
        <v>17894</v>
      </c>
      <c r="K2495" t="s">
        <v>3605</v>
      </c>
    </row>
    <row r="2496" spans="1:11">
      <c r="A2496" t="s">
        <v>17896</v>
      </c>
      <c r="B2496" t="s">
        <v>17897</v>
      </c>
      <c r="J2496" t="s">
        <v>17896</v>
      </c>
      <c r="K2496" t="s">
        <v>3605</v>
      </c>
    </row>
    <row r="2497" spans="1:11">
      <c r="A2497" t="s">
        <v>17898</v>
      </c>
      <c r="B2497" t="s">
        <v>17899</v>
      </c>
      <c r="J2497" t="s">
        <v>17898</v>
      </c>
      <c r="K2497" t="s">
        <v>3605</v>
      </c>
    </row>
    <row r="2498" spans="1:11">
      <c r="A2498" t="s">
        <v>17900</v>
      </c>
      <c r="B2498" t="s">
        <v>17901</v>
      </c>
      <c r="J2498" t="s">
        <v>17900</v>
      </c>
      <c r="K2498" t="s">
        <v>3605</v>
      </c>
    </row>
    <row r="2499" spans="1:11">
      <c r="A2499" t="s">
        <v>17902</v>
      </c>
      <c r="B2499" t="s">
        <v>17903</v>
      </c>
      <c r="J2499" t="s">
        <v>17902</v>
      </c>
      <c r="K2499" t="s">
        <v>3605</v>
      </c>
    </row>
    <row r="2500" spans="1:11">
      <c r="A2500" t="s">
        <v>17904</v>
      </c>
      <c r="B2500" t="s">
        <v>17905</v>
      </c>
      <c r="J2500" t="s">
        <v>17904</v>
      </c>
      <c r="K2500" t="s">
        <v>3605</v>
      </c>
    </row>
    <row r="2501" spans="1:11">
      <c r="A2501" t="s">
        <v>17906</v>
      </c>
      <c r="B2501" t="s">
        <v>17907</v>
      </c>
      <c r="J2501" t="s">
        <v>17906</v>
      </c>
      <c r="K2501" t="s">
        <v>3605</v>
      </c>
    </row>
    <row r="2502" spans="1:11">
      <c r="A2502" t="s">
        <v>17908</v>
      </c>
      <c r="B2502" t="s">
        <v>17909</v>
      </c>
      <c r="J2502" t="s">
        <v>17908</v>
      </c>
      <c r="K2502" t="s">
        <v>3605</v>
      </c>
    </row>
    <row r="2503" spans="1:11">
      <c r="A2503" t="s">
        <v>17910</v>
      </c>
      <c r="B2503" t="s">
        <v>17911</v>
      </c>
      <c r="J2503" t="s">
        <v>17910</v>
      </c>
      <c r="K2503" t="s">
        <v>3605</v>
      </c>
    </row>
    <row r="2504" spans="1:11">
      <c r="A2504" t="s">
        <v>17912</v>
      </c>
      <c r="B2504" t="s">
        <v>17913</v>
      </c>
      <c r="D2504" t="s">
        <v>17914</v>
      </c>
      <c r="J2504" t="s">
        <v>17912</v>
      </c>
      <c r="K2504" t="s">
        <v>3605</v>
      </c>
    </row>
    <row r="2505" spans="1:11">
      <c r="A2505" t="s">
        <v>17915</v>
      </c>
      <c r="B2505" t="s">
        <v>17916</v>
      </c>
      <c r="J2505" t="s">
        <v>17915</v>
      </c>
      <c r="K2505" t="s">
        <v>3605</v>
      </c>
    </row>
    <row r="2506" spans="1:11">
      <c r="A2506" t="s">
        <v>17917</v>
      </c>
      <c r="B2506" t="s">
        <v>17918</v>
      </c>
      <c r="J2506" t="s">
        <v>17917</v>
      </c>
      <c r="K2506" t="s">
        <v>3605</v>
      </c>
    </row>
    <row r="2507" spans="1:11">
      <c r="A2507" t="s">
        <v>17919</v>
      </c>
      <c r="B2507" t="s">
        <v>17920</v>
      </c>
      <c r="J2507" t="s">
        <v>17919</v>
      </c>
      <c r="K2507" t="s">
        <v>3605</v>
      </c>
    </row>
    <row r="2508" spans="1:11">
      <c r="A2508" t="s">
        <v>17921</v>
      </c>
      <c r="B2508" t="s">
        <v>17922</v>
      </c>
      <c r="J2508" t="s">
        <v>17921</v>
      </c>
      <c r="K2508" t="s">
        <v>3605</v>
      </c>
    </row>
    <row r="2509" spans="1:11">
      <c r="A2509" t="s">
        <v>17923</v>
      </c>
      <c r="B2509" t="s">
        <v>17924</v>
      </c>
      <c r="J2509" t="s">
        <v>17923</v>
      </c>
      <c r="K2509" t="s">
        <v>3605</v>
      </c>
    </row>
    <row r="2510" spans="1:11">
      <c r="A2510" t="s">
        <v>17925</v>
      </c>
      <c r="B2510" t="s">
        <v>17926</v>
      </c>
      <c r="J2510" t="s">
        <v>17925</v>
      </c>
      <c r="K2510" t="s">
        <v>3605</v>
      </c>
    </row>
    <row r="2511" spans="1:11">
      <c r="A2511" t="s">
        <v>17927</v>
      </c>
      <c r="B2511" t="s">
        <v>17928</v>
      </c>
      <c r="J2511" t="s">
        <v>17927</v>
      </c>
      <c r="K2511" t="s">
        <v>3605</v>
      </c>
    </row>
    <row r="2512" spans="1:11">
      <c r="A2512" t="s">
        <v>17929</v>
      </c>
      <c r="B2512" t="s">
        <v>17930</v>
      </c>
      <c r="J2512" t="s">
        <v>17929</v>
      </c>
      <c r="K2512" t="s">
        <v>3605</v>
      </c>
    </row>
    <row r="2513" spans="1:11">
      <c r="A2513" t="s">
        <v>17931</v>
      </c>
      <c r="B2513" t="s">
        <v>17932</v>
      </c>
      <c r="J2513" t="s">
        <v>17931</v>
      </c>
      <c r="K2513" t="s">
        <v>3605</v>
      </c>
    </row>
    <row r="2514" spans="1:11">
      <c r="A2514" t="s">
        <v>17933</v>
      </c>
      <c r="B2514" t="s">
        <v>17934</v>
      </c>
      <c r="J2514" t="s">
        <v>17933</v>
      </c>
      <c r="K2514" t="s">
        <v>3605</v>
      </c>
    </row>
    <row r="2515" spans="1:11">
      <c r="A2515" t="s">
        <v>17935</v>
      </c>
      <c r="B2515" t="s">
        <v>17936</v>
      </c>
      <c r="J2515" t="s">
        <v>17935</v>
      </c>
      <c r="K2515" t="s">
        <v>3605</v>
      </c>
    </row>
    <row r="2516" spans="1:11">
      <c r="A2516" t="s">
        <v>17937</v>
      </c>
      <c r="B2516" t="s">
        <v>17938</v>
      </c>
      <c r="J2516" t="s">
        <v>17937</v>
      </c>
      <c r="K2516" t="s">
        <v>3605</v>
      </c>
    </row>
    <row r="2517" spans="1:11">
      <c r="A2517" t="s">
        <v>17939</v>
      </c>
      <c r="B2517" t="s">
        <v>17940</v>
      </c>
      <c r="J2517" t="s">
        <v>17939</v>
      </c>
      <c r="K2517" t="s">
        <v>3605</v>
      </c>
    </row>
    <row r="2518" spans="1:11">
      <c r="A2518" t="s">
        <v>17941</v>
      </c>
      <c r="B2518" t="s">
        <v>17942</v>
      </c>
      <c r="J2518" t="s">
        <v>17941</v>
      </c>
      <c r="K2518" t="s">
        <v>3605</v>
      </c>
    </row>
    <row r="2519" spans="1:11">
      <c r="A2519" t="s">
        <v>17943</v>
      </c>
      <c r="B2519" t="s">
        <v>17944</v>
      </c>
      <c r="J2519" t="s">
        <v>17943</v>
      </c>
      <c r="K2519" t="s">
        <v>3605</v>
      </c>
    </row>
    <row r="2520" spans="1:11">
      <c r="A2520" t="s">
        <v>17945</v>
      </c>
      <c r="B2520" t="s">
        <v>17946</v>
      </c>
      <c r="J2520" t="s">
        <v>17945</v>
      </c>
      <c r="K2520" t="s">
        <v>3605</v>
      </c>
    </row>
    <row r="2521" spans="1:11">
      <c r="A2521" t="s">
        <v>17947</v>
      </c>
      <c r="B2521" t="s">
        <v>17948</v>
      </c>
      <c r="J2521" t="s">
        <v>17947</v>
      </c>
      <c r="K2521" t="s">
        <v>3605</v>
      </c>
    </row>
    <row r="2522" spans="1:11">
      <c r="A2522" t="s">
        <v>17949</v>
      </c>
      <c r="B2522" t="s">
        <v>17950</v>
      </c>
      <c r="J2522" t="s">
        <v>17949</v>
      </c>
      <c r="K2522" t="s">
        <v>3605</v>
      </c>
    </row>
    <row r="2523" spans="1:11">
      <c r="A2523" t="s">
        <v>17951</v>
      </c>
      <c r="B2523" t="s">
        <v>17952</v>
      </c>
      <c r="J2523" t="s">
        <v>17951</v>
      </c>
      <c r="K2523" t="s">
        <v>3605</v>
      </c>
    </row>
    <row r="2524" spans="1:11">
      <c r="A2524" t="s">
        <v>17953</v>
      </c>
      <c r="B2524" t="s">
        <v>17954</v>
      </c>
      <c r="J2524" t="s">
        <v>17953</v>
      </c>
      <c r="K2524" t="s">
        <v>3605</v>
      </c>
    </row>
    <row r="2525" spans="1:11">
      <c r="A2525" t="s">
        <v>17955</v>
      </c>
      <c r="B2525" t="s">
        <v>17956</v>
      </c>
      <c r="J2525" t="s">
        <v>17955</v>
      </c>
      <c r="K2525" t="s">
        <v>3605</v>
      </c>
    </row>
    <row r="2526" spans="1:11">
      <c r="A2526" t="s">
        <v>17957</v>
      </c>
      <c r="B2526" t="s">
        <v>17958</v>
      </c>
      <c r="J2526" t="s">
        <v>17957</v>
      </c>
      <c r="K2526" t="s">
        <v>3605</v>
      </c>
    </row>
    <row r="2527" spans="1:11">
      <c r="A2527" t="s">
        <v>17959</v>
      </c>
      <c r="B2527" t="s">
        <v>17960</v>
      </c>
      <c r="J2527" t="s">
        <v>17959</v>
      </c>
      <c r="K2527" t="s">
        <v>3605</v>
      </c>
    </row>
    <row r="2528" spans="1:11">
      <c r="A2528" t="s">
        <v>17961</v>
      </c>
      <c r="B2528" t="s">
        <v>17962</v>
      </c>
      <c r="J2528" t="s">
        <v>17961</v>
      </c>
      <c r="K2528" t="s">
        <v>3605</v>
      </c>
    </row>
    <row r="2529" spans="1:11">
      <c r="A2529" t="s">
        <v>17963</v>
      </c>
      <c r="B2529" t="s">
        <v>17964</v>
      </c>
      <c r="J2529" t="s">
        <v>17963</v>
      </c>
      <c r="K2529" t="s">
        <v>3605</v>
      </c>
    </row>
    <row r="2530" spans="1:11">
      <c r="A2530" t="s">
        <v>17965</v>
      </c>
      <c r="B2530" t="s">
        <v>17966</v>
      </c>
      <c r="J2530" t="s">
        <v>17965</v>
      </c>
      <c r="K2530" t="s">
        <v>3605</v>
      </c>
    </row>
    <row r="2531" spans="1:11">
      <c r="A2531" t="s">
        <v>17967</v>
      </c>
      <c r="B2531" t="s">
        <v>17968</v>
      </c>
      <c r="J2531" t="s">
        <v>17967</v>
      </c>
      <c r="K2531" t="s">
        <v>3605</v>
      </c>
    </row>
    <row r="2532" spans="1:11">
      <c r="A2532" t="s">
        <v>17969</v>
      </c>
      <c r="B2532" t="s">
        <v>17970</v>
      </c>
      <c r="J2532" t="s">
        <v>17969</v>
      </c>
      <c r="K2532" t="s">
        <v>3605</v>
      </c>
    </row>
    <row r="2533" spans="1:11">
      <c r="A2533" t="s">
        <v>17971</v>
      </c>
      <c r="B2533" t="s">
        <v>17972</v>
      </c>
      <c r="J2533" t="s">
        <v>17971</v>
      </c>
      <c r="K2533" t="s">
        <v>3605</v>
      </c>
    </row>
    <row r="2534" spans="1:11">
      <c r="A2534" t="s">
        <v>17973</v>
      </c>
      <c r="B2534" t="s">
        <v>17974</v>
      </c>
      <c r="J2534" t="s">
        <v>17973</v>
      </c>
      <c r="K2534" t="s">
        <v>3605</v>
      </c>
    </row>
    <row r="2535" spans="1:11">
      <c r="A2535" t="s">
        <v>17975</v>
      </c>
      <c r="B2535" t="s">
        <v>17976</v>
      </c>
      <c r="J2535" t="s">
        <v>17975</v>
      </c>
      <c r="K2535" t="s">
        <v>3605</v>
      </c>
    </row>
    <row r="2536" spans="1:11">
      <c r="A2536" t="s">
        <v>17977</v>
      </c>
      <c r="B2536" t="s">
        <v>17978</v>
      </c>
      <c r="J2536" t="s">
        <v>17977</v>
      </c>
      <c r="K2536" t="s">
        <v>3605</v>
      </c>
    </row>
    <row r="2537" spans="1:11">
      <c r="A2537" t="s">
        <v>17979</v>
      </c>
      <c r="B2537" t="s">
        <v>17980</v>
      </c>
      <c r="J2537" t="s">
        <v>17979</v>
      </c>
      <c r="K2537" t="s">
        <v>3605</v>
      </c>
    </row>
    <row r="2538" spans="1:11">
      <c r="A2538" t="s">
        <v>17981</v>
      </c>
      <c r="B2538" t="s">
        <v>17982</v>
      </c>
      <c r="J2538" t="s">
        <v>17981</v>
      </c>
      <c r="K2538" t="s">
        <v>3605</v>
      </c>
    </row>
    <row r="2539" spans="1:11">
      <c r="A2539" t="s">
        <v>17983</v>
      </c>
      <c r="B2539" t="s">
        <v>17984</v>
      </c>
      <c r="J2539" t="s">
        <v>17983</v>
      </c>
      <c r="K2539" t="s">
        <v>3605</v>
      </c>
    </row>
    <row r="2540" spans="1:11">
      <c r="A2540" t="s">
        <v>17985</v>
      </c>
      <c r="B2540" t="s">
        <v>17986</v>
      </c>
      <c r="J2540" t="s">
        <v>17985</v>
      </c>
      <c r="K2540" t="s">
        <v>3605</v>
      </c>
    </row>
    <row r="2541" spans="1:11">
      <c r="A2541" t="s">
        <v>17987</v>
      </c>
      <c r="B2541" t="s">
        <v>17988</v>
      </c>
      <c r="J2541" t="s">
        <v>17987</v>
      </c>
      <c r="K2541" t="s">
        <v>3605</v>
      </c>
    </row>
    <row r="2542" spans="1:11">
      <c r="A2542" t="s">
        <v>17989</v>
      </c>
      <c r="B2542" t="s">
        <v>17990</v>
      </c>
      <c r="J2542" t="s">
        <v>17989</v>
      </c>
      <c r="K2542" t="s">
        <v>3605</v>
      </c>
    </row>
    <row r="2543" spans="1:11">
      <c r="A2543" t="s">
        <v>17991</v>
      </c>
      <c r="B2543" t="s">
        <v>17992</v>
      </c>
      <c r="J2543" t="s">
        <v>17991</v>
      </c>
      <c r="K2543" t="s">
        <v>3605</v>
      </c>
    </row>
    <row r="2544" spans="1:11">
      <c r="A2544" t="s">
        <v>17993</v>
      </c>
      <c r="B2544" t="s">
        <v>17994</v>
      </c>
      <c r="J2544" t="s">
        <v>17993</v>
      </c>
      <c r="K2544" t="s">
        <v>3605</v>
      </c>
    </row>
    <row r="2545" spans="1:11">
      <c r="A2545" t="s">
        <v>17995</v>
      </c>
      <c r="B2545" t="s">
        <v>17996</v>
      </c>
      <c r="J2545" t="s">
        <v>17995</v>
      </c>
      <c r="K2545" t="s">
        <v>3605</v>
      </c>
    </row>
    <row r="2546" spans="1:11">
      <c r="A2546" t="s">
        <v>17997</v>
      </c>
      <c r="B2546" t="s">
        <v>17998</v>
      </c>
      <c r="J2546" t="s">
        <v>17997</v>
      </c>
      <c r="K2546" t="s">
        <v>3605</v>
      </c>
    </row>
    <row r="2547" spans="1:11">
      <c r="A2547" t="s">
        <v>17999</v>
      </c>
      <c r="B2547" t="s">
        <v>18000</v>
      </c>
      <c r="J2547" t="s">
        <v>17999</v>
      </c>
      <c r="K2547" t="s">
        <v>3605</v>
      </c>
    </row>
    <row r="2548" spans="1:11">
      <c r="A2548" t="s">
        <v>18001</v>
      </c>
      <c r="B2548" t="s">
        <v>18002</v>
      </c>
      <c r="J2548" t="s">
        <v>18001</v>
      </c>
      <c r="K2548" t="s">
        <v>3605</v>
      </c>
    </row>
    <row r="2549" spans="1:11">
      <c r="A2549" t="s">
        <v>18003</v>
      </c>
      <c r="B2549" t="s">
        <v>18004</v>
      </c>
      <c r="J2549" t="s">
        <v>18003</v>
      </c>
      <c r="K2549" t="s">
        <v>3605</v>
      </c>
    </row>
    <row r="2550" spans="1:11">
      <c r="A2550" t="s">
        <v>18005</v>
      </c>
      <c r="B2550" t="s">
        <v>18006</v>
      </c>
      <c r="D2550" t="s">
        <v>13745</v>
      </c>
      <c r="E2550">
        <v>45386</v>
      </c>
      <c r="J2550" t="s">
        <v>18005</v>
      </c>
      <c r="K2550" t="s">
        <v>3605</v>
      </c>
    </row>
    <row r="2551" spans="1:11">
      <c r="A2551" t="s">
        <v>18007</v>
      </c>
      <c r="B2551" t="s">
        <v>18008</v>
      </c>
      <c r="J2551" t="s">
        <v>18007</v>
      </c>
      <c r="K2551" t="s">
        <v>3605</v>
      </c>
    </row>
    <row r="2552" spans="1:11">
      <c r="A2552" t="s">
        <v>18009</v>
      </c>
      <c r="B2552" t="s">
        <v>18010</v>
      </c>
      <c r="D2552" t="s">
        <v>13745</v>
      </c>
      <c r="E2552">
        <v>45386</v>
      </c>
      <c r="J2552" t="s">
        <v>18009</v>
      </c>
      <c r="K2552" t="s">
        <v>3605</v>
      </c>
    </row>
    <row r="2553" spans="1:11">
      <c r="A2553" t="s">
        <v>18011</v>
      </c>
      <c r="B2553" t="s">
        <v>18012</v>
      </c>
      <c r="J2553" t="s">
        <v>18011</v>
      </c>
      <c r="K2553" t="s">
        <v>3605</v>
      </c>
    </row>
    <row r="2554" spans="1:11">
      <c r="A2554" t="s">
        <v>18013</v>
      </c>
      <c r="B2554" t="s">
        <v>18014</v>
      </c>
      <c r="J2554" t="s">
        <v>18013</v>
      </c>
      <c r="K2554" t="s">
        <v>3605</v>
      </c>
    </row>
    <row r="2555" spans="1:11">
      <c r="A2555" t="s">
        <v>18015</v>
      </c>
      <c r="B2555" t="s">
        <v>18016</v>
      </c>
      <c r="J2555" t="s">
        <v>18015</v>
      </c>
      <c r="K2555" t="s">
        <v>3605</v>
      </c>
    </row>
    <row r="2556" spans="1:11">
      <c r="A2556" t="s">
        <v>18017</v>
      </c>
      <c r="B2556" t="s">
        <v>18018</v>
      </c>
      <c r="J2556" t="s">
        <v>18017</v>
      </c>
      <c r="K2556" t="s">
        <v>3605</v>
      </c>
    </row>
    <row r="2557" spans="1:11">
      <c r="A2557" t="s">
        <v>18019</v>
      </c>
      <c r="B2557" t="s">
        <v>18020</v>
      </c>
      <c r="J2557" t="s">
        <v>18019</v>
      </c>
      <c r="K2557" t="s">
        <v>3605</v>
      </c>
    </row>
    <row r="2558" spans="1:11">
      <c r="A2558" t="s">
        <v>18021</v>
      </c>
      <c r="B2558" t="s">
        <v>18022</v>
      </c>
      <c r="J2558" t="s">
        <v>18021</v>
      </c>
      <c r="K2558" t="s">
        <v>3605</v>
      </c>
    </row>
    <row r="2559" spans="1:11">
      <c r="A2559" t="s">
        <v>18023</v>
      </c>
      <c r="B2559" t="s">
        <v>18024</v>
      </c>
      <c r="J2559" t="s">
        <v>18023</v>
      </c>
      <c r="K2559" t="s">
        <v>3605</v>
      </c>
    </row>
    <row r="2560" spans="1:11">
      <c r="A2560" t="s">
        <v>18025</v>
      </c>
      <c r="B2560" t="s">
        <v>18026</v>
      </c>
      <c r="J2560" t="s">
        <v>18025</v>
      </c>
      <c r="K2560" t="s">
        <v>3605</v>
      </c>
    </row>
    <row r="2561" spans="1:11">
      <c r="A2561" t="s">
        <v>18027</v>
      </c>
      <c r="B2561" t="s">
        <v>18028</v>
      </c>
      <c r="J2561" t="s">
        <v>18027</v>
      </c>
      <c r="K2561" t="s">
        <v>3605</v>
      </c>
    </row>
    <row r="2562" spans="1:11">
      <c r="A2562" t="s">
        <v>18029</v>
      </c>
      <c r="B2562" t="s">
        <v>18030</v>
      </c>
      <c r="J2562" t="s">
        <v>18029</v>
      </c>
      <c r="K2562" t="s">
        <v>3605</v>
      </c>
    </row>
    <row r="2563" spans="1:11">
      <c r="A2563" t="s">
        <v>18031</v>
      </c>
      <c r="B2563" t="s">
        <v>18032</v>
      </c>
      <c r="J2563" t="s">
        <v>18031</v>
      </c>
      <c r="K2563" t="s">
        <v>3605</v>
      </c>
    </row>
    <row r="2564" spans="1:11">
      <c r="A2564" t="s">
        <v>18033</v>
      </c>
      <c r="B2564" t="s">
        <v>18034</v>
      </c>
      <c r="J2564" t="s">
        <v>18033</v>
      </c>
      <c r="K2564" t="s">
        <v>3605</v>
      </c>
    </row>
    <row r="2565" spans="1:11">
      <c r="A2565" t="s">
        <v>18035</v>
      </c>
      <c r="B2565" t="s">
        <v>18036</v>
      </c>
      <c r="J2565" t="s">
        <v>18035</v>
      </c>
      <c r="K2565" t="s">
        <v>3605</v>
      </c>
    </row>
    <row r="2566" spans="1:11">
      <c r="A2566" t="s">
        <v>18037</v>
      </c>
      <c r="B2566" t="s">
        <v>18038</v>
      </c>
      <c r="J2566" t="s">
        <v>18037</v>
      </c>
      <c r="K2566" t="s">
        <v>3605</v>
      </c>
    </row>
    <row r="2567" spans="1:11">
      <c r="A2567" t="s">
        <v>18039</v>
      </c>
      <c r="B2567" t="s">
        <v>18040</v>
      </c>
      <c r="J2567" t="s">
        <v>18039</v>
      </c>
      <c r="K2567" t="s">
        <v>3605</v>
      </c>
    </row>
    <row r="2568" spans="1:11">
      <c r="A2568" t="s">
        <v>18041</v>
      </c>
      <c r="B2568" t="s">
        <v>18042</v>
      </c>
      <c r="J2568" t="s">
        <v>18041</v>
      </c>
      <c r="K2568" t="s">
        <v>3605</v>
      </c>
    </row>
    <row r="2569" spans="1:11">
      <c r="A2569" t="s">
        <v>18043</v>
      </c>
      <c r="B2569" t="s">
        <v>18044</v>
      </c>
      <c r="J2569" t="s">
        <v>18043</v>
      </c>
      <c r="K2569" t="s">
        <v>3605</v>
      </c>
    </row>
    <row r="2570" spans="1:11">
      <c r="A2570" t="s">
        <v>18045</v>
      </c>
      <c r="B2570" t="s">
        <v>18046</v>
      </c>
      <c r="J2570" t="s">
        <v>18045</v>
      </c>
      <c r="K2570" t="s">
        <v>3605</v>
      </c>
    </row>
    <row r="2571" spans="1:11">
      <c r="A2571" t="s">
        <v>18047</v>
      </c>
      <c r="B2571" t="s">
        <v>18048</v>
      </c>
      <c r="J2571" t="s">
        <v>18047</v>
      </c>
      <c r="K2571" t="s">
        <v>3605</v>
      </c>
    </row>
    <row r="2572" spans="1:11">
      <c r="A2572" t="s">
        <v>18049</v>
      </c>
      <c r="B2572" t="s">
        <v>18050</v>
      </c>
      <c r="J2572" t="s">
        <v>18049</v>
      </c>
      <c r="K2572" t="s">
        <v>3605</v>
      </c>
    </row>
    <row r="2573" spans="1:11">
      <c r="A2573" t="s">
        <v>18051</v>
      </c>
      <c r="B2573" t="s">
        <v>18052</v>
      </c>
      <c r="J2573" t="s">
        <v>18051</v>
      </c>
      <c r="K2573" t="s">
        <v>3605</v>
      </c>
    </row>
    <row r="2574" spans="1:11">
      <c r="A2574" t="s">
        <v>18053</v>
      </c>
      <c r="B2574" t="s">
        <v>18054</v>
      </c>
      <c r="J2574" t="s">
        <v>18053</v>
      </c>
      <c r="K2574" t="s">
        <v>3605</v>
      </c>
    </row>
    <row r="2575" spans="1:11">
      <c r="A2575" t="s">
        <v>18055</v>
      </c>
      <c r="B2575" t="s">
        <v>18056</v>
      </c>
      <c r="J2575" t="s">
        <v>18055</v>
      </c>
      <c r="K2575" t="s">
        <v>3605</v>
      </c>
    </row>
    <row r="2576" spans="1:11">
      <c r="A2576" t="s">
        <v>18057</v>
      </c>
      <c r="B2576" t="s">
        <v>18058</v>
      </c>
      <c r="J2576" t="s">
        <v>18057</v>
      </c>
      <c r="K2576" t="s">
        <v>3605</v>
      </c>
    </row>
    <row r="2577" spans="1:11">
      <c r="A2577" t="s">
        <v>18059</v>
      </c>
      <c r="B2577" t="s">
        <v>18060</v>
      </c>
      <c r="J2577" t="s">
        <v>18059</v>
      </c>
      <c r="K2577" t="s">
        <v>3605</v>
      </c>
    </row>
    <row r="2578" spans="1:11">
      <c r="A2578" t="s">
        <v>18061</v>
      </c>
      <c r="B2578" t="s">
        <v>18050</v>
      </c>
      <c r="J2578" t="s">
        <v>18061</v>
      </c>
      <c r="K2578" t="s">
        <v>3605</v>
      </c>
    </row>
    <row r="2579" spans="1:11">
      <c r="A2579" t="s">
        <v>18062</v>
      </c>
      <c r="B2579" t="s">
        <v>18063</v>
      </c>
      <c r="J2579" t="s">
        <v>18062</v>
      </c>
      <c r="K2579" t="s">
        <v>3605</v>
      </c>
    </row>
    <row r="2580" spans="1:11">
      <c r="A2580" t="s">
        <v>18064</v>
      </c>
      <c r="B2580" t="s">
        <v>18065</v>
      </c>
      <c r="J2580" t="s">
        <v>18064</v>
      </c>
      <c r="K2580" t="s">
        <v>3605</v>
      </c>
    </row>
    <row r="2581" spans="1:11">
      <c r="A2581" t="s">
        <v>18066</v>
      </c>
      <c r="B2581" t="s">
        <v>18067</v>
      </c>
      <c r="J2581" t="s">
        <v>18066</v>
      </c>
      <c r="K2581" t="s">
        <v>3605</v>
      </c>
    </row>
    <row r="2582" spans="1:11">
      <c r="A2582" t="s">
        <v>18068</v>
      </c>
      <c r="B2582" t="s">
        <v>18069</v>
      </c>
      <c r="D2582" t="s">
        <v>13745</v>
      </c>
      <c r="E2582">
        <v>45386</v>
      </c>
      <c r="J2582" t="s">
        <v>18068</v>
      </c>
      <c r="K2582" t="s">
        <v>3605</v>
      </c>
    </row>
    <row r="2583" spans="1:11">
      <c r="A2583" t="s">
        <v>18070</v>
      </c>
      <c r="B2583" t="s">
        <v>18071</v>
      </c>
      <c r="J2583" t="s">
        <v>18070</v>
      </c>
      <c r="K2583" t="s">
        <v>3605</v>
      </c>
    </row>
    <row r="2584" spans="1:11">
      <c r="A2584" t="s">
        <v>18072</v>
      </c>
      <c r="B2584" t="s">
        <v>18073</v>
      </c>
      <c r="J2584" t="s">
        <v>18072</v>
      </c>
      <c r="K2584" t="s">
        <v>3605</v>
      </c>
    </row>
    <row r="2585" spans="1:11">
      <c r="A2585" t="s">
        <v>18074</v>
      </c>
      <c r="B2585" t="s">
        <v>18075</v>
      </c>
      <c r="J2585" t="s">
        <v>18074</v>
      </c>
      <c r="K2585" t="s">
        <v>3605</v>
      </c>
    </row>
    <row r="2586" spans="1:11">
      <c r="A2586" t="s">
        <v>18076</v>
      </c>
      <c r="B2586" t="s">
        <v>18077</v>
      </c>
      <c r="J2586" t="s">
        <v>18076</v>
      </c>
      <c r="K2586" t="s">
        <v>3605</v>
      </c>
    </row>
    <row r="2587" spans="1:11">
      <c r="A2587" t="s">
        <v>18078</v>
      </c>
      <c r="B2587" t="s">
        <v>18079</v>
      </c>
      <c r="J2587" t="s">
        <v>18078</v>
      </c>
      <c r="K2587" t="s">
        <v>3605</v>
      </c>
    </row>
    <row r="2588" spans="1:11">
      <c r="A2588" t="s">
        <v>18080</v>
      </c>
      <c r="B2588" t="s">
        <v>18081</v>
      </c>
      <c r="J2588" t="s">
        <v>18080</v>
      </c>
      <c r="K2588" t="s">
        <v>3605</v>
      </c>
    </row>
    <row r="2589" spans="1:11">
      <c r="A2589" t="s">
        <v>18082</v>
      </c>
      <c r="B2589" t="s">
        <v>18083</v>
      </c>
      <c r="J2589" t="s">
        <v>18082</v>
      </c>
      <c r="K2589" t="s">
        <v>3605</v>
      </c>
    </row>
    <row r="2590" spans="1:11">
      <c r="A2590" t="s">
        <v>18084</v>
      </c>
      <c r="B2590" t="s">
        <v>18085</v>
      </c>
      <c r="J2590" t="s">
        <v>18084</v>
      </c>
      <c r="K2590" t="s">
        <v>3605</v>
      </c>
    </row>
    <row r="2591" spans="1:11">
      <c r="A2591" t="s">
        <v>18086</v>
      </c>
      <c r="B2591" t="s">
        <v>18087</v>
      </c>
      <c r="J2591" t="s">
        <v>18086</v>
      </c>
      <c r="K2591" t="s">
        <v>3605</v>
      </c>
    </row>
    <row r="2592" spans="1:11">
      <c r="A2592" t="s">
        <v>18088</v>
      </c>
      <c r="B2592" t="s">
        <v>18089</v>
      </c>
      <c r="J2592" t="s">
        <v>18088</v>
      </c>
      <c r="K2592" t="s">
        <v>3605</v>
      </c>
    </row>
    <row r="2593" spans="1:11">
      <c r="A2593" t="s">
        <v>18090</v>
      </c>
      <c r="B2593" t="s">
        <v>18091</v>
      </c>
      <c r="J2593" t="s">
        <v>18090</v>
      </c>
      <c r="K2593" t="s">
        <v>3605</v>
      </c>
    </row>
    <row r="2594" spans="1:11">
      <c r="A2594" t="s">
        <v>18092</v>
      </c>
      <c r="B2594" t="s">
        <v>18093</v>
      </c>
      <c r="J2594" t="s">
        <v>18092</v>
      </c>
      <c r="K2594" t="s">
        <v>3605</v>
      </c>
    </row>
    <row r="2595" spans="1:11">
      <c r="A2595" t="s">
        <v>18094</v>
      </c>
      <c r="B2595" t="s">
        <v>18095</v>
      </c>
      <c r="J2595" t="s">
        <v>18094</v>
      </c>
      <c r="K2595" t="s">
        <v>3605</v>
      </c>
    </row>
    <row r="2596" spans="1:11">
      <c r="A2596" t="s">
        <v>18096</v>
      </c>
      <c r="B2596" t="s">
        <v>18097</v>
      </c>
      <c r="J2596" t="s">
        <v>18096</v>
      </c>
      <c r="K2596" t="s">
        <v>3605</v>
      </c>
    </row>
    <row r="2597" spans="1:11">
      <c r="A2597" t="s">
        <v>18098</v>
      </c>
      <c r="B2597" t="s">
        <v>18099</v>
      </c>
      <c r="J2597" t="s">
        <v>18098</v>
      </c>
      <c r="K2597" t="s">
        <v>3605</v>
      </c>
    </row>
    <row r="2598" spans="1:11">
      <c r="A2598" t="s">
        <v>18100</v>
      </c>
      <c r="B2598" t="s">
        <v>18101</v>
      </c>
      <c r="J2598" t="s">
        <v>18100</v>
      </c>
      <c r="K2598" t="s">
        <v>3605</v>
      </c>
    </row>
    <row r="2599" spans="1:11">
      <c r="A2599" t="s">
        <v>18102</v>
      </c>
      <c r="B2599" t="s">
        <v>18103</v>
      </c>
      <c r="J2599" t="s">
        <v>18102</v>
      </c>
      <c r="K2599" t="s">
        <v>3605</v>
      </c>
    </row>
    <row r="2600" spans="1:11">
      <c r="A2600" t="s">
        <v>18104</v>
      </c>
      <c r="B2600" t="s">
        <v>18105</v>
      </c>
      <c r="J2600" t="s">
        <v>18104</v>
      </c>
      <c r="K2600" t="s">
        <v>3605</v>
      </c>
    </row>
    <row r="2601" spans="1:11">
      <c r="A2601" t="s">
        <v>18106</v>
      </c>
      <c r="B2601" t="s">
        <v>18107</v>
      </c>
      <c r="J2601" t="s">
        <v>18106</v>
      </c>
      <c r="K2601" t="s">
        <v>3605</v>
      </c>
    </row>
    <row r="2602" spans="1:11">
      <c r="A2602" t="s">
        <v>18108</v>
      </c>
      <c r="B2602" t="s">
        <v>18109</v>
      </c>
      <c r="J2602" t="s">
        <v>18108</v>
      </c>
      <c r="K2602" t="s">
        <v>3605</v>
      </c>
    </row>
    <row r="2603" spans="1:11">
      <c r="A2603" t="s">
        <v>18110</v>
      </c>
      <c r="B2603" t="s">
        <v>18111</v>
      </c>
      <c r="J2603" t="s">
        <v>18110</v>
      </c>
      <c r="K2603" t="s">
        <v>3605</v>
      </c>
    </row>
    <row r="2604" spans="1:11">
      <c r="A2604" t="s">
        <v>18112</v>
      </c>
      <c r="B2604" t="s">
        <v>18113</v>
      </c>
      <c r="J2604" t="s">
        <v>18112</v>
      </c>
      <c r="K2604" t="s">
        <v>3605</v>
      </c>
    </row>
    <row r="2605" spans="1:11">
      <c r="A2605" t="s">
        <v>18114</v>
      </c>
      <c r="B2605" t="s">
        <v>18115</v>
      </c>
      <c r="J2605" t="s">
        <v>18114</v>
      </c>
      <c r="K2605" t="s">
        <v>3605</v>
      </c>
    </row>
    <row r="2606" spans="1:11">
      <c r="A2606" t="s">
        <v>18116</v>
      </c>
      <c r="B2606" t="s">
        <v>18117</v>
      </c>
      <c r="J2606" t="s">
        <v>18116</v>
      </c>
      <c r="K2606" t="s">
        <v>3605</v>
      </c>
    </row>
    <row r="2607" spans="1:11">
      <c r="A2607" t="s">
        <v>18118</v>
      </c>
      <c r="B2607" t="s">
        <v>18119</v>
      </c>
      <c r="J2607" t="s">
        <v>18118</v>
      </c>
      <c r="K2607" t="s">
        <v>3605</v>
      </c>
    </row>
    <row r="2608" spans="1:11">
      <c r="A2608" t="s">
        <v>18120</v>
      </c>
      <c r="B2608" t="s">
        <v>18121</v>
      </c>
      <c r="J2608" t="s">
        <v>18120</v>
      </c>
      <c r="K2608" t="s">
        <v>3605</v>
      </c>
    </row>
    <row r="2609" spans="1:11">
      <c r="A2609" t="s">
        <v>18122</v>
      </c>
      <c r="B2609" t="s">
        <v>18123</v>
      </c>
      <c r="J2609" t="s">
        <v>18122</v>
      </c>
      <c r="K2609" t="s">
        <v>3605</v>
      </c>
    </row>
    <row r="2610" spans="1:11">
      <c r="A2610" t="s">
        <v>18124</v>
      </c>
      <c r="B2610" t="s">
        <v>18125</v>
      </c>
      <c r="J2610" t="s">
        <v>18124</v>
      </c>
      <c r="K2610" t="s">
        <v>3605</v>
      </c>
    </row>
    <row r="2611" spans="1:11">
      <c r="A2611" t="s">
        <v>18126</v>
      </c>
      <c r="B2611" t="s">
        <v>18127</v>
      </c>
      <c r="J2611" t="s">
        <v>18126</v>
      </c>
      <c r="K2611" t="s">
        <v>3605</v>
      </c>
    </row>
    <row r="2612" spans="1:11">
      <c r="A2612" t="s">
        <v>18128</v>
      </c>
      <c r="B2612" t="s">
        <v>18129</v>
      </c>
      <c r="J2612" t="s">
        <v>18128</v>
      </c>
      <c r="K2612" t="s">
        <v>3605</v>
      </c>
    </row>
    <row r="2613" spans="1:11">
      <c r="A2613" t="s">
        <v>18130</v>
      </c>
      <c r="B2613" t="s">
        <v>18131</v>
      </c>
      <c r="J2613" t="s">
        <v>18130</v>
      </c>
      <c r="K2613" t="s">
        <v>3605</v>
      </c>
    </row>
    <row r="2614" spans="1:11">
      <c r="A2614" t="s">
        <v>18132</v>
      </c>
      <c r="B2614" t="s">
        <v>18133</v>
      </c>
      <c r="J2614" t="s">
        <v>18132</v>
      </c>
      <c r="K2614" t="s">
        <v>3605</v>
      </c>
    </row>
    <row r="2615" spans="1:11">
      <c r="A2615" t="s">
        <v>18134</v>
      </c>
      <c r="B2615" t="s">
        <v>18135</v>
      </c>
      <c r="J2615" t="s">
        <v>18134</v>
      </c>
      <c r="K2615" t="s">
        <v>3605</v>
      </c>
    </row>
    <row r="2616" spans="1:11">
      <c r="A2616" t="s">
        <v>18136</v>
      </c>
      <c r="B2616" t="s">
        <v>18137</v>
      </c>
      <c r="J2616" t="s">
        <v>18136</v>
      </c>
      <c r="K2616" t="s">
        <v>3605</v>
      </c>
    </row>
    <row r="2617" spans="1:11">
      <c r="A2617" t="s">
        <v>18138</v>
      </c>
      <c r="B2617" t="s">
        <v>18139</v>
      </c>
      <c r="J2617" t="s">
        <v>18138</v>
      </c>
      <c r="K2617" t="s">
        <v>3605</v>
      </c>
    </row>
    <row r="2618" spans="1:11">
      <c r="A2618" t="s">
        <v>18140</v>
      </c>
      <c r="B2618" t="s">
        <v>18141</v>
      </c>
      <c r="J2618" t="s">
        <v>18140</v>
      </c>
      <c r="K2618" t="s">
        <v>3605</v>
      </c>
    </row>
    <row r="2619" spans="1:11">
      <c r="A2619" t="s">
        <v>18142</v>
      </c>
      <c r="B2619" t="s">
        <v>18143</v>
      </c>
      <c r="J2619" t="s">
        <v>18142</v>
      </c>
      <c r="K2619" t="s">
        <v>3605</v>
      </c>
    </row>
    <row r="2620" spans="1:11">
      <c r="A2620" t="s">
        <v>18144</v>
      </c>
      <c r="B2620" t="s">
        <v>18145</v>
      </c>
      <c r="J2620" t="s">
        <v>18144</v>
      </c>
      <c r="K2620" t="s">
        <v>3605</v>
      </c>
    </row>
    <row r="2621" spans="1:11">
      <c r="A2621" t="s">
        <v>18146</v>
      </c>
      <c r="B2621" t="s">
        <v>18147</v>
      </c>
      <c r="J2621" t="s">
        <v>18146</v>
      </c>
      <c r="K2621" t="s">
        <v>3605</v>
      </c>
    </row>
    <row r="2622" spans="1:11">
      <c r="A2622" t="s">
        <v>18148</v>
      </c>
      <c r="B2622" t="s">
        <v>18149</v>
      </c>
      <c r="J2622" t="s">
        <v>18148</v>
      </c>
      <c r="K2622" t="s">
        <v>3605</v>
      </c>
    </row>
    <row r="2623" spans="1:11">
      <c r="A2623" t="s">
        <v>18150</v>
      </c>
      <c r="B2623" t="s">
        <v>18151</v>
      </c>
      <c r="J2623" t="s">
        <v>18150</v>
      </c>
      <c r="K2623" t="s">
        <v>3605</v>
      </c>
    </row>
    <row r="2624" spans="1:11">
      <c r="A2624" t="s">
        <v>18152</v>
      </c>
      <c r="B2624" t="s">
        <v>18153</v>
      </c>
      <c r="J2624" t="s">
        <v>18152</v>
      </c>
      <c r="K2624" t="s">
        <v>3605</v>
      </c>
    </row>
    <row r="2625" spans="1:11">
      <c r="A2625" t="s">
        <v>18154</v>
      </c>
      <c r="B2625" t="s">
        <v>18155</v>
      </c>
      <c r="J2625" t="s">
        <v>18154</v>
      </c>
      <c r="K2625" t="s">
        <v>3605</v>
      </c>
    </row>
    <row r="2626" spans="1:11">
      <c r="A2626" t="s">
        <v>18156</v>
      </c>
      <c r="B2626" t="s">
        <v>18157</v>
      </c>
      <c r="J2626" t="s">
        <v>18156</v>
      </c>
      <c r="K2626" t="s">
        <v>3605</v>
      </c>
    </row>
    <row r="2627" spans="1:11">
      <c r="A2627" t="s">
        <v>18158</v>
      </c>
      <c r="B2627" t="s">
        <v>18159</v>
      </c>
      <c r="J2627" t="s">
        <v>18158</v>
      </c>
      <c r="K2627" t="s">
        <v>3605</v>
      </c>
    </row>
    <row r="2628" spans="1:11">
      <c r="A2628" t="s">
        <v>18160</v>
      </c>
      <c r="B2628" t="s">
        <v>18161</v>
      </c>
      <c r="J2628" t="s">
        <v>18160</v>
      </c>
      <c r="K2628" t="s">
        <v>3605</v>
      </c>
    </row>
    <row r="2629" spans="1:11">
      <c r="A2629" t="s">
        <v>18162</v>
      </c>
      <c r="B2629" t="s">
        <v>18163</v>
      </c>
      <c r="J2629" t="s">
        <v>18162</v>
      </c>
      <c r="K2629" t="s">
        <v>3605</v>
      </c>
    </row>
    <row r="2630" spans="1:11">
      <c r="A2630" t="s">
        <v>18164</v>
      </c>
      <c r="B2630" t="s">
        <v>18165</v>
      </c>
      <c r="J2630" t="s">
        <v>18164</v>
      </c>
      <c r="K2630" t="s">
        <v>3605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1296-6951-4FFA-AB27-684E6C5ACC3A}">
  <dimension ref="A1:I3986"/>
  <sheetViews>
    <sheetView workbookViewId="0">
      <pane ySplit="1" topLeftCell="A2" activePane="bottomLeft" state="frozen"/>
      <selection pane="bottomLeft" activeCell="I3396" sqref="I3396"/>
    </sheetView>
  </sheetViews>
  <sheetFormatPr defaultRowHeight="12.75"/>
  <cols>
    <col min="1" max="1" width="14.140625" bestFit="1" customWidth="1"/>
    <col min="2" max="2" width="69.42578125" bestFit="1" customWidth="1"/>
    <col min="3" max="3" width="14.140625" bestFit="1" customWidth="1"/>
    <col min="4" max="4" width="67.42578125" bestFit="1" customWidth="1"/>
    <col min="5" max="5" width="8.28515625" bestFit="1" customWidth="1"/>
    <col min="6" max="6" width="12.85546875" bestFit="1" customWidth="1"/>
    <col min="7" max="7" width="24.5703125" bestFit="1" customWidth="1"/>
    <col min="8" max="8" width="14.85546875" bestFit="1" customWidth="1"/>
  </cols>
  <sheetData>
    <row r="1" spans="1:9">
      <c r="A1" s="40" t="s">
        <v>3593</v>
      </c>
      <c r="B1" t="s">
        <v>3594</v>
      </c>
      <c r="C1" s="35" t="s">
        <v>3595</v>
      </c>
      <c r="D1" t="s">
        <v>3596</v>
      </c>
      <c r="F1" t="s">
        <v>3597</v>
      </c>
      <c r="G1" t="s">
        <v>3598</v>
      </c>
      <c r="H1" t="s">
        <v>3599</v>
      </c>
    </row>
    <row r="2" spans="1:9" ht="15">
      <c r="A2" s="47">
        <v>113040</v>
      </c>
      <c r="B2" s="47" t="s">
        <v>3600</v>
      </c>
      <c r="C2" s="47" t="s">
        <v>3601</v>
      </c>
      <c r="D2" s="47" t="s">
        <v>3602</v>
      </c>
      <c r="E2" s="47"/>
      <c r="F2" s="47" t="s">
        <v>3603</v>
      </c>
      <c r="G2" s="47" t="s">
        <v>3604</v>
      </c>
      <c r="H2" s="47" t="s">
        <v>3605</v>
      </c>
      <c r="I2" s="47" t="s">
        <v>18246</v>
      </c>
    </row>
    <row r="3" spans="1:9" ht="15">
      <c r="A3" s="47">
        <v>2005</v>
      </c>
      <c r="B3" s="47" t="s">
        <v>3606</v>
      </c>
      <c r="C3" s="47" t="s">
        <v>3607</v>
      </c>
      <c r="D3" s="47" t="s">
        <v>3608</v>
      </c>
      <c r="E3" s="47"/>
      <c r="F3" s="47" t="s">
        <v>3603</v>
      </c>
      <c r="G3" s="47" t="s">
        <v>3604</v>
      </c>
      <c r="H3" s="47" t="s">
        <v>3605</v>
      </c>
      <c r="I3" s="47" t="s">
        <v>18247</v>
      </c>
    </row>
    <row r="4" spans="1:9" ht="15">
      <c r="A4" s="47">
        <v>11112</v>
      </c>
      <c r="B4" s="47" t="s">
        <v>3609</v>
      </c>
      <c r="C4" s="47" t="s">
        <v>3610</v>
      </c>
      <c r="D4" s="47" t="s">
        <v>3611</v>
      </c>
      <c r="E4" s="47"/>
      <c r="F4" s="47" t="s">
        <v>3603</v>
      </c>
      <c r="G4" s="47" t="s">
        <v>3604</v>
      </c>
      <c r="H4" s="47" t="s">
        <v>3605</v>
      </c>
      <c r="I4" s="47" t="s">
        <v>18248</v>
      </c>
    </row>
    <row r="5" spans="1:9" ht="15">
      <c r="A5" s="47">
        <v>2015</v>
      </c>
      <c r="B5" s="47" t="s">
        <v>3612</v>
      </c>
      <c r="C5" s="47" t="s">
        <v>3613</v>
      </c>
      <c r="D5" s="47" t="s">
        <v>3614</v>
      </c>
      <c r="E5" s="47"/>
      <c r="F5" s="47"/>
      <c r="G5" s="47"/>
      <c r="H5" s="47" t="s">
        <v>3605</v>
      </c>
      <c r="I5" s="47" t="s">
        <v>18249</v>
      </c>
    </row>
    <row r="6" spans="1:9" ht="15">
      <c r="A6" s="47">
        <v>2035</v>
      </c>
      <c r="B6" s="47" t="s">
        <v>3615</v>
      </c>
      <c r="C6" s="47" t="s">
        <v>3616</v>
      </c>
      <c r="D6" s="47" t="s">
        <v>3617</v>
      </c>
      <c r="E6" s="47"/>
      <c r="F6" s="47"/>
      <c r="G6" s="47"/>
      <c r="H6" s="47" t="s">
        <v>3605</v>
      </c>
      <c r="I6" s="47" t="s">
        <v>18250</v>
      </c>
    </row>
    <row r="7" spans="1:9" ht="15">
      <c r="A7" s="47">
        <v>1013402</v>
      </c>
      <c r="B7" s="47" t="s">
        <v>3618</v>
      </c>
      <c r="C7" s="47" t="s">
        <v>3619</v>
      </c>
      <c r="D7" s="47" t="s">
        <v>3620</v>
      </c>
      <c r="E7" s="47"/>
      <c r="F7" s="47" t="s">
        <v>3603</v>
      </c>
      <c r="G7" s="47" t="s">
        <v>3604</v>
      </c>
      <c r="H7" s="47" t="s">
        <v>3605</v>
      </c>
      <c r="I7" s="47" t="s">
        <v>18251</v>
      </c>
    </row>
    <row r="8" spans="1:9" ht="15">
      <c r="A8" s="47">
        <v>113230</v>
      </c>
      <c r="B8" s="47" t="s">
        <v>3621</v>
      </c>
      <c r="C8" s="47" t="s">
        <v>3622</v>
      </c>
      <c r="D8" s="47" t="s">
        <v>3623</v>
      </c>
      <c r="E8" s="47"/>
      <c r="F8" s="47" t="s">
        <v>3603</v>
      </c>
      <c r="G8" s="47" t="s">
        <v>3604</v>
      </c>
      <c r="H8" s="47" t="s">
        <v>3605</v>
      </c>
      <c r="I8" s="47" t="s">
        <v>18252</v>
      </c>
    </row>
    <row r="9" spans="1:9" ht="15">
      <c r="A9" s="47">
        <v>2075</v>
      </c>
      <c r="B9" s="47" t="s">
        <v>3625</v>
      </c>
      <c r="C9" s="47" t="s">
        <v>3626</v>
      </c>
      <c r="D9" s="47" t="s">
        <v>3627</v>
      </c>
      <c r="E9" s="47"/>
      <c r="F9" s="47"/>
      <c r="G9" s="47"/>
      <c r="H9" s="47" t="s">
        <v>3605</v>
      </c>
      <c r="I9" s="47" t="s">
        <v>18253</v>
      </c>
    </row>
    <row r="10" spans="1:9" ht="15">
      <c r="A10" s="47">
        <v>3015</v>
      </c>
      <c r="B10" s="47" t="s">
        <v>3628</v>
      </c>
      <c r="C10" s="47" t="s">
        <v>3629</v>
      </c>
      <c r="D10" s="47" t="s">
        <v>3630</v>
      </c>
      <c r="E10" s="47"/>
      <c r="F10" s="47" t="s">
        <v>3603</v>
      </c>
      <c r="G10" s="47" t="s">
        <v>3604</v>
      </c>
      <c r="H10" s="47" t="s">
        <v>3605</v>
      </c>
      <c r="I10" s="47" t="s">
        <v>18254</v>
      </c>
    </row>
    <row r="11" spans="1:9" ht="15">
      <c r="A11" s="47">
        <v>113049</v>
      </c>
      <c r="B11" s="47" t="s">
        <v>3631</v>
      </c>
      <c r="C11" s="47" t="s">
        <v>3632</v>
      </c>
      <c r="D11" s="47" t="s">
        <v>3633</v>
      </c>
      <c r="E11" s="47"/>
      <c r="F11" s="47" t="s">
        <v>3603</v>
      </c>
      <c r="G11" s="47" t="s">
        <v>3604</v>
      </c>
      <c r="H11" s="47" t="s">
        <v>3605</v>
      </c>
      <c r="I11" s="47" t="s">
        <v>18255</v>
      </c>
    </row>
    <row r="12" spans="1:9" ht="15">
      <c r="A12" s="47">
        <v>5002</v>
      </c>
      <c r="B12" s="47" t="s">
        <v>2397</v>
      </c>
      <c r="C12" s="47" t="s">
        <v>3634</v>
      </c>
      <c r="D12" s="47" t="s">
        <v>3635</v>
      </c>
      <c r="E12" s="47"/>
      <c r="F12" s="47"/>
      <c r="G12" s="47"/>
      <c r="H12" s="47" t="s">
        <v>3605</v>
      </c>
      <c r="I12" s="47" t="s">
        <v>18256</v>
      </c>
    </row>
    <row r="13" spans="1:9" ht="15">
      <c r="A13" s="47">
        <v>5003</v>
      </c>
      <c r="B13" s="47" t="s">
        <v>2406</v>
      </c>
      <c r="C13" s="47" t="s">
        <v>3636</v>
      </c>
      <c r="D13" s="47" t="s">
        <v>3637</v>
      </c>
      <c r="E13" s="47"/>
      <c r="F13" s="47"/>
      <c r="G13" s="47"/>
      <c r="H13" s="47" t="s">
        <v>3605</v>
      </c>
      <c r="I13" s="47" t="s">
        <v>18257</v>
      </c>
    </row>
    <row r="14" spans="1:9" ht="15">
      <c r="A14" s="47">
        <v>5007</v>
      </c>
      <c r="B14" s="47" t="s">
        <v>3638</v>
      </c>
      <c r="C14" s="47" t="s">
        <v>3639</v>
      </c>
      <c r="D14" s="47" t="s">
        <v>3640</v>
      </c>
      <c r="E14" s="47"/>
      <c r="F14" s="47" t="s">
        <v>3603</v>
      </c>
      <c r="G14" s="47" t="s">
        <v>3604</v>
      </c>
      <c r="H14" s="47" t="s">
        <v>3605</v>
      </c>
      <c r="I14" s="47" t="s">
        <v>18258</v>
      </c>
    </row>
    <row r="15" spans="1:9" ht="15">
      <c r="A15" s="47">
        <v>5012</v>
      </c>
      <c r="B15" s="47" t="s">
        <v>2157</v>
      </c>
      <c r="C15" s="47" t="s">
        <v>3641</v>
      </c>
      <c r="D15" s="47" t="s">
        <v>3642</v>
      </c>
      <c r="E15" s="47"/>
      <c r="F15" s="47"/>
      <c r="G15" s="47"/>
      <c r="H15" s="47" t="s">
        <v>3605</v>
      </c>
      <c r="I15" s="47" t="s">
        <v>18259</v>
      </c>
    </row>
    <row r="16" spans="1:9" ht="15">
      <c r="A16" s="47">
        <v>5013</v>
      </c>
      <c r="B16" s="47" t="s">
        <v>3643</v>
      </c>
      <c r="C16" s="47" t="s">
        <v>3644</v>
      </c>
      <c r="D16" s="47" t="s">
        <v>3645</v>
      </c>
      <c r="E16" s="47"/>
      <c r="F16" s="47" t="s">
        <v>3603</v>
      </c>
      <c r="G16" s="47" t="s">
        <v>3604</v>
      </c>
      <c r="H16" s="47" t="s">
        <v>3605</v>
      </c>
      <c r="I16" s="47" t="s">
        <v>18260</v>
      </c>
    </row>
    <row r="17" spans="1:9" ht="15">
      <c r="A17" s="47">
        <v>5014</v>
      </c>
      <c r="B17" s="47" t="s">
        <v>2158</v>
      </c>
      <c r="C17" s="47" t="s">
        <v>3646</v>
      </c>
      <c r="D17" s="47" t="s">
        <v>3647</v>
      </c>
      <c r="E17" s="47"/>
      <c r="F17" s="47"/>
      <c r="G17" s="47"/>
      <c r="H17" s="47" t="s">
        <v>3605</v>
      </c>
      <c r="I17" s="47" t="s">
        <v>18261</v>
      </c>
    </row>
    <row r="18" spans="1:9" ht="15">
      <c r="A18" s="47">
        <v>5015</v>
      </c>
      <c r="B18" s="47" t="s">
        <v>2400</v>
      </c>
      <c r="C18" s="47" t="s">
        <v>3648</v>
      </c>
      <c r="D18" s="47" t="s">
        <v>3649</v>
      </c>
      <c r="E18" s="47"/>
      <c r="F18" s="47"/>
      <c r="G18" s="47"/>
      <c r="H18" s="47" t="s">
        <v>3605</v>
      </c>
      <c r="I18" s="47" t="s">
        <v>18262</v>
      </c>
    </row>
    <row r="19" spans="1:9" ht="15">
      <c r="A19" s="47">
        <v>5016</v>
      </c>
      <c r="B19" s="47" t="s">
        <v>2161</v>
      </c>
      <c r="C19" s="47" t="s">
        <v>3650</v>
      </c>
      <c r="D19" s="47" t="s">
        <v>3651</v>
      </c>
      <c r="E19" s="47"/>
      <c r="F19" s="47"/>
      <c r="G19" s="47"/>
      <c r="H19" s="47" t="s">
        <v>3605</v>
      </c>
      <c r="I19" s="47" t="s">
        <v>18263</v>
      </c>
    </row>
    <row r="20" spans="1:9" ht="15">
      <c r="A20" s="47">
        <v>5017</v>
      </c>
      <c r="B20" s="47" t="s">
        <v>3652</v>
      </c>
      <c r="C20" s="47" t="s">
        <v>3653</v>
      </c>
      <c r="D20" s="47" t="s">
        <v>3654</v>
      </c>
      <c r="E20" s="47"/>
      <c r="F20" s="47" t="s">
        <v>3603</v>
      </c>
      <c r="G20" s="47" t="s">
        <v>3604</v>
      </c>
      <c r="H20" s="47" t="s">
        <v>3605</v>
      </c>
      <c r="I20" s="47" t="s">
        <v>18264</v>
      </c>
    </row>
    <row r="21" spans="1:9" ht="15">
      <c r="A21" s="47">
        <v>10200</v>
      </c>
      <c r="B21" s="47" t="s">
        <v>3655</v>
      </c>
      <c r="C21" s="47" t="s">
        <v>3656</v>
      </c>
      <c r="D21" s="47" t="s">
        <v>3657</v>
      </c>
      <c r="E21" s="47"/>
      <c r="F21" s="47" t="s">
        <v>3603</v>
      </c>
      <c r="G21" s="47" t="s">
        <v>3604</v>
      </c>
      <c r="H21" s="47" t="s">
        <v>3605</v>
      </c>
      <c r="I21" s="47" t="s">
        <v>18265</v>
      </c>
    </row>
    <row r="22" spans="1:9" ht="15">
      <c r="A22" s="47">
        <v>10202</v>
      </c>
      <c r="B22" s="47" t="s">
        <v>3658</v>
      </c>
      <c r="C22" s="47" t="s">
        <v>3656</v>
      </c>
      <c r="D22" s="47" t="s">
        <v>3657</v>
      </c>
      <c r="E22" s="47"/>
      <c r="F22" s="47" t="s">
        <v>3603</v>
      </c>
      <c r="G22" s="47" t="s">
        <v>3604</v>
      </c>
      <c r="H22" s="47" t="s">
        <v>3605</v>
      </c>
      <c r="I22" s="47" t="s">
        <v>18266</v>
      </c>
    </row>
    <row r="23" spans="1:9" ht="15">
      <c r="A23" s="47">
        <v>6019</v>
      </c>
      <c r="B23" s="47" t="s">
        <v>3659</v>
      </c>
      <c r="C23" s="47" t="s">
        <v>3656</v>
      </c>
      <c r="D23" s="47" t="s">
        <v>3657</v>
      </c>
      <c r="E23" s="47"/>
      <c r="F23" s="47" t="s">
        <v>3603</v>
      </c>
      <c r="G23" s="47" t="s">
        <v>3604</v>
      </c>
      <c r="H23" s="47" t="s">
        <v>3605</v>
      </c>
      <c r="I23" s="47" t="s">
        <v>18267</v>
      </c>
    </row>
    <row r="24" spans="1:9" ht="15">
      <c r="A24" s="47">
        <v>10271</v>
      </c>
      <c r="B24" s="47" t="s">
        <v>3660</v>
      </c>
      <c r="C24" s="47" t="s">
        <v>3661</v>
      </c>
      <c r="D24" s="47" t="s">
        <v>3662</v>
      </c>
      <c r="E24" s="47"/>
      <c r="F24" s="47" t="s">
        <v>3603</v>
      </c>
      <c r="G24" s="47" t="s">
        <v>3604</v>
      </c>
      <c r="H24" s="47" t="s">
        <v>3605</v>
      </c>
      <c r="I24" s="47" t="s">
        <v>18268</v>
      </c>
    </row>
    <row r="25" spans="1:9" ht="15">
      <c r="A25" s="47">
        <v>10228</v>
      </c>
      <c r="B25" s="47" t="s">
        <v>3663</v>
      </c>
      <c r="C25" s="47" t="s">
        <v>3664</v>
      </c>
      <c r="D25" s="47" t="s">
        <v>3665</v>
      </c>
      <c r="E25" s="47"/>
      <c r="F25" s="47" t="s">
        <v>3603</v>
      </c>
      <c r="G25" s="47" t="s">
        <v>3604</v>
      </c>
      <c r="H25" s="47" t="s">
        <v>3605</v>
      </c>
      <c r="I25" s="47" t="s">
        <v>18269</v>
      </c>
    </row>
    <row r="26" spans="1:9" ht="15">
      <c r="A26" s="47">
        <v>5019</v>
      </c>
      <c r="B26" s="47" t="s">
        <v>3666</v>
      </c>
      <c r="C26" s="47" t="s">
        <v>3667</v>
      </c>
      <c r="D26" s="47" t="s">
        <v>3668</v>
      </c>
      <c r="E26" s="47"/>
      <c r="F26" s="47" t="s">
        <v>3603</v>
      </c>
      <c r="G26" s="47" t="s">
        <v>3604</v>
      </c>
      <c r="H26" s="47" t="s">
        <v>3605</v>
      </c>
      <c r="I26" s="47" t="s">
        <v>18270</v>
      </c>
    </row>
    <row r="27" spans="1:9" ht="15">
      <c r="A27" s="47">
        <v>10272</v>
      </c>
      <c r="B27" s="47" t="s">
        <v>3669</v>
      </c>
      <c r="C27" s="47" t="s">
        <v>3664</v>
      </c>
      <c r="D27" s="47" t="s">
        <v>3665</v>
      </c>
      <c r="E27" s="47"/>
      <c r="F27" s="47" t="s">
        <v>3603</v>
      </c>
      <c r="G27" s="47" t="s">
        <v>3604</v>
      </c>
      <c r="H27" s="47" t="s">
        <v>3605</v>
      </c>
      <c r="I27" s="47" t="s">
        <v>18271</v>
      </c>
    </row>
    <row r="28" spans="1:9" ht="15">
      <c r="A28" s="47" t="s">
        <v>659</v>
      </c>
      <c r="B28" s="47" t="s">
        <v>3670</v>
      </c>
      <c r="C28" s="47" t="s">
        <v>3664</v>
      </c>
      <c r="D28" s="47" t="s">
        <v>3665</v>
      </c>
      <c r="E28" s="47"/>
      <c r="F28" s="47" t="s">
        <v>3603</v>
      </c>
      <c r="G28" s="47" t="s">
        <v>3604</v>
      </c>
      <c r="H28" s="47" t="s">
        <v>3605</v>
      </c>
      <c r="I28" s="47" t="s">
        <v>659</v>
      </c>
    </row>
    <row r="29" spans="1:9" ht="15">
      <c r="A29" s="47">
        <v>10273</v>
      </c>
      <c r="B29" s="47" t="s">
        <v>3671</v>
      </c>
      <c r="C29" s="47" t="s">
        <v>3672</v>
      </c>
      <c r="D29" s="47" t="s">
        <v>3673</v>
      </c>
      <c r="E29" s="47"/>
      <c r="F29" s="47" t="s">
        <v>3603</v>
      </c>
      <c r="G29" s="47" t="s">
        <v>3604</v>
      </c>
      <c r="H29" s="47" t="s">
        <v>3605</v>
      </c>
      <c r="I29" s="47" t="s">
        <v>18272</v>
      </c>
    </row>
    <row r="30" spans="1:9" ht="15">
      <c r="A30" s="47" t="s">
        <v>576</v>
      </c>
      <c r="B30" s="47" t="s">
        <v>3674</v>
      </c>
      <c r="C30" s="47" t="s">
        <v>3672</v>
      </c>
      <c r="D30" s="47" t="s">
        <v>3673</v>
      </c>
      <c r="E30" s="47"/>
      <c r="F30" s="47" t="s">
        <v>3603</v>
      </c>
      <c r="G30" s="47" t="s">
        <v>3604</v>
      </c>
      <c r="H30" s="47" t="s">
        <v>3605</v>
      </c>
      <c r="I30" s="47" t="s">
        <v>576</v>
      </c>
    </row>
    <row r="31" spans="1:9" ht="15">
      <c r="A31" s="47">
        <v>5020</v>
      </c>
      <c r="B31" s="47" t="s">
        <v>2401</v>
      </c>
      <c r="C31" s="47" t="s">
        <v>3675</v>
      </c>
      <c r="D31" s="47" t="s">
        <v>3676</v>
      </c>
      <c r="E31" s="47"/>
      <c r="F31" s="47"/>
      <c r="G31" s="47"/>
      <c r="H31" s="47" t="s">
        <v>3605</v>
      </c>
      <c r="I31" s="47" t="s">
        <v>18273</v>
      </c>
    </row>
    <row r="32" spans="1:9" ht="15">
      <c r="A32" s="47">
        <v>5021</v>
      </c>
      <c r="B32" s="47" t="s">
        <v>3677</v>
      </c>
      <c r="C32" s="47" t="s">
        <v>3678</v>
      </c>
      <c r="D32" s="47" t="s">
        <v>3679</v>
      </c>
      <c r="E32" s="47"/>
      <c r="F32" s="47" t="s">
        <v>3603</v>
      </c>
      <c r="G32" s="47" t="s">
        <v>3604</v>
      </c>
      <c r="H32" s="47" t="s">
        <v>3605</v>
      </c>
      <c r="I32" s="47" t="s">
        <v>18274</v>
      </c>
    </row>
    <row r="33" spans="1:9" ht="15">
      <c r="A33" s="47">
        <v>10274</v>
      </c>
      <c r="B33" s="47" t="s">
        <v>3680</v>
      </c>
      <c r="C33" s="47" t="s">
        <v>3681</v>
      </c>
      <c r="D33" s="47" t="s">
        <v>3682</v>
      </c>
      <c r="E33" s="47"/>
      <c r="F33" s="47" t="s">
        <v>3603</v>
      </c>
      <c r="G33" s="47" t="s">
        <v>3604</v>
      </c>
      <c r="H33" s="47" t="s">
        <v>3605</v>
      </c>
      <c r="I33" s="47" t="s">
        <v>18275</v>
      </c>
    </row>
    <row r="34" spans="1:9" ht="15">
      <c r="A34" s="47" t="s">
        <v>540</v>
      </c>
      <c r="B34" s="47" t="s">
        <v>3683</v>
      </c>
      <c r="C34" s="47" t="s">
        <v>3681</v>
      </c>
      <c r="D34" s="47" t="s">
        <v>3682</v>
      </c>
      <c r="E34" s="47"/>
      <c r="F34" s="47" t="s">
        <v>3603</v>
      </c>
      <c r="G34" s="47" t="s">
        <v>3604</v>
      </c>
      <c r="H34" s="47" t="s">
        <v>3605</v>
      </c>
      <c r="I34" s="47" t="s">
        <v>540</v>
      </c>
    </row>
    <row r="35" spans="1:9" ht="15">
      <c r="A35" s="47" t="s">
        <v>596</v>
      </c>
      <c r="B35" s="47" t="s">
        <v>3684</v>
      </c>
      <c r="C35" s="47" t="s">
        <v>3681</v>
      </c>
      <c r="D35" s="47" t="s">
        <v>3682</v>
      </c>
      <c r="E35" s="47"/>
      <c r="F35" s="47" t="s">
        <v>3603</v>
      </c>
      <c r="G35" s="47" t="s">
        <v>3604</v>
      </c>
      <c r="H35" s="47" t="s">
        <v>3605</v>
      </c>
      <c r="I35" s="47" t="s">
        <v>596</v>
      </c>
    </row>
    <row r="36" spans="1:9" ht="15">
      <c r="A36" s="47" t="s">
        <v>595</v>
      </c>
      <c r="B36" s="47" t="s">
        <v>3685</v>
      </c>
      <c r="C36" s="47" t="s">
        <v>3686</v>
      </c>
      <c r="D36" s="47" t="s">
        <v>3687</v>
      </c>
      <c r="E36" s="47"/>
      <c r="F36" s="47" t="s">
        <v>3603</v>
      </c>
      <c r="G36" s="47" t="s">
        <v>3604</v>
      </c>
      <c r="H36" s="47" t="s">
        <v>3605</v>
      </c>
      <c r="I36" s="47" t="s">
        <v>595</v>
      </c>
    </row>
    <row r="37" spans="1:9" ht="15">
      <c r="A37" s="47">
        <v>10223</v>
      </c>
      <c r="B37" s="47" t="s">
        <v>3688</v>
      </c>
      <c r="C37" s="47" t="s">
        <v>3689</v>
      </c>
      <c r="D37" s="47" t="s">
        <v>3690</v>
      </c>
      <c r="E37" s="47"/>
      <c r="F37" s="47" t="s">
        <v>3603</v>
      </c>
      <c r="G37" s="47" t="s">
        <v>3604</v>
      </c>
      <c r="H37" s="47" t="s">
        <v>3605</v>
      </c>
      <c r="I37" s="47" t="s">
        <v>18276</v>
      </c>
    </row>
    <row r="38" spans="1:9" ht="15">
      <c r="A38" s="47">
        <v>5022</v>
      </c>
      <c r="B38" s="47" t="s">
        <v>2162</v>
      </c>
      <c r="C38" s="47" t="s">
        <v>3691</v>
      </c>
      <c r="D38" s="47" t="s">
        <v>3692</v>
      </c>
      <c r="E38" s="47"/>
      <c r="F38" s="47"/>
      <c r="G38" s="47"/>
      <c r="H38" s="47" t="s">
        <v>3605</v>
      </c>
      <c r="I38" s="47" t="s">
        <v>18277</v>
      </c>
    </row>
    <row r="39" spans="1:9" ht="15">
      <c r="A39" s="47">
        <v>5024</v>
      </c>
      <c r="B39" s="47" t="s">
        <v>2165</v>
      </c>
      <c r="C39" s="47" t="s">
        <v>3693</v>
      </c>
      <c r="D39" s="47" t="s">
        <v>3694</v>
      </c>
      <c r="E39" s="47"/>
      <c r="F39" s="47"/>
      <c r="G39" s="47"/>
      <c r="H39" s="47" t="s">
        <v>3605</v>
      </c>
      <c r="I39" s="47" t="s">
        <v>18278</v>
      </c>
    </row>
    <row r="40" spans="1:9" ht="15">
      <c r="A40" s="47">
        <v>5026</v>
      </c>
      <c r="B40" s="47" t="s">
        <v>2166</v>
      </c>
      <c r="C40" s="47" t="s">
        <v>3695</v>
      </c>
      <c r="D40" s="47" t="s">
        <v>3696</v>
      </c>
      <c r="E40" s="47"/>
      <c r="F40" s="47"/>
      <c r="G40" s="47"/>
      <c r="H40" s="47" t="s">
        <v>3605</v>
      </c>
      <c r="I40" s="47" t="s">
        <v>18279</v>
      </c>
    </row>
    <row r="41" spans="1:9" ht="15">
      <c r="A41" s="47">
        <v>10232</v>
      </c>
      <c r="B41" s="47" t="s">
        <v>3697</v>
      </c>
      <c r="C41" s="47" t="s">
        <v>3698</v>
      </c>
      <c r="D41" s="47" t="s">
        <v>3699</v>
      </c>
      <c r="E41" s="47"/>
      <c r="F41" s="47" t="s">
        <v>3603</v>
      </c>
      <c r="G41" s="47" t="s">
        <v>3604</v>
      </c>
      <c r="H41" s="47" t="s">
        <v>3605</v>
      </c>
      <c r="I41" s="47" t="s">
        <v>18280</v>
      </c>
    </row>
    <row r="42" spans="1:9" ht="15">
      <c r="A42" s="47" t="s">
        <v>4</v>
      </c>
      <c r="B42" s="47" t="s">
        <v>3700</v>
      </c>
      <c r="C42" s="47" t="s">
        <v>3701</v>
      </c>
      <c r="D42" s="47" t="s">
        <v>3702</v>
      </c>
      <c r="E42" s="47"/>
      <c r="F42" s="47" t="s">
        <v>3603</v>
      </c>
      <c r="G42" s="47" t="s">
        <v>3604</v>
      </c>
      <c r="H42" s="47" t="s">
        <v>3605</v>
      </c>
      <c r="I42" s="47" t="s">
        <v>4</v>
      </c>
    </row>
    <row r="43" spans="1:9" ht="15">
      <c r="A43" s="47">
        <v>10264</v>
      </c>
      <c r="B43" s="47" t="s">
        <v>3703</v>
      </c>
      <c r="C43" s="47" t="s">
        <v>3704</v>
      </c>
      <c r="D43" s="47" t="s">
        <v>3705</v>
      </c>
      <c r="E43" s="47"/>
      <c r="F43" s="47" t="s">
        <v>3603</v>
      </c>
      <c r="G43" s="47" t="s">
        <v>3604</v>
      </c>
      <c r="H43" s="47" t="s">
        <v>3605</v>
      </c>
      <c r="I43" s="47" t="s">
        <v>18281</v>
      </c>
    </row>
    <row r="44" spans="1:9" ht="15">
      <c r="A44" s="47">
        <v>5027</v>
      </c>
      <c r="B44" s="47" t="s">
        <v>2402</v>
      </c>
      <c r="C44" s="47" t="s">
        <v>3706</v>
      </c>
      <c r="D44" s="47" t="s">
        <v>3707</v>
      </c>
      <c r="E44" s="47"/>
      <c r="F44" s="47"/>
      <c r="G44" s="47"/>
      <c r="H44" s="47" t="s">
        <v>3605</v>
      </c>
      <c r="I44" s="47" t="s">
        <v>18282</v>
      </c>
    </row>
    <row r="45" spans="1:9" ht="15">
      <c r="A45" s="47" t="s">
        <v>3708</v>
      </c>
      <c r="B45" s="47" t="s">
        <v>3709</v>
      </c>
      <c r="C45" s="47" t="s">
        <v>3710</v>
      </c>
      <c r="D45" s="47" t="s">
        <v>3711</v>
      </c>
      <c r="E45" s="47"/>
      <c r="F45" s="47"/>
      <c r="G45" s="47"/>
      <c r="H45" s="47" t="s">
        <v>3605</v>
      </c>
      <c r="I45" s="47" t="s">
        <v>3708</v>
      </c>
    </row>
    <row r="46" spans="1:9" ht="15">
      <c r="A46" s="47">
        <v>5029</v>
      </c>
      <c r="B46" s="47" t="s">
        <v>2167</v>
      </c>
      <c r="C46" s="47" t="s">
        <v>3712</v>
      </c>
      <c r="D46" s="47" t="s">
        <v>3713</v>
      </c>
      <c r="E46" s="47"/>
      <c r="F46" s="47" t="s">
        <v>3603</v>
      </c>
      <c r="G46" s="47" t="s">
        <v>3604</v>
      </c>
      <c r="H46" s="47" t="s">
        <v>3605</v>
      </c>
      <c r="I46" s="47" t="s">
        <v>18283</v>
      </c>
    </row>
    <row r="47" spans="1:9" ht="15">
      <c r="A47" s="47">
        <v>5030</v>
      </c>
      <c r="B47" s="47" t="s">
        <v>3714</v>
      </c>
      <c r="C47" s="47" t="s">
        <v>3715</v>
      </c>
      <c r="D47" s="47" t="s">
        <v>3716</v>
      </c>
      <c r="E47" s="47"/>
      <c r="F47" s="47"/>
      <c r="G47" s="47"/>
      <c r="H47" s="47" t="s">
        <v>3605</v>
      </c>
      <c r="I47" s="47" t="s">
        <v>18284</v>
      </c>
    </row>
    <row r="48" spans="1:9" ht="15">
      <c r="A48" s="47">
        <v>5031</v>
      </c>
      <c r="B48" s="47" t="s">
        <v>3717</v>
      </c>
      <c r="C48" s="47" t="s">
        <v>3718</v>
      </c>
      <c r="D48" s="47" t="s">
        <v>3719</v>
      </c>
      <c r="E48" s="47"/>
      <c r="F48" s="47"/>
      <c r="G48" s="47"/>
      <c r="H48" s="47" t="s">
        <v>3605</v>
      </c>
      <c r="I48" s="47" t="s">
        <v>18285</v>
      </c>
    </row>
    <row r="49" spans="1:9" ht="15">
      <c r="A49" s="47">
        <v>113233</v>
      </c>
      <c r="B49" s="47" t="s">
        <v>3720</v>
      </c>
      <c r="C49" s="47" t="s">
        <v>3721</v>
      </c>
      <c r="D49" s="47" t="s">
        <v>3722</v>
      </c>
      <c r="E49" s="47"/>
      <c r="F49" s="47" t="s">
        <v>3603</v>
      </c>
      <c r="G49" s="47" t="s">
        <v>3604</v>
      </c>
      <c r="H49" s="47" t="s">
        <v>3605</v>
      </c>
      <c r="I49" s="47" t="s">
        <v>18286</v>
      </c>
    </row>
    <row r="50" spans="1:9" ht="15">
      <c r="A50" s="47">
        <v>113100</v>
      </c>
      <c r="B50" s="47" t="s">
        <v>3723</v>
      </c>
      <c r="C50" s="47" t="s">
        <v>3724</v>
      </c>
      <c r="D50" s="47" t="s">
        <v>3725</v>
      </c>
      <c r="E50" s="47"/>
      <c r="F50" s="47" t="s">
        <v>3603</v>
      </c>
      <c r="G50" s="47" t="s">
        <v>3604</v>
      </c>
      <c r="H50" s="47" t="s">
        <v>3605</v>
      </c>
      <c r="I50" s="47" t="s">
        <v>18287</v>
      </c>
    </row>
    <row r="51" spans="1:9" ht="15">
      <c r="A51" s="47">
        <v>113232</v>
      </c>
      <c r="B51" s="47" t="s">
        <v>3726</v>
      </c>
      <c r="C51" s="47" t="s">
        <v>3727</v>
      </c>
      <c r="D51" s="47" t="s">
        <v>3728</v>
      </c>
      <c r="E51" s="47"/>
      <c r="F51" s="47" t="s">
        <v>3603</v>
      </c>
      <c r="G51" s="47" t="s">
        <v>3604</v>
      </c>
      <c r="H51" s="47" t="s">
        <v>3605</v>
      </c>
      <c r="I51" s="47" t="s">
        <v>18288</v>
      </c>
    </row>
    <row r="52" spans="1:9" ht="15">
      <c r="A52" s="47">
        <v>5032</v>
      </c>
      <c r="B52" s="47" t="s">
        <v>3729</v>
      </c>
      <c r="C52" s="47" t="s">
        <v>3730</v>
      </c>
      <c r="D52" s="47" t="s">
        <v>3731</v>
      </c>
      <c r="E52" s="47"/>
      <c r="F52" s="47" t="s">
        <v>3603</v>
      </c>
      <c r="G52" s="47" t="s">
        <v>3604</v>
      </c>
      <c r="H52" s="47" t="s">
        <v>3605</v>
      </c>
      <c r="I52" s="47" t="s">
        <v>18289</v>
      </c>
    </row>
    <row r="53" spans="1:9" ht="15">
      <c r="A53" s="47">
        <v>13100</v>
      </c>
      <c r="B53" s="47" t="s">
        <v>3732</v>
      </c>
      <c r="C53" s="47" t="s">
        <v>3733</v>
      </c>
      <c r="D53" s="47" t="s">
        <v>3734</v>
      </c>
      <c r="E53" s="47"/>
      <c r="F53" s="47" t="s">
        <v>3603</v>
      </c>
      <c r="G53" s="47" t="s">
        <v>3604</v>
      </c>
      <c r="H53" s="47" t="s">
        <v>3605</v>
      </c>
      <c r="I53" s="47" t="s">
        <v>18290</v>
      </c>
    </row>
    <row r="54" spans="1:9" ht="15">
      <c r="A54" s="47">
        <v>39701</v>
      </c>
      <c r="B54" s="47" t="s">
        <v>3735</v>
      </c>
      <c r="C54" s="47" t="s">
        <v>3736</v>
      </c>
      <c r="D54" s="47" t="s">
        <v>3737</v>
      </c>
      <c r="E54" s="47"/>
      <c r="F54" s="47" t="s">
        <v>3603</v>
      </c>
      <c r="G54" s="47" t="s">
        <v>3604</v>
      </c>
      <c r="H54" s="47" t="s">
        <v>3605</v>
      </c>
      <c r="I54" s="47" t="s">
        <v>18291</v>
      </c>
    </row>
    <row r="55" spans="1:9" ht="15">
      <c r="A55" s="47">
        <v>39702</v>
      </c>
      <c r="B55" s="47" t="s">
        <v>3738</v>
      </c>
      <c r="C55" s="47" t="s">
        <v>3739</v>
      </c>
      <c r="D55" s="47" t="s">
        <v>3740</v>
      </c>
      <c r="E55" s="47"/>
      <c r="F55" s="47" t="s">
        <v>3603</v>
      </c>
      <c r="G55" s="47" t="s">
        <v>3604</v>
      </c>
      <c r="H55" s="47" t="s">
        <v>3605</v>
      </c>
      <c r="I55" s="47" t="s">
        <v>18292</v>
      </c>
    </row>
    <row r="56" spans="1:9" ht="15">
      <c r="A56" s="47">
        <v>46201</v>
      </c>
      <c r="B56" s="47" t="s">
        <v>3741</v>
      </c>
      <c r="C56" s="47" t="s">
        <v>3742</v>
      </c>
      <c r="D56" s="47" t="s">
        <v>3743</v>
      </c>
      <c r="E56" s="47"/>
      <c r="F56" s="47" t="s">
        <v>3603</v>
      </c>
      <c r="G56" s="47" t="s">
        <v>3604</v>
      </c>
      <c r="H56" s="47" t="s">
        <v>3605</v>
      </c>
      <c r="I56" s="47" t="s">
        <v>18293</v>
      </c>
    </row>
    <row r="57" spans="1:9" ht="15">
      <c r="A57" s="47">
        <v>5033</v>
      </c>
      <c r="B57" s="47" t="s">
        <v>3744</v>
      </c>
      <c r="C57" s="47" t="s">
        <v>3745</v>
      </c>
      <c r="D57" s="47" t="s">
        <v>3746</v>
      </c>
      <c r="E57" s="47"/>
      <c r="F57" s="47" t="s">
        <v>3603</v>
      </c>
      <c r="G57" s="47" t="s">
        <v>3604</v>
      </c>
      <c r="H57" s="47" t="s">
        <v>3605</v>
      </c>
      <c r="I57" s="47" t="s">
        <v>18294</v>
      </c>
    </row>
    <row r="58" spans="1:9" ht="15">
      <c r="A58" s="47">
        <v>5039</v>
      </c>
      <c r="B58" s="47" t="s">
        <v>3747</v>
      </c>
      <c r="C58" s="47" t="s">
        <v>3748</v>
      </c>
      <c r="D58" s="47" t="s">
        <v>3749</v>
      </c>
      <c r="E58" s="47"/>
      <c r="F58" s="47" t="s">
        <v>3603</v>
      </c>
      <c r="G58" s="47" t="s">
        <v>3604</v>
      </c>
      <c r="H58" s="47" t="s">
        <v>3605</v>
      </c>
      <c r="I58" s="47" t="s">
        <v>18295</v>
      </c>
    </row>
    <row r="59" spans="1:9" ht="15">
      <c r="A59" s="47" t="s">
        <v>601</v>
      </c>
      <c r="B59" s="47" t="s">
        <v>3750</v>
      </c>
      <c r="C59" s="47" t="s">
        <v>3751</v>
      </c>
      <c r="D59" s="47" t="s">
        <v>3752</v>
      </c>
      <c r="E59" s="47"/>
      <c r="F59" s="47" t="s">
        <v>3603</v>
      </c>
      <c r="G59" s="47" t="s">
        <v>3604</v>
      </c>
      <c r="H59" s="47" t="s">
        <v>3605</v>
      </c>
      <c r="I59" s="47" t="s">
        <v>601</v>
      </c>
    </row>
    <row r="60" spans="1:9" ht="15">
      <c r="A60" s="47">
        <v>5040</v>
      </c>
      <c r="B60" s="47" t="s">
        <v>3753</v>
      </c>
      <c r="C60" s="47" t="s">
        <v>3754</v>
      </c>
      <c r="D60" s="47" t="s">
        <v>3755</v>
      </c>
      <c r="E60" s="47"/>
      <c r="F60" s="47"/>
      <c r="G60" s="47"/>
      <c r="H60" s="47" t="s">
        <v>3605</v>
      </c>
      <c r="I60" s="47" t="s">
        <v>18296</v>
      </c>
    </row>
    <row r="61" spans="1:9" ht="15">
      <c r="A61" s="47" t="s">
        <v>653</v>
      </c>
      <c r="B61" s="47" t="s">
        <v>3756</v>
      </c>
      <c r="C61" s="47" t="s">
        <v>3757</v>
      </c>
      <c r="D61" s="47" t="s">
        <v>3758</v>
      </c>
      <c r="E61" s="47"/>
      <c r="F61" s="47" t="s">
        <v>3759</v>
      </c>
      <c r="G61" s="47" t="s">
        <v>3760</v>
      </c>
      <c r="H61" s="47" t="s">
        <v>3605</v>
      </c>
      <c r="I61" s="47" t="s">
        <v>653</v>
      </c>
    </row>
    <row r="62" spans="1:9" ht="15">
      <c r="A62" s="47">
        <v>113220</v>
      </c>
      <c r="B62" s="47" t="s">
        <v>3761</v>
      </c>
      <c r="C62" s="47" t="s">
        <v>3762</v>
      </c>
      <c r="D62" s="47" t="s">
        <v>3763</v>
      </c>
      <c r="E62" s="47"/>
      <c r="F62" s="47" t="s">
        <v>3603</v>
      </c>
      <c r="G62" s="47" t="s">
        <v>3604</v>
      </c>
      <c r="H62" s="47" t="s">
        <v>3605</v>
      </c>
      <c r="I62" s="47" t="s">
        <v>18297</v>
      </c>
    </row>
    <row r="63" spans="1:9" ht="15">
      <c r="A63" s="47">
        <v>6010</v>
      </c>
      <c r="B63" s="47" t="s">
        <v>3764</v>
      </c>
      <c r="C63" s="47" t="s">
        <v>3765</v>
      </c>
      <c r="D63" s="47" t="s">
        <v>3766</v>
      </c>
      <c r="E63" s="47"/>
      <c r="F63" s="47"/>
      <c r="G63" s="47"/>
      <c r="H63" s="47" t="s">
        <v>3605</v>
      </c>
      <c r="I63" s="47" t="s">
        <v>18298</v>
      </c>
    </row>
    <row r="64" spans="1:9" ht="15">
      <c r="A64" s="47">
        <v>5041</v>
      </c>
      <c r="B64" s="47" t="s">
        <v>3767</v>
      </c>
      <c r="C64" s="47" t="s">
        <v>3768</v>
      </c>
      <c r="D64" s="47" t="s">
        <v>3769</v>
      </c>
      <c r="E64" s="47"/>
      <c r="F64" s="47" t="s">
        <v>3603</v>
      </c>
      <c r="G64" s="47" t="s">
        <v>3604</v>
      </c>
      <c r="H64" s="47" t="s">
        <v>3605</v>
      </c>
      <c r="I64" s="47" t="s">
        <v>18299</v>
      </c>
    </row>
    <row r="65" spans="1:9" ht="15">
      <c r="A65" s="47">
        <v>5042</v>
      </c>
      <c r="B65" s="47" t="s">
        <v>3770</v>
      </c>
      <c r="C65" s="47" t="s">
        <v>3771</v>
      </c>
      <c r="D65" s="47" t="s">
        <v>3772</v>
      </c>
      <c r="E65" s="47"/>
      <c r="F65" s="47"/>
      <c r="G65" s="47"/>
      <c r="H65" s="47" t="s">
        <v>3605</v>
      </c>
      <c r="I65" s="47" t="s">
        <v>18300</v>
      </c>
    </row>
    <row r="66" spans="1:9" ht="15">
      <c r="A66" s="47">
        <v>113224</v>
      </c>
      <c r="B66" s="47" t="s">
        <v>3773</v>
      </c>
      <c r="C66" s="47" t="s">
        <v>3774</v>
      </c>
      <c r="D66" s="47" t="s">
        <v>3775</v>
      </c>
      <c r="E66" s="47"/>
      <c r="F66" s="47"/>
      <c r="G66" s="47"/>
      <c r="H66" s="47" t="s">
        <v>3605</v>
      </c>
      <c r="I66" s="47" t="s">
        <v>18301</v>
      </c>
    </row>
    <row r="67" spans="1:9" ht="15">
      <c r="A67" s="47">
        <v>6100</v>
      </c>
      <c r="B67" s="47" t="s">
        <v>3776</v>
      </c>
      <c r="C67" s="47" t="s">
        <v>3777</v>
      </c>
      <c r="D67" s="47" t="s">
        <v>3778</v>
      </c>
      <c r="E67" s="47"/>
      <c r="F67" s="47"/>
      <c r="G67" s="47"/>
      <c r="H67" s="47" t="s">
        <v>3605</v>
      </c>
      <c r="I67" s="47" t="s">
        <v>18302</v>
      </c>
    </row>
    <row r="68" spans="1:9" ht="15">
      <c r="A68" s="47">
        <v>17000</v>
      </c>
      <c r="B68" s="47" t="s">
        <v>3779</v>
      </c>
      <c r="C68" s="47" t="s">
        <v>3780</v>
      </c>
      <c r="D68" s="47" t="s">
        <v>3781</v>
      </c>
      <c r="E68" s="47"/>
      <c r="F68" s="47"/>
      <c r="G68" s="47"/>
      <c r="H68" s="47" t="s">
        <v>3605</v>
      </c>
      <c r="I68" s="47" t="s">
        <v>18303</v>
      </c>
    </row>
    <row r="69" spans="1:9" ht="15">
      <c r="A69" s="47">
        <v>5043</v>
      </c>
      <c r="B69" s="47" t="s">
        <v>3782</v>
      </c>
      <c r="C69" s="47" t="s">
        <v>3783</v>
      </c>
      <c r="D69" s="47" t="s">
        <v>3784</v>
      </c>
      <c r="E69" s="47"/>
      <c r="F69" s="47"/>
      <c r="G69" s="47"/>
      <c r="H69" s="47" t="s">
        <v>3605</v>
      </c>
      <c r="I69" s="47" t="s">
        <v>18304</v>
      </c>
    </row>
    <row r="70" spans="1:9" ht="15">
      <c r="A70" s="47">
        <v>5044</v>
      </c>
      <c r="B70" s="47" t="s">
        <v>3785</v>
      </c>
      <c r="C70" s="47" t="s">
        <v>3786</v>
      </c>
      <c r="D70" s="47" t="s">
        <v>3787</v>
      </c>
      <c r="E70" s="47"/>
      <c r="F70" s="47"/>
      <c r="G70" s="47"/>
      <c r="H70" s="47" t="s">
        <v>3605</v>
      </c>
      <c r="I70" s="47" t="s">
        <v>18305</v>
      </c>
    </row>
    <row r="71" spans="1:9" ht="15">
      <c r="A71" s="47">
        <v>5045</v>
      </c>
      <c r="B71" s="47" t="s">
        <v>3788</v>
      </c>
      <c r="C71" s="47" t="s">
        <v>3789</v>
      </c>
      <c r="D71" s="47" t="s">
        <v>3790</v>
      </c>
      <c r="E71" s="47"/>
      <c r="F71" s="47"/>
      <c r="G71" s="47"/>
      <c r="H71" s="47" t="s">
        <v>3605</v>
      </c>
      <c r="I71" s="47" t="s">
        <v>18306</v>
      </c>
    </row>
    <row r="72" spans="1:9" ht="15">
      <c r="A72" s="47">
        <v>8000040</v>
      </c>
      <c r="B72" s="47" t="s">
        <v>3791</v>
      </c>
      <c r="C72" s="47" t="s">
        <v>3792</v>
      </c>
      <c r="D72" s="47" t="s">
        <v>3793</v>
      </c>
      <c r="E72" s="47"/>
      <c r="F72" s="47"/>
      <c r="G72" s="47"/>
      <c r="H72" s="47" t="s">
        <v>3605</v>
      </c>
      <c r="I72" s="47" t="s">
        <v>18307</v>
      </c>
    </row>
    <row r="73" spans="1:9" ht="15">
      <c r="A73" s="47">
        <v>113240</v>
      </c>
      <c r="B73" s="47" t="s">
        <v>1990</v>
      </c>
      <c r="C73" s="47" t="s">
        <v>3794</v>
      </c>
      <c r="D73" s="47" t="s">
        <v>3795</v>
      </c>
      <c r="E73" s="47"/>
      <c r="F73" s="47"/>
      <c r="G73" s="47"/>
      <c r="H73" s="47" t="s">
        <v>3605</v>
      </c>
      <c r="I73" s="47" t="s">
        <v>18308</v>
      </c>
    </row>
    <row r="74" spans="1:9" ht="15">
      <c r="A74" s="47">
        <v>113020</v>
      </c>
      <c r="B74" s="47" t="s">
        <v>3796</v>
      </c>
      <c r="C74" s="47" t="s">
        <v>3797</v>
      </c>
      <c r="D74" s="47" t="s">
        <v>3798</v>
      </c>
      <c r="E74" s="47"/>
      <c r="F74" s="47" t="s">
        <v>3603</v>
      </c>
      <c r="G74" s="47" t="s">
        <v>3604</v>
      </c>
      <c r="H74" s="47" t="s">
        <v>3605</v>
      </c>
      <c r="I74" s="47" t="s">
        <v>18309</v>
      </c>
    </row>
    <row r="75" spans="1:9" ht="15">
      <c r="A75" s="47">
        <v>122000</v>
      </c>
      <c r="B75" s="47" t="s">
        <v>1992</v>
      </c>
      <c r="C75" s="47" t="s">
        <v>3799</v>
      </c>
      <c r="D75" s="47" t="s">
        <v>3800</v>
      </c>
      <c r="E75" s="47"/>
      <c r="F75" s="47"/>
      <c r="G75" s="47"/>
      <c r="H75" s="47" t="s">
        <v>3605</v>
      </c>
      <c r="I75" s="47" t="s">
        <v>18310</v>
      </c>
    </row>
    <row r="76" spans="1:9" ht="15">
      <c r="A76" s="47">
        <v>5046</v>
      </c>
      <c r="B76" s="47" t="s">
        <v>2197</v>
      </c>
      <c r="C76" s="47" t="s">
        <v>3801</v>
      </c>
      <c r="D76" s="47" t="s">
        <v>3802</v>
      </c>
      <c r="E76" s="47"/>
      <c r="F76" s="47"/>
      <c r="G76" s="47"/>
      <c r="H76" s="47" t="s">
        <v>3605</v>
      </c>
      <c r="I76" s="47" t="s">
        <v>18311</v>
      </c>
    </row>
    <row r="77" spans="1:9" ht="15">
      <c r="A77" s="47">
        <v>5047</v>
      </c>
      <c r="B77" s="47" t="s">
        <v>2198</v>
      </c>
      <c r="C77" s="47" t="s">
        <v>3803</v>
      </c>
      <c r="D77" s="47" t="s">
        <v>3804</v>
      </c>
      <c r="E77" s="47"/>
      <c r="F77" s="47"/>
      <c r="G77" s="47"/>
      <c r="H77" s="47" t="s">
        <v>3605</v>
      </c>
      <c r="I77" s="47" t="s">
        <v>18312</v>
      </c>
    </row>
    <row r="78" spans="1:9" ht="15">
      <c r="A78" s="47">
        <v>113002</v>
      </c>
      <c r="B78" s="47" t="s">
        <v>3805</v>
      </c>
      <c r="C78" s="47" t="s">
        <v>3806</v>
      </c>
      <c r="D78" s="47" t="s">
        <v>3807</v>
      </c>
      <c r="E78" s="47"/>
      <c r="F78" s="47"/>
      <c r="G78" s="47"/>
      <c r="H78" s="47" t="s">
        <v>3605</v>
      </c>
      <c r="I78" s="47" t="s">
        <v>18313</v>
      </c>
    </row>
    <row r="79" spans="1:9" ht="15">
      <c r="A79" s="47">
        <v>5048</v>
      </c>
      <c r="B79" s="47" t="s">
        <v>718</v>
      </c>
      <c r="C79" s="47" t="s">
        <v>3808</v>
      </c>
      <c r="D79" s="47" t="s">
        <v>3809</v>
      </c>
      <c r="E79" s="47"/>
      <c r="F79" s="47"/>
      <c r="G79" s="47"/>
      <c r="H79" s="47" t="s">
        <v>3605</v>
      </c>
      <c r="I79" s="47" t="s">
        <v>18314</v>
      </c>
    </row>
    <row r="80" spans="1:9" ht="15">
      <c r="A80" s="47">
        <v>113060</v>
      </c>
      <c r="B80" s="47" t="s">
        <v>3810</v>
      </c>
      <c r="C80" s="47" t="s">
        <v>3811</v>
      </c>
      <c r="D80" s="47" t="s">
        <v>3812</v>
      </c>
      <c r="E80" s="47"/>
      <c r="F80" s="47" t="s">
        <v>3603</v>
      </c>
      <c r="G80" s="47" t="s">
        <v>3604</v>
      </c>
      <c r="H80" s="47" t="s">
        <v>3605</v>
      </c>
      <c r="I80" s="47" t="s">
        <v>18315</v>
      </c>
    </row>
    <row r="81" spans="1:9" ht="15">
      <c r="A81" s="47">
        <v>5049</v>
      </c>
      <c r="B81" s="47" t="s">
        <v>3813</v>
      </c>
      <c r="C81" s="47" t="s">
        <v>3814</v>
      </c>
      <c r="D81" s="47" t="s">
        <v>3815</v>
      </c>
      <c r="E81" s="47"/>
      <c r="F81" s="47"/>
      <c r="G81" s="47"/>
      <c r="H81" s="47" t="s">
        <v>3605</v>
      </c>
      <c r="I81" s="47" t="s">
        <v>18316</v>
      </c>
    </row>
    <row r="82" spans="1:9" ht="15">
      <c r="A82" s="47">
        <v>5050</v>
      </c>
      <c r="B82" s="47" t="s">
        <v>3816</v>
      </c>
      <c r="C82" s="47" t="s">
        <v>3817</v>
      </c>
      <c r="D82" s="47" t="s">
        <v>3818</v>
      </c>
      <c r="E82" s="47"/>
      <c r="F82" s="47"/>
      <c r="G82" s="47"/>
      <c r="H82" s="47" t="s">
        <v>3605</v>
      </c>
      <c r="I82" s="47" t="s">
        <v>18317</v>
      </c>
    </row>
    <row r="83" spans="1:9" ht="15">
      <c r="A83" s="47">
        <v>5056</v>
      </c>
      <c r="B83" s="47" t="s">
        <v>3819</v>
      </c>
      <c r="C83" s="47" t="s">
        <v>3820</v>
      </c>
      <c r="D83" s="47" t="s">
        <v>3821</v>
      </c>
      <c r="E83" s="47"/>
      <c r="F83" s="47"/>
      <c r="G83" s="47"/>
      <c r="H83" s="47" t="s">
        <v>3605</v>
      </c>
      <c r="I83" s="47" t="s">
        <v>18318</v>
      </c>
    </row>
    <row r="84" spans="1:9" ht="15">
      <c r="A84" s="47">
        <v>7487</v>
      </c>
      <c r="B84" s="47" t="s">
        <v>3822</v>
      </c>
      <c r="C84" s="47" t="s">
        <v>3823</v>
      </c>
      <c r="D84" s="47" t="s">
        <v>3824</v>
      </c>
      <c r="E84" s="47"/>
      <c r="F84" s="47"/>
      <c r="G84" s="47"/>
      <c r="H84" s="47" t="s">
        <v>3605</v>
      </c>
      <c r="I84" s="47" t="s">
        <v>18319</v>
      </c>
    </row>
    <row r="85" spans="1:9" ht="15">
      <c r="A85" s="47">
        <v>5058</v>
      </c>
      <c r="B85" s="47" t="s">
        <v>3825</v>
      </c>
      <c r="C85" s="47" t="s">
        <v>3826</v>
      </c>
      <c r="D85" s="47" t="s">
        <v>3827</v>
      </c>
      <c r="E85" s="47"/>
      <c r="F85" s="47"/>
      <c r="G85" s="47"/>
      <c r="H85" s="47" t="s">
        <v>3605</v>
      </c>
      <c r="I85" s="47" t="s">
        <v>18320</v>
      </c>
    </row>
    <row r="86" spans="1:9" ht="15">
      <c r="A86" s="47">
        <v>5061</v>
      </c>
      <c r="B86" s="47" t="s">
        <v>3828</v>
      </c>
      <c r="C86" s="47" t="s">
        <v>3829</v>
      </c>
      <c r="D86" s="47" t="s">
        <v>3830</v>
      </c>
      <c r="E86" s="47"/>
      <c r="F86" s="47"/>
      <c r="G86" s="47"/>
      <c r="H86" s="47" t="s">
        <v>3605</v>
      </c>
      <c r="I86" s="47" t="s">
        <v>18321</v>
      </c>
    </row>
    <row r="87" spans="1:9" ht="15">
      <c r="A87" s="47">
        <v>113290</v>
      </c>
      <c r="B87" s="47" t="s">
        <v>3831</v>
      </c>
      <c r="C87" s="47" t="s">
        <v>3832</v>
      </c>
      <c r="D87" s="47" t="s">
        <v>3833</v>
      </c>
      <c r="E87" s="47"/>
      <c r="F87" s="47" t="s">
        <v>3603</v>
      </c>
      <c r="G87" s="47" t="s">
        <v>3604</v>
      </c>
      <c r="H87" s="47" t="s">
        <v>3605</v>
      </c>
      <c r="I87" s="47" t="s">
        <v>18322</v>
      </c>
    </row>
    <row r="88" spans="1:9" ht="15">
      <c r="A88" s="47">
        <v>93031</v>
      </c>
      <c r="B88" s="47" t="s">
        <v>3834</v>
      </c>
      <c r="C88" s="47" t="s">
        <v>3835</v>
      </c>
      <c r="D88" s="47" t="s">
        <v>3836</v>
      </c>
      <c r="E88" s="47"/>
      <c r="F88" s="47" t="s">
        <v>3603</v>
      </c>
      <c r="G88" s="47" t="s">
        <v>3604</v>
      </c>
      <c r="H88" s="47" t="s">
        <v>3605</v>
      </c>
      <c r="I88" s="47" t="s">
        <v>18323</v>
      </c>
    </row>
    <row r="89" spans="1:9" ht="15">
      <c r="A89" s="47">
        <v>5062</v>
      </c>
      <c r="B89" s="47" t="s">
        <v>3837</v>
      </c>
      <c r="C89" s="47" t="s">
        <v>3838</v>
      </c>
      <c r="D89" s="47" t="s">
        <v>3839</v>
      </c>
      <c r="E89" s="47"/>
      <c r="F89" s="47"/>
      <c r="G89" s="47"/>
      <c r="H89" s="47" t="s">
        <v>3605</v>
      </c>
      <c r="I89" s="47" t="s">
        <v>18324</v>
      </c>
    </row>
    <row r="90" spans="1:9" ht="15">
      <c r="A90" s="47">
        <v>93032</v>
      </c>
      <c r="B90" s="47" t="s">
        <v>3840</v>
      </c>
      <c r="C90" s="47" t="s">
        <v>3841</v>
      </c>
      <c r="D90" s="47" t="s">
        <v>3842</v>
      </c>
      <c r="E90" s="47"/>
      <c r="F90" s="47" t="s">
        <v>3603</v>
      </c>
      <c r="G90" s="47" t="s">
        <v>3604</v>
      </c>
      <c r="H90" s="47" t="s">
        <v>3605</v>
      </c>
      <c r="I90" s="47" t="s">
        <v>18325</v>
      </c>
    </row>
    <row r="91" spans="1:9" ht="15">
      <c r="A91" s="47" t="s">
        <v>3843</v>
      </c>
      <c r="B91" s="47" t="s">
        <v>3844</v>
      </c>
      <c r="C91" s="47" t="s">
        <v>3845</v>
      </c>
      <c r="D91" s="47" t="s">
        <v>3846</v>
      </c>
      <c r="E91" s="47"/>
      <c r="F91" s="47"/>
      <c r="G91" s="47"/>
      <c r="H91" s="47" t="s">
        <v>3605</v>
      </c>
      <c r="I91" s="47" t="s">
        <v>3843</v>
      </c>
    </row>
    <row r="92" spans="1:9" ht="15">
      <c r="A92" s="47">
        <v>113291</v>
      </c>
      <c r="B92" s="47" t="s">
        <v>3847</v>
      </c>
      <c r="C92" s="47" t="s">
        <v>3848</v>
      </c>
      <c r="D92" s="47" t="s">
        <v>3849</v>
      </c>
      <c r="E92" s="47"/>
      <c r="F92" s="47" t="s">
        <v>3603</v>
      </c>
      <c r="G92" s="47" t="s">
        <v>3604</v>
      </c>
      <c r="H92" s="47" t="s">
        <v>3605</v>
      </c>
      <c r="I92" s="47" t="s">
        <v>18326</v>
      </c>
    </row>
    <row r="93" spans="1:9" ht="15">
      <c r="A93" s="47">
        <v>113030</v>
      </c>
      <c r="B93" s="47" t="s">
        <v>3850</v>
      </c>
      <c r="C93" s="47" t="s">
        <v>3851</v>
      </c>
      <c r="D93" s="47" t="s">
        <v>3852</v>
      </c>
      <c r="E93" s="47"/>
      <c r="F93" s="47" t="s">
        <v>3603</v>
      </c>
      <c r="G93" s="47" t="s">
        <v>3604</v>
      </c>
      <c r="H93" s="47" t="s">
        <v>3605</v>
      </c>
      <c r="I93" s="47" t="s">
        <v>18327</v>
      </c>
    </row>
    <row r="94" spans="1:9" ht="15">
      <c r="A94" s="47">
        <v>21101</v>
      </c>
      <c r="B94" s="47" t="s">
        <v>3853</v>
      </c>
      <c r="C94" s="47" t="s">
        <v>3854</v>
      </c>
      <c r="D94" s="47" t="s">
        <v>3855</v>
      </c>
      <c r="E94" s="47"/>
      <c r="F94" s="47" t="s">
        <v>3603</v>
      </c>
      <c r="G94" s="47" t="s">
        <v>3604</v>
      </c>
      <c r="H94" s="47" t="s">
        <v>3605</v>
      </c>
      <c r="I94" s="47" t="s">
        <v>18328</v>
      </c>
    </row>
    <row r="95" spans="1:9" ht="15">
      <c r="A95" s="47">
        <v>5064</v>
      </c>
      <c r="B95" s="47" t="s">
        <v>3856</v>
      </c>
      <c r="C95" s="47" t="s">
        <v>3857</v>
      </c>
      <c r="D95" s="47" t="s">
        <v>3858</v>
      </c>
      <c r="E95" s="47"/>
      <c r="F95" s="47"/>
      <c r="G95" s="47"/>
      <c r="H95" s="47" t="s">
        <v>3605</v>
      </c>
      <c r="I95" s="47" t="s">
        <v>18329</v>
      </c>
    </row>
    <row r="96" spans="1:9" ht="15">
      <c r="A96" s="47">
        <v>10070</v>
      </c>
      <c r="B96" s="47" t="s">
        <v>3859</v>
      </c>
      <c r="C96" s="47" t="s">
        <v>3860</v>
      </c>
      <c r="D96" s="47" t="s">
        <v>3861</v>
      </c>
      <c r="E96" s="47"/>
      <c r="F96" s="47" t="s">
        <v>3603</v>
      </c>
      <c r="G96" s="47" t="s">
        <v>3604</v>
      </c>
      <c r="H96" s="47" t="s">
        <v>3605</v>
      </c>
      <c r="I96" s="47" t="s">
        <v>18330</v>
      </c>
    </row>
    <row r="97" spans="1:9" ht="15">
      <c r="A97" s="47">
        <v>6005</v>
      </c>
      <c r="B97" s="47" t="s">
        <v>3862</v>
      </c>
      <c r="C97" s="47" t="s">
        <v>3863</v>
      </c>
      <c r="D97" s="47" t="s">
        <v>3864</v>
      </c>
      <c r="E97" s="47"/>
      <c r="F97" s="47"/>
      <c r="G97" s="47"/>
      <c r="H97" s="47" t="s">
        <v>3605</v>
      </c>
      <c r="I97" s="47" t="s">
        <v>18331</v>
      </c>
    </row>
    <row r="98" spans="1:9" ht="15">
      <c r="A98" s="47" t="s">
        <v>3865</v>
      </c>
      <c r="B98" s="47" t="s">
        <v>3866</v>
      </c>
      <c r="C98" s="47" t="s">
        <v>3867</v>
      </c>
      <c r="D98" s="47" t="s">
        <v>3868</v>
      </c>
      <c r="E98" s="47"/>
      <c r="F98" s="47"/>
      <c r="G98" s="47"/>
      <c r="H98" s="47" t="s">
        <v>3605</v>
      </c>
      <c r="I98" s="47" t="s">
        <v>3865</v>
      </c>
    </row>
    <row r="99" spans="1:9" ht="15">
      <c r="A99" s="47">
        <v>6015</v>
      </c>
      <c r="B99" s="47" t="s">
        <v>3869</v>
      </c>
      <c r="C99" s="47" t="s">
        <v>3870</v>
      </c>
      <c r="D99" s="47" t="s">
        <v>3871</v>
      </c>
      <c r="E99" s="47"/>
      <c r="F99" s="47"/>
      <c r="G99" s="47"/>
      <c r="H99" s="47" t="s">
        <v>3605</v>
      </c>
      <c r="I99" s="47" t="s">
        <v>18332</v>
      </c>
    </row>
    <row r="100" spans="1:9" ht="15">
      <c r="A100" s="47">
        <v>93709</v>
      </c>
      <c r="B100" s="47" t="s">
        <v>3872</v>
      </c>
      <c r="C100" s="47" t="s">
        <v>3873</v>
      </c>
      <c r="D100" s="47" t="s">
        <v>3874</v>
      </c>
      <c r="E100" s="47"/>
      <c r="F100" s="47"/>
      <c r="G100" s="47"/>
      <c r="H100" s="47" t="s">
        <v>3605</v>
      </c>
      <c r="I100" s="47" t="s">
        <v>18333</v>
      </c>
    </row>
    <row r="101" spans="1:9" ht="15">
      <c r="A101" s="47">
        <v>6051</v>
      </c>
      <c r="B101" s="47" t="s">
        <v>3875</v>
      </c>
      <c r="C101" s="47" t="s">
        <v>3876</v>
      </c>
      <c r="D101" s="47" t="s">
        <v>3877</v>
      </c>
      <c r="E101" s="47"/>
      <c r="F101" s="47"/>
      <c r="G101" s="47"/>
      <c r="H101" s="47" t="s">
        <v>3605</v>
      </c>
      <c r="I101" s="47" t="s">
        <v>18334</v>
      </c>
    </row>
    <row r="102" spans="1:9" ht="15">
      <c r="A102" s="47">
        <v>6053</v>
      </c>
      <c r="B102" s="47" t="s">
        <v>3878</v>
      </c>
      <c r="C102" s="47" t="s">
        <v>3879</v>
      </c>
      <c r="D102" s="47" t="s">
        <v>3880</v>
      </c>
      <c r="E102" s="47"/>
      <c r="F102" s="47"/>
      <c r="G102" s="47"/>
      <c r="H102" s="47" t="s">
        <v>3605</v>
      </c>
      <c r="I102" s="47" t="s">
        <v>18335</v>
      </c>
    </row>
    <row r="103" spans="1:9" ht="15">
      <c r="A103" s="47">
        <v>6054</v>
      </c>
      <c r="B103" s="47" t="s">
        <v>3881</v>
      </c>
      <c r="C103" s="47" t="s">
        <v>3882</v>
      </c>
      <c r="D103" s="47" t="s">
        <v>3883</v>
      </c>
      <c r="E103" s="47"/>
      <c r="F103" s="47"/>
      <c r="G103" s="47"/>
      <c r="H103" s="47" t="s">
        <v>3605</v>
      </c>
      <c r="I103" s="47" t="s">
        <v>18336</v>
      </c>
    </row>
    <row r="104" spans="1:9" ht="15">
      <c r="A104" s="47" t="s">
        <v>3884</v>
      </c>
      <c r="B104" s="47" t="s">
        <v>3885</v>
      </c>
      <c r="C104" s="47" t="s">
        <v>3886</v>
      </c>
      <c r="D104" s="47" t="s">
        <v>708</v>
      </c>
      <c r="E104" s="47"/>
      <c r="F104" s="47"/>
      <c r="G104" s="47"/>
      <c r="H104" s="47" t="s">
        <v>3605</v>
      </c>
      <c r="I104" s="47" t="s">
        <v>3884</v>
      </c>
    </row>
    <row r="105" spans="1:9" ht="15">
      <c r="A105" s="47">
        <v>113010</v>
      </c>
      <c r="B105" s="47" t="s">
        <v>3887</v>
      </c>
      <c r="C105" s="47" t="s">
        <v>3888</v>
      </c>
      <c r="D105" s="47" t="s">
        <v>3889</v>
      </c>
      <c r="E105" s="47"/>
      <c r="F105" s="47" t="s">
        <v>3603</v>
      </c>
      <c r="G105" s="47" t="s">
        <v>3604</v>
      </c>
      <c r="H105" s="47" t="s">
        <v>3605</v>
      </c>
      <c r="I105" s="47" t="s">
        <v>18337</v>
      </c>
    </row>
    <row r="106" spans="1:9" ht="15">
      <c r="A106" s="47">
        <v>113000</v>
      </c>
      <c r="B106" s="47" t="s">
        <v>1978</v>
      </c>
      <c r="C106" s="47" t="s">
        <v>3890</v>
      </c>
      <c r="D106" s="47" t="s">
        <v>3891</v>
      </c>
      <c r="E106" s="47"/>
      <c r="F106" s="47"/>
      <c r="G106" s="47"/>
      <c r="H106" s="47" t="s">
        <v>3605</v>
      </c>
      <c r="I106" s="47" t="s">
        <v>18338</v>
      </c>
    </row>
    <row r="107" spans="1:9" ht="15">
      <c r="A107" s="47">
        <v>113800</v>
      </c>
      <c r="B107" s="47" t="s">
        <v>3892</v>
      </c>
      <c r="C107" s="47" t="s">
        <v>3893</v>
      </c>
      <c r="D107" s="47" t="s">
        <v>3894</v>
      </c>
      <c r="E107" s="47"/>
      <c r="F107" s="47" t="s">
        <v>3603</v>
      </c>
      <c r="G107" s="47" t="s">
        <v>3604</v>
      </c>
      <c r="H107" s="47" t="s">
        <v>3605</v>
      </c>
      <c r="I107" s="47" t="s">
        <v>18339</v>
      </c>
    </row>
    <row r="108" spans="1:9" ht="15">
      <c r="A108" s="47">
        <v>113080</v>
      </c>
      <c r="B108" s="47" t="s">
        <v>3895</v>
      </c>
      <c r="C108" s="47" t="s">
        <v>3896</v>
      </c>
      <c r="D108" s="47" t="s">
        <v>3897</v>
      </c>
      <c r="E108" s="47"/>
      <c r="F108" s="47" t="s">
        <v>3603</v>
      </c>
      <c r="G108" s="47" t="s">
        <v>3604</v>
      </c>
      <c r="H108" s="47" t="s">
        <v>3605</v>
      </c>
      <c r="I108" s="47" t="s">
        <v>18340</v>
      </c>
    </row>
    <row r="109" spans="1:9" ht="15">
      <c r="A109" s="47">
        <v>6151</v>
      </c>
      <c r="B109" s="47" t="s">
        <v>3898</v>
      </c>
      <c r="C109" s="47" t="s">
        <v>3899</v>
      </c>
      <c r="D109" s="47" t="s">
        <v>3900</v>
      </c>
      <c r="E109" s="47"/>
      <c r="F109" s="47"/>
      <c r="G109" s="47"/>
      <c r="H109" s="47" t="s">
        <v>3605</v>
      </c>
      <c r="I109" s="47" t="s">
        <v>18341</v>
      </c>
    </row>
    <row r="110" spans="1:9" ht="15">
      <c r="A110" s="47">
        <v>113600</v>
      </c>
      <c r="B110" s="47" t="s">
        <v>3901</v>
      </c>
      <c r="C110" s="47" t="s">
        <v>3902</v>
      </c>
      <c r="D110" s="47" t="s">
        <v>3903</v>
      </c>
      <c r="E110" s="47"/>
      <c r="F110" s="47" t="s">
        <v>3603</v>
      </c>
      <c r="G110" s="47" t="s">
        <v>3604</v>
      </c>
      <c r="H110" s="47" t="s">
        <v>3605</v>
      </c>
      <c r="I110" s="47" t="s">
        <v>18342</v>
      </c>
    </row>
    <row r="111" spans="1:9" ht="15">
      <c r="A111" s="47">
        <v>113070</v>
      </c>
      <c r="B111" s="47" t="s">
        <v>3904</v>
      </c>
      <c r="C111" s="47" t="s">
        <v>3905</v>
      </c>
      <c r="D111" s="47" t="s">
        <v>3906</v>
      </c>
      <c r="E111" s="47"/>
      <c r="F111" s="47" t="s">
        <v>3603</v>
      </c>
      <c r="G111" s="47" t="s">
        <v>3604</v>
      </c>
      <c r="H111" s="47" t="s">
        <v>3605</v>
      </c>
      <c r="I111" s="47" t="s">
        <v>18343</v>
      </c>
    </row>
    <row r="112" spans="1:9" ht="15">
      <c r="A112" s="47">
        <v>113270</v>
      </c>
      <c r="B112" s="47" t="s">
        <v>2012</v>
      </c>
      <c r="C112" s="47" t="s">
        <v>3907</v>
      </c>
      <c r="D112" s="47" t="s">
        <v>3908</v>
      </c>
      <c r="E112" s="47"/>
      <c r="F112" s="47"/>
      <c r="G112" s="47"/>
      <c r="H112" s="47" t="s">
        <v>3605</v>
      </c>
      <c r="I112" s="47" t="s">
        <v>18344</v>
      </c>
    </row>
    <row r="113" spans="1:9" ht="15">
      <c r="A113" s="47">
        <v>1111000</v>
      </c>
      <c r="B113" s="47" t="s">
        <v>3909</v>
      </c>
      <c r="C113" s="47" t="s">
        <v>3910</v>
      </c>
      <c r="D113" s="47" t="s">
        <v>3911</v>
      </c>
      <c r="E113" s="47"/>
      <c r="F113" s="47" t="s">
        <v>3603</v>
      </c>
      <c r="G113" s="47" t="s">
        <v>3604</v>
      </c>
      <c r="H113" s="47" t="s">
        <v>3605</v>
      </c>
      <c r="I113" s="47" t="s">
        <v>18345</v>
      </c>
    </row>
    <row r="114" spans="1:9" ht="15">
      <c r="A114" s="47">
        <v>1112000</v>
      </c>
      <c r="B114" s="47" t="s">
        <v>3912</v>
      </c>
      <c r="C114" s="47" t="s">
        <v>3913</v>
      </c>
      <c r="D114" s="47" t="s">
        <v>3914</v>
      </c>
      <c r="E114" s="47"/>
      <c r="F114" s="47"/>
      <c r="G114" s="47"/>
      <c r="H114" s="47" t="s">
        <v>3605</v>
      </c>
      <c r="I114" s="47" t="s">
        <v>18346</v>
      </c>
    </row>
    <row r="115" spans="1:9" ht="15">
      <c r="A115" s="47">
        <v>113260</v>
      </c>
      <c r="B115" s="47" t="s">
        <v>2011</v>
      </c>
      <c r="C115" s="47" t="s">
        <v>3915</v>
      </c>
      <c r="D115" s="47" t="s">
        <v>3916</v>
      </c>
      <c r="E115" s="47"/>
      <c r="F115" s="47"/>
      <c r="G115" s="47"/>
      <c r="H115" s="47" t="s">
        <v>3605</v>
      </c>
      <c r="I115" s="47" t="s">
        <v>18347</v>
      </c>
    </row>
    <row r="116" spans="1:9" ht="15">
      <c r="A116" s="47">
        <v>10100</v>
      </c>
      <c r="B116" s="47" t="s">
        <v>3917</v>
      </c>
      <c r="C116" s="47" t="s">
        <v>3918</v>
      </c>
      <c r="D116" s="47" t="s">
        <v>3919</v>
      </c>
      <c r="E116" s="47"/>
      <c r="F116" s="47"/>
      <c r="G116" s="47"/>
      <c r="H116" s="47" t="s">
        <v>3605</v>
      </c>
      <c r="I116" s="47" t="s">
        <v>18348</v>
      </c>
    </row>
    <row r="117" spans="1:9" ht="15">
      <c r="A117" s="47">
        <v>10600</v>
      </c>
      <c r="B117" s="47" t="s">
        <v>3920</v>
      </c>
      <c r="C117" s="47" t="s">
        <v>3921</v>
      </c>
      <c r="D117" s="47" t="s">
        <v>3922</v>
      </c>
      <c r="E117" s="47"/>
      <c r="F117" s="47"/>
      <c r="G117" s="47"/>
      <c r="H117" s="47" t="s">
        <v>3605</v>
      </c>
      <c r="I117" s="47" t="s">
        <v>18349</v>
      </c>
    </row>
    <row r="118" spans="1:9" ht="15">
      <c r="A118" s="47">
        <v>112002</v>
      </c>
      <c r="B118" s="47" t="s">
        <v>3923</v>
      </c>
      <c r="C118" s="47" t="s">
        <v>3924</v>
      </c>
      <c r="D118" s="47" t="s">
        <v>3925</v>
      </c>
      <c r="E118" s="47"/>
      <c r="F118" s="47" t="s">
        <v>3603</v>
      </c>
      <c r="G118" s="47" t="s">
        <v>3604</v>
      </c>
      <c r="H118" s="47" t="s">
        <v>3605</v>
      </c>
      <c r="I118" s="47" t="s">
        <v>18350</v>
      </c>
    </row>
    <row r="119" spans="1:9" ht="15">
      <c r="A119" s="47">
        <v>11983</v>
      </c>
      <c r="B119" s="47" t="s">
        <v>3926</v>
      </c>
      <c r="C119" s="47" t="s">
        <v>3927</v>
      </c>
      <c r="D119" s="47" t="s">
        <v>3928</v>
      </c>
      <c r="E119" s="47"/>
      <c r="F119" s="47"/>
      <c r="G119" s="47"/>
      <c r="H119" s="47" t="s">
        <v>3605</v>
      </c>
      <c r="I119" s="47" t="s">
        <v>18351</v>
      </c>
    </row>
    <row r="120" spans="1:9" ht="15">
      <c r="A120" s="47">
        <v>6573</v>
      </c>
      <c r="B120" s="47" t="s">
        <v>3929</v>
      </c>
      <c r="C120" s="47" t="s">
        <v>3930</v>
      </c>
      <c r="D120" s="47" t="s">
        <v>3931</v>
      </c>
      <c r="E120" s="47"/>
      <c r="F120" s="47" t="s">
        <v>3932</v>
      </c>
      <c r="G120" s="47" t="s">
        <v>3933</v>
      </c>
      <c r="H120" s="47" t="s">
        <v>3605</v>
      </c>
      <c r="I120" s="47" t="s">
        <v>18352</v>
      </c>
    </row>
    <row r="121" spans="1:9" ht="15">
      <c r="A121" s="47">
        <v>113710</v>
      </c>
      <c r="B121" s="47" t="s">
        <v>3934</v>
      </c>
      <c r="C121" s="47" t="s">
        <v>3935</v>
      </c>
      <c r="D121" s="47" t="s">
        <v>3936</v>
      </c>
      <c r="E121" s="47"/>
      <c r="F121" s="47"/>
      <c r="G121" s="47"/>
      <c r="H121" s="47" t="s">
        <v>3605</v>
      </c>
      <c r="I121" s="47" t="s">
        <v>18353</v>
      </c>
    </row>
    <row r="122" spans="1:9" ht="15">
      <c r="A122" s="47">
        <v>113322</v>
      </c>
      <c r="B122" s="47" t="s">
        <v>3937</v>
      </c>
      <c r="C122" s="47" t="s">
        <v>3938</v>
      </c>
      <c r="D122" s="47" t="s">
        <v>3939</v>
      </c>
      <c r="E122" s="47"/>
      <c r="F122" s="47"/>
      <c r="G122" s="47"/>
      <c r="H122" s="47" t="s">
        <v>3605</v>
      </c>
      <c r="I122" s="47" t="s">
        <v>18354</v>
      </c>
    </row>
    <row r="123" spans="1:9" ht="15">
      <c r="A123" s="47">
        <v>113323</v>
      </c>
      <c r="B123" s="47" t="s">
        <v>3940</v>
      </c>
      <c r="C123" s="47" t="s">
        <v>3941</v>
      </c>
      <c r="D123" s="47" t="s">
        <v>3942</v>
      </c>
      <c r="E123" s="47"/>
      <c r="F123" s="47"/>
      <c r="G123" s="47"/>
      <c r="H123" s="47" t="s">
        <v>3605</v>
      </c>
      <c r="I123" s="47" t="s">
        <v>18355</v>
      </c>
    </row>
    <row r="124" spans="1:9" ht="15">
      <c r="A124" s="47">
        <v>113324</v>
      </c>
      <c r="B124" s="47" t="s">
        <v>3943</v>
      </c>
      <c r="C124" s="47" t="s">
        <v>3944</v>
      </c>
      <c r="D124" s="47" t="s">
        <v>3945</v>
      </c>
      <c r="E124" s="47"/>
      <c r="F124" s="47"/>
      <c r="G124" s="47"/>
      <c r="H124" s="47" t="s">
        <v>3605</v>
      </c>
      <c r="I124" s="47" t="s">
        <v>18356</v>
      </c>
    </row>
    <row r="125" spans="1:9" ht="15">
      <c r="A125" s="47">
        <v>6575</v>
      </c>
      <c r="B125" s="47" t="s">
        <v>2380</v>
      </c>
      <c r="C125" s="47" t="s">
        <v>3946</v>
      </c>
      <c r="D125" s="47" t="s">
        <v>3947</v>
      </c>
      <c r="E125" s="47"/>
      <c r="F125" s="47"/>
      <c r="G125" s="47"/>
      <c r="H125" s="47" t="s">
        <v>3605</v>
      </c>
      <c r="I125" s="47" t="s">
        <v>18357</v>
      </c>
    </row>
    <row r="126" spans="1:9" ht="15">
      <c r="A126" s="47">
        <v>7005</v>
      </c>
      <c r="B126" s="47" t="s">
        <v>3948</v>
      </c>
      <c r="C126" s="47" t="s">
        <v>3949</v>
      </c>
      <c r="D126" s="47" t="s">
        <v>3950</v>
      </c>
      <c r="E126" s="47"/>
      <c r="F126" s="47"/>
      <c r="G126" s="47"/>
      <c r="H126" s="47" t="s">
        <v>3605</v>
      </c>
      <c r="I126" s="47" t="s">
        <v>18358</v>
      </c>
    </row>
    <row r="127" spans="1:9" ht="15">
      <c r="A127" s="47">
        <v>99990</v>
      </c>
      <c r="B127" s="47" t="s">
        <v>2509</v>
      </c>
      <c r="C127" s="47" t="s">
        <v>3951</v>
      </c>
      <c r="D127" s="47" t="s">
        <v>3952</v>
      </c>
      <c r="E127" s="47"/>
      <c r="F127" s="47"/>
      <c r="G127" s="47"/>
      <c r="H127" s="47" t="s">
        <v>3605</v>
      </c>
      <c r="I127" s="47" t="s">
        <v>18359</v>
      </c>
    </row>
    <row r="128" spans="1:9" ht="15">
      <c r="A128" s="47" t="s">
        <v>3953</v>
      </c>
      <c r="B128" s="47" t="s">
        <v>3954</v>
      </c>
      <c r="C128" s="47" t="s">
        <v>3955</v>
      </c>
      <c r="D128" s="47" t="s">
        <v>3956</v>
      </c>
      <c r="E128" s="47"/>
      <c r="F128" s="47"/>
      <c r="G128" s="47"/>
      <c r="H128" s="47" t="s">
        <v>3605</v>
      </c>
      <c r="I128" s="47" t="s">
        <v>3953</v>
      </c>
    </row>
    <row r="129" spans="1:9" ht="15">
      <c r="A129" s="47">
        <v>190120</v>
      </c>
      <c r="B129" s="47" t="s">
        <v>3957</v>
      </c>
      <c r="C129" s="47" t="s">
        <v>3958</v>
      </c>
      <c r="D129" s="47" t="s">
        <v>3959</v>
      </c>
      <c r="E129" s="47"/>
      <c r="F129" s="47"/>
      <c r="G129" s="47"/>
      <c r="H129" s="47" t="s">
        <v>3605</v>
      </c>
      <c r="I129" s="47" t="s">
        <v>18360</v>
      </c>
    </row>
    <row r="130" spans="1:9" ht="15">
      <c r="A130" s="47">
        <v>110019</v>
      </c>
      <c r="B130" s="47" t="s">
        <v>3960</v>
      </c>
      <c r="C130" s="47" t="s">
        <v>3961</v>
      </c>
      <c r="D130" s="47" t="s">
        <v>3962</v>
      </c>
      <c r="E130" s="47"/>
      <c r="F130" s="47"/>
      <c r="G130" s="47"/>
      <c r="H130" s="47" t="s">
        <v>3605</v>
      </c>
      <c r="I130" s="47" t="s">
        <v>18361</v>
      </c>
    </row>
    <row r="131" spans="1:9" ht="15">
      <c r="A131" s="47">
        <v>110020</v>
      </c>
      <c r="B131" s="47" t="s">
        <v>3963</v>
      </c>
      <c r="C131" s="47" t="s">
        <v>3964</v>
      </c>
      <c r="D131" s="47" t="s">
        <v>3965</v>
      </c>
      <c r="E131" s="47"/>
      <c r="F131" s="47"/>
      <c r="G131" s="47"/>
      <c r="H131" s="47" t="s">
        <v>3605</v>
      </c>
      <c r="I131" s="47" t="s">
        <v>18362</v>
      </c>
    </row>
    <row r="132" spans="1:9" ht="15">
      <c r="A132" s="47">
        <v>10162</v>
      </c>
      <c r="B132" s="47" t="s">
        <v>3966</v>
      </c>
      <c r="C132" s="47" t="s">
        <v>3967</v>
      </c>
      <c r="D132" s="47" t="s">
        <v>3968</v>
      </c>
      <c r="E132" s="47"/>
      <c r="F132" s="47" t="s">
        <v>3603</v>
      </c>
      <c r="G132" s="47" t="s">
        <v>3604</v>
      </c>
      <c r="H132" s="47" t="s">
        <v>3605</v>
      </c>
      <c r="I132" s="47" t="s">
        <v>18363</v>
      </c>
    </row>
    <row r="133" spans="1:9" ht="15">
      <c r="A133" s="47">
        <v>42373</v>
      </c>
      <c r="B133" s="47" t="s">
        <v>3969</v>
      </c>
      <c r="C133" s="47" t="s">
        <v>3970</v>
      </c>
      <c r="D133" s="47" t="s">
        <v>3971</v>
      </c>
      <c r="E133" s="47"/>
      <c r="F133" s="47" t="s">
        <v>3603</v>
      </c>
      <c r="G133" s="47" t="s">
        <v>3604</v>
      </c>
      <c r="H133" s="47" t="s">
        <v>3605</v>
      </c>
      <c r="I133" s="47" t="s">
        <v>18364</v>
      </c>
    </row>
    <row r="134" spans="1:9" ht="15">
      <c r="A134" s="47">
        <v>7025</v>
      </c>
      <c r="B134" s="47" t="s">
        <v>3972</v>
      </c>
      <c r="C134" s="47" t="s">
        <v>3973</v>
      </c>
      <c r="D134" s="47" t="s">
        <v>3974</v>
      </c>
      <c r="E134" s="47"/>
      <c r="F134" s="47"/>
      <c r="G134" s="47"/>
      <c r="H134" s="47" t="s">
        <v>3605</v>
      </c>
      <c r="I134" s="47" t="s">
        <v>18365</v>
      </c>
    </row>
    <row r="135" spans="1:9" ht="15">
      <c r="A135" s="47">
        <v>7035</v>
      </c>
      <c r="B135" s="47" t="s">
        <v>3975</v>
      </c>
      <c r="C135" s="47" t="s">
        <v>3976</v>
      </c>
      <c r="D135" s="47" t="s">
        <v>3977</v>
      </c>
      <c r="E135" s="47"/>
      <c r="F135" s="47"/>
      <c r="G135" s="47"/>
      <c r="H135" s="47" t="s">
        <v>3605</v>
      </c>
      <c r="I135" s="47" t="s">
        <v>18366</v>
      </c>
    </row>
    <row r="136" spans="1:9" ht="15">
      <c r="A136" s="47">
        <v>113810</v>
      </c>
      <c r="B136" s="47" t="s">
        <v>3978</v>
      </c>
      <c r="C136" s="47" t="s">
        <v>3979</v>
      </c>
      <c r="D136" s="47" t="s">
        <v>3980</v>
      </c>
      <c r="E136" s="47"/>
      <c r="F136" s="47" t="s">
        <v>3603</v>
      </c>
      <c r="G136" s="47" t="s">
        <v>3604</v>
      </c>
      <c r="H136" s="47" t="s">
        <v>3605</v>
      </c>
      <c r="I136" s="47" t="s">
        <v>18367</v>
      </c>
    </row>
    <row r="137" spans="1:9" ht="15">
      <c r="A137" s="47">
        <v>190300</v>
      </c>
      <c r="B137" s="47" t="s">
        <v>3981</v>
      </c>
      <c r="C137" s="47" t="s">
        <v>3982</v>
      </c>
      <c r="D137" s="47" t="s">
        <v>3983</v>
      </c>
      <c r="E137" s="47"/>
      <c r="F137" s="47" t="s">
        <v>3603</v>
      </c>
      <c r="G137" s="47" t="s">
        <v>3604</v>
      </c>
      <c r="H137" s="47" t="s">
        <v>3605</v>
      </c>
      <c r="I137" s="47" t="s">
        <v>18368</v>
      </c>
    </row>
    <row r="138" spans="1:9" ht="15">
      <c r="A138" s="47">
        <v>113830</v>
      </c>
      <c r="B138" s="47" t="s">
        <v>3984</v>
      </c>
      <c r="C138" s="47" t="s">
        <v>3985</v>
      </c>
      <c r="D138" s="47" t="s">
        <v>3986</v>
      </c>
      <c r="E138" s="47"/>
      <c r="F138" s="47" t="s">
        <v>3603</v>
      </c>
      <c r="G138" s="47" t="s">
        <v>3604</v>
      </c>
      <c r="H138" s="47" t="s">
        <v>3605</v>
      </c>
      <c r="I138" s="47" t="s">
        <v>18369</v>
      </c>
    </row>
    <row r="139" spans="1:9" ht="15">
      <c r="A139" s="47">
        <v>7045</v>
      </c>
      <c r="B139" s="47" t="s">
        <v>3987</v>
      </c>
      <c r="C139" s="47" t="s">
        <v>3988</v>
      </c>
      <c r="D139" s="47" t="s">
        <v>3989</v>
      </c>
      <c r="E139" s="47"/>
      <c r="F139" s="47"/>
      <c r="G139" s="47"/>
      <c r="H139" s="47" t="s">
        <v>3605</v>
      </c>
      <c r="I139" s="47" t="s">
        <v>18370</v>
      </c>
    </row>
    <row r="140" spans="1:9" ht="15">
      <c r="A140" s="47">
        <v>113820</v>
      </c>
      <c r="B140" s="47" t="s">
        <v>3990</v>
      </c>
      <c r="C140" s="47" t="s">
        <v>3991</v>
      </c>
      <c r="D140" s="47" t="s">
        <v>3992</v>
      </c>
      <c r="E140" s="47"/>
      <c r="F140" s="47" t="s">
        <v>3603</v>
      </c>
      <c r="G140" s="47" t="s">
        <v>3604</v>
      </c>
      <c r="H140" s="47" t="s">
        <v>3605</v>
      </c>
      <c r="I140" s="47" t="s">
        <v>18371</v>
      </c>
    </row>
    <row r="141" spans="1:9" ht="15">
      <c r="A141" s="47">
        <v>7050</v>
      </c>
      <c r="B141" s="47" t="s">
        <v>3993</v>
      </c>
      <c r="C141" s="47" t="s">
        <v>3994</v>
      </c>
      <c r="D141" s="47" t="s">
        <v>3995</v>
      </c>
      <c r="E141" s="47"/>
      <c r="F141" s="47"/>
      <c r="G141" s="47"/>
      <c r="H141" s="47" t="s">
        <v>3605</v>
      </c>
      <c r="I141" s="47" t="s">
        <v>18372</v>
      </c>
    </row>
    <row r="142" spans="1:9" ht="15">
      <c r="A142" s="47">
        <v>101837</v>
      </c>
      <c r="B142" s="47" t="s">
        <v>3996</v>
      </c>
      <c r="C142" s="47" t="s">
        <v>3997</v>
      </c>
      <c r="D142" s="47" t="s">
        <v>3998</v>
      </c>
      <c r="E142" s="47"/>
      <c r="F142" s="47" t="s">
        <v>3603</v>
      </c>
      <c r="G142" s="47" t="s">
        <v>3604</v>
      </c>
      <c r="H142" s="47" t="s">
        <v>3605</v>
      </c>
      <c r="I142" s="47" t="s">
        <v>18373</v>
      </c>
    </row>
    <row r="143" spans="1:9" ht="15">
      <c r="A143" s="47">
        <v>101839</v>
      </c>
      <c r="B143" s="47" t="s">
        <v>3999</v>
      </c>
      <c r="C143" s="47" t="s">
        <v>4000</v>
      </c>
      <c r="D143" s="47" t="s">
        <v>4001</v>
      </c>
      <c r="E143" s="47"/>
      <c r="F143" s="47" t="s">
        <v>3603</v>
      </c>
      <c r="G143" s="47" t="s">
        <v>3604</v>
      </c>
      <c r="H143" s="47" t="s">
        <v>3605</v>
      </c>
      <c r="I143" s="47" t="s">
        <v>18374</v>
      </c>
    </row>
    <row r="144" spans="1:9" ht="15">
      <c r="A144" s="47">
        <v>101838</v>
      </c>
      <c r="B144" s="47" t="s">
        <v>4002</v>
      </c>
      <c r="C144" s="47" t="s">
        <v>4003</v>
      </c>
      <c r="D144" s="47" t="s">
        <v>4004</v>
      </c>
      <c r="E144" s="47"/>
      <c r="F144" s="47" t="s">
        <v>3603</v>
      </c>
      <c r="G144" s="47" t="s">
        <v>3604</v>
      </c>
      <c r="H144" s="47" t="s">
        <v>3605</v>
      </c>
      <c r="I144" s="47" t="s">
        <v>18375</v>
      </c>
    </row>
    <row r="145" spans="1:9" ht="15">
      <c r="A145" s="47">
        <v>7051</v>
      </c>
      <c r="B145" s="47" t="s">
        <v>4005</v>
      </c>
      <c r="C145" s="47" t="s">
        <v>4006</v>
      </c>
      <c r="D145" s="47" t="s">
        <v>4007</v>
      </c>
      <c r="E145" s="47"/>
      <c r="F145" s="47"/>
      <c r="G145" s="47"/>
      <c r="H145" s="47" t="s">
        <v>3605</v>
      </c>
      <c r="I145" s="47" t="s">
        <v>18376</v>
      </c>
    </row>
    <row r="146" spans="1:9" ht="15">
      <c r="A146" s="47">
        <v>7052</v>
      </c>
      <c r="B146" s="47" t="s">
        <v>4008</v>
      </c>
      <c r="C146" s="47" t="s">
        <v>4009</v>
      </c>
      <c r="D146" s="47" t="s">
        <v>4010</v>
      </c>
      <c r="E146" s="47"/>
      <c r="F146" s="47"/>
      <c r="G146" s="47"/>
      <c r="H146" s="47" t="s">
        <v>3605</v>
      </c>
      <c r="I146" s="47" t="s">
        <v>18377</v>
      </c>
    </row>
    <row r="147" spans="1:9" ht="15">
      <c r="A147" s="47">
        <v>42636</v>
      </c>
      <c r="B147" s="47" t="s">
        <v>4011</v>
      </c>
      <c r="C147" s="47" t="s">
        <v>4012</v>
      </c>
      <c r="D147" s="47" t="s">
        <v>4013</v>
      </c>
      <c r="E147" s="47"/>
      <c r="F147" s="47" t="s">
        <v>3603</v>
      </c>
      <c r="G147" s="47" t="s">
        <v>3604</v>
      </c>
      <c r="H147" s="47" t="s">
        <v>3605</v>
      </c>
      <c r="I147" s="47" t="s">
        <v>18378</v>
      </c>
    </row>
    <row r="148" spans="1:9" ht="15">
      <c r="A148" s="47">
        <v>72004</v>
      </c>
      <c r="B148" s="47" t="s">
        <v>4014</v>
      </c>
      <c r="C148" s="47" t="s">
        <v>4015</v>
      </c>
      <c r="D148" s="47" t="s">
        <v>4016</v>
      </c>
      <c r="E148" s="47"/>
      <c r="F148" s="47" t="s">
        <v>3603</v>
      </c>
      <c r="G148" s="47" t="s">
        <v>3604</v>
      </c>
      <c r="H148" s="47" t="s">
        <v>3605</v>
      </c>
      <c r="I148" s="47" t="s">
        <v>18379</v>
      </c>
    </row>
    <row r="149" spans="1:9" ht="15">
      <c r="A149" s="47">
        <v>7053</v>
      </c>
      <c r="B149" s="47" t="s">
        <v>4017</v>
      </c>
      <c r="C149" s="47" t="s">
        <v>4018</v>
      </c>
      <c r="D149" s="47" t="s">
        <v>4019</v>
      </c>
      <c r="E149" s="47"/>
      <c r="F149" s="47"/>
      <c r="G149" s="47"/>
      <c r="H149" s="47" t="s">
        <v>3605</v>
      </c>
      <c r="I149" s="47" t="s">
        <v>18380</v>
      </c>
    </row>
    <row r="150" spans="1:9" ht="15">
      <c r="A150" s="47">
        <v>10167</v>
      </c>
      <c r="B150" s="47" t="s">
        <v>4020</v>
      </c>
      <c r="C150" s="47" t="s">
        <v>4021</v>
      </c>
      <c r="D150" s="47" t="s">
        <v>4022</v>
      </c>
      <c r="E150" s="47"/>
      <c r="F150" s="47" t="s">
        <v>3603</v>
      </c>
      <c r="G150" s="47" t="s">
        <v>3604</v>
      </c>
      <c r="H150" s="47" t="s">
        <v>3605</v>
      </c>
      <c r="I150" s="47" t="s">
        <v>18381</v>
      </c>
    </row>
    <row r="151" spans="1:9" ht="15">
      <c r="A151" s="47">
        <v>7054</v>
      </c>
      <c r="B151" s="47" t="s">
        <v>4023</v>
      </c>
      <c r="C151" s="47" t="s">
        <v>4024</v>
      </c>
      <c r="D151" s="47" t="s">
        <v>4025</v>
      </c>
      <c r="E151" s="47"/>
      <c r="F151" s="47"/>
      <c r="G151" s="47"/>
      <c r="H151" s="47" t="s">
        <v>3605</v>
      </c>
      <c r="I151" s="47" t="s">
        <v>18382</v>
      </c>
    </row>
    <row r="152" spans="1:9" ht="15">
      <c r="A152" s="47">
        <v>7055</v>
      </c>
      <c r="B152" s="47" t="s">
        <v>4026</v>
      </c>
      <c r="C152" s="47" t="s">
        <v>4027</v>
      </c>
      <c r="D152" s="47" t="s">
        <v>4028</v>
      </c>
      <c r="E152" s="47"/>
      <c r="F152" s="47"/>
      <c r="G152" s="47"/>
      <c r="H152" s="47" t="s">
        <v>3605</v>
      </c>
      <c r="I152" s="47" t="s">
        <v>18383</v>
      </c>
    </row>
    <row r="153" spans="1:9" ht="15">
      <c r="A153" s="47">
        <v>10809</v>
      </c>
      <c r="B153" s="47" t="s">
        <v>4029</v>
      </c>
      <c r="C153" s="47" t="s">
        <v>4030</v>
      </c>
      <c r="D153" s="47" t="s">
        <v>4031</v>
      </c>
      <c r="E153" s="47"/>
      <c r="F153" s="47" t="s">
        <v>3603</v>
      </c>
      <c r="G153" s="47" t="s">
        <v>3604</v>
      </c>
      <c r="H153" s="47" t="s">
        <v>3605</v>
      </c>
      <c r="I153" s="47" t="s">
        <v>18384</v>
      </c>
    </row>
    <row r="154" spans="1:9" ht="15">
      <c r="A154" s="47">
        <v>7056</v>
      </c>
      <c r="B154" s="47" t="s">
        <v>4032</v>
      </c>
      <c r="C154" s="47" t="s">
        <v>4033</v>
      </c>
      <c r="D154" s="47" t="s">
        <v>4034</v>
      </c>
      <c r="E154" s="47"/>
      <c r="F154" s="47"/>
      <c r="G154" s="47"/>
      <c r="H154" s="47" t="s">
        <v>3605</v>
      </c>
      <c r="I154" s="47" t="s">
        <v>18385</v>
      </c>
    </row>
    <row r="155" spans="1:9" ht="15">
      <c r="A155" s="47">
        <v>10164</v>
      </c>
      <c r="B155" s="47" t="s">
        <v>4035</v>
      </c>
      <c r="C155" s="47" t="s">
        <v>4036</v>
      </c>
      <c r="D155" s="47" t="s">
        <v>4037</v>
      </c>
      <c r="E155" s="47"/>
      <c r="F155" s="47" t="s">
        <v>3603</v>
      </c>
      <c r="G155" s="47" t="s">
        <v>3604</v>
      </c>
      <c r="H155" s="47" t="s">
        <v>3605</v>
      </c>
      <c r="I155" s="47" t="s">
        <v>18386</v>
      </c>
    </row>
    <row r="156" spans="1:9" ht="15">
      <c r="A156" s="47">
        <v>72839</v>
      </c>
      <c r="B156" s="47" t="s">
        <v>4038</v>
      </c>
      <c r="C156" s="47" t="s">
        <v>4039</v>
      </c>
      <c r="D156" s="47" t="s">
        <v>4040</v>
      </c>
      <c r="E156" s="47"/>
      <c r="F156" s="47" t="s">
        <v>3603</v>
      </c>
      <c r="G156" s="47" t="s">
        <v>3604</v>
      </c>
      <c r="H156" s="47" t="s">
        <v>3605</v>
      </c>
      <c r="I156" s="47" t="s">
        <v>18387</v>
      </c>
    </row>
    <row r="157" spans="1:9" ht="15">
      <c r="A157" s="47">
        <v>7057</v>
      </c>
      <c r="B157" s="47" t="s">
        <v>4041</v>
      </c>
      <c r="C157" s="47" t="s">
        <v>4042</v>
      </c>
      <c r="D157" s="47" t="s">
        <v>4043</v>
      </c>
      <c r="E157" s="47"/>
      <c r="F157" s="47"/>
      <c r="G157" s="47"/>
      <c r="H157" s="47" t="s">
        <v>3605</v>
      </c>
      <c r="I157" s="47" t="s">
        <v>18388</v>
      </c>
    </row>
    <row r="158" spans="1:9" ht="15">
      <c r="A158" s="47">
        <v>113200</v>
      </c>
      <c r="B158" s="47" t="s">
        <v>2018</v>
      </c>
      <c r="C158" s="47" t="s">
        <v>4044</v>
      </c>
      <c r="D158" s="47" t="s">
        <v>4045</v>
      </c>
      <c r="E158" s="47"/>
      <c r="F158" s="47"/>
      <c r="G158" s="47"/>
      <c r="H158" s="47" t="s">
        <v>3605</v>
      </c>
      <c r="I158" s="47" t="s">
        <v>18389</v>
      </c>
    </row>
    <row r="159" spans="1:9" ht="15">
      <c r="A159" s="47">
        <v>113032</v>
      </c>
      <c r="B159" s="47" t="s">
        <v>4046</v>
      </c>
      <c r="C159" s="47" t="s">
        <v>4047</v>
      </c>
      <c r="D159" s="47" t="s">
        <v>4048</v>
      </c>
      <c r="E159" s="47"/>
      <c r="F159" s="47" t="s">
        <v>3603</v>
      </c>
      <c r="G159" s="47" t="s">
        <v>3604</v>
      </c>
      <c r="H159" s="47" t="s">
        <v>3605</v>
      </c>
      <c r="I159" s="47" t="s">
        <v>18390</v>
      </c>
    </row>
    <row r="160" spans="1:9" ht="15">
      <c r="A160" s="47">
        <v>113601</v>
      </c>
      <c r="B160" s="47" t="s">
        <v>4049</v>
      </c>
      <c r="C160" s="47" t="s">
        <v>4050</v>
      </c>
      <c r="D160" s="47" t="s">
        <v>4051</v>
      </c>
      <c r="E160" s="47"/>
      <c r="F160" s="47" t="s">
        <v>3603</v>
      </c>
      <c r="G160" s="47" t="s">
        <v>3604</v>
      </c>
      <c r="H160" s="47" t="s">
        <v>3605</v>
      </c>
      <c r="I160" s="47" t="s">
        <v>18391</v>
      </c>
    </row>
    <row r="161" spans="1:9" ht="15">
      <c r="A161" s="47">
        <v>113602</v>
      </c>
      <c r="B161" s="47" t="s">
        <v>4052</v>
      </c>
      <c r="C161" s="47" t="s">
        <v>4053</v>
      </c>
      <c r="D161" s="47" t="s">
        <v>4054</v>
      </c>
      <c r="E161" s="47"/>
      <c r="F161" s="47" t="s">
        <v>3603</v>
      </c>
      <c r="G161" s="47" t="s">
        <v>3604</v>
      </c>
      <c r="H161" s="47" t="s">
        <v>3605</v>
      </c>
      <c r="I161" s="47" t="s">
        <v>18392</v>
      </c>
    </row>
    <row r="162" spans="1:9" ht="15">
      <c r="A162" s="47">
        <v>113604</v>
      </c>
      <c r="B162" s="47" t="s">
        <v>4055</v>
      </c>
      <c r="C162" s="47" t="s">
        <v>4056</v>
      </c>
      <c r="D162" s="47" t="s">
        <v>4057</v>
      </c>
      <c r="E162" s="47"/>
      <c r="F162" s="47" t="s">
        <v>3603</v>
      </c>
      <c r="G162" s="47" t="s">
        <v>3604</v>
      </c>
      <c r="H162" s="47" t="s">
        <v>3605</v>
      </c>
      <c r="I162" s="47" t="s">
        <v>18393</v>
      </c>
    </row>
    <row r="163" spans="1:9" ht="15">
      <c r="A163" s="47">
        <v>7058</v>
      </c>
      <c r="B163" s="47" t="s">
        <v>4058</v>
      </c>
      <c r="C163" s="47" t="s">
        <v>4059</v>
      </c>
      <c r="D163" s="47" t="s">
        <v>4060</v>
      </c>
      <c r="E163" s="47"/>
      <c r="F163" s="47"/>
      <c r="G163" s="47"/>
      <c r="H163" s="47" t="s">
        <v>3605</v>
      </c>
      <c r="I163" s="47" t="s">
        <v>18394</v>
      </c>
    </row>
    <row r="164" spans="1:9" ht="15">
      <c r="A164" s="47" t="s">
        <v>4061</v>
      </c>
      <c r="B164" s="47" t="s">
        <v>4062</v>
      </c>
      <c r="C164" s="47" t="s">
        <v>4063</v>
      </c>
      <c r="D164" s="47" t="s">
        <v>4064</v>
      </c>
      <c r="E164" s="47"/>
      <c r="F164" s="47"/>
      <c r="G164" s="47"/>
      <c r="H164" s="47" t="s">
        <v>3605</v>
      </c>
      <c r="I164" s="47" t="s">
        <v>4061</v>
      </c>
    </row>
    <row r="165" spans="1:9" ht="15">
      <c r="A165" s="47">
        <v>113607</v>
      </c>
      <c r="B165" s="47" t="s">
        <v>4065</v>
      </c>
      <c r="C165" s="47" t="s">
        <v>4066</v>
      </c>
      <c r="D165" s="47" t="s">
        <v>4067</v>
      </c>
      <c r="E165" s="47"/>
      <c r="F165" s="47" t="s">
        <v>3603</v>
      </c>
      <c r="G165" s="47" t="s">
        <v>3604</v>
      </c>
      <c r="H165" s="47" t="s">
        <v>3605</v>
      </c>
      <c r="I165" s="47" t="s">
        <v>18395</v>
      </c>
    </row>
    <row r="166" spans="1:9" ht="15">
      <c r="A166" s="47" t="s">
        <v>4068</v>
      </c>
      <c r="B166" s="47" t="s">
        <v>4069</v>
      </c>
      <c r="C166" s="47" t="s">
        <v>4070</v>
      </c>
      <c r="D166" s="47" t="s">
        <v>4071</v>
      </c>
      <c r="E166" s="47"/>
      <c r="F166" s="47"/>
      <c r="G166" s="47"/>
      <c r="H166" s="47" t="s">
        <v>3605</v>
      </c>
      <c r="I166" s="47" t="s">
        <v>4068</v>
      </c>
    </row>
    <row r="167" spans="1:9" ht="15">
      <c r="A167" s="47">
        <v>113001</v>
      </c>
      <c r="B167" s="47" t="s">
        <v>4072</v>
      </c>
      <c r="C167" s="47" t="s">
        <v>4073</v>
      </c>
      <c r="D167" s="47" t="s">
        <v>4074</v>
      </c>
      <c r="E167" s="47"/>
      <c r="F167" s="47" t="s">
        <v>3603</v>
      </c>
      <c r="G167" s="47" t="s">
        <v>3604</v>
      </c>
      <c r="H167" s="47" t="s">
        <v>3605</v>
      </c>
      <c r="I167" s="47" t="s">
        <v>18396</v>
      </c>
    </row>
    <row r="168" spans="1:9" ht="15">
      <c r="A168" s="47">
        <v>7059</v>
      </c>
      <c r="B168" s="47" t="s">
        <v>4075</v>
      </c>
      <c r="C168" s="47" t="s">
        <v>4076</v>
      </c>
      <c r="D168" s="47" t="s">
        <v>4077</v>
      </c>
      <c r="E168" s="47"/>
      <c r="F168" s="47"/>
      <c r="G168" s="47"/>
      <c r="H168" s="47" t="s">
        <v>3605</v>
      </c>
      <c r="I168" s="47" t="s">
        <v>18397</v>
      </c>
    </row>
    <row r="169" spans="1:9" ht="15">
      <c r="A169" s="47">
        <v>121010</v>
      </c>
      <c r="B169" s="47" t="s">
        <v>4078</v>
      </c>
      <c r="C169" s="47" t="s">
        <v>4079</v>
      </c>
      <c r="D169" s="47" t="s">
        <v>4080</v>
      </c>
      <c r="E169" s="47"/>
      <c r="F169" s="47" t="s">
        <v>3603</v>
      </c>
      <c r="G169" s="47" t="s">
        <v>3604</v>
      </c>
      <c r="H169" s="47" t="s">
        <v>3605</v>
      </c>
      <c r="I169" s="47" t="s">
        <v>18398</v>
      </c>
    </row>
    <row r="170" spans="1:9" ht="15">
      <c r="A170" s="47">
        <v>121020</v>
      </c>
      <c r="B170" s="47" t="s">
        <v>4081</v>
      </c>
      <c r="C170" s="47" t="s">
        <v>4082</v>
      </c>
      <c r="D170" s="47" t="s">
        <v>4083</v>
      </c>
      <c r="E170" s="47"/>
      <c r="F170" s="47" t="s">
        <v>3603</v>
      </c>
      <c r="G170" s="47" t="s">
        <v>3604</v>
      </c>
      <c r="H170" s="47" t="s">
        <v>3605</v>
      </c>
      <c r="I170" s="47" t="s">
        <v>18399</v>
      </c>
    </row>
    <row r="171" spans="1:9" ht="15">
      <c r="A171" s="47">
        <v>121030</v>
      </c>
      <c r="B171" s="47" t="s">
        <v>4084</v>
      </c>
      <c r="C171" s="47" t="s">
        <v>4085</v>
      </c>
      <c r="D171" s="47" t="s">
        <v>4086</v>
      </c>
      <c r="E171" s="47"/>
      <c r="F171" s="47" t="s">
        <v>3603</v>
      </c>
      <c r="G171" s="47" t="s">
        <v>3604</v>
      </c>
      <c r="H171" s="47" t="s">
        <v>3605</v>
      </c>
      <c r="I171" s="47" t="s">
        <v>18400</v>
      </c>
    </row>
    <row r="172" spans="1:9" ht="15">
      <c r="A172" s="47">
        <v>190020</v>
      </c>
      <c r="B172" s="47" t="s">
        <v>2026</v>
      </c>
      <c r="C172" s="47" t="s">
        <v>4087</v>
      </c>
      <c r="D172" s="47" t="s">
        <v>4088</v>
      </c>
      <c r="E172" s="47"/>
      <c r="F172" s="47"/>
      <c r="G172" s="47"/>
      <c r="H172" s="47" t="s">
        <v>3605</v>
      </c>
      <c r="I172" s="47" t="s">
        <v>18401</v>
      </c>
    </row>
    <row r="173" spans="1:9" ht="15">
      <c r="A173" s="47">
        <v>190110</v>
      </c>
      <c r="B173" s="47" t="s">
        <v>4089</v>
      </c>
      <c r="C173" s="47" t="s">
        <v>4090</v>
      </c>
      <c r="D173" s="47" t="s">
        <v>4091</v>
      </c>
      <c r="E173" s="47"/>
      <c r="F173" s="47" t="s">
        <v>3603</v>
      </c>
      <c r="G173" s="47" t="s">
        <v>3604</v>
      </c>
      <c r="H173" s="47" t="s">
        <v>3605</v>
      </c>
      <c r="I173" s="47" t="s">
        <v>18402</v>
      </c>
    </row>
    <row r="174" spans="1:9" ht="15">
      <c r="A174" s="47">
        <v>190200</v>
      </c>
      <c r="B174" s="47" t="s">
        <v>2027</v>
      </c>
      <c r="C174" s="47" t="s">
        <v>4092</v>
      </c>
      <c r="D174" s="47" t="s">
        <v>4093</v>
      </c>
      <c r="E174" s="47"/>
      <c r="F174" s="47"/>
      <c r="G174" s="47"/>
      <c r="H174" s="47" t="s">
        <v>3605</v>
      </c>
      <c r="I174" s="47" t="s">
        <v>18403</v>
      </c>
    </row>
    <row r="175" spans="1:9" ht="15">
      <c r="A175" s="47">
        <v>190400</v>
      </c>
      <c r="B175" s="47" t="s">
        <v>2025</v>
      </c>
      <c r="C175" s="47" t="s">
        <v>4094</v>
      </c>
      <c r="D175" s="47" t="s">
        <v>4095</v>
      </c>
      <c r="E175" s="47"/>
      <c r="F175" s="47"/>
      <c r="G175" s="47"/>
      <c r="H175" s="47" t="s">
        <v>3605</v>
      </c>
      <c r="I175" s="47" t="s">
        <v>18404</v>
      </c>
    </row>
    <row r="176" spans="1:9" ht="15">
      <c r="A176" s="47" t="s">
        <v>4096</v>
      </c>
      <c r="B176" s="47" t="s">
        <v>4097</v>
      </c>
      <c r="C176" s="47" t="s">
        <v>4098</v>
      </c>
      <c r="D176" s="47" t="s">
        <v>4099</v>
      </c>
      <c r="E176" s="47"/>
      <c r="F176" s="47"/>
      <c r="G176" s="47"/>
      <c r="H176" s="47" t="s">
        <v>3605</v>
      </c>
      <c r="I176" s="47" t="s">
        <v>4096</v>
      </c>
    </row>
    <row r="177" spans="1:9" ht="15">
      <c r="A177" s="47">
        <v>7075</v>
      </c>
      <c r="B177" s="47" t="s">
        <v>4100</v>
      </c>
      <c r="C177" s="47" t="s">
        <v>4101</v>
      </c>
      <c r="D177" s="47" t="s">
        <v>4102</v>
      </c>
      <c r="E177" s="47"/>
      <c r="F177" s="47"/>
      <c r="G177" s="47"/>
      <c r="H177" s="47" t="s">
        <v>3605</v>
      </c>
      <c r="I177" s="47" t="s">
        <v>18405</v>
      </c>
    </row>
    <row r="178" spans="1:9" ht="15">
      <c r="A178" s="47">
        <v>7085</v>
      </c>
      <c r="B178" s="47" t="s">
        <v>4103</v>
      </c>
      <c r="C178" s="47" t="s">
        <v>4104</v>
      </c>
      <c r="D178" s="47" t="s">
        <v>4105</v>
      </c>
      <c r="E178" s="47"/>
      <c r="F178" s="47"/>
      <c r="G178" s="47"/>
      <c r="H178" s="47" t="s">
        <v>3605</v>
      </c>
      <c r="I178" s="47" t="s">
        <v>18406</v>
      </c>
    </row>
    <row r="179" spans="1:9" ht="15">
      <c r="A179" s="47">
        <v>7095</v>
      </c>
      <c r="B179" s="47" t="s">
        <v>4106</v>
      </c>
      <c r="C179" s="47" t="s">
        <v>4107</v>
      </c>
      <c r="D179" s="47" t="s">
        <v>4108</v>
      </c>
      <c r="E179" s="47"/>
      <c r="F179" s="47"/>
      <c r="G179" s="47"/>
      <c r="H179" s="47" t="s">
        <v>3605</v>
      </c>
      <c r="I179" s="47" t="s">
        <v>18407</v>
      </c>
    </row>
    <row r="180" spans="1:9" ht="15">
      <c r="A180" s="47" t="s">
        <v>4109</v>
      </c>
      <c r="B180" s="47" t="s">
        <v>4110</v>
      </c>
      <c r="C180" s="47" t="s">
        <v>4111</v>
      </c>
      <c r="D180" s="47" t="s">
        <v>4112</v>
      </c>
      <c r="E180" s="47"/>
      <c r="F180" s="47"/>
      <c r="G180" s="47"/>
      <c r="H180" s="47" t="s">
        <v>3605</v>
      </c>
      <c r="I180" s="47" t="s">
        <v>4109</v>
      </c>
    </row>
    <row r="181" spans="1:9" ht="15">
      <c r="A181" s="47">
        <v>7145</v>
      </c>
      <c r="B181" s="47" t="s">
        <v>4113</v>
      </c>
      <c r="C181" s="47" t="s">
        <v>4114</v>
      </c>
      <c r="D181" s="47" t="s">
        <v>4115</v>
      </c>
      <c r="E181" s="47"/>
      <c r="F181" s="47"/>
      <c r="G181" s="47"/>
      <c r="H181" s="47" t="s">
        <v>3605</v>
      </c>
      <c r="I181" s="47" t="s">
        <v>18408</v>
      </c>
    </row>
    <row r="182" spans="1:9" ht="15">
      <c r="A182" s="47">
        <v>7150</v>
      </c>
      <c r="B182" s="47" t="s">
        <v>4116</v>
      </c>
      <c r="C182" s="47" t="s">
        <v>4117</v>
      </c>
      <c r="D182" s="47" t="s">
        <v>4118</v>
      </c>
      <c r="E182" s="47"/>
      <c r="F182" s="47"/>
      <c r="G182" s="47"/>
      <c r="H182" s="47" t="s">
        <v>3605</v>
      </c>
      <c r="I182" s="47" t="s">
        <v>18409</v>
      </c>
    </row>
    <row r="183" spans="1:9" ht="15">
      <c r="A183" s="47">
        <v>7151</v>
      </c>
      <c r="B183" s="47" t="s">
        <v>4119</v>
      </c>
      <c r="C183" s="47" t="s">
        <v>4120</v>
      </c>
      <c r="D183" s="47" t="s">
        <v>4121</v>
      </c>
      <c r="E183" s="47"/>
      <c r="F183" s="47"/>
      <c r="G183" s="47"/>
      <c r="H183" s="47" t="s">
        <v>3605</v>
      </c>
      <c r="I183" s="47" t="s">
        <v>18410</v>
      </c>
    </row>
    <row r="184" spans="1:9" ht="15">
      <c r="A184" s="47" t="s">
        <v>4122</v>
      </c>
      <c r="B184" s="47" t="s">
        <v>4123</v>
      </c>
      <c r="C184" s="47" t="s">
        <v>4124</v>
      </c>
      <c r="D184" s="47" t="s">
        <v>4125</v>
      </c>
      <c r="E184" s="47"/>
      <c r="F184" s="47"/>
      <c r="G184" s="47"/>
      <c r="H184" s="47" t="s">
        <v>3605</v>
      </c>
      <c r="I184" s="47" t="s">
        <v>4122</v>
      </c>
    </row>
    <row r="185" spans="1:9" ht="15">
      <c r="A185" s="47">
        <v>7152</v>
      </c>
      <c r="B185" s="47" t="s">
        <v>4126</v>
      </c>
      <c r="C185" s="47" t="s">
        <v>4127</v>
      </c>
      <c r="D185" s="47" t="s">
        <v>4128</v>
      </c>
      <c r="E185" s="47"/>
      <c r="F185" s="47"/>
      <c r="G185" s="47"/>
      <c r="H185" s="47" t="s">
        <v>3605</v>
      </c>
      <c r="I185" s="47" t="s">
        <v>18411</v>
      </c>
    </row>
    <row r="186" spans="1:9" ht="15">
      <c r="A186" s="47" t="s">
        <v>4129</v>
      </c>
      <c r="B186" s="47" t="s">
        <v>4130</v>
      </c>
      <c r="C186" s="47" t="s">
        <v>4131</v>
      </c>
      <c r="D186" s="47" t="s">
        <v>4132</v>
      </c>
      <c r="E186" s="47"/>
      <c r="F186" s="47"/>
      <c r="G186" s="47"/>
      <c r="H186" s="47" t="s">
        <v>3605</v>
      </c>
      <c r="I186" s="47" t="s">
        <v>4129</v>
      </c>
    </row>
    <row r="187" spans="1:9" ht="15">
      <c r="A187" s="47">
        <v>7215</v>
      </c>
      <c r="B187" s="47" t="s">
        <v>4133</v>
      </c>
      <c r="C187" s="47" t="s">
        <v>4134</v>
      </c>
      <c r="D187" s="47" t="s">
        <v>4135</v>
      </c>
      <c r="E187" s="47"/>
      <c r="F187" s="47"/>
      <c r="G187" s="47"/>
      <c r="H187" s="47" t="s">
        <v>3605</v>
      </c>
      <c r="I187" s="47" t="s">
        <v>18412</v>
      </c>
    </row>
    <row r="188" spans="1:9" ht="15">
      <c r="A188" s="47" t="s">
        <v>4136</v>
      </c>
      <c r="B188" s="47" t="s">
        <v>4137</v>
      </c>
      <c r="C188" s="47" t="s">
        <v>4138</v>
      </c>
      <c r="D188" s="47" t="s">
        <v>4139</v>
      </c>
      <c r="E188" s="47"/>
      <c r="F188" s="47"/>
      <c r="G188" s="47"/>
      <c r="H188" s="47" t="s">
        <v>3605</v>
      </c>
      <c r="I188" s="47" t="s">
        <v>4136</v>
      </c>
    </row>
    <row r="189" spans="1:9" ht="15">
      <c r="A189" s="47" t="s">
        <v>4140</v>
      </c>
      <c r="B189" s="47" t="s">
        <v>4141</v>
      </c>
      <c r="C189" s="47" t="s">
        <v>4142</v>
      </c>
      <c r="D189" s="47" t="s">
        <v>4143</v>
      </c>
      <c r="E189" s="47"/>
      <c r="F189" s="47"/>
      <c r="G189" s="47"/>
      <c r="H189" s="47" t="s">
        <v>3605</v>
      </c>
      <c r="I189" s="47" t="s">
        <v>4140</v>
      </c>
    </row>
    <row r="190" spans="1:9" ht="15">
      <c r="A190" s="47" t="s">
        <v>4144</v>
      </c>
      <c r="B190" s="47" t="s">
        <v>4145</v>
      </c>
      <c r="C190" s="47" t="s">
        <v>4146</v>
      </c>
      <c r="D190" s="47" t="s">
        <v>4147</v>
      </c>
      <c r="E190" s="47"/>
      <c r="F190" s="47"/>
      <c r="G190" s="47"/>
      <c r="H190" s="47" t="s">
        <v>3605</v>
      </c>
      <c r="I190" s="47" t="s">
        <v>4144</v>
      </c>
    </row>
    <row r="191" spans="1:9" ht="15">
      <c r="A191" s="47" t="s">
        <v>4148</v>
      </c>
      <c r="B191" s="47" t="s">
        <v>4149</v>
      </c>
      <c r="C191" s="47" t="s">
        <v>4150</v>
      </c>
      <c r="D191" s="47" t="s">
        <v>4151</v>
      </c>
      <c r="E191" s="47"/>
      <c r="F191" s="47"/>
      <c r="G191" s="47"/>
      <c r="H191" s="47" t="s">
        <v>3605</v>
      </c>
      <c r="I191" s="47" t="s">
        <v>4148</v>
      </c>
    </row>
    <row r="192" spans="1:9" ht="15">
      <c r="A192" s="47" t="s">
        <v>4152</v>
      </c>
      <c r="B192" s="47" t="s">
        <v>4153</v>
      </c>
      <c r="C192" s="47" t="s">
        <v>4154</v>
      </c>
      <c r="D192" s="47" t="s">
        <v>4155</v>
      </c>
      <c r="E192" s="47"/>
      <c r="F192" s="47"/>
      <c r="G192" s="47"/>
      <c r="H192" s="47" t="s">
        <v>3605</v>
      </c>
      <c r="I192" s="47" t="s">
        <v>4152</v>
      </c>
    </row>
    <row r="193" spans="1:9" ht="15">
      <c r="A193" s="47">
        <v>7441</v>
      </c>
      <c r="B193" s="47" t="s">
        <v>4156</v>
      </c>
      <c r="C193" s="47" t="s">
        <v>4157</v>
      </c>
      <c r="D193" s="47" t="s">
        <v>4158</v>
      </c>
      <c r="E193" s="47"/>
      <c r="F193" s="47"/>
      <c r="G193" s="47"/>
      <c r="H193" s="47" t="s">
        <v>3605</v>
      </c>
      <c r="I193" s="47" t="s">
        <v>18413</v>
      </c>
    </row>
    <row r="194" spans="1:9" ht="15">
      <c r="A194" s="47">
        <v>7225</v>
      </c>
      <c r="B194" s="47" t="s">
        <v>4159</v>
      </c>
      <c r="C194" s="47" t="s">
        <v>4160</v>
      </c>
      <c r="D194" s="47" t="s">
        <v>4161</v>
      </c>
      <c r="E194" s="47"/>
      <c r="F194" s="47"/>
      <c r="G194" s="47"/>
      <c r="H194" s="47" t="s">
        <v>3605</v>
      </c>
      <c r="I194" s="47" t="s">
        <v>18414</v>
      </c>
    </row>
    <row r="195" spans="1:9" ht="15">
      <c r="A195" s="47">
        <v>7235</v>
      </c>
      <c r="B195" s="47" t="s">
        <v>4162</v>
      </c>
      <c r="C195" s="47" t="s">
        <v>4163</v>
      </c>
      <c r="D195" s="47" t="s">
        <v>4164</v>
      </c>
      <c r="E195" s="47"/>
      <c r="F195" s="47"/>
      <c r="G195" s="47"/>
      <c r="H195" s="47" t="s">
        <v>3605</v>
      </c>
      <c r="I195" s="47" t="s">
        <v>18415</v>
      </c>
    </row>
    <row r="196" spans="1:9" ht="15">
      <c r="A196" s="47" t="s">
        <v>4165</v>
      </c>
      <c r="B196" s="47" t="s">
        <v>4166</v>
      </c>
      <c r="C196" s="47" t="s">
        <v>4167</v>
      </c>
      <c r="D196" s="47" t="s">
        <v>4168</v>
      </c>
      <c r="E196" s="47"/>
      <c r="F196" s="47"/>
      <c r="G196" s="47"/>
      <c r="H196" s="47" t="s">
        <v>3605</v>
      </c>
      <c r="I196" s="47" t="s">
        <v>4165</v>
      </c>
    </row>
    <row r="197" spans="1:9" ht="15">
      <c r="A197" s="47" t="s">
        <v>4169</v>
      </c>
      <c r="B197" s="47" t="s">
        <v>4170</v>
      </c>
      <c r="C197" s="47" t="s">
        <v>4171</v>
      </c>
      <c r="D197" s="47" t="s">
        <v>4172</v>
      </c>
      <c r="E197" s="47"/>
      <c r="F197" s="47"/>
      <c r="G197" s="47"/>
      <c r="H197" s="47" t="s">
        <v>3605</v>
      </c>
      <c r="I197" s="47" t="s">
        <v>4169</v>
      </c>
    </row>
    <row r="198" spans="1:9" ht="15">
      <c r="A198" s="47">
        <v>7245</v>
      </c>
      <c r="B198" s="47" t="s">
        <v>4173</v>
      </c>
      <c r="C198" s="47" t="s">
        <v>4174</v>
      </c>
      <c r="D198" s="47" t="s">
        <v>4175</v>
      </c>
      <c r="E198" s="47"/>
      <c r="F198" s="47"/>
      <c r="G198" s="47"/>
      <c r="H198" s="47" t="s">
        <v>3605</v>
      </c>
      <c r="I198" s="47" t="s">
        <v>18416</v>
      </c>
    </row>
    <row r="199" spans="1:9" ht="15">
      <c r="A199" s="47" t="s">
        <v>4176</v>
      </c>
      <c r="B199" s="47" t="s">
        <v>4177</v>
      </c>
      <c r="C199" s="47" t="s">
        <v>4178</v>
      </c>
      <c r="D199" s="47" t="s">
        <v>4179</v>
      </c>
      <c r="E199" s="47"/>
      <c r="F199" s="47"/>
      <c r="G199" s="47"/>
      <c r="H199" s="47" t="s">
        <v>3605</v>
      </c>
      <c r="I199" s="47" t="s">
        <v>4176</v>
      </c>
    </row>
    <row r="200" spans="1:9" ht="15">
      <c r="A200" s="47" t="s">
        <v>4180</v>
      </c>
      <c r="B200" s="47" t="s">
        <v>4181</v>
      </c>
      <c r="C200" s="47" t="s">
        <v>4182</v>
      </c>
      <c r="D200" s="47" t="s">
        <v>4183</v>
      </c>
      <c r="E200" s="47"/>
      <c r="F200" s="47"/>
      <c r="G200" s="47"/>
      <c r="H200" s="47" t="s">
        <v>3605</v>
      </c>
      <c r="I200" s="47" t="s">
        <v>4180</v>
      </c>
    </row>
    <row r="201" spans="1:9" ht="15">
      <c r="A201" s="47" t="s">
        <v>4184</v>
      </c>
      <c r="B201" s="47" t="s">
        <v>4185</v>
      </c>
      <c r="C201" s="47" t="s">
        <v>4186</v>
      </c>
      <c r="D201" s="47" t="s">
        <v>4187</v>
      </c>
      <c r="E201" s="47"/>
      <c r="F201" s="47"/>
      <c r="G201" s="47"/>
      <c r="H201" s="47" t="s">
        <v>3605</v>
      </c>
      <c r="I201" s="47" t="s">
        <v>4184</v>
      </c>
    </row>
    <row r="202" spans="1:9" ht="15">
      <c r="A202" s="47" t="s">
        <v>4188</v>
      </c>
      <c r="B202" s="47" t="s">
        <v>4189</v>
      </c>
      <c r="C202" s="47" t="s">
        <v>4190</v>
      </c>
      <c r="D202" s="47" t="s">
        <v>4191</v>
      </c>
      <c r="E202" s="47"/>
      <c r="F202" s="47"/>
      <c r="G202" s="47"/>
      <c r="H202" s="47" t="s">
        <v>3605</v>
      </c>
      <c r="I202" s="47" t="s">
        <v>4188</v>
      </c>
    </row>
    <row r="203" spans="1:9" ht="15">
      <c r="A203" s="47" t="s">
        <v>4192</v>
      </c>
      <c r="B203" s="47" t="s">
        <v>4193</v>
      </c>
      <c r="C203" s="47" t="s">
        <v>4194</v>
      </c>
      <c r="D203" s="47" t="s">
        <v>4195</v>
      </c>
      <c r="E203" s="47"/>
      <c r="F203" s="47"/>
      <c r="G203" s="47"/>
      <c r="H203" s="47" t="s">
        <v>3605</v>
      </c>
      <c r="I203" s="47" t="s">
        <v>4192</v>
      </c>
    </row>
    <row r="204" spans="1:9" ht="15">
      <c r="A204" s="47" t="s">
        <v>4196</v>
      </c>
      <c r="B204" s="47" t="s">
        <v>4197</v>
      </c>
      <c r="C204" s="47" t="s">
        <v>4198</v>
      </c>
      <c r="D204" s="47" t="s">
        <v>4199</v>
      </c>
      <c r="E204" s="47"/>
      <c r="F204" s="47"/>
      <c r="G204" s="47"/>
      <c r="H204" s="47" t="s">
        <v>3605</v>
      </c>
      <c r="I204" s="47" t="s">
        <v>4196</v>
      </c>
    </row>
    <row r="205" spans="1:9" ht="15">
      <c r="A205" s="47" t="s">
        <v>4200</v>
      </c>
      <c r="B205" s="47" t="s">
        <v>4201</v>
      </c>
      <c r="C205" s="47" t="s">
        <v>4202</v>
      </c>
      <c r="D205" s="47" t="s">
        <v>4203</v>
      </c>
      <c r="E205" s="47"/>
      <c r="F205" s="47"/>
      <c r="G205" s="47"/>
      <c r="H205" s="47" t="s">
        <v>3605</v>
      </c>
      <c r="I205" s="47" t="s">
        <v>4200</v>
      </c>
    </row>
    <row r="206" spans="1:9" ht="15">
      <c r="A206" s="47" t="s">
        <v>4204</v>
      </c>
      <c r="B206" s="47" t="s">
        <v>4205</v>
      </c>
      <c r="C206" s="47" t="s">
        <v>4206</v>
      </c>
      <c r="D206" s="47" t="s">
        <v>4207</v>
      </c>
      <c r="E206" s="47"/>
      <c r="F206" s="47"/>
      <c r="G206" s="47"/>
      <c r="H206" s="47" t="s">
        <v>3605</v>
      </c>
      <c r="I206" s="47" t="s">
        <v>4204</v>
      </c>
    </row>
    <row r="207" spans="1:9" ht="15">
      <c r="A207" s="47" t="s">
        <v>4208</v>
      </c>
      <c r="B207" s="47" t="s">
        <v>4209</v>
      </c>
      <c r="C207" s="47" t="s">
        <v>4210</v>
      </c>
      <c r="D207" s="47" t="s">
        <v>4211</v>
      </c>
      <c r="E207" s="47"/>
      <c r="F207" s="47"/>
      <c r="G207" s="47"/>
      <c r="H207" s="47" t="s">
        <v>3605</v>
      </c>
      <c r="I207" s="47" t="s">
        <v>4208</v>
      </c>
    </row>
    <row r="208" spans="1:9" ht="15">
      <c r="A208" s="47" t="s">
        <v>4212</v>
      </c>
      <c r="B208" s="47" t="s">
        <v>4213</v>
      </c>
      <c r="C208" s="47" t="s">
        <v>4214</v>
      </c>
      <c r="D208" s="47" t="s">
        <v>4215</v>
      </c>
      <c r="E208" s="47"/>
      <c r="F208" s="47"/>
      <c r="G208" s="47"/>
      <c r="H208" s="47" t="s">
        <v>3605</v>
      </c>
      <c r="I208" s="47" t="s">
        <v>4212</v>
      </c>
    </row>
    <row r="209" spans="1:9" ht="15">
      <c r="A209" s="47" t="s">
        <v>4216</v>
      </c>
      <c r="B209" s="47" t="s">
        <v>4217</v>
      </c>
      <c r="C209" s="47" t="s">
        <v>4218</v>
      </c>
      <c r="D209" s="47" t="s">
        <v>4219</v>
      </c>
      <c r="E209" s="47"/>
      <c r="F209" s="47"/>
      <c r="G209" s="47"/>
      <c r="H209" s="47" t="s">
        <v>3605</v>
      </c>
      <c r="I209" s="47" t="s">
        <v>4216</v>
      </c>
    </row>
    <row r="210" spans="1:9" ht="15">
      <c r="A210" s="47" t="s">
        <v>4220</v>
      </c>
      <c r="B210" s="47" t="s">
        <v>4221</v>
      </c>
      <c r="C210" s="47" t="s">
        <v>4222</v>
      </c>
      <c r="D210" s="47" t="s">
        <v>4223</v>
      </c>
      <c r="E210" s="47"/>
      <c r="F210" s="47"/>
      <c r="G210" s="47"/>
      <c r="H210" s="47" t="s">
        <v>3605</v>
      </c>
      <c r="I210" s="47" t="s">
        <v>4220</v>
      </c>
    </row>
    <row r="211" spans="1:9" ht="15">
      <c r="A211" s="47" t="s">
        <v>4224</v>
      </c>
      <c r="B211" s="47" t="s">
        <v>4225</v>
      </c>
      <c r="C211" s="47" t="s">
        <v>4226</v>
      </c>
      <c r="D211" s="47" t="s">
        <v>4227</v>
      </c>
      <c r="E211" s="47"/>
      <c r="F211" s="47"/>
      <c r="G211" s="47"/>
      <c r="H211" s="47" t="s">
        <v>3605</v>
      </c>
      <c r="I211" s="47" t="s">
        <v>4224</v>
      </c>
    </row>
    <row r="212" spans="1:9" ht="15">
      <c r="A212" s="47">
        <v>7251</v>
      </c>
      <c r="B212" s="47" t="s">
        <v>4228</v>
      </c>
      <c r="C212" s="47" t="s">
        <v>4229</v>
      </c>
      <c r="D212" s="47" t="s">
        <v>4230</v>
      </c>
      <c r="E212" s="47"/>
      <c r="F212" s="47"/>
      <c r="G212" s="47"/>
      <c r="H212" s="47" t="s">
        <v>3605</v>
      </c>
      <c r="I212" s="47" t="s">
        <v>18417</v>
      </c>
    </row>
    <row r="213" spans="1:9" ht="15">
      <c r="A213" s="47" t="s">
        <v>4231</v>
      </c>
      <c r="B213" s="47" t="s">
        <v>4232</v>
      </c>
      <c r="C213" s="47" t="s">
        <v>4233</v>
      </c>
      <c r="D213" s="47" t="s">
        <v>4234</v>
      </c>
      <c r="E213" s="47"/>
      <c r="F213" s="47"/>
      <c r="G213" s="47"/>
      <c r="H213" s="47" t="s">
        <v>3605</v>
      </c>
      <c r="I213" s="47" t="s">
        <v>4231</v>
      </c>
    </row>
    <row r="214" spans="1:9" ht="15">
      <c r="A214" s="47" t="s">
        <v>4235</v>
      </c>
      <c r="B214" s="47" t="s">
        <v>4236</v>
      </c>
      <c r="C214" s="47" t="s">
        <v>4237</v>
      </c>
      <c r="D214" s="47" t="s">
        <v>4238</v>
      </c>
      <c r="E214" s="47"/>
      <c r="F214" s="47"/>
      <c r="G214" s="47"/>
      <c r="H214" s="47" t="s">
        <v>3605</v>
      </c>
      <c r="I214" s="47" t="s">
        <v>4235</v>
      </c>
    </row>
    <row r="215" spans="1:9" ht="15">
      <c r="A215" s="47" t="s">
        <v>4239</v>
      </c>
      <c r="B215" s="47" t="s">
        <v>4240</v>
      </c>
      <c r="C215" s="47" t="s">
        <v>4241</v>
      </c>
      <c r="D215" s="47" t="s">
        <v>4242</v>
      </c>
      <c r="E215" s="47"/>
      <c r="F215" s="47"/>
      <c r="G215" s="47"/>
      <c r="H215" s="47" t="s">
        <v>3605</v>
      </c>
      <c r="I215" s="47" t="s">
        <v>4239</v>
      </c>
    </row>
    <row r="216" spans="1:9" ht="15">
      <c r="A216" s="47" t="s">
        <v>2636</v>
      </c>
      <c r="B216" s="47" t="s">
        <v>4243</v>
      </c>
      <c r="C216" s="47" t="s">
        <v>4244</v>
      </c>
      <c r="D216" s="47" t="s">
        <v>4245</v>
      </c>
      <c r="E216" s="47"/>
      <c r="F216" s="47"/>
      <c r="G216" s="47"/>
      <c r="H216" s="47" t="s">
        <v>3605</v>
      </c>
      <c r="I216" s="47" t="s">
        <v>2636</v>
      </c>
    </row>
    <row r="217" spans="1:9" ht="15">
      <c r="A217" s="47">
        <v>7252</v>
      </c>
      <c r="B217" s="47" t="s">
        <v>4246</v>
      </c>
      <c r="C217" s="47" t="s">
        <v>4247</v>
      </c>
      <c r="D217" s="47" t="s">
        <v>4248</v>
      </c>
      <c r="E217" s="47"/>
      <c r="F217" s="47"/>
      <c r="G217" s="47"/>
      <c r="H217" s="47" t="s">
        <v>3605</v>
      </c>
      <c r="I217" s="47" t="s">
        <v>18418</v>
      </c>
    </row>
    <row r="218" spans="1:9" ht="15">
      <c r="A218" s="47" t="s">
        <v>4249</v>
      </c>
      <c r="B218" s="47" t="s">
        <v>4250</v>
      </c>
      <c r="C218" s="47" t="s">
        <v>4251</v>
      </c>
      <c r="D218" s="47" t="s">
        <v>4252</v>
      </c>
      <c r="E218" s="47"/>
      <c r="F218" s="47" t="s">
        <v>4253</v>
      </c>
      <c r="G218" s="47" t="s">
        <v>4254</v>
      </c>
      <c r="H218" s="47" t="s">
        <v>3605</v>
      </c>
      <c r="I218" s="47" t="s">
        <v>4249</v>
      </c>
    </row>
    <row r="219" spans="1:9" ht="15">
      <c r="A219" s="47" t="s">
        <v>4255</v>
      </c>
      <c r="B219" s="47" t="s">
        <v>4256</v>
      </c>
      <c r="C219" s="47" t="s">
        <v>4257</v>
      </c>
      <c r="D219" s="47" t="s">
        <v>4258</v>
      </c>
      <c r="E219" s="47"/>
      <c r="F219" s="47"/>
      <c r="G219" s="47"/>
      <c r="H219" s="47" t="s">
        <v>3605</v>
      </c>
      <c r="I219" s="47" t="s">
        <v>4255</v>
      </c>
    </row>
    <row r="220" spans="1:9" ht="15">
      <c r="A220" s="47" t="s">
        <v>4259</v>
      </c>
      <c r="B220" s="47" t="s">
        <v>4260</v>
      </c>
      <c r="C220" s="47" t="s">
        <v>4261</v>
      </c>
      <c r="D220" s="47" t="s">
        <v>4262</v>
      </c>
      <c r="E220" s="47"/>
      <c r="F220" s="47"/>
      <c r="G220" s="47"/>
      <c r="H220" s="47" t="s">
        <v>3605</v>
      </c>
      <c r="I220" s="47" t="s">
        <v>4259</v>
      </c>
    </row>
    <row r="221" spans="1:9" ht="15">
      <c r="A221" s="47" t="s">
        <v>4263</v>
      </c>
      <c r="B221" s="47" t="s">
        <v>4264</v>
      </c>
      <c r="C221" s="47" t="s">
        <v>4265</v>
      </c>
      <c r="D221" s="47" t="s">
        <v>4266</v>
      </c>
      <c r="E221" s="47"/>
      <c r="F221" s="47"/>
      <c r="G221" s="47"/>
      <c r="H221" s="47" t="s">
        <v>3605</v>
      </c>
      <c r="I221" s="47" t="s">
        <v>4263</v>
      </c>
    </row>
    <row r="222" spans="1:9" ht="15">
      <c r="A222" s="47" t="s">
        <v>4267</v>
      </c>
      <c r="B222" s="47" t="s">
        <v>4268</v>
      </c>
      <c r="C222" s="47" t="s">
        <v>4269</v>
      </c>
      <c r="D222" s="47" t="s">
        <v>4258</v>
      </c>
      <c r="E222" s="47"/>
      <c r="F222" s="47"/>
      <c r="G222" s="47"/>
      <c r="H222" s="47" t="s">
        <v>3605</v>
      </c>
      <c r="I222" s="47" t="s">
        <v>4267</v>
      </c>
    </row>
    <row r="223" spans="1:9" ht="15">
      <c r="A223" s="47" t="s">
        <v>4270</v>
      </c>
      <c r="B223" s="47" t="s">
        <v>4271</v>
      </c>
      <c r="C223" s="47" t="s">
        <v>4272</v>
      </c>
      <c r="D223" s="47" t="s">
        <v>4273</v>
      </c>
      <c r="E223" s="47"/>
      <c r="F223" s="47"/>
      <c r="G223" s="47"/>
      <c r="H223" s="47" t="s">
        <v>3605</v>
      </c>
      <c r="I223" s="47" t="s">
        <v>4270</v>
      </c>
    </row>
    <row r="224" spans="1:9" ht="15">
      <c r="A224" s="47" t="s">
        <v>4274</v>
      </c>
      <c r="B224" s="47" t="s">
        <v>4275</v>
      </c>
      <c r="C224" s="47" t="s">
        <v>4276</v>
      </c>
      <c r="D224" s="47" t="s">
        <v>4277</v>
      </c>
      <c r="E224" s="47"/>
      <c r="F224" s="47"/>
      <c r="G224" s="47"/>
      <c r="H224" s="47" t="s">
        <v>3605</v>
      </c>
      <c r="I224" s="47" t="s">
        <v>4274</v>
      </c>
    </row>
    <row r="225" spans="1:9" ht="15">
      <c r="A225" s="47" t="s">
        <v>4278</v>
      </c>
      <c r="B225" s="47" t="s">
        <v>4279</v>
      </c>
      <c r="C225" s="47" t="s">
        <v>4280</v>
      </c>
      <c r="D225" s="47" t="s">
        <v>4281</v>
      </c>
      <c r="E225" s="47"/>
      <c r="F225" s="47"/>
      <c r="G225" s="47"/>
      <c r="H225" s="47" t="s">
        <v>3605</v>
      </c>
      <c r="I225" s="47" t="s">
        <v>4278</v>
      </c>
    </row>
    <row r="226" spans="1:9" ht="15">
      <c r="A226" s="47" t="s">
        <v>4282</v>
      </c>
      <c r="B226" s="47" t="s">
        <v>4283</v>
      </c>
      <c r="C226" s="47" t="s">
        <v>4284</v>
      </c>
      <c r="D226" s="47" t="s">
        <v>4285</v>
      </c>
      <c r="E226" s="47"/>
      <c r="F226" s="47"/>
      <c r="G226" s="47"/>
      <c r="H226" s="47" t="s">
        <v>3605</v>
      </c>
      <c r="I226" s="47" t="s">
        <v>4282</v>
      </c>
    </row>
    <row r="227" spans="1:9" ht="15">
      <c r="A227" s="47" t="s">
        <v>4286</v>
      </c>
      <c r="B227" s="47" t="s">
        <v>4287</v>
      </c>
      <c r="C227" s="47" t="s">
        <v>4288</v>
      </c>
      <c r="D227" s="47" t="s">
        <v>4289</v>
      </c>
      <c r="E227" s="47"/>
      <c r="F227" s="47"/>
      <c r="G227" s="47"/>
      <c r="H227" s="47" t="s">
        <v>3605</v>
      </c>
      <c r="I227" s="47" t="s">
        <v>4286</v>
      </c>
    </row>
    <row r="228" spans="1:9" ht="15">
      <c r="A228" s="47" t="s">
        <v>4290</v>
      </c>
      <c r="B228" s="47" t="s">
        <v>4291</v>
      </c>
      <c r="C228" s="47" t="s">
        <v>4292</v>
      </c>
      <c r="D228" s="47" t="s">
        <v>4293</v>
      </c>
      <c r="E228" s="47"/>
      <c r="F228" s="47"/>
      <c r="G228" s="47"/>
      <c r="H228" s="47" t="s">
        <v>3605</v>
      </c>
      <c r="I228" s="47" t="s">
        <v>4290</v>
      </c>
    </row>
    <row r="229" spans="1:9" ht="15">
      <c r="A229" s="47" t="s">
        <v>4294</v>
      </c>
      <c r="B229" s="47" t="s">
        <v>4295</v>
      </c>
      <c r="C229" s="47" t="s">
        <v>4296</v>
      </c>
      <c r="D229" s="47" t="s">
        <v>4297</v>
      </c>
      <c r="E229" s="47"/>
      <c r="F229" s="47"/>
      <c r="G229" s="47"/>
      <c r="H229" s="47" t="s">
        <v>3605</v>
      </c>
      <c r="I229" s="47" t="s">
        <v>4294</v>
      </c>
    </row>
    <row r="230" spans="1:9" ht="15">
      <c r="A230" s="47" t="s">
        <v>4298</v>
      </c>
      <c r="B230" s="47" t="s">
        <v>4299</v>
      </c>
      <c r="C230" s="47" t="s">
        <v>4300</v>
      </c>
      <c r="D230" s="47" t="s">
        <v>4301</v>
      </c>
      <c r="E230" s="47"/>
      <c r="F230" s="47"/>
      <c r="G230" s="47"/>
      <c r="H230" s="47" t="s">
        <v>3605</v>
      </c>
      <c r="I230" s="47" t="s">
        <v>4298</v>
      </c>
    </row>
    <row r="231" spans="1:9" ht="15">
      <c r="A231" s="47" t="s">
        <v>4302</v>
      </c>
      <c r="B231" s="47" t="s">
        <v>4303</v>
      </c>
      <c r="C231" s="47" t="s">
        <v>4304</v>
      </c>
      <c r="D231" s="47" t="s">
        <v>4305</v>
      </c>
      <c r="E231" s="47"/>
      <c r="F231" s="47"/>
      <c r="G231" s="47"/>
      <c r="H231" s="47" t="s">
        <v>3605</v>
      </c>
      <c r="I231" s="47" t="s">
        <v>4302</v>
      </c>
    </row>
    <row r="232" spans="1:9" ht="15">
      <c r="A232" s="47" t="s">
        <v>4306</v>
      </c>
      <c r="B232" s="47" t="s">
        <v>4307</v>
      </c>
      <c r="C232" s="47" t="s">
        <v>4308</v>
      </c>
      <c r="D232" s="47" t="s">
        <v>4309</v>
      </c>
      <c r="E232" s="47"/>
      <c r="F232" s="47"/>
      <c r="G232" s="47"/>
      <c r="H232" s="47" t="s">
        <v>3605</v>
      </c>
      <c r="I232" s="47" t="s">
        <v>4306</v>
      </c>
    </row>
    <row r="233" spans="1:9" ht="15">
      <c r="A233" s="47" t="s">
        <v>4310</v>
      </c>
      <c r="B233" s="47" t="s">
        <v>4311</v>
      </c>
      <c r="C233" s="47" t="s">
        <v>4312</v>
      </c>
      <c r="D233" s="47" t="s">
        <v>4313</v>
      </c>
      <c r="E233" s="47"/>
      <c r="F233" s="47"/>
      <c r="G233" s="47"/>
      <c r="H233" s="47" t="s">
        <v>3605</v>
      </c>
      <c r="I233" s="47" t="s">
        <v>4310</v>
      </c>
    </row>
    <row r="234" spans="1:9" ht="15">
      <c r="A234" s="47" t="s">
        <v>4314</v>
      </c>
      <c r="B234" s="47" t="s">
        <v>4315</v>
      </c>
      <c r="C234" s="47" t="s">
        <v>4316</v>
      </c>
      <c r="D234" s="47" t="s">
        <v>4317</v>
      </c>
      <c r="E234" s="47"/>
      <c r="F234" s="47"/>
      <c r="G234" s="47"/>
      <c r="H234" s="47" t="s">
        <v>3605</v>
      </c>
      <c r="I234" s="47" t="s">
        <v>4314</v>
      </c>
    </row>
    <row r="235" spans="1:9" ht="15">
      <c r="A235" s="47" t="s">
        <v>4318</v>
      </c>
      <c r="B235" s="47" t="s">
        <v>4319</v>
      </c>
      <c r="C235" s="47" t="s">
        <v>4320</v>
      </c>
      <c r="D235" s="47" t="s">
        <v>4321</v>
      </c>
      <c r="E235" s="47"/>
      <c r="F235" s="47"/>
      <c r="G235" s="47"/>
      <c r="H235" s="47" t="s">
        <v>3605</v>
      </c>
      <c r="I235" s="47" t="s">
        <v>4318</v>
      </c>
    </row>
    <row r="236" spans="1:9" ht="15">
      <c r="A236" s="47" t="s">
        <v>4322</v>
      </c>
      <c r="B236" s="47" t="s">
        <v>4323</v>
      </c>
      <c r="C236" s="47" t="s">
        <v>4324</v>
      </c>
      <c r="D236" s="47" t="s">
        <v>4325</v>
      </c>
      <c r="E236" s="47"/>
      <c r="F236" s="47"/>
      <c r="G236" s="47"/>
      <c r="H236" s="47" t="s">
        <v>3605</v>
      </c>
      <c r="I236" s="47" t="s">
        <v>4322</v>
      </c>
    </row>
    <row r="237" spans="1:9" ht="15">
      <c r="A237" s="47" t="s">
        <v>4326</v>
      </c>
      <c r="B237" s="47" t="s">
        <v>4327</v>
      </c>
      <c r="C237" s="47" t="s">
        <v>4328</v>
      </c>
      <c r="D237" s="47" t="s">
        <v>4329</v>
      </c>
      <c r="E237" s="47"/>
      <c r="F237" s="47"/>
      <c r="G237" s="47"/>
      <c r="H237" s="47" t="s">
        <v>3605</v>
      </c>
      <c r="I237" s="47" t="s">
        <v>4326</v>
      </c>
    </row>
    <row r="238" spans="1:9" ht="15">
      <c r="A238" s="47">
        <v>111300</v>
      </c>
      <c r="B238" s="47" t="s">
        <v>4330</v>
      </c>
      <c r="C238" s="47" t="s">
        <v>4331</v>
      </c>
      <c r="D238" s="47" t="s">
        <v>4332</v>
      </c>
      <c r="E238" s="47"/>
      <c r="F238" s="47"/>
      <c r="G238" s="47"/>
      <c r="H238" s="47" t="s">
        <v>3605</v>
      </c>
      <c r="I238" s="47" t="s">
        <v>18419</v>
      </c>
    </row>
    <row r="239" spans="1:9" ht="15">
      <c r="A239" s="47">
        <v>111301</v>
      </c>
      <c r="B239" s="47" t="s">
        <v>4333</v>
      </c>
      <c r="C239" s="47" t="s">
        <v>4334</v>
      </c>
      <c r="D239" s="47" t="s">
        <v>4335</v>
      </c>
      <c r="E239" s="47"/>
      <c r="F239" s="47"/>
      <c r="G239" s="47"/>
      <c r="H239" s="47" t="s">
        <v>3605</v>
      </c>
      <c r="I239" s="47" t="s">
        <v>18420</v>
      </c>
    </row>
    <row r="240" spans="1:9" ht="15">
      <c r="A240" s="47">
        <v>111302</v>
      </c>
      <c r="B240" s="47" t="s">
        <v>4336</v>
      </c>
      <c r="C240" s="47" t="s">
        <v>4337</v>
      </c>
      <c r="D240" s="47" t="s">
        <v>4338</v>
      </c>
      <c r="E240" s="47"/>
      <c r="F240" s="47"/>
      <c r="G240" s="47"/>
      <c r="H240" s="47" t="s">
        <v>3605</v>
      </c>
      <c r="I240" s="47" t="s">
        <v>18421</v>
      </c>
    </row>
    <row r="241" spans="1:9" ht="15">
      <c r="A241" s="47">
        <v>111303</v>
      </c>
      <c r="B241" s="47" t="s">
        <v>4339</v>
      </c>
      <c r="C241" s="47" t="s">
        <v>4340</v>
      </c>
      <c r="D241" s="47" t="s">
        <v>4341</v>
      </c>
      <c r="E241" s="47"/>
      <c r="F241" s="47"/>
      <c r="G241" s="47"/>
      <c r="H241" s="47" t="s">
        <v>3605</v>
      </c>
      <c r="I241" s="47" t="s">
        <v>18422</v>
      </c>
    </row>
    <row r="242" spans="1:9" ht="15">
      <c r="A242" s="47">
        <v>111304</v>
      </c>
      <c r="B242" s="47" t="s">
        <v>4342</v>
      </c>
      <c r="C242" s="47" t="s">
        <v>4343</v>
      </c>
      <c r="D242" s="47" t="s">
        <v>4344</v>
      </c>
      <c r="E242" s="47"/>
      <c r="F242" s="47"/>
      <c r="G242" s="47"/>
      <c r="H242" s="47" t="s">
        <v>3605</v>
      </c>
      <c r="I242" s="47" t="s">
        <v>18423</v>
      </c>
    </row>
    <row r="243" spans="1:9" ht="15">
      <c r="A243" s="47">
        <v>7405</v>
      </c>
      <c r="B243" s="47" t="s">
        <v>4345</v>
      </c>
      <c r="C243" s="47" t="s">
        <v>4346</v>
      </c>
      <c r="D243" s="47" t="s">
        <v>4347</v>
      </c>
      <c r="E243" s="47"/>
      <c r="F243" s="47"/>
      <c r="G243" s="47"/>
      <c r="H243" s="47" t="s">
        <v>3605</v>
      </c>
      <c r="I243" s="47" t="s">
        <v>18424</v>
      </c>
    </row>
    <row r="244" spans="1:9" ht="15">
      <c r="A244" s="47">
        <v>111306</v>
      </c>
      <c r="B244" s="47" t="s">
        <v>4348</v>
      </c>
      <c r="C244" s="47" t="s">
        <v>4349</v>
      </c>
      <c r="D244" s="47" t="s">
        <v>4350</v>
      </c>
      <c r="E244" s="47"/>
      <c r="F244" s="47"/>
      <c r="G244" s="47"/>
      <c r="H244" s="47" t="s">
        <v>3605</v>
      </c>
      <c r="I244" s="47" t="s">
        <v>18425</v>
      </c>
    </row>
    <row r="245" spans="1:9" ht="15">
      <c r="A245" s="47">
        <v>111307</v>
      </c>
      <c r="B245" s="47" t="s">
        <v>4351</v>
      </c>
      <c r="C245" s="47" t="s">
        <v>4352</v>
      </c>
      <c r="D245" s="47" t="s">
        <v>4353</v>
      </c>
      <c r="E245" s="47"/>
      <c r="F245" s="47"/>
      <c r="G245" s="47"/>
      <c r="H245" s="47" t="s">
        <v>3605</v>
      </c>
      <c r="I245" s="47" t="s">
        <v>18426</v>
      </c>
    </row>
    <row r="246" spans="1:9" ht="15">
      <c r="A246" s="47">
        <v>111308</v>
      </c>
      <c r="B246" s="47" t="s">
        <v>4354</v>
      </c>
      <c r="C246" s="47" t="s">
        <v>4355</v>
      </c>
      <c r="D246" s="47" t="s">
        <v>4356</v>
      </c>
      <c r="E246" s="47"/>
      <c r="F246" s="47"/>
      <c r="G246" s="47"/>
      <c r="H246" s="47" t="s">
        <v>3605</v>
      </c>
      <c r="I246" s="47" t="s">
        <v>18427</v>
      </c>
    </row>
    <row r="247" spans="1:9" ht="15">
      <c r="A247" s="47">
        <v>111309</v>
      </c>
      <c r="B247" s="47" t="s">
        <v>4357</v>
      </c>
      <c r="C247" s="47" t="s">
        <v>4358</v>
      </c>
      <c r="D247" s="47" t="s">
        <v>4359</v>
      </c>
      <c r="E247" s="47"/>
      <c r="F247" s="47"/>
      <c r="G247" s="47"/>
      <c r="H247" s="47" t="s">
        <v>3605</v>
      </c>
      <c r="I247" s="47" t="s">
        <v>18428</v>
      </c>
    </row>
    <row r="248" spans="1:9" ht="15">
      <c r="A248" s="47" t="s">
        <v>4360</v>
      </c>
      <c r="B248" s="47" t="s">
        <v>4361</v>
      </c>
      <c r="C248" s="47" t="s">
        <v>4362</v>
      </c>
      <c r="D248" s="47" t="s">
        <v>4363</v>
      </c>
      <c r="E248" s="47"/>
      <c r="F248" s="47"/>
      <c r="G248" s="47"/>
      <c r="H248" s="47" t="s">
        <v>3605</v>
      </c>
      <c r="I248" s="47" t="s">
        <v>4360</v>
      </c>
    </row>
    <row r="249" spans="1:9" ht="15">
      <c r="A249" s="47" t="s">
        <v>4364</v>
      </c>
      <c r="B249" s="47" t="s">
        <v>4365</v>
      </c>
      <c r="C249" s="47" t="s">
        <v>4366</v>
      </c>
      <c r="D249" s="47" t="s">
        <v>4367</v>
      </c>
      <c r="E249" s="47"/>
      <c r="F249" s="47"/>
      <c r="G249" s="47"/>
      <c r="H249" s="47" t="s">
        <v>3605</v>
      </c>
      <c r="I249" s="47" t="s">
        <v>4364</v>
      </c>
    </row>
    <row r="250" spans="1:9" ht="15">
      <c r="A250" s="47" t="s">
        <v>4368</v>
      </c>
      <c r="B250" s="47" t="s">
        <v>4369</v>
      </c>
      <c r="C250" s="47" t="s">
        <v>4370</v>
      </c>
      <c r="D250" s="47" t="s">
        <v>4371</v>
      </c>
      <c r="E250" s="47"/>
      <c r="F250" s="47"/>
      <c r="G250" s="47"/>
      <c r="H250" s="47" t="s">
        <v>3605</v>
      </c>
      <c r="I250" s="47" t="s">
        <v>4368</v>
      </c>
    </row>
    <row r="251" spans="1:9" ht="15">
      <c r="A251" s="47" t="s">
        <v>4372</v>
      </c>
      <c r="B251" s="47" t="s">
        <v>4373</v>
      </c>
      <c r="C251" s="47" t="s">
        <v>4374</v>
      </c>
      <c r="D251" s="47" t="s">
        <v>4375</v>
      </c>
      <c r="E251" s="47"/>
      <c r="F251" s="47"/>
      <c r="G251" s="47"/>
      <c r="H251" s="47" t="s">
        <v>3605</v>
      </c>
      <c r="I251" s="47" t="s">
        <v>4372</v>
      </c>
    </row>
    <row r="252" spans="1:9" ht="15">
      <c r="A252" s="47" t="s">
        <v>4376</v>
      </c>
      <c r="B252" s="47" t="s">
        <v>4377</v>
      </c>
      <c r="C252" s="47" t="s">
        <v>4378</v>
      </c>
      <c r="D252" s="47" t="s">
        <v>4379</v>
      </c>
      <c r="E252" s="47"/>
      <c r="F252" s="47"/>
      <c r="G252" s="47"/>
      <c r="H252" s="47" t="s">
        <v>3605</v>
      </c>
      <c r="I252" s="47" t="s">
        <v>4376</v>
      </c>
    </row>
    <row r="253" spans="1:9" ht="15">
      <c r="A253" s="47" t="s">
        <v>4380</v>
      </c>
      <c r="B253" s="47" t="s">
        <v>4381</v>
      </c>
      <c r="C253" s="47" t="s">
        <v>4382</v>
      </c>
      <c r="D253" s="47" t="s">
        <v>4383</v>
      </c>
      <c r="E253" s="47"/>
      <c r="F253" s="47"/>
      <c r="G253" s="47"/>
      <c r="H253" s="47" t="s">
        <v>3605</v>
      </c>
      <c r="I253" s="47" t="s">
        <v>4380</v>
      </c>
    </row>
    <row r="254" spans="1:9" ht="15">
      <c r="A254" s="47" t="s">
        <v>4384</v>
      </c>
      <c r="B254" s="47" t="s">
        <v>4385</v>
      </c>
      <c r="C254" s="47" t="s">
        <v>4386</v>
      </c>
      <c r="D254" s="47" t="s">
        <v>4387</v>
      </c>
      <c r="E254" s="47"/>
      <c r="F254" s="47"/>
      <c r="G254" s="47"/>
      <c r="H254" s="47" t="s">
        <v>3605</v>
      </c>
      <c r="I254" s="47" t="s">
        <v>4384</v>
      </c>
    </row>
    <row r="255" spans="1:9" ht="15">
      <c r="A255" s="47" t="s">
        <v>4388</v>
      </c>
      <c r="B255" s="47" t="s">
        <v>4389</v>
      </c>
      <c r="C255" s="47" t="s">
        <v>4390</v>
      </c>
      <c r="D255" s="47" t="s">
        <v>4391</v>
      </c>
      <c r="E255" s="47"/>
      <c r="F255" s="47"/>
      <c r="G255" s="47"/>
      <c r="H255" s="47" t="s">
        <v>3605</v>
      </c>
      <c r="I255" s="47" t="s">
        <v>4388</v>
      </c>
    </row>
    <row r="256" spans="1:9" ht="15">
      <c r="A256" s="47" t="s">
        <v>4392</v>
      </c>
      <c r="B256" s="47" t="s">
        <v>4393</v>
      </c>
      <c r="C256" s="47" t="s">
        <v>4394</v>
      </c>
      <c r="D256" s="47" t="s">
        <v>4395</v>
      </c>
      <c r="E256" s="47"/>
      <c r="F256" s="47"/>
      <c r="G256" s="47"/>
      <c r="H256" s="47" t="s">
        <v>3605</v>
      </c>
      <c r="I256" s="47" t="s">
        <v>4392</v>
      </c>
    </row>
    <row r="257" spans="1:9" ht="15">
      <c r="A257" s="47" t="s">
        <v>4396</v>
      </c>
      <c r="B257" s="47" t="s">
        <v>4397</v>
      </c>
      <c r="C257" s="47" t="s">
        <v>4398</v>
      </c>
      <c r="D257" s="47" t="s">
        <v>4399</v>
      </c>
      <c r="E257" s="47"/>
      <c r="F257" s="47"/>
      <c r="G257" s="47"/>
      <c r="H257" s="47" t="s">
        <v>3605</v>
      </c>
      <c r="I257" s="47" t="s">
        <v>4396</v>
      </c>
    </row>
    <row r="258" spans="1:9" ht="15">
      <c r="A258" s="47">
        <v>7445</v>
      </c>
      <c r="B258" s="47" t="s">
        <v>4400</v>
      </c>
      <c r="C258" s="47" t="s">
        <v>4401</v>
      </c>
      <c r="D258" s="47" t="s">
        <v>4402</v>
      </c>
      <c r="E258" s="47"/>
      <c r="F258" s="47"/>
      <c r="G258" s="47"/>
      <c r="H258" s="47" t="s">
        <v>3605</v>
      </c>
      <c r="I258" s="47" t="s">
        <v>18429</v>
      </c>
    </row>
    <row r="259" spans="1:9" ht="15">
      <c r="A259" s="47" t="s">
        <v>4403</v>
      </c>
      <c r="B259" s="47" t="s">
        <v>4404</v>
      </c>
      <c r="C259" s="47" t="s">
        <v>4405</v>
      </c>
      <c r="D259" s="47" t="s">
        <v>4406</v>
      </c>
      <c r="E259" s="47"/>
      <c r="F259" s="47"/>
      <c r="G259" s="47"/>
      <c r="H259" s="47" t="s">
        <v>3605</v>
      </c>
      <c r="I259" s="47" t="s">
        <v>4403</v>
      </c>
    </row>
    <row r="260" spans="1:9" ht="15">
      <c r="A260" s="47" t="s">
        <v>4407</v>
      </c>
      <c r="B260" s="47" t="s">
        <v>4408</v>
      </c>
      <c r="C260" s="47" t="s">
        <v>4409</v>
      </c>
      <c r="D260" s="47" t="s">
        <v>4410</v>
      </c>
      <c r="E260" s="47"/>
      <c r="F260" s="47"/>
      <c r="G260" s="47"/>
      <c r="H260" s="47" t="s">
        <v>3605</v>
      </c>
      <c r="I260" s="47" t="s">
        <v>4407</v>
      </c>
    </row>
    <row r="261" spans="1:9" ht="15">
      <c r="A261" s="47" t="s">
        <v>4411</v>
      </c>
      <c r="B261" s="47" t="s">
        <v>4412</v>
      </c>
      <c r="C261" s="47" t="s">
        <v>4413</v>
      </c>
      <c r="D261" s="47" t="s">
        <v>4414</v>
      </c>
      <c r="E261" s="47"/>
      <c r="F261" s="47"/>
      <c r="G261" s="47"/>
      <c r="H261" s="47" t="s">
        <v>3605</v>
      </c>
      <c r="I261" s="47" t="s">
        <v>4411</v>
      </c>
    </row>
    <row r="262" spans="1:9" ht="15">
      <c r="A262" s="47" t="s">
        <v>4415</v>
      </c>
      <c r="B262" s="47" t="s">
        <v>4416</v>
      </c>
      <c r="C262" s="47" t="s">
        <v>4417</v>
      </c>
      <c r="D262" s="47" t="s">
        <v>4418</v>
      </c>
      <c r="E262" s="47"/>
      <c r="F262" s="47"/>
      <c r="G262" s="47"/>
      <c r="H262" s="47" t="s">
        <v>3605</v>
      </c>
      <c r="I262" s="47" t="s">
        <v>4415</v>
      </c>
    </row>
    <row r="263" spans="1:9" ht="15">
      <c r="A263" s="47">
        <v>111310</v>
      </c>
      <c r="B263" s="47" t="s">
        <v>4419</v>
      </c>
      <c r="C263" s="47" t="s">
        <v>4420</v>
      </c>
      <c r="D263" s="47" t="s">
        <v>4421</v>
      </c>
      <c r="E263" s="47"/>
      <c r="F263" s="47"/>
      <c r="G263" s="47"/>
      <c r="H263" s="47" t="s">
        <v>3605</v>
      </c>
      <c r="I263" s="47" t="s">
        <v>18430</v>
      </c>
    </row>
    <row r="264" spans="1:9" ht="15">
      <c r="A264" s="47">
        <v>111311</v>
      </c>
      <c r="B264" s="47" t="s">
        <v>4422</v>
      </c>
      <c r="C264" s="47" t="s">
        <v>4423</v>
      </c>
      <c r="D264" s="47" t="s">
        <v>4424</v>
      </c>
      <c r="E264" s="47"/>
      <c r="F264" s="47"/>
      <c r="G264" s="47"/>
      <c r="H264" s="47" t="s">
        <v>3605</v>
      </c>
      <c r="I264" s="47" t="s">
        <v>18431</v>
      </c>
    </row>
    <row r="265" spans="1:9" ht="15">
      <c r="A265" s="47">
        <v>111312</v>
      </c>
      <c r="B265" s="47" t="s">
        <v>4425</v>
      </c>
      <c r="C265" s="47" t="s">
        <v>4426</v>
      </c>
      <c r="D265" s="47" t="s">
        <v>4427</v>
      </c>
      <c r="E265" s="47"/>
      <c r="F265" s="47"/>
      <c r="G265" s="47"/>
      <c r="H265" s="47" t="s">
        <v>3605</v>
      </c>
      <c r="I265" s="47" t="s">
        <v>18432</v>
      </c>
    </row>
    <row r="266" spans="1:9" ht="15">
      <c r="A266" s="47">
        <v>111313</v>
      </c>
      <c r="B266" s="47" t="s">
        <v>4428</v>
      </c>
      <c r="C266" s="47" t="s">
        <v>4429</v>
      </c>
      <c r="D266" s="47" t="s">
        <v>4430</v>
      </c>
      <c r="E266" s="47"/>
      <c r="F266" s="47"/>
      <c r="G266" s="47"/>
      <c r="H266" s="47" t="s">
        <v>3605</v>
      </c>
      <c r="I266" s="47" t="s">
        <v>18433</v>
      </c>
    </row>
    <row r="267" spans="1:9" ht="15">
      <c r="A267" s="47">
        <v>111314</v>
      </c>
      <c r="B267" s="47" t="s">
        <v>4431</v>
      </c>
      <c r="C267" s="47" t="s">
        <v>4432</v>
      </c>
      <c r="D267" s="47" t="s">
        <v>4433</v>
      </c>
      <c r="E267" s="47"/>
      <c r="F267" s="47"/>
      <c r="G267" s="47"/>
      <c r="H267" s="47" t="s">
        <v>3605</v>
      </c>
      <c r="I267" s="47" t="s">
        <v>18434</v>
      </c>
    </row>
    <row r="268" spans="1:9" ht="15">
      <c r="A268" s="47">
        <v>111316</v>
      </c>
      <c r="B268" s="47" t="s">
        <v>4434</v>
      </c>
      <c r="C268" s="47" t="s">
        <v>4435</v>
      </c>
      <c r="D268" s="47" t="s">
        <v>4436</v>
      </c>
      <c r="E268" s="47"/>
      <c r="F268" s="47"/>
      <c r="G268" s="47"/>
      <c r="H268" s="47" t="s">
        <v>3605</v>
      </c>
      <c r="I268" s="47" t="s">
        <v>18435</v>
      </c>
    </row>
    <row r="269" spans="1:9" ht="15">
      <c r="A269" s="47">
        <v>111317</v>
      </c>
      <c r="B269" s="47" t="s">
        <v>4437</v>
      </c>
      <c r="C269" s="47" t="s">
        <v>4438</v>
      </c>
      <c r="D269" s="47" t="s">
        <v>4439</v>
      </c>
      <c r="E269" s="47"/>
      <c r="F269" s="47"/>
      <c r="G269" s="47"/>
      <c r="H269" s="47" t="s">
        <v>3605</v>
      </c>
      <c r="I269" s="47" t="s">
        <v>18436</v>
      </c>
    </row>
    <row r="270" spans="1:9" ht="15">
      <c r="A270" s="47">
        <v>111318</v>
      </c>
      <c r="B270" s="47" t="s">
        <v>4440</v>
      </c>
      <c r="C270" s="47" t="s">
        <v>4441</v>
      </c>
      <c r="D270" s="47" t="s">
        <v>4442</v>
      </c>
      <c r="E270" s="47"/>
      <c r="F270" s="47"/>
      <c r="G270" s="47"/>
      <c r="H270" s="47" t="s">
        <v>3605</v>
      </c>
      <c r="I270" s="47" t="s">
        <v>18437</v>
      </c>
    </row>
    <row r="271" spans="1:9" ht="15">
      <c r="A271" s="47">
        <v>111319</v>
      </c>
      <c r="B271" s="47" t="s">
        <v>4443</v>
      </c>
      <c r="C271" s="47" t="s">
        <v>4444</v>
      </c>
      <c r="D271" s="47" t="s">
        <v>4445</v>
      </c>
      <c r="E271" s="47"/>
      <c r="F271" s="47"/>
      <c r="G271" s="47"/>
      <c r="H271" s="47" t="s">
        <v>3605</v>
      </c>
      <c r="I271" s="47" t="s">
        <v>18438</v>
      </c>
    </row>
    <row r="272" spans="1:9" ht="15">
      <c r="A272" s="47" t="s">
        <v>4446</v>
      </c>
      <c r="B272" s="47" t="s">
        <v>4447</v>
      </c>
      <c r="C272" s="47" t="s">
        <v>4448</v>
      </c>
      <c r="D272" s="47" t="s">
        <v>4449</v>
      </c>
      <c r="E272" s="47"/>
      <c r="F272" s="47"/>
      <c r="G272" s="47"/>
      <c r="H272" s="47" t="s">
        <v>3605</v>
      </c>
      <c r="I272" s="47" t="s">
        <v>4446</v>
      </c>
    </row>
    <row r="273" spans="1:9" ht="15">
      <c r="A273" s="47" t="s">
        <v>4450</v>
      </c>
      <c r="B273" s="47" t="s">
        <v>4451</v>
      </c>
      <c r="C273" s="47" t="s">
        <v>4452</v>
      </c>
      <c r="D273" s="47" t="s">
        <v>4453</v>
      </c>
      <c r="E273" s="47"/>
      <c r="F273" s="47"/>
      <c r="G273" s="47"/>
      <c r="H273" s="47" t="s">
        <v>3605</v>
      </c>
      <c r="I273" s="47" t="s">
        <v>4450</v>
      </c>
    </row>
    <row r="274" spans="1:9" ht="15">
      <c r="A274" s="47" t="s">
        <v>4454</v>
      </c>
      <c r="B274" s="47" t="s">
        <v>4455</v>
      </c>
      <c r="C274" s="47" t="s">
        <v>4456</v>
      </c>
      <c r="D274" s="47" t="s">
        <v>4457</v>
      </c>
      <c r="E274" s="47"/>
      <c r="F274" s="47"/>
      <c r="G274" s="47"/>
      <c r="H274" s="47" t="s">
        <v>3605</v>
      </c>
      <c r="I274" s="47" t="s">
        <v>4454</v>
      </c>
    </row>
    <row r="275" spans="1:9" ht="15">
      <c r="A275" s="47" t="s">
        <v>4458</v>
      </c>
      <c r="B275" s="47" t="s">
        <v>4459</v>
      </c>
      <c r="C275" s="47" t="s">
        <v>4460</v>
      </c>
      <c r="D275" s="47" t="s">
        <v>4461</v>
      </c>
      <c r="E275" s="47"/>
      <c r="F275" s="47"/>
      <c r="G275" s="47"/>
      <c r="H275" s="47" t="s">
        <v>3605</v>
      </c>
      <c r="I275" s="47" t="s">
        <v>4458</v>
      </c>
    </row>
    <row r="276" spans="1:9" ht="15">
      <c r="A276" s="47" t="s">
        <v>4462</v>
      </c>
      <c r="B276" s="47" t="s">
        <v>4463</v>
      </c>
      <c r="C276" s="47" t="s">
        <v>4464</v>
      </c>
      <c r="D276" s="47" t="s">
        <v>4465</v>
      </c>
      <c r="E276" s="47"/>
      <c r="F276" s="47"/>
      <c r="G276" s="47"/>
      <c r="H276" s="47" t="s">
        <v>3605</v>
      </c>
      <c r="I276" s="47" t="s">
        <v>4462</v>
      </c>
    </row>
    <row r="277" spans="1:9" ht="15">
      <c r="A277" s="47">
        <v>7465</v>
      </c>
      <c r="B277" s="47" t="s">
        <v>4466</v>
      </c>
      <c r="C277" s="47" t="s">
        <v>4467</v>
      </c>
      <c r="D277" s="47" t="s">
        <v>4468</v>
      </c>
      <c r="E277" s="47"/>
      <c r="F277" s="47"/>
      <c r="G277" s="47"/>
      <c r="H277" s="47" t="s">
        <v>3605</v>
      </c>
      <c r="I277" s="47" t="s">
        <v>18439</v>
      </c>
    </row>
    <row r="278" spans="1:9" ht="15">
      <c r="A278" s="47" t="s">
        <v>4469</v>
      </c>
      <c r="B278" s="47" t="s">
        <v>4470</v>
      </c>
      <c r="C278" s="47" t="s">
        <v>4471</v>
      </c>
      <c r="D278" s="47" t="s">
        <v>4472</v>
      </c>
      <c r="E278" s="47"/>
      <c r="F278" s="47"/>
      <c r="G278" s="47"/>
      <c r="H278" s="47" t="s">
        <v>3605</v>
      </c>
      <c r="I278" s="47" t="s">
        <v>4469</v>
      </c>
    </row>
    <row r="279" spans="1:9" ht="15">
      <c r="A279" s="47" t="s">
        <v>4473</v>
      </c>
      <c r="B279" s="47" t="s">
        <v>4474</v>
      </c>
      <c r="C279" s="47" t="s">
        <v>4475</v>
      </c>
      <c r="D279" s="47" t="s">
        <v>4476</v>
      </c>
      <c r="E279" s="47"/>
      <c r="F279" s="47"/>
      <c r="G279" s="47"/>
      <c r="H279" s="47" t="s">
        <v>3605</v>
      </c>
      <c r="I279" s="47" t="s">
        <v>4473</v>
      </c>
    </row>
    <row r="280" spans="1:9" ht="15">
      <c r="A280" s="47" t="s">
        <v>4477</v>
      </c>
      <c r="B280" s="47" t="s">
        <v>4478</v>
      </c>
      <c r="C280" s="47" t="s">
        <v>4479</v>
      </c>
      <c r="D280" s="47" t="s">
        <v>4480</v>
      </c>
      <c r="E280" s="47"/>
      <c r="F280" s="47"/>
      <c r="G280" s="47"/>
      <c r="H280" s="47" t="s">
        <v>3605</v>
      </c>
      <c r="I280" s="47" t="s">
        <v>4477</v>
      </c>
    </row>
    <row r="281" spans="1:9" ht="15">
      <c r="A281" s="47" t="s">
        <v>4481</v>
      </c>
      <c r="B281" s="47" t="s">
        <v>4482</v>
      </c>
      <c r="C281" s="47" t="s">
        <v>4483</v>
      </c>
      <c r="D281" s="47" t="s">
        <v>4484</v>
      </c>
      <c r="E281" s="47"/>
      <c r="F281" s="47"/>
      <c r="G281" s="47"/>
      <c r="H281" s="47" t="s">
        <v>3605</v>
      </c>
      <c r="I281" s="47" t="s">
        <v>4481</v>
      </c>
    </row>
    <row r="282" spans="1:9" ht="15">
      <c r="A282" s="47">
        <v>7475</v>
      </c>
      <c r="B282" s="47" t="s">
        <v>4485</v>
      </c>
      <c r="C282" s="47" t="s">
        <v>4486</v>
      </c>
      <c r="D282" s="47" t="s">
        <v>4487</v>
      </c>
      <c r="E282" s="47"/>
      <c r="F282" s="47"/>
      <c r="G282" s="47"/>
      <c r="H282" s="47" t="s">
        <v>3605</v>
      </c>
      <c r="I282" s="47" t="s">
        <v>18440</v>
      </c>
    </row>
    <row r="283" spans="1:9" ht="15">
      <c r="A283" s="47">
        <v>7485</v>
      </c>
      <c r="B283" s="47" t="s">
        <v>4488</v>
      </c>
      <c r="C283" s="47" t="s">
        <v>4489</v>
      </c>
      <c r="D283" s="47" t="s">
        <v>4490</v>
      </c>
      <c r="E283" s="47"/>
      <c r="F283" s="47"/>
      <c r="G283" s="47"/>
      <c r="H283" s="47" t="s">
        <v>3605</v>
      </c>
      <c r="I283" s="47" t="s">
        <v>18441</v>
      </c>
    </row>
    <row r="284" spans="1:9" ht="15">
      <c r="A284" s="47">
        <v>7500</v>
      </c>
      <c r="B284" s="47" t="s">
        <v>4491</v>
      </c>
      <c r="C284" s="47" t="s">
        <v>4492</v>
      </c>
      <c r="D284" s="47" t="s">
        <v>4493</v>
      </c>
      <c r="E284" s="47"/>
      <c r="F284" s="47"/>
      <c r="G284" s="47"/>
      <c r="H284" s="47" t="s">
        <v>3605</v>
      </c>
      <c r="I284" s="47" t="s">
        <v>18442</v>
      </c>
    </row>
    <row r="285" spans="1:9" ht="15">
      <c r="A285" s="47">
        <v>7501</v>
      </c>
      <c r="B285" s="47" t="s">
        <v>4494</v>
      </c>
      <c r="C285" s="47" t="s">
        <v>4495</v>
      </c>
      <c r="D285" s="47" t="s">
        <v>4496</v>
      </c>
      <c r="E285" s="47"/>
      <c r="F285" s="47"/>
      <c r="G285" s="47"/>
      <c r="H285" s="47" t="s">
        <v>3605</v>
      </c>
      <c r="I285" s="47" t="s">
        <v>18443</v>
      </c>
    </row>
    <row r="286" spans="1:9" ht="15">
      <c r="A286" s="47">
        <v>10222</v>
      </c>
      <c r="B286" s="47" t="s">
        <v>4497</v>
      </c>
      <c r="C286" s="47" t="s">
        <v>4498</v>
      </c>
      <c r="D286" s="47" t="s">
        <v>4499</v>
      </c>
      <c r="E286" s="47"/>
      <c r="F286" s="47"/>
      <c r="G286" s="47"/>
      <c r="H286" s="47" t="s">
        <v>3605</v>
      </c>
      <c r="I286" s="47" t="s">
        <v>18444</v>
      </c>
    </row>
    <row r="287" spans="1:9" ht="15">
      <c r="A287" s="47">
        <v>10241</v>
      </c>
      <c r="B287" s="47" t="s">
        <v>4500</v>
      </c>
      <c r="C287" s="47" t="s">
        <v>4501</v>
      </c>
      <c r="D287" s="47" t="s">
        <v>4502</v>
      </c>
      <c r="E287" s="47"/>
      <c r="F287" s="47"/>
      <c r="G287" s="47"/>
      <c r="H287" s="47" t="s">
        <v>3605</v>
      </c>
      <c r="I287" s="47" t="s">
        <v>18445</v>
      </c>
    </row>
    <row r="288" spans="1:9" ht="15">
      <c r="A288" s="47">
        <v>10246</v>
      </c>
      <c r="B288" s="47" t="s">
        <v>4503</v>
      </c>
      <c r="C288" s="47" t="s">
        <v>4504</v>
      </c>
      <c r="D288" s="47" t="s">
        <v>4505</v>
      </c>
      <c r="E288" s="47"/>
      <c r="F288" s="47"/>
      <c r="G288" s="47"/>
      <c r="H288" s="47" t="s">
        <v>3605</v>
      </c>
      <c r="I288" s="47" t="s">
        <v>18446</v>
      </c>
    </row>
    <row r="289" spans="1:9" ht="15">
      <c r="A289" s="47">
        <v>7502</v>
      </c>
      <c r="B289" s="47" t="s">
        <v>4506</v>
      </c>
      <c r="C289" s="47" t="s">
        <v>4507</v>
      </c>
      <c r="D289" s="47" t="s">
        <v>4508</v>
      </c>
      <c r="E289" s="47"/>
      <c r="F289" s="47"/>
      <c r="G289" s="47"/>
      <c r="H289" s="47" t="s">
        <v>3605</v>
      </c>
      <c r="I289" s="47" t="s">
        <v>18447</v>
      </c>
    </row>
    <row r="290" spans="1:9" ht="15">
      <c r="A290" s="47">
        <v>7503</v>
      </c>
      <c r="B290" s="47" t="s">
        <v>4509</v>
      </c>
      <c r="C290" s="47" t="s">
        <v>4510</v>
      </c>
      <c r="D290" s="47" t="s">
        <v>4511</v>
      </c>
      <c r="E290" s="47"/>
      <c r="F290" s="47"/>
      <c r="G290" s="47"/>
      <c r="H290" s="47" t="s">
        <v>3605</v>
      </c>
      <c r="I290" s="47" t="s">
        <v>18448</v>
      </c>
    </row>
    <row r="291" spans="1:9" ht="15">
      <c r="A291" s="47">
        <v>7504</v>
      </c>
      <c r="B291" s="47" t="s">
        <v>4512</v>
      </c>
      <c r="C291" s="47" t="s">
        <v>4513</v>
      </c>
      <c r="D291" s="47" t="s">
        <v>4514</v>
      </c>
      <c r="E291" s="47"/>
      <c r="F291" s="47"/>
      <c r="G291" s="47"/>
      <c r="H291" s="47" t="s">
        <v>3605</v>
      </c>
      <c r="I291" s="47" t="s">
        <v>18449</v>
      </c>
    </row>
    <row r="292" spans="1:9" ht="15">
      <c r="A292" s="47">
        <v>7505</v>
      </c>
      <c r="B292" s="47" t="s">
        <v>4515</v>
      </c>
      <c r="C292" s="47" t="s">
        <v>4516</v>
      </c>
      <c r="D292" s="47" t="s">
        <v>4517</v>
      </c>
      <c r="E292" s="47"/>
      <c r="F292" s="47"/>
      <c r="G292" s="47"/>
      <c r="H292" s="47" t="s">
        <v>3605</v>
      </c>
      <c r="I292" s="47" t="s">
        <v>18450</v>
      </c>
    </row>
    <row r="293" spans="1:9" ht="15">
      <c r="A293" s="47">
        <v>7507</v>
      </c>
      <c r="B293" s="47" t="s">
        <v>4518</v>
      </c>
      <c r="C293" s="47" t="s">
        <v>4519</v>
      </c>
      <c r="D293" s="47" t="s">
        <v>4520</v>
      </c>
      <c r="E293" s="47"/>
      <c r="F293" s="47"/>
      <c r="G293" s="47"/>
      <c r="H293" s="47" t="s">
        <v>3605</v>
      </c>
      <c r="I293" s="47" t="s">
        <v>18451</v>
      </c>
    </row>
    <row r="294" spans="1:9" ht="15">
      <c r="A294" s="47">
        <v>7508</v>
      </c>
      <c r="B294" s="47" t="s">
        <v>4521</v>
      </c>
      <c r="C294" s="47" t="s">
        <v>4522</v>
      </c>
      <c r="D294" s="47" t="s">
        <v>4523</v>
      </c>
      <c r="E294" s="47"/>
      <c r="F294" s="47"/>
      <c r="G294" s="47"/>
      <c r="H294" s="47" t="s">
        <v>3605</v>
      </c>
      <c r="I294" s="47" t="s">
        <v>18452</v>
      </c>
    </row>
    <row r="295" spans="1:9" ht="15">
      <c r="A295" s="47">
        <v>7509</v>
      </c>
      <c r="B295" s="47" t="s">
        <v>4524</v>
      </c>
      <c r="C295" s="47" t="s">
        <v>4525</v>
      </c>
      <c r="D295" s="47" t="s">
        <v>4526</v>
      </c>
      <c r="E295" s="47"/>
      <c r="F295" s="47"/>
      <c r="G295" s="47"/>
      <c r="H295" s="47" t="s">
        <v>3605</v>
      </c>
      <c r="I295" s="47" t="s">
        <v>18453</v>
      </c>
    </row>
    <row r="296" spans="1:9" ht="15">
      <c r="A296" s="47">
        <v>7510</v>
      </c>
      <c r="B296" s="47" t="s">
        <v>4527</v>
      </c>
      <c r="C296" s="47" t="s">
        <v>4528</v>
      </c>
      <c r="D296" s="47" t="s">
        <v>4529</v>
      </c>
      <c r="E296" s="47"/>
      <c r="F296" s="47"/>
      <c r="G296" s="47"/>
      <c r="H296" s="47" t="s">
        <v>3605</v>
      </c>
      <c r="I296" s="47" t="s">
        <v>18454</v>
      </c>
    </row>
    <row r="297" spans="1:9" ht="15">
      <c r="A297" s="47">
        <v>7511</v>
      </c>
      <c r="B297" s="47" t="s">
        <v>4530</v>
      </c>
      <c r="C297" s="47" t="s">
        <v>4531</v>
      </c>
      <c r="D297" s="47" t="s">
        <v>4532</v>
      </c>
      <c r="E297" s="47"/>
      <c r="F297" s="47"/>
      <c r="G297" s="47"/>
      <c r="H297" s="47" t="s">
        <v>3605</v>
      </c>
      <c r="I297" s="47" t="s">
        <v>18455</v>
      </c>
    </row>
    <row r="298" spans="1:9" ht="15">
      <c r="A298" s="47">
        <v>42727</v>
      </c>
      <c r="B298" s="47" t="s">
        <v>4533</v>
      </c>
      <c r="C298" s="47" t="s">
        <v>4534</v>
      </c>
      <c r="D298" s="47" t="s">
        <v>4535</v>
      </c>
      <c r="E298" s="47"/>
      <c r="F298" s="47"/>
      <c r="G298" s="47"/>
      <c r="H298" s="47" t="s">
        <v>3605</v>
      </c>
      <c r="I298" s="47" t="s">
        <v>18456</v>
      </c>
    </row>
    <row r="299" spans="1:9" ht="15">
      <c r="A299" s="47">
        <v>7512</v>
      </c>
      <c r="B299" s="47" t="s">
        <v>4536</v>
      </c>
      <c r="C299" s="47" t="s">
        <v>4537</v>
      </c>
      <c r="D299" s="47" t="s">
        <v>4538</v>
      </c>
      <c r="E299" s="47"/>
      <c r="F299" s="47"/>
      <c r="G299" s="47"/>
      <c r="H299" s="47" t="s">
        <v>3605</v>
      </c>
      <c r="I299" s="47" t="s">
        <v>18457</v>
      </c>
    </row>
    <row r="300" spans="1:9" ht="15">
      <c r="A300" s="47">
        <v>7513</v>
      </c>
      <c r="B300" s="47" t="s">
        <v>4539</v>
      </c>
      <c r="C300" s="47" t="s">
        <v>4540</v>
      </c>
      <c r="D300" s="47" t="s">
        <v>4541</v>
      </c>
      <c r="E300" s="47"/>
      <c r="F300" s="47"/>
      <c r="G300" s="47"/>
      <c r="H300" s="47" t="s">
        <v>3605</v>
      </c>
      <c r="I300" s="47" t="s">
        <v>18458</v>
      </c>
    </row>
    <row r="301" spans="1:9" ht="15">
      <c r="A301" s="47">
        <v>93311</v>
      </c>
      <c r="B301" s="47" t="s">
        <v>4542</v>
      </c>
      <c r="C301" s="47" t="s">
        <v>4543</v>
      </c>
      <c r="D301" s="47" t="s">
        <v>4544</v>
      </c>
      <c r="E301" s="47"/>
      <c r="F301" s="47"/>
      <c r="G301" s="47"/>
      <c r="H301" s="47" t="s">
        <v>3605</v>
      </c>
      <c r="I301" s="47" t="s">
        <v>18459</v>
      </c>
    </row>
    <row r="302" spans="1:9" ht="15">
      <c r="A302" s="47" t="s">
        <v>2742</v>
      </c>
      <c r="B302" s="47" t="s">
        <v>4545</v>
      </c>
      <c r="C302" s="47" t="s">
        <v>4546</v>
      </c>
      <c r="D302" s="47" t="s">
        <v>4547</v>
      </c>
      <c r="E302" s="47"/>
      <c r="F302" s="47"/>
      <c r="G302" s="47"/>
      <c r="H302" s="47" t="s">
        <v>3605</v>
      </c>
      <c r="I302" s="47" t="s">
        <v>2742</v>
      </c>
    </row>
    <row r="303" spans="1:9" ht="15">
      <c r="A303" s="47" t="s">
        <v>2931</v>
      </c>
      <c r="B303" s="47" t="s">
        <v>4548</v>
      </c>
      <c r="C303" s="47" t="s">
        <v>4549</v>
      </c>
      <c r="D303" s="47" t="s">
        <v>4550</v>
      </c>
      <c r="E303" s="47"/>
      <c r="F303" s="47"/>
      <c r="G303" s="47"/>
      <c r="H303" s="47" t="s">
        <v>3605</v>
      </c>
      <c r="I303" s="47" t="s">
        <v>2931</v>
      </c>
    </row>
    <row r="304" spans="1:9" ht="15">
      <c r="A304" s="47">
        <v>7514</v>
      </c>
      <c r="B304" s="47" t="s">
        <v>4551</v>
      </c>
      <c r="C304" s="47" t="s">
        <v>4552</v>
      </c>
      <c r="D304" s="47" t="s">
        <v>4553</v>
      </c>
      <c r="E304" s="47"/>
      <c r="F304" s="47"/>
      <c r="G304" s="47"/>
      <c r="H304" s="47" t="s">
        <v>3605</v>
      </c>
      <c r="I304" s="47" t="s">
        <v>18460</v>
      </c>
    </row>
    <row r="305" spans="1:9" ht="15">
      <c r="A305" s="47">
        <v>7515</v>
      </c>
      <c r="B305" s="47" t="s">
        <v>4554</v>
      </c>
      <c r="C305" s="47" t="s">
        <v>4555</v>
      </c>
      <c r="D305" s="47" t="s">
        <v>4556</v>
      </c>
      <c r="E305" s="47"/>
      <c r="F305" s="47"/>
      <c r="G305" s="47"/>
      <c r="H305" s="47"/>
      <c r="I305" s="47" t="s">
        <v>18461</v>
      </c>
    </row>
    <row r="306" spans="1:9" ht="15">
      <c r="A306" s="47" t="s">
        <v>56</v>
      </c>
      <c r="B306" s="47" t="s">
        <v>4557</v>
      </c>
      <c r="C306" s="47" t="s">
        <v>4558</v>
      </c>
      <c r="D306" s="47" t="s">
        <v>4559</v>
      </c>
      <c r="E306" s="47"/>
      <c r="F306" s="47"/>
      <c r="G306" s="47"/>
      <c r="H306" s="47" t="s">
        <v>3605</v>
      </c>
      <c r="I306" s="47" t="s">
        <v>56</v>
      </c>
    </row>
    <row r="307" spans="1:9" ht="15">
      <c r="A307" s="47" t="s">
        <v>57</v>
      </c>
      <c r="B307" s="47" t="s">
        <v>4560</v>
      </c>
      <c r="C307" s="47" t="s">
        <v>4558</v>
      </c>
      <c r="D307" s="47" t="s">
        <v>4559</v>
      </c>
      <c r="E307" s="47"/>
      <c r="F307" s="47"/>
      <c r="G307" s="47"/>
      <c r="H307" s="47" t="s">
        <v>3605</v>
      </c>
      <c r="I307" s="47" t="s">
        <v>57</v>
      </c>
    </row>
    <row r="308" spans="1:9" ht="15">
      <c r="A308" s="47" t="s">
        <v>2997</v>
      </c>
      <c r="B308" s="47" t="s">
        <v>4561</v>
      </c>
      <c r="C308" s="47" t="s">
        <v>4558</v>
      </c>
      <c r="D308" s="47" t="s">
        <v>4559</v>
      </c>
      <c r="E308" s="47"/>
      <c r="F308" s="47"/>
      <c r="G308" s="47"/>
      <c r="H308" s="47" t="s">
        <v>3605</v>
      </c>
      <c r="I308" s="47" t="s">
        <v>2997</v>
      </c>
    </row>
    <row r="309" spans="1:9" ht="15">
      <c r="A309" s="47" t="s">
        <v>58</v>
      </c>
      <c r="B309" s="47" t="s">
        <v>4562</v>
      </c>
      <c r="C309" s="47" t="s">
        <v>4558</v>
      </c>
      <c r="D309" s="47" t="s">
        <v>4559</v>
      </c>
      <c r="E309" s="47"/>
      <c r="F309" s="47"/>
      <c r="G309" s="47"/>
      <c r="H309" s="47" t="s">
        <v>3605</v>
      </c>
      <c r="I309" s="47" t="s">
        <v>58</v>
      </c>
    </row>
    <row r="310" spans="1:9" ht="15">
      <c r="A310" s="47" t="s">
        <v>2999</v>
      </c>
      <c r="B310" s="47" t="s">
        <v>4563</v>
      </c>
      <c r="C310" s="47" t="s">
        <v>4558</v>
      </c>
      <c r="D310" s="47" t="s">
        <v>4559</v>
      </c>
      <c r="E310" s="47"/>
      <c r="F310" s="47"/>
      <c r="G310" s="47"/>
      <c r="H310" s="47" t="s">
        <v>3605</v>
      </c>
      <c r="I310" s="47" t="s">
        <v>2999</v>
      </c>
    </row>
    <row r="311" spans="1:9" ht="15">
      <c r="A311" s="47" t="s">
        <v>59</v>
      </c>
      <c r="B311" s="47" t="s">
        <v>4564</v>
      </c>
      <c r="C311" s="47" t="s">
        <v>4558</v>
      </c>
      <c r="D311" s="47" t="s">
        <v>4559</v>
      </c>
      <c r="E311" s="47"/>
      <c r="F311" s="47"/>
      <c r="G311" s="47"/>
      <c r="H311" s="47" t="s">
        <v>3605</v>
      </c>
      <c r="I311" s="47" t="s">
        <v>59</v>
      </c>
    </row>
    <row r="312" spans="1:9" ht="15">
      <c r="A312" s="47" t="s">
        <v>60</v>
      </c>
      <c r="B312" s="47" t="s">
        <v>4565</v>
      </c>
      <c r="C312" s="47" t="s">
        <v>4558</v>
      </c>
      <c r="D312" s="47" t="s">
        <v>4559</v>
      </c>
      <c r="E312" s="47"/>
      <c r="F312" s="47"/>
      <c r="G312" s="47"/>
      <c r="H312" s="47" t="s">
        <v>3605</v>
      </c>
      <c r="I312" s="47" t="s">
        <v>60</v>
      </c>
    </row>
    <row r="313" spans="1:9" ht="15">
      <c r="A313" s="47" t="s">
        <v>61</v>
      </c>
      <c r="B313" s="47" t="s">
        <v>4566</v>
      </c>
      <c r="C313" s="47" t="s">
        <v>4558</v>
      </c>
      <c r="D313" s="47" t="s">
        <v>4559</v>
      </c>
      <c r="E313" s="47"/>
      <c r="F313" s="47"/>
      <c r="G313" s="47"/>
      <c r="H313" s="47" t="s">
        <v>3605</v>
      </c>
      <c r="I313" s="47" t="s">
        <v>61</v>
      </c>
    </row>
    <row r="314" spans="1:9" ht="15">
      <c r="A314" s="47" t="s">
        <v>62</v>
      </c>
      <c r="B314" s="47" t="s">
        <v>4567</v>
      </c>
      <c r="C314" s="47" t="s">
        <v>4558</v>
      </c>
      <c r="D314" s="47" t="s">
        <v>4559</v>
      </c>
      <c r="E314" s="47"/>
      <c r="F314" s="47"/>
      <c r="G314" s="47"/>
      <c r="H314" s="47" t="s">
        <v>3605</v>
      </c>
      <c r="I314" s="47" t="s">
        <v>62</v>
      </c>
    </row>
    <row r="315" spans="1:9" ht="15">
      <c r="A315" s="47" t="s">
        <v>63</v>
      </c>
      <c r="B315" s="47" t="s">
        <v>4568</v>
      </c>
      <c r="C315" s="47" t="s">
        <v>4558</v>
      </c>
      <c r="D315" s="47" t="s">
        <v>4559</v>
      </c>
      <c r="E315" s="47"/>
      <c r="F315" s="47"/>
      <c r="G315" s="47"/>
      <c r="H315" s="47" t="s">
        <v>3605</v>
      </c>
      <c r="I315" s="47" t="s">
        <v>63</v>
      </c>
    </row>
    <row r="316" spans="1:9" ht="15">
      <c r="A316" s="47" t="s">
        <v>64</v>
      </c>
      <c r="B316" s="47" t="s">
        <v>4569</v>
      </c>
      <c r="C316" s="47" t="s">
        <v>4558</v>
      </c>
      <c r="D316" s="47" t="s">
        <v>4559</v>
      </c>
      <c r="E316" s="47"/>
      <c r="F316" s="47"/>
      <c r="G316" s="47"/>
      <c r="H316" s="47" t="s">
        <v>3605</v>
      </c>
      <c r="I316" s="47" t="s">
        <v>64</v>
      </c>
    </row>
    <row r="317" spans="1:9" ht="15">
      <c r="A317" s="47" t="s">
        <v>65</v>
      </c>
      <c r="B317" s="47" t="s">
        <v>4570</v>
      </c>
      <c r="C317" s="47" t="s">
        <v>4558</v>
      </c>
      <c r="D317" s="47" t="s">
        <v>4559</v>
      </c>
      <c r="E317" s="47"/>
      <c r="F317" s="47"/>
      <c r="G317" s="47"/>
      <c r="H317" s="47" t="s">
        <v>3605</v>
      </c>
      <c r="I317" s="47" t="s">
        <v>65</v>
      </c>
    </row>
    <row r="318" spans="1:9" ht="15">
      <c r="A318" s="47" t="s">
        <v>66</v>
      </c>
      <c r="B318" s="47" t="s">
        <v>4571</v>
      </c>
      <c r="C318" s="47" t="s">
        <v>4558</v>
      </c>
      <c r="D318" s="47" t="s">
        <v>4559</v>
      </c>
      <c r="E318" s="47"/>
      <c r="F318" s="47"/>
      <c r="G318" s="47"/>
      <c r="H318" s="47" t="s">
        <v>3605</v>
      </c>
      <c r="I318" s="47" t="s">
        <v>66</v>
      </c>
    </row>
    <row r="319" spans="1:9" ht="15">
      <c r="A319" s="47" t="s">
        <v>67</v>
      </c>
      <c r="B319" s="47" t="s">
        <v>4572</v>
      </c>
      <c r="C319" s="47" t="s">
        <v>4558</v>
      </c>
      <c r="D319" s="47" t="s">
        <v>4559</v>
      </c>
      <c r="E319" s="47"/>
      <c r="F319" s="47"/>
      <c r="G319" s="47"/>
      <c r="H319" s="47" t="s">
        <v>3605</v>
      </c>
      <c r="I319" s="47" t="s">
        <v>67</v>
      </c>
    </row>
    <row r="320" spans="1:9" ht="15">
      <c r="A320" s="47" t="s">
        <v>68</v>
      </c>
      <c r="B320" s="47" t="s">
        <v>4573</v>
      </c>
      <c r="C320" s="47" t="s">
        <v>4558</v>
      </c>
      <c r="D320" s="47" t="s">
        <v>4559</v>
      </c>
      <c r="E320" s="47"/>
      <c r="F320" s="47"/>
      <c r="G320" s="47"/>
      <c r="H320" s="47" t="s">
        <v>3605</v>
      </c>
      <c r="I320" s="47" t="s">
        <v>68</v>
      </c>
    </row>
    <row r="321" spans="1:9" ht="15">
      <c r="A321" s="47" t="s">
        <v>69</v>
      </c>
      <c r="B321" s="47" t="s">
        <v>4574</v>
      </c>
      <c r="C321" s="47" t="s">
        <v>4558</v>
      </c>
      <c r="D321" s="47" t="s">
        <v>4559</v>
      </c>
      <c r="E321" s="47"/>
      <c r="F321" s="47"/>
      <c r="G321" s="47"/>
      <c r="H321" s="47" t="s">
        <v>3605</v>
      </c>
      <c r="I321" s="47" t="s">
        <v>69</v>
      </c>
    </row>
    <row r="322" spans="1:9" ht="15">
      <c r="A322" s="47" t="s">
        <v>70</v>
      </c>
      <c r="B322" s="47" t="s">
        <v>4575</v>
      </c>
      <c r="C322" s="47" t="s">
        <v>4558</v>
      </c>
      <c r="D322" s="47" t="s">
        <v>4559</v>
      </c>
      <c r="E322" s="47"/>
      <c r="F322" s="47"/>
      <c r="G322" s="47"/>
      <c r="H322" s="47" t="s">
        <v>3605</v>
      </c>
      <c r="I322" s="47" t="s">
        <v>70</v>
      </c>
    </row>
    <row r="323" spans="1:9" ht="15">
      <c r="A323" s="47" t="s">
        <v>71</v>
      </c>
      <c r="B323" s="47" t="s">
        <v>4576</v>
      </c>
      <c r="C323" s="47" t="s">
        <v>4558</v>
      </c>
      <c r="D323" s="47" t="s">
        <v>4559</v>
      </c>
      <c r="E323" s="47"/>
      <c r="F323" s="47"/>
      <c r="G323" s="47"/>
      <c r="H323" s="47" t="s">
        <v>3605</v>
      </c>
      <c r="I323" s="47" t="s">
        <v>71</v>
      </c>
    </row>
    <row r="324" spans="1:9" ht="15">
      <c r="A324" s="47" t="s">
        <v>72</v>
      </c>
      <c r="B324" s="47" t="s">
        <v>4577</v>
      </c>
      <c r="C324" s="47" t="s">
        <v>4558</v>
      </c>
      <c r="D324" s="47" t="s">
        <v>4559</v>
      </c>
      <c r="E324" s="47"/>
      <c r="F324" s="47"/>
      <c r="G324" s="47"/>
      <c r="H324" s="47" t="s">
        <v>3605</v>
      </c>
      <c r="I324" s="47" t="s">
        <v>72</v>
      </c>
    </row>
    <row r="325" spans="1:9" ht="15">
      <c r="A325" s="47" t="s">
        <v>73</v>
      </c>
      <c r="B325" s="47" t="s">
        <v>4578</v>
      </c>
      <c r="C325" s="47" t="s">
        <v>4558</v>
      </c>
      <c r="D325" s="47" t="s">
        <v>4559</v>
      </c>
      <c r="E325" s="47"/>
      <c r="F325" s="47"/>
      <c r="G325" s="47"/>
      <c r="H325" s="47" t="s">
        <v>3605</v>
      </c>
      <c r="I325" s="47" t="s">
        <v>73</v>
      </c>
    </row>
    <row r="326" spans="1:9" ht="15">
      <c r="A326" s="47" t="s">
        <v>74</v>
      </c>
      <c r="B326" s="47" t="s">
        <v>4579</v>
      </c>
      <c r="C326" s="47" t="s">
        <v>4558</v>
      </c>
      <c r="D326" s="47" t="s">
        <v>4559</v>
      </c>
      <c r="E326" s="47"/>
      <c r="F326" s="47"/>
      <c r="G326" s="47"/>
      <c r="H326" s="47" t="s">
        <v>3605</v>
      </c>
      <c r="I326" s="47" t="s">
        <v>74</v>
      </c>
    </row>
    <row r="327" spans="1:9" ht="15">
      <c r="A327" s="47" t="s">
        <v>75</v>
      </c>
      <c r="B327" s="47" t="s">
        <v>4580</v>
      </c>
      <c r="C327" s="47" t="s">
        <v>4558</v>
      </c>
      <c r="D327" s="47" t="s">
        <v>4559</v>
      </c>
      <c r="E327" s="47"/>
      <c r="F327" s="47"/>
      <c r="G327" s="47"/>
      <c r="H327" s="47" t="s">
        <v>3605</v>
      </c>
      <c r="I327" s="47" t="s">
        <v>75</v>
      </c>
    </row>
    <row r="328" spans="1:9" ht="15">
      <c r="A328" s="47" t="s">
        <v>76</v>
      </c>
      <c r="B328" s="47" t="s">
        <v>4581</v>
      </c>
      <c r="C328" s="47" t="s">
        <v>4558</v>
      </c>
      <c r="D328" s="47" t="s">
        <v>4559</v>
      </c>
      <c r="E328" s="47"/>
      <c r="F328" s="47"/>
      <c r="G328" s="47"/>
      <c r="H328" s="47" t="s">
        <v>3605</v>
      </c>
      <c r="I328" s="47" t="s">
        <v>76</v>
      </c>
    </row>
    <row r="329" spans="1:9" ht="15">
      <c r="A329" s="47" t="s">
        <v>77</v>
      </c>
      <c r="B329" s="47" t="s">
        <v>4582</v>
      </c>
      <c r="C329" s="47" t="s">
        <v>4558</v>
      </c>
      <c r="D329" s="47" t="s">
        <v>4559</v>
      </c>
      <c r="E329" s="47"/>
      <c r="F329" s="47"/>
      <c r="G329" s="47"/>
      <c r="H329" s="47" t="s">
        <v>3605</v>
      </c>
      <c r="I329" s="47" t="s">
        <v>77</v>
      </c>
    </row>
    <row r="330" spans="1:9" ht="15">
      <c r="A330" s="47" t="s">
        <v>78</v>
      </c>
      <c r="B330" s="47" t="s">
        <v>4583</v>
      </c>
      <c r="C330" s="47" t="s">
        <v>4558</v>
      </c>
      <c r="D330" s="47" t="s">
        <v>4559</v>
      </c>
      <c r="E330" s="47"/>
      <c r="F330" s="47"/>
      <c r="G330" s="47"/>
      <c r="H330" s="47" t="s">
        <v>3605</v>
      </c>
      <c r="I330" s="47" t="s">
        <v>78</v>
      </c>
    </row>
    <row r="331" spans="1:9" ht="15">
      <c r="A331" s="47" t="s">
        <v>79</v>
      </c>
      <c r="B331" s="47" t="s">
        <v>4584</v>
      </c>
      <c r="C331" s="47" t="s">
        <v>4558</v>
      </c>
      <c r="D331" s="47" t="s">
        <v>4559</v>
      </c>
      <c r="E331" s="47"/>
      <c r="F331" s="47"/>
      <c r="G331" s="47"/>
      <c r="H331" s="47" t="s">
        <v>3605</v>
      </c>
      <c r="I331" s="47" t="s">
        <v>79</v>
      </c>
    </row>
    <row r="332" spans="1:9" ht="15">
      <c r="A332" s="47" t="s">
        <v>80</v>
      </c>
      <c r="B332" s="47" t="s">
        <v>4585</v>
      </c>
      <c r="C332" s="47" t="s">
        <v>4558</v>
      </c>
      <c r="D332" s="47" t="s">
        <v>4559</v>
      </c>
      <c r="E332" s="47"/>
      <c r="F332" s="47"/>
      <c r="G332" s="47"/>
      <c r="H332" s="47" t="s">
        <v>3605</v>
      </c>
      <c r="I332" s="47" t="s">
        <v>80</v>
      </c>
    </row>
    <row r="333" spans="1:9" ht="15">
      <c r="A333" s="47" t="s">
        <v>81</v>
      </c>
      <c r="B333" s="47" t="s">
        <v>4586</v>
      </c>
      <c r="C333" s="47" t="s">
        <v>4558</v>
      </c>
      <c r="D333" s="47" t="s">
        <v>4559</v>
      </c>
      <c r="E333" s="47"/>
      <c r="F333" s="47"/>
      <c r="G333" s="47"/>
      <c r="H333" s="47" t="s">
        <v>3605</v>
      </c>
      <c r="I333" s="47" t="s">
        <v>81</v>
      </c>
    </row>
    <row r="334" spans="1:9" ht="15">
      <c r="A334" s="47" t="s">
        <v>82</v>
      </c>
      <c r="B334" s="47" t="s">
        <v>4587</v>
      </c>
      <c r="C334" s="47" t="s">
        <v>4558</v>
      </c>
      <c r="D334" s="47" t="s">
        <v>4559</v>
      </c>
      <c r="E334" s="47"/>
      <c r="F334" s="47"/>
      <c r="G334" s="47"/>
      <c r="H334" s="47" t="s">
        <v>3605</v>
      </c>
      <c r="I334" s="47" t="s">
        <v>82</v>
      </c>
    </row>
    <row r="335" spans="1:9" ht="15">
      <c r="A335" s="47" t="s">
        <v>83</v>
      </c>
      <c r="B335" s="47" t="s">
        <v>4588</v>
      </c>
      <c r="C335" s="47" t="s">
        <v>4558</v>
      </c>
      <c r="D335" s="47" t="s">
        <v>4559</v>
      </c>
      <c r="E335" s="47"/>
      <c r="F335" s="47"/>
      <c r="G335" s="47"/>
      <c r="H335" s="47" t="s">
        <v>3605</v>
      </c>
      <c r="I335" s="47" t="s">
        <v>83</v>
      </c>
    </row>
    <row r="336" spans="1:9" ht="15">
      <c r="A336" s="47" t="s">
        <v>84</v>
      </c>
      <c r="B336" s="47" t="s">
        <v>4589</v>
      </c>
      <c r="C336" s="47" t="s">
        <v>4558</v>
      </c>
      <c r="D336" s="47" t="s">
        <v>4559</v>
      </c>
      <c r="E336" s="47"/>
      <c r="F336" s="47"/>
      <c r="G336" s="47"/>
      <c r="H336" s="47" t="s">
        <v>3605</v>
      </c>
      <c r="I336" s="47" t="s">
        <v>84</v>
      </c>
    </row>
    <row r="337" spans="1:9" ht="15">
      <c r="A337" s="47" t="s">
        <v>85</v>
      </c>
      <c r="B337" s="47" t="s">
        <v>4590</v>
      </c>
      <c r="C337" s="47" t="s">
        <v>4558</v>
      </c>
      <c r="D337" s="47" t="s">
        <v>4559</v>
      </c>
      <c r="E337" s="47"/>
      <c r="F337" s="47"/>
      <c r="G337" s="47"/>
      <c r="H337" s="47" t="s">
        <v>3605</v>
      </c>
      <c r="I337" s="47" t="s">
        <v>85</v>
      </c>
    </row>
    <row r="338" spans="1:9" ht="15">
      <c r="A338" s="47" t="s">
        <v>86</v>
      </c>
      <c r="B338" s="47" t="s">
        <v>4591</v>
      </c>
      <c r="C338" s="47" t="s">
        <v>4558</v>
      </c>
      <c r="D338" s="47" t="s">
        <v>4559</v>
      </c>
      <c r="E338" s="47"/>
      <c r="F338" s="47"/>
      <c r="G338" s="47"/>
      <c r="H338" s="47" t="s">
        <v>3605</v>
      </c>
      <c r="I338" s="47" t="s">
        <v>86</v>
      </c>
    </row>
    <row r="339" spans="1:9" ht="15">
      <c r="A339" s="47" t="s">
        <v>87</v>
      </c>
      <c r="B339" s="47" t="s">
        <v>4592</v>
      </c>
      <c r="C339" s="47" t="s">
        <v>4558</v>
      </c>
      <c r="D339" s="47" t="s">
        <v>4559</v>
      </c>
      <c r="E339" s="47"/>
      <c r="F339" s="47"/>
      <c r="G339" s="47"/>
      <c r="H339" s="47" t="s">
        <v>3605</v>
      </c>
      <c r="I339" s="47" t="s">
        <v>87</v>
      </c>
    </row>
    <row r="340" spans="1:9" ht="15">
      <c r="A340" s="47" t="s">
        <v>88</v>
      </c>
      <c r="B340" s="47" t="s">
        <v>4593</v>
      </c>
      <c r="C340" s="47" t="s">
        <v>4558</v>
      </c>
      <c r="D340" s="47" t="s">
        <v>4559</v>
      </c>
      <c r="E340" s="47"/>
      <c r="F340" s="47"/>
      <c r="G340" s="47"/>
      <c r="H340" s="47" t="s">
        <v>3605</v>
      </c>
      <c r="I340" s="47" t="s">
        <v>88</v>
      </c>
    </row>
    <row r="341" spans="1:9" ht="15">
      <c r="A341" s="47" t="s">
        <v>89</v>
      </c>
      <c r="B341" s="47" t="s">
        <v>4594</v>
      </c>
      <c r="C341" s="47" t="s">
        <v>4558</v>
      </c>
      <c r="D341" s="47" t="s">
        <v>4559</v>
      </c>
      <c r="E341" s="47"/>
      <c r="F341" s="47"/>
      <c r="G341" s="47"/>
      <c r="H341" s="47" t="s">
        <v>3605</v>
      </c>
      <c r="I341" s="47" t="s">
        <v>89</v>
      </c>
    </row>
    <row r="342" spans="1:9" ht="15">
      <c r="A342" s="47" t="s">
        <v>90</v>
      </c>
      <c r="B342" s="47" t="s">
        <v>4595</v>
      </c>
      <c r="C342" s="47" t="s">
        <v>4558</v>
      </c>
      <c r="D342" s="47" t="s">
        <v>4559</v>
      </c>
      <c r="E342" s="47"/>
      <c r="F342" s="47"/>
      <c r="G342" s="47"/>
      <c r="H342" s="47" t="s">
        <v>3605</v>
      </c>
      <c r="I342" s="47" t="s">
        <v>90</v>
      </c>
    </row>
    <row r="343" spans="1:9" ht="15">
      <c r="A343" s="47" t="s">
        <v>91</v>
      </c>
      <c r="B343" s="47" t="s">
        <v>4596</v>
      </c>
      <c r="C343" s="47" t="s">
        <v>4558</v>
      </c>
      <c r="D343" s="47" t="s">
        <v>4559</v>
      </c>
      <c r="E343" s="47"/>
      <c r="F343" s="47"/>
      <c r="G343" s="47"/>
      <c r="H343" s="47" t="s">
        <v>3605</v>
      </c>
      <c r="I343" s="47" t="s">
        <v>91</v>
      </c>
    </row>
    <row r="344" spans="1:9" ht="15">
      <c r="A344" s="47" t="s">
        <v>92</v>
      </c>
      <c r="B344" s="47" t="s">
        <v>4597</v>
      </c>
      <c r="C344" s="47" t="s">
        <v>4558</v>
      </c>
      <c r="D344" s="47" t="s">
        <v>4559</v>
      </c>
      <c r="E344" s="47"/>
      <c r="F344" s="47"/>
      <c r="G344" s="47"/>
      <c r="H344" s="47" t="s">
        <v>3605</v>
      </c>
      <c r="I344" s="47" t="s">
        <v>92</v>
      </c>
    </row>
    <row r="345" spans="1:9" ht="15">
      <c r="A345" s="47" t="s">
        <v>93</v>
      </c>
      <c r="B345" s="47" t="s">
        <v>4598</v>
      </c>
      <c r="C345" s="47" t="s">
        <v>4558</v>
      </c>
      <c r="D345" s="47" t="s">
        <v>4559</v>
      </c>
      <c r="E345" s="47"/>
      <c r="F345" s="47"/>
      <c r="G345" s="47"/>
      <c r="H345" s="47" t="s">
        <v>3605</v>
      </c>
      <c r="I345" s="47" t="s">
        <v>93</v>
      </c>
    </row>
    <row r="346" spans="1:9" ht="15">
      <c r="A346" s="47" t="s">
        <v>94</v>
      </c>
      <c r="B346" s="47" t="s">
        <v>4599</v>
      </c>
      <c r="C346" s="47" t="s">
        <v>4558</v>
      </c>
      <c r="D346" s="47" t="s">
        <v>4559</v>
      </c>
      <c r="E346" s="47"/>
      <c r="F346" s="47"/>
      <c r="G346" s="47"/>
      <c r="H346" s="47" t="s">
        <v>3605</v>
      </c>
      <c r="I346" s="47" t="s">
        <v>94</v>
      </c>
    </row>
    <row r="347" spans="1:9" ht="15">
      <c r="A347" s="47" t="s">
        <v>95</v>
      </c>
      <c r="B347" s="47" t="s">
        <v>4600</v>
      </c>
      <c r="C347" s="47" t="s">
        <v>4558</v>
      </c>
      <c r="D347" s="47" t="s">
        <v>4559</v>
      </c>
      <c r="E347" s="47"/>
      <c r="F347" s="47"/>
      <c r="G347" s="47"/>
      <c r="H347" s="47" t="s">
        <v>3605</v>
      </c>
      <c r="I347" s="47" t="s">
        <v>95</v>
      </c>
    </row>
    <row r="348" spans="1:9" ht="15">
      <c r="A348" s="47" t="s">
        <v>96</v>
      </c>
      <c r="B348" s="47" t="s">
        <v>4601</v>
      </c>
      <c r="C348" s="47" t="s">
        <v>4558</v>
      </c>
      <c r="D348" s="47" t="s">
        <v>4559</v>
      </c>
      <c r="E348" s="47"/>
      <c r="F348" s="47"/>
      <c r="G348" s="47"/>
      <c r="H348" s="47" t="s">
        <v>3605</v>
      </c>
      <c r="I348" s="47" t="s">
        <v>96</v>
      </c>
    </row>
    <row r="349" spans="1:9" ht="15">
      <c r="A349" s="47" t="s">
        <v>97</v>
      </c>
      <c r="B349" s="47" t="s">
        <v>4602</v>
      </c>
      <c r="C349" s="47" t="s">
        <v>4558</v>
      </c>
      <c r="D349" s="47" t="s">
        <v>4559</v>
      </c>
      <c r="E349" s="47"/>
      <c r="F349" s="47"/>
      <c r="G349" s="47"/>
      <c r="H349" s="47" t="s">
        <v>3605</v>
      </c>
      <c r="I349" s="47" t="s">
        <v>97</v>
      </c>
    </row>
    <row r="350" spans="1:9" ht="15">
      <c r="A350" s="47" t="s">
        <v>98</v>
      </c>
      <c r="B350" s="47" t="s">
        <v>4603</v>
      </c>
      <c r="C350" s="47" t="s">
        <v>4558</v>
      </c>
      <c r="D350" s="47" t="s">
        <v>4559</v>
      </c>
      <c r="E350" s="47"/>
      <c r="F350" s="47"/>
      <c r="G350" s="47"/>
      <c r="H350" s="47" t="s">
        <v>3605</v>
      </c>
      <c r="I350" s="47" t="s">
        <v>98</v>
      </c>
    </row>
    <row r="351" spans="1:9" ht="15">
      <c r="A351" s="47" t="s">
        <v>99</v>
      </c>
      <c r="B351" s="47" t="s">
        <v>4604</v>
      </c>
      <c r="C351" s="47" t="s">
        <v>4558</v>
      </c>
      <c r="D351" s="47" t="s">
        <v>4559</v>
      </c>
      <c r="E351" s="47"/>
      <c r="F351" s="47"/>
      <c r="G351" s="47"/>
      <c r="H351" s="47" t="s">
        <v>3605</v>
      </c>
      <c r="I351" s="47" t="s">
        <v>99</v>
      </c>
    </row>
    <row r="352" spans="1:9" ht="15">
      <c r="A352" s="47" t="s">
        <v>100</v>
      </c>
      <c r="B352" s="47" t="s">
        <v>4605</v>
      </c>
      <c r="C352" s="47" t="s">
        <v>4558</v>
      </c>
      <c r="D352" s="47" t="s">
        <v>4559</v>
      </c>
      <c r="E352" s="47"/>
      <c r="F352" s="47"/>
      <c r="G352" s="47"/>
      <c r="H352" s="47" t="s">
        <v>3605</v>
      </c>
      <c r="I352" s="47" t="s">
        <v>100</v>
      </c>
    </row>
    <row r="353" spans="1:9" ht="15">
      <c r="A353" s="47" t="s">
        <v>101</v>
      </c>
      <c r="B353" s="47" t="s">
        <v>4606</v>
      </c>
      <c r="C353" s="47" t="s">
        <v>4558</v>
      </c>
      <c r="D353" s="47" t="s">
        <v>4559</v>
      </c>
      <c r="E353" s="47"/>
      <c r="F353" s="47"/>
      <c r="G353" s="47"/>
      <c r="H353" s="47" t="s">
        <v>3605</v>
      </c>
      <c r="I353" s="47" t="s">
        <v>101</v>
      </c>
    </row>
    <row r="354" spans="1:9" ht="15">
      <c r="A354" s="47" t="s">
        <v>102</v>
      </c>
      <c r="B354" s="47" t="s">
        <v>4607</v>
      </c>
      <c r="C354" s="47" t="s">
        <v>4558</v>
      </c>
      <c r="D354" s="47" t="s">
        <v>4559</v>
      </c>
      <c r="E354" s="47"/>
      <c r="F354" s="47"/>
      <c r="G354" s="47"/>
      <c r="H354" s="47" t="s">
        <v>3605</v>
      </c>
      <c r="I354" s="47" t="s">
        <v>102</v>
      </c>
    </row>
    <row r="355" spans="1:9" ht="15">
      <c r="A355" s="47" t="s">
        <v>103</v>
      </c>
      <c r="B355" s="47" t="s">
        <v>4608</v>
      </c>
      <c r="C355" s="47" t="s">
        <v>4558</v>
      </c>
      <c r="D355" s="47" t="s">
        <v>4559</v>
      </c>
      <c r="E355" s="47"/>
      <c r="F355" s="47"/>
      <c r="G355" s="47"/>
      <c r="H355" s="47" t="s">
        <v>3605</v>
      </c>
      <c r="I355" s="47" t="s">
        <v>103</v>
      </c>
    </row>
    <row r="356" spans="1:9" ht="15">
      <c r="A356" s="47" t="s">
        <v>104</v>
      </c>
      <c r="B356" s="47" t="s">
        <v>4609</v>
      </c>
      <c r="C356" s="47" t="s">
        <v>4558</v>
      </c>
      <c r="D356" s="47" t="s">
        <v>4559</v>
      </c>
      <c r="E356" s="47"/>
      <c r="F356" s="47"/>
      <c r="G356" s="47"/>
      <c r="H356" s="47" t="s">
        <v>3605</v>
      </c>
      <c r="I356" s="47" t="s">
        <v>104</v>
      </c>
    </row>
    <row r="357" spans="1:9" ht="15">
      <c r="A357" s="47" t="s">
        <v>105</v>
      </c>
      <c r="B357" s="47" t="s">
        <v>4610</v>
      </c>
      <c r="C357" s="47" t="s">
        <v>4558</v>
      </c>
      <c r="D357" s="47" t="s">
        <v>4559</v>
      </c>
      <c r="E357" s="47"/>
      <c r="F357" s="47"/>
      <c r="G357" s="47"/>
      <c r="H357" s="47" t="s">
        <v>3605</v>
      </c>
      <c r="I357" s="47" t="s">
        <v>105</v>
      </c>
    </row>
    <row r="358" spans="1:9" ht="15">
      <c r="A358" s="47" t="s">
        <v>106</v>
      </c>
      <c r="B358" s="47" t="s">
        <v>4611</v>
      </c>
      <c r="C358" s="47" t="s">
        <v>4558</v>
      </c>
      <c r="D358" s="47" t="s">
        <v>4559</v>
      </c>
      <c r="E358" s="47"/>
      <c r="F358" s="47"/>
      <c r="G358" s="47"/>
      <c r="H358" s="47" t="s">
        <v>3605</v>
      </c>
      <c r="I358" s="47" t="s">
        <v>106</v>
      </c>
    </row>
    <row r="359" spans="1:9" ht="15">
      <c r="A359" s="47" t="s">
        <v>107</v>
      </c>
      <c r="B359" s="47" t="s">
        <v>4612</v>
      </c>
      <c r="C359" s="47" t="s">
        <v>4558</v>
      </c>
      <c r="D359" s="47" t="s">
        <v>4559</v>
      </c>
      <c r="E359" s="47"/>
      <c r="F359" s="47"/>
      <c r="G359" s="47"/>
      <c r="H359" s="47" t="s">
        <v>3605</v>
      </c>
      <c r="I359" s="47" t="s">
        <v>107</v>
      </c>
    </row>
    <row r="360" spans="1:9" ht="15">
      <c r="A360" s="47" t="s">
        <v>108</v>
      </c>
      <c r="B360" s="47" t="s">
        <v>4613</v>
      </c>
      <c r="C360" s="47" t="s">
        <v>4558</v>
      </c>
      <c r="D360" s="47" t="s">
        <v>4559</v>
      </c>
      <c r="E360" s="47"/>
      <c r="F360" s="47"/>
      <c r="G360" s="47"/>
      <c r="H360" s="47" t="s">
        <v>3605</v>
      </c>
      <c r="I360" s="47" t="s">
        <v>108</v>
      </c>
    </row>
    <row r="361" spans="1:9" ht="15">
      <c r="A361" s="47" t="s">
        <v>109</v>
      </c>
      <c r="B361" s="47" t="s">
        <v>4614</v>
      </c>
      <c r="C361" s="47" t="s">
        <v>4558</v>
      </c>
      <c r="D361" s="47" t="s">
        <v>4559</v>
      </c>
      <c r="E361" s="47"/>
      <c r="F361" s="47"/>
      <c r="G361" s="47"/>
      <c r="H361" s="47" t="s">
        <v>3605</v>
      </c>
      <c r="I361" s="47" t="s">
        <v>109</v>
      </c>
    </row>
    <row r="362" spans="1:9" ht="15">
      <c r="A362" s="47" t="s">
        <v>110</v>
      </c>
      <c r="B362" s="47" t="s">
        <v>4615</v>
      </c>
      <c r="C362" s="47" t="s">
        <v>4558</v>
      </c>
      <c r="D362" s="47" t="s">
        <v>4559</v>
      </c>
      <c r="E362" s="47"/>
      <c r="F362" s="47"/>
      <c r="G362" s="47"/>
      <c r="H362" s="47" t="s">
        <v>3605</v>
      </c>
      <c r="I362" s="47" t="s">
        <v>110</v>
      </c>
    </row>
    <row r="363" spans="1:9" ht="15">
      <c r="A363" s="47" t="s">
        <v>111</v>
      </c>
      <c r="B363" s="47" t="s">
        <v>4616</v>
      </c>
      <c r="C363" s="47" t="s">
        <v>4558</v>
      </c>
      <c r="D363" s="47" t="s">
        <v>4559</v>
      </c>
      <c r="E363" s="47"/>
      <c r="F363" s="47"/>
      <c r="G363" s="47"/>
      <c r="H363" s="47" t="s">
        <v>3605</v>
      </c>
      <c r="I363" s="47" t="s">
        <v>111</v>
      </c>
    </row>
    <row r="364" spans="1:9" ht="15">
      <c r="A364" s="47" t="s">
        <v>112</v>
      </c>
      <c r="B364" s="47" t="s">
        <v>4617</v>
      </c>
      <c r="C364" s="47" t="s">
        <v>4558</v>
      </c>
      <c r="D364" s="47" t="s">
        <v>4559</v>
      </c>
      <c r="E364" s="47"/>
      <c r="F364" s="47"/>
      <c r="G364" s="47"/>
      <c r="H364" s="47" t="s">
        <v>3605</v>
      </c>
      <c r="I364" s="47" t="s">
        <v>112</v>
      </c>
    </row>
    <row r="365" spans="1:9" ht="15">
      <c r="A365" s="47" t="s">
        <v>113</v>
      </c>
      <c r="B365" s="47" t="s">
        <v>4618</v>
      </c>
      <c r="C365" s="47" t="s">
        <v>4558</v>
      </c>
      <c r="D365" s="47" t="s">
        <v>4559</v>
      </c>
      <c r="E365" s="47"/>
      <c r="F365" s="47"/>
      <c r="G365" s="47"/>
      <c r="H365" s="47" t="s">
        <v>3605</v>
      </c>
      <c r="I365" s="47" t="s">
        <v>113</v>
      </c>
    </row>
    <row r="366" spans="1:9" ht="15">
      <c r="A366" s="47" t="s">
        <v>114</v>
      </c>
      <c r="B366" s="47" t="s">
        <v>4619</v>
      </c>
      <c r="C366" s="47" t="s">
        <v>4558</v>
      </c>
      <c r="D366" s="47" t="s">
        <v>4559</v>
      </c>
      <c r="E366" s="47"/>
      <c r="F366" s="47"/>
      <c r="G366" s="47"/>
      <c r="H366" s="47" t="s">
        <v>3605</v>
      </c>
      <c r="I366" s="47" t="s">
        <v>114</v>
      </c>
    </row>
    <row r="367" spans="1:9" ht="15">
      <c r="A367" s="47" t="s">
        <v>115</v>
      </c>
      <c r="B367" s="47" t="s">
        <v>4620</v>
      </c>
      <c r="C367" s="47" t="s">
        <v>4558</v>
      </c>
      <c r="D367" s="47" t="s">
        <v>4559</v>
      </c>
      <c r="E367" s="47"/>
      <c r="F367" s="47"/>
      <c r="G367" s="47"/>
      <c r="H367" s="47" t="s">
        <v>3605</v>
      </c>
      <c r="I367" s="47" t="s">
        <v>115</v>
      </c>
    </row>
    <row r="368" spans="1:9" ht="15">
      <c r="A368" s="47" t="s">
        <v>116</v>
      </c>
      <c r="B368" s="47" t="s">
        <v>4621</v>
      </c>
      <c r="C368" s="47" t="s">
        <v>4558</v>
      </c>
      <c r="D368" s="47" t="s">
        <v>4559</v>
      </c>
      <c r="E368" s="47"/>
      <c r="F368" s="47"/>
      <c r="G368" s="47"/>
      <c r="H368" s="47" t="s">
        <v>3605</v>
      </c>
      <c r="I368" s="47" t="s">
        <v>116</v>
      </c>
    </row>
    <row r="369" spans="1:9" ht="15">
      <c r="A369" s="47" t="s">
        <v>117</v>
      </c>
      <c r="B369" s="47" t="s">
        <v>4622</v>
      </c>
      <c r="C369" s="47" t="s">
        <v>4558</v>
      </c>
      <c r="D369" s="47" t="s">
        <v>4559</v>
      </c>
      <c r="E369" s="47"/>
      <c r="F369" s="47"/>
      <c r="G369" s="47"/>
      <c r="H369" s="47" t="s">
        <v>3605</v>
      </c>
      <c r="I369" s="47" t="s">
        <v>117</v>
      </c>
    </row>
    <row r="370" spans="1:9" ht="15">
      <c r="A370" s="47" t="s">
        <v>118</v>
      </c>
      <c r="B370" s="47" t="s">
        <v>4623</v>
      </c>
      <c r="C370" s="47" t="s">
        <v>4558</v>
      </c>
      <c r="D370" s="47" t="s">
        <v>4559</v>
      </c>
      <c r="E370" s="47"/>
      <c r="F370" s="47"/>
      <c r="G370" s="47"/>
      <c r="H370" s="47" t="s">
        <v>3605</v>
      </c>
      <c r="I370" s="47" t="s">
        <v>118</v>
      </c>
    </row>
    <row r="371" spans="1:9" ht="15">
      <c r="A371" s="47" t="s">
        <v>119</v>
      </c>
      <c r="B371" s="47" t="s">
        <v>4624</v>
      </c>
      <c r="C371" s="47" t="s">
        <v>4558</v>
      </c>
      <c r="D371" s="47" t="s">
        <v>4559</v>
      </c>
      <c r="E371" s="47"/>
      <c r="F371" s="47"/>
      <c r="G371" s="47"/>
      <c r="H371" s="47" t="s">
        <v>3605</v>
      </c>
      <c r="I371" s="47" t="s">
        <v>119</v>
      </c>
    </row>
    <row r="372" spans="1:9" ht="15">
      <c r="A372" s="47" t="s">
        <v>120</v>
      </c>
      <c r="B372" s="47" t="s">
        <v>4625</v>
      </c>
      <c r="C372" s="47" t="s">
        <v>4558</v>
      </c>
      <c r="D372" s="47" t="s">
        <v>4559</v>
      </c>
      <c r="E372" s="47"/>
      <c r="F372" s="47"/>
      <c r="G372" s="47"/>
      <c r="H372" s="47" t="s">
        <v>3605</v>
      </c>
      <c r="I372" s="47" t="s">
        <v>120</v>
      </c>
    </row>
    <row r="373" spans="1:9" ht="15">
      <c r="A373" s="47" t="s">
        <v>121</v>
      </c>
      <c r="B373" s="47" t="s">
        <v>4626</v>
      </c>
      <c r="C373" s="47" t="s">
        <v>4558</v>
      </c>
      <c r="D373" s="47" t="s">
        <v>4559</v>
      </c>
      <c r="E373" s="47"/>
      <c r="F373" s="47"/>
      <c r="G373" s="47"/>
      <c r="H373" s="47" t="s">
        <v>3605</v>
      </c>
      <c r="I373" s="47" t="s">
        <v>121</v>
      </c>
    </row>
    <row r="374" spans="1:9" ht="15">
      <c r="A374" s="47" t="s">
        <v>122</v>
      </c>
      <c r="B374" s="47" t="s">
        <v>4627</v>
      </c>
      <c r="C374" s="47" t="s">
        <v>4558</v>
      </c>
      <c r="D374" s="47" t="s">
        <v>4559</v>
      </c>
      <c r="E374" s="47"/>
      <c r="F374" s="47"/>
      <c r="G374" s="47"/>
      <c r="H374" s="47" t="s">
        <v>3605</v>
      </c>
      <c r="I374" s="47" t="s">
        <v>122</v>
      </c>
    </row>
    <row r="375" spans="1:9" ht="15">
      <c r="A375" s="47" t="s">
        <v>123</v>
      </c>
      <c r="B375" s="47" t="s">
        <v>4628</v>
      </c>
      <c r="C375" s="47" t="s">
        <v>4558</v>
      </c>
      <c r="D375" s="47" t="s">
        <v>4559</v>
      </c>
      <c r="E375" s="47"/>
      <c r="F375" s="47"/>
      <c r="G375" s="47"/>
      <c r="H375" s="47" t="s">
        <v>3605</v>
      </c>
      <c r="I375" s="47" t="s">
        <v>123</v>
      </c>
    </row>
    <row r="376" spans="1:9" ht="15">
      <c r="A376" s="47" t="s">
        <v>124</v>
      </c>
      <c r="B376" s="47" t="s">
        <v>4629</v>
      </c>
      <c r="C376" s="47" t="s">
        <v>4558</v>
      </c>
      <c r="D376" s="47" t="s">
        <v>4559</v>
      </c>
      <c r="E376" s="47"/>
      <c r="F376" s="47"/>
      <c r="G376" s="47"/>
      <c r="H376" s="47" t="s">
        <v>3605</v>
      </c>
      <c r="I376" s="47" t="s">
        <v>124</v>
      </c>
    </row>
    <row r="377" spans="1:9" ht="15">
      <c r="A377" s="47" t="s">
        <v>125</v>
      </c>
      <c r="B377" s="47" t="s">
        <v>4630</v>
      </c>
      <c r="C377" s="47" t="s">
        <v>4558</v>
      </c>
      <c r="D377" s="47" t="s">
        <v>4559</v>
      </c>
      <c r="E377" s="47"/>
      <c r="F377" s="47"/>
      <c r="G377" s="47"/>
      <c r="H377" s="47" t="s">
        <v>3605</v>
      </c>
      <c r="I377" s="47" t="s">
        <v>125</v>
      </c>
    </row>
    <row r="378" spans="1:9" ht="15">
      <c r="A378" s="47" t="s">
        <v>126</v>
      </c>
      <c r="B378" s="47" t="s">
        <v>4631</v>
      </c>
      <c r="C378" s="47" t="s">
        <v>4558</v>
      </c>
      <c r="D378" s="47" t="s">
        <v>4559</v>
      </c>
      <c r="E378" s="47"/>
      <c r="F378" s="47"/>
      <c r="G378" s="47"/>
      <c r="H378" s="47" t="s">
        <v>3605</v>
      </c>
      <c r="I378" s="47" t="s">
        <v>126</v>
      </c>
    </row>
    <row r="379" spans="1:9" ht="15">
      <c r="A379" s="47" t="s">
        <v>127</v>
      </c>
      <c r="B379" s="47" t="s">
        <v>4632</v>
      </c>
      <c r="C379" s="47" t="s">
        <v>4558</v>
      </c>
      <c r="D379" s="47" t="s">
        <v>4559</v>
      </c>
      <c r="E379" s="47"/>
      <c r="F379" s="47"/>
      <c r="G379" s="47"/>
      <c r="H379" s="47" t="s">
        <v>3605</v>
      </c>
      <c r="I379" s="47" t="s">
        <v>127</v>
      </c>
    </row>
    <row r="380" spans="1:9" ht="15">
      <c r="A380" s="47" t="s">
        <v>128</v>
      </c>
      <c r="B380" s="47" t="s">
        <v>4633</v>
      </c>
      <c r="C380" s="47" t="s">
        <v>4558</v>
      </c>
      <c r="D380" s="47" t="s">
        <v>4559</v>
      </c>
      <c r="E380" s="47"/>
      <c r="F380" s="47"/>
      <c r="G380" s="47"/>
      <c r="H380" s="47" t="s">
        <v>3605</v>
      </c>
      <c r="I380" s="47" t="s">
        <v>128</v>
      </c>
    </row>
    <row r="381" spans="1:9" ht="15">
      <c r="A381" s="47" t="s">
        <v>129</v>
      </c>
      <c r="B381" s="47" t="s">
        <v>4634</v>
      </c>
      <c r="C381" s="47" t="s">
        <v>4558</v>
      </c>
      <c r="D381" s="47" t="s">
        <v>4559</v>
      </c>
      <c r="E381" s="47"/>
      <c r="F381" s="47"/>
      <c r="G381" s="47"/>
      <c r="H381" s="47" t="s">
        <v>3605</v>
      </c>
      <c r="I381" s="47" t="s">
        <v>129</v>
      </c>
    </row>
    <row r="382" spans="1:9" ht="15">
      <c r="A382" s="47" t="s">
        <v>130</v>
      </c>
      <c r="B382" s="47" t="s">
        <v>4635</v>
      </c>
      <c r="C382" s="47" t="s">
        <v>4558</v>
      </c>
      <c r="D382" s="47" t="s">
        <v>4559</v>
      </c>
      <c r="E382" s="47"/>
      <c r="F382" s="47"/>
      <c r="G382" s="47"/>
      <c r="H382" s="47" t="s">
        <v>3605</v>
      </c>
      <c r="I382" s="47" t="s">
        <v>130</v>
      </c>
    </row>
    <row r="383" spans="1:9" ht="15">
      <c r="A383" s="47" t="s">
        <v>131</v>
      </c>
      <c r="B383" s="47" t="s">
        <v>4636</v>
      </c>
      <c r="C383" s="47" t="s">
        <v>4558</v>
      </c>
      <c r="D383" s="47" t="s">
        <v>4559</v>
      </c>
      <c r="E383" s="47"/>
      <c r="F383" s="47"/>
      <c r="G383" s="47"/>
      <c r="H383" s="47" t="s">
        <v>3605</v>
      </c>
      <c r="I383" s="47" t="s">
        <v>131</v>
      </c>
    </row>
    <row r="384" spans="1:9" ht="15">
      <c r="A384" s="47" t="s">
        <v>132</v>
      </c>
      <c r="B384" s="47" t="s">
        <v>4637</v>
      </c>
      <c r="C384" s="47" t="s">
        <v>4558</v>
      </c>
      <c r="D384" s="47" t="s">
        <v>4559</v>
      </c>
      <c r="E384" s="47"/>
      <c r="F384" s="47"/>
      <c r="G384" s="47"/>
      <c r="H384" s="47" t="s">
        <v>3605</v>
      </c>
      <c r="I384" s="47" t="s">
        <v>132</v>
      </c>
    </row>
    <row r="385" spans="1:9" ht="15">
      <c r="A385" s="47" t="s">
        <v>133</v>
      </c>
      <c r="B385" s="47" t="s">
        <v>4638</v>
      </c>
      <c r="C385" s="47" t="s">
        <v>4558</v>
      </c>
      <c r="D385" s="47" t="s">
        <v>4559</v>
      </c>
      <c r="E385" s="47"/>
      <c r="F385" s="47"/>
      <c r="G385" s="47"/>
      <c r="H385" s="47" t="s">
        <v>3605</v>
      </c>
      <c r="I385" s="47" t="s">
        <v>133</v>
      </c>
    </row>
    <row r="386" spans="1:9" ht="15">
      <c r="A386" s="47" t="s">
        <v>134</v>
      </c>
      <c r="B386" s="47" t="s">
        <v>4639</v>
      </c>
      <c r="C386" s="47" t="s">
        <v>4558</v>
      </c>
      <c r="D386" s="47" t="s">
        <v>4559</v>
      </c>
      <c r="E386" s="47"/>
      <c r="F386" s="47"/>
      <c r="G386" s="47"/>
      <c r="H386" s="47" t="s">
        <v>3605</v>
      </c>
      <c r="I386" s="47" t="s">
        <v>134</v>
      </c>
    </row>
    <row r="387" spans="1:9" ht="15">
      <c r="A387" s="47" t="s">
        <v>135</v>
      </c>
      <c r="B387" s="47" t="s">
        <v>4640</v>
      </c>
      <c r="C387" s="47" t="s">
        <v>4558</v>
      </c>
      <c r="D387" s="47" t="s">
        <v>4559</v>
      </c>
      <c r="E387" s="47"/>
      <c r="F387" s="47"/>
      <c r="G387" s="47"/>
      <c r="H387" s="47" t="s">
        <v>3605</v>
      </c>
      <c r="I387" s="47" t="s">
        <v>135</v>
      </c>
    </row>
    <row r="388" spans="1:9" ht="15">
      <c r="A388" s="47" t="s">
        <v>136</v>
      </c>
      <c r="B388" s="47" t="s">
        <v>4641</v>
      </c>
      <c r="C388" s="47" t="s">
        <v>4558</v>
      </c>
      <c r="D388" s="47" t="s">
        <v>4559</v>
      </c>
      <c r="E388" s="47"/>
      <c r="F388" s="47"/>
      <c r="G388" s="47"/>
      <c r="H388" s="47" t="s">
        <v>3605</v>
      </c>
      <c r="I388" s="47" t="s">
        <v>136</v>
      </c>
    </row>
    <row r="389" spans="1:9" ht="15">
      <c r="A389" s="47" t="s">
        <v>137</v>
      </c>
      <c r="B389" s="47" t="s">
        <v>4642</v>
      </c>
      <c r="C389" s="47" t="s">
        <v>4558</v>
      </c>
      <c r="D389" s="47" t="s">
        <v>4559</v>
      </c>
      <c r="E389" s="47"/>
      <c r="F389" s="47"/>
      <c r="G389" s="47"/>
      <c r="H389" s="47" t="s">
        <v>3605</v>
      </c>
      <c r="I389" s="47" t="s">
        <v>137</v>
      </c>
    </row>
    <row r="390" spans="1:9" ht="15">
      <c r="A390" s="47" t="s">
        <v>138</v>
      </c>
      <c r="B390" s="47" t="s">
        <v>4643</v>
      </c>
      <c r="C390" s="47" t="s">
        <v>4558</v>
      </c>
      <c r="D390" s="47" t="s">
        <v>4559</v>
      </c>
      <c r="E390" s="47"/>
      <c r="F390" s="47"/>
      <c r="G390" s="47"/>
      <c r="H390" s="47" t="s">
        <v>3605</v>
      </c>
      <c r="I390" s="47" t="s">
        <v>138</v>
      </c>
    </row>
    <row r="391" spans="1:9" ht="15">
      <c r="A391" s="47" t="s">
        <v>139</v>
      </c>
      <c r="B391" s="47" t="s">
        <v>4644</v>
      </c>
      <c r="C391" s="47" t="s">
        <v>4558</v>
      </c>
      <c r="D391" s="47" t="s">
        <v>4559</v>
      </c>
      <c r="E391" s="47"/>
      <c r="F391" s="47"/>
      <c r="G391" s="47"/>
      <c r="H391" s="47" t="s">
        <v>3605</v>
      </c>
      <c r="I391" s="47" t="s">
        <v>139</v>
      </c>
    </row>
    <row r="392" spans="1:9" ht="15">
      <c r="A392" s="47" t="s">
        <v>3001</v>
      </c>
      <c r="B392" s="47" t="s">
        <v>4645</v>
      </c>
      <c r="C392" s="47" t="s">
        <v>4558</v>
      </c>
      <c r="D392" s="47" t="s">
        <v>4559</v>
      </c>
      <c r="E392" s="47"/>
      <c r="F392" s="47"/>
      <c r="G392" s="47"/>
      <c r="H392" s="47" t="s">
        <v>3605</v>
      </c>
      <c r="I392" s="47" t="s">
        <v>3001</v>
      </c>
    </row>
    <row r="393" spans="1:9" ht="15">
      <c r="A393" s="47" t="s">
        <v>140</v>
      </c>
      <c r="B393" s="47" t="s">
        <v>4646</v>
      </c>
      <c r="C393" s="47" t="s">
        <v>4558</v>
      </c>
      <c r="D393" s="47" t="s">
        <v>4559</v>
      </c>
      <c r="E393" s="47"/>
      <c r="F393" s="47"/>
      <c r="G393" s="47"/>
      <c r="H393" s="47" t="s">
        <v>3605</v>
      </c>
      <c r="I393" s="47" t="s">
        <v>140</v>
      </c>
    </row>
    <row r="394" spans="1:9" ht="15">
      <c r="A394" s="47" t="s">
        <v>141</v>
      </c>
      <c r="B394" s="47" t="s">
        <v>4647</v>
      </c>
      <c r="C394" s="47" t="s">
        <v>4558</v>
      </c>
      <c r="D394" s="47" t="s">
        <v>4559</v>
      </c>
      <c r="E394" s="47"/>
      <c r="F394" s="47"/>
      <c r="G394" s="47"/>
      <c r="H394" s="47" t="s">
        <v>3605</v>
      </c>
      <c r="I394" s="47" t="s">
        <v>141</v>
      </c>
    </row>
    <row r="395" spans="1:9" ht="15">
      <c r="A395" s="47" t="s">
        <v>142</v>
      </c>
      <c r="B395" s="47" t="s">
        <v>4648</v>
      </c>
      <c r="C395" s="47" t="s">
        <v>4558</v>
      </c>
      <c r="D395" s="47" t="s">
        <v>4559</v>
      </c>
      <c r="E395" s="47"/>
      <c r="F395" s="47"/>
      <c r="G395" s="47"/>
      <c r="H395" s="47" t="s">
        <v>3605</v>
      </c>
      <c r="I395" s="47" t="s">
        <v>142</v>
      </c>
    </row>
    <row r="396" spans="1:9" ht="15">
      <c r="A396" s="47" t="s">
        <v>143</v>
      </c>
      <c r="B396" s="47" t="s">
        <v>4649</v>
      </c>
      <c r="C396" s="47" t="s">
        <v>4558</v>
      </c>
      <c r="D396" s="47" t="s">
        <v>4559</v>
      </c>
      <c r="E396" s="47"/>
      <c r="F396" s="47"/>
      <c r="G396" s="47"/>
      <c r="H396" s="47" t="s">
        <v>3605</v>
      </c>
      <c r="I396" s="47" t="s">
        <v>143</v>
      </c>
    </row>
    <row r="397" spans="1:9" ht="15">
      <c r="A397" s="47" t="s">
        <v>144</v>
      </c>
      <c r="B397" s="47" t="s">
        <v>4650</v>
      </c>
      <c r="C397" s="47" t="s">
        <v>4558</v>
      </c>
      <c r="D397" s="47" t="s">
        <v>4559</v>
      </c>
      <c r="E397" s="47"/>
      <c r="F397" s="47"/>
      <c r="G397" s="47"/>
      <c r="H397" s="47" t="s">
        <v>3605</v>
      </c>
      <c r="I397" s="47" t="s">
        <v>144</v>
      </c>
    </row>
    <row r="398" spans="1:9" ht="15">
      <c r="A398" s="47" t="s">
        <v>145</v>
      </c>
      <c r="B398" s="47" t="s">
        <v>4651</v>
      </c>
      <c r="C398" s="47" t="s">
        <v>4558</v>
      </c>
      <c r="D398" s="47" t="s">
        <v>4559</v>
      </c>
      <c r="E398" s="47"/>
      <c r="F398" s="47"/>
      <c r="G398" s="47"/>
      <c r="H398" s="47" t="s">
        <v>3605</v>
      </c>
      <c r="I398" s="47" t="s">
        <v>145</v>
      </c>
    </row>
    <row r="399" spans="1:9" ht="15">
      <c r="A399" s="47" t="s">
        <v>146</v>
      </c>
      <c r="B399" s="47" t="s">
        <v>4652</v>
      </c>
      <c r="C399" s="47" t="s">
        <v>4558</v>
      </c>
      <c r="D399" s="47" t="s">
        <v>4559</v>
      </c>
      <c r="E399" s="47"/>
      <c r="F399" s="47"/>
      <c r="G399" s="47"/>
      <c r="H399" s="47" t="s">
        <v>3605</v>
      </c>
      <c r="I399" s="47" t="s">
        <v>146</v>
      </c>
    </row>
    <row r="400" spans="1:9" ht="15">
      <c r="A400" s="47" t="s">
        <v>147</v>
      </c>
      <c r="B400" s="47" t="s">
        <v>4653</v>
      </c>
      <c r="C400" s="47" t="s">
        <v>4558</v>
      </c>
      <c r="D400" s="47" t="s">
        <v>4559</v>
      </c>
      <c r="E400" s="47"/>
      <c r="F400" s="47"/>
      <c r="G400" s="47"/>
      <c r="H400" s="47" t="s">
        <v>3605</v>
      </c>
      <c r="I400" s="47" t="s">
        <v>147</v>
      </c>
    </row>
    <row r="401" spans="1:9" ht="15">
      <c r="A401" s="47" t="s">
        <v>148</v>
      </c>
      <c r="B401" s="47" t="s">
        <v>4654</v>
      </c>
      <c r="C401" s="47" t="s">
        <v>4558</v>
      </c>
      <c r="D401" s="47" t="s">
        <v>4559</v>
      </c>
      <c r="E401" s="47"/>
      <c r="F401" s="47"/>
      <c r="G401" s="47"/>
      <c r="H401" s="47" t="s">
        <v>3605</v>
      </c>
      <c r="I401" s="47" t="s">
        <v>148</v>
      </c>
    </row>
    <row r="402" spans="1:9" ht="15">
      <c r="A402" s="47" t="s">
        <v>149</v>
      </c>
      <c r="B402" s="47" t="s">
        <v>4655</v>
      </c>
      <c r="C402" s="47" t="s">
        <v>4558</v>
      </c>
      <c r="D402" s="47" t="s">
        <v>4559</v>
      </c>
      <c r="E402" s="47"/>
      <c r="F402" s="47"/>
      <c r="G402" s="47"/>
      <c r="H402" s="47" t="s">
        <v>3605</v>
      </c>
      <c r="I402" s="47" t="s">
        <v>149</v>
      </c>
    </row>
    <row r="403" spans="1:9" ht="15">
      <c r="A403" s="47" t="s">
        <v>150</v>
      </c>
      <c r="B403" s="47" t="s">
        <v>4656</v>
      </c>
      <c r="C403" s="47" t="s">
        <v>4558</v>
      </c>
      <c r="D403" s="47" t="s">
        <v>4559</v>
      </c>
      <c r="E403" s="47"/>
      <c r="F403" s="47"/>
      <c r="G403" s="47"/>
      <c r="H403" s="47" t="s">
        <v>3605</v>
      </c>
      <c r="I403" s="47" t="s">
        <v>150</v>
      </c>
    </row>
    <row r="404" spans="1:9" ht="15">
      <c r="A404" s="47" t="s">
        <v>151</v>
      </c>
      <c r="B404" s="47" t="s">
        <v>4657</v>
      </c>
      <c r="C404" s="47" t="s">
        <v>4558</v>
      </c>
      <c r="D404" s="47" t="s">
        <v>4559</v>
      </c>
      <c r="E404" s="47"/>
      <c r="F404" s="47"/>
      <c r="G404" s="47"/>
      <c r="H404" s="47" t="s">
        <v>3605</v>
      </c>
      <c r="I404" s="47" t="s">
        <v>151</v>
      </c>
    </row>
    <row r="405" spans="1:9" ht="15">
      <c r="A405" s="47" t="s">
        <v>152</v>
      </c>
      <c r="B405" s="47" t="s">
        <v>4658</v>
      </c>
      <c r="C405" s="47" t="s">
        <v>4558</v>
      </c>
      <c r="D405" s="47" t="s">
        <v>4559</v>
      </c>
      <c r="E405" s="47"/>
      <c r="F405" s="47"/>
      <c r="G405" s="47"/>
      <c r="H405" s="47" t="s">
        <v>3605</v>
      </c>
      <c r="I405" s="47" t="s">
        <v>152</v>
      </c>
    </row>
    <row r="406" spans="1:9" ht="15">
      <c r="A406" s="47" t="s">
        <v>153</v>
      </c>
      <c r="B406" s="47" t="s">
        <v>4659</v>
      </c>
      <c r="C406" s="47" t="s">
        <v>4558</v>
      </c>
      <c r="D406" s="47" t="s">
        <v>4559</v>
      </c>
      <c r="E406" s="47"/>
      <c r="F406" s="47"/>
      <c r="G406" s="47"/>
      <c r="H406" s="47" t="s">
        <v>3605</v>
      </c>
      <c r="I406" s="47" t="s">
        <v>153</v>
      </c>
    </row>
    <row r="407" spans="1:9" ht="15">
      <c r="A407" s="47" t="s">
        <v>154</v>
      </c>
      <c r="B407" s="47" t="s">
        <v>4660</v>
      </c>
      <c r="C407" s="47" t="s">
        <v>4558</v>
      </c>
      <c r="D407" s="47" t="s">
        <v>4559</v>
      </c>
      <c r="E407" s="47"/>
      <c r="F407" s="47"/>
      <c r="G407" s="47"/>
      <c r="H407" s="47" t="s">
        <v>3605</v>
      </c>
      <c r="I407" s="47" t="s">
        <v>154</v>
      </c>
    </row>
    <row r="408" spans="1:9" ht="15">
      <c r="A408" s="47" t="s">
        <v>3003</v>
      </c>
      <c r="B408" s="47" t="s">
        <v>4661</v>
      </c>
      <c r="C408" s="47" t="s">
        <v>4558</v>
      </c>
      <c r="D408" s="47" t="s">
        <v>4559</v>
      </c>
      <c r="E408" s="47"/>
      <c r="F408" s="47"/>
      <c r="G408" s="47"/>
      <c r="H408" s="47" t="s">
        <v>3605</v>
      </c>
      <c r="I408" s="47" t="s">
        <v>3003</v>
      </c>
    </row>
    <row r="409" spans="1:9" ht="15">
      <c r="A409" s="47" t="s">
        <v>155</v>
      </c>
      <c r="B409" s="47" t="s">
        <v>4662</v>
      </c>
      <c r="C409" s="47" t="s">
        <v>4558</v>
      </c>
      <c r="D409" s="47" t="s">
        <v>4559</v>
      </c>
      <c r="E409" s="47"/>
      <c r="F409" s="47"/>
      <c r="G409" s="47"/>
      <c r="H409" s="47" t="s">
        <v>3605</v>
      </c>
      <c r="I409" s="47" t="s">
        <v>155</v>
      </c>
    </row>
    <row r="410" spans="1:9" ht="15">
      <c r="A410" s="47" t="s">
        <v>156</v>
      </c>
      <c r="B410" s="47" t="s">
        <v>4663</v>
      </c>
      <c r="C410" s="47" t="s">
        <v>4558</v>
      </c>
      <c r="D410" s="47" t="s">
        <v>4559</v>
      </c>
      <c r="E410" s="47"/>
      <c r="F410" s="47"/>
      <c r="G410" s="47"/>
      <c r="H410" s="47" t="s">
        <v>3605</v>
      </c>
      <c r="I410" s="47" t="s">
        <v>156</v>
      </c>
    </row>
    <row r="411" spans="1:9" ht="15">
      <c r="A411" s="47" t="s">
        <v>157</v>
      </c>
      <c r="B411" s="47" t="s">
        <v>4664</v>
      </c>
      <c r="C411" s="47" t="s">
        <v>4558</v>
      </c>
      <c r="D411" s="47" t="s">
        <v>4559</v>
      </c>
      <c r="E411" s="47"/>
      <c r="F411" s="47"/>
      <c r="G411" s="47"/>
      <c r="H411" s="47" t="s">
        <v>3605</v>
      </c>
      <c r="I411" s="47" t="s">
        <v>157</v>
      </c>
    </row>
    <row r="412" spans="1:9" ht="15">
      <c r="A412" s="47" t="s">
        <v>158</v>
      </c>
      <c r="B412" s="47" t="s">
        <v>4665</v>
      </c>
      <c r="C412" s="47" t="s">
        <v>4558</v>
      </c>
      <c r="D412" s="47" t="s">
        <v>4559</v>
      </c>
      <c r="E412" s="47"/>
      <c r="F412" s="47"/>
      <c r="G412" s="47"/>
      <c r="H412" s="47" t="s">
        <v>3605</v>
      </c>
      <c r="I412" s="47" t="s">
        <v>158</v>
      </c>
    </row>
    <row r="413" spans="1:9" ht="15">
      <c r="A413" s="47" t="s">
        <v>159</v>
      </c>
      <c r="B413" s="47" t="s">
        <v>4666</v>
      </c>
      <c r="C413" s="47" t="s">
        <v>4558</v>
      </c>
      <c r="D413" s="47" t="s">
        <v>4559</v>
      </c>
      <c r="E413" s="47"/>
      <c r="F413" s="47"/>
      <c r="G413" s="47"/>
      <c r="H413" s="47" t="s">
        <v>3605</v>
      </c>
      <c r="I413" s="47" t="s">
        <v>159</v>
      </c>
    </row>
    <row r="414" spans="1:9" ht="15">
      <c r="A414" s="47" t="s">
        <v>160</v>
      </c>
      <c r="B414" s="47" t="s">
        <v>4667</v>
      </c>
      <c r="C414" s="47" t="s">
        <v>4558</v>
      </c>
      <c r="D414" s="47" t="s">
        <v>4559</v>
      </c>
      <c r="E414" s="47"/>
      <c r="F414" s="47"/>
      <c r="G414" s="47"/>
      <c r="H414" s="47" t="s">
        <v>3605</v>
      </c>
      <c r="I414" s="47" t="s">
        <v>160</v>
      </c>
    </row>
    <row r="415" spans="1:9" ht="15">
      <c r="A415" s="47" t="s">
        <v>161</v>
      </c>
      <c r="B415" s="47" t="s">
        <v>4668</v>
      </c>
      <c r="C415" s="47" t="s">
        <v>4558</v>
      </c>
      <c r="D415" s="47" t="s">
        <v>4559</v>
      </c>
      <c r="E415" s="47"/>
      <c r="F415" s="47"/>
      <c r="G415" s="47"/>
      <c r="H415" s="47" t="s">
        <v>3605</v>
      </c>
      <c r="I415" s="47" t="s">
        <v>161</v>
      </c>
    </row>
    <row r="416" spans="1:9" ht="15">
      <c r="A416" s="47" t="s">
        <v>162</v>
      </c>
      <c r="B416" s="47" t="s">
        <v>4669</v>
      </c>
      <c r="C416" s="47" t="s">
        <v>4558</v>
      </c>
      <c r="D416" s="47" t="s">
        <v>4559</v>
      </c>
      <c r="E416" s="47"/>
      <c r="F416" s="47"/>
      <c r="G416" s="47"/>
      <c r="H416" s="47" t="s">
        <v>3605</v>
      </c>
      <c r="I416" s="47" t="s">
        <v>162</v>
      </c>
    </row>
    <row r="417" spans="1:9" ht="15">
      <c r="A417" s="47" t="s">
        <v>163</v>
      </c>
      <c r="B417" s="47" t="s">
        <v>4670</v>
      </c>
      <c r="C417" s="47" t="s">
        <v>4558</v>
      </c>
      <c r="D417" s="47" t="s">
        <v>4559</v>
      </c>
      <c r="E417" s="47"/>
      <c r="F417" s="47"/>
      <c r="G417" s="47"/>
      <c r="H417" s="47" t="s">
        <v>3605</v>
      </c>
      <c r="I417" s="47" t="s">
        <v>163</v>
      </c>
    </row>
    <row r="418" spans="1:9" ht="15">
      <c r="A418" s="47" t="s">
        <v>164</v>
      </c>
      <c r="B418" s="47" t="s">
        <v>4671</v>
      </c>
      <c r="C418" s="47" t="s">
        <v>4558</v>
      </c>
      <c r="D418" s="47" t="s">
        <v>4559</v>
      </c>
      <c r="E418" s="47"/>
      <c r="F418" s="47"/>
      <c r="G418" s="47"/>
      <c r="H418" s="47" t="s">
        <v>3605</v>
      </c>
      <c r="I418" s="47" t="s">
        <v>164</v>
      </c>
    </row>
    <row r="419" spans="1:9" ht="15">
      <c r="A419" s="47" t="s">
        <v>165</v>
      </c>
      <c r="B419" s="47" t="s">
        <v>4672</v>
      </c>
      <c r="C419" s="47" t="s">
        <v>4558</v>
      </c>
      <c r="D419" s="47" t="s">
        <v>4559</v>
      </c>
      <c r="E419" s="47"/>
      <c r="F419" s="47"/>
      <c r="G419" s="47"/>
      <c r="H419" s="47" t="s">
        <v>3605</v>
      </c>
      <c r="I419" s="47" t="s">
        <v>165</v>
      </c>
    </row>
    <row r="420" spans="1:9" ht="15">
      <c r="A420" s="47" t="s">
        <v>1369</v>
      </c>
      <c r="B420" s="47" t="s">
        <v>4673</v>
      </c>
      <c r="C420" s="47" t="s">
        <v>4558</v>
      </c>
      <c r="D420" s="47" t="s">
        <v>4559</v>
      </c>
      <c r="E420" s="47"/>
      <c r="F420" s="47"/>
      <c r="G420" s="47"/>
      <c r="H420" s="47" t="s">
        <v>3605</v>
      </c>
      <c r="I420" s="47" t="s">
        <v>1369</v>
      </c>
    </row>
    <row r="421" spans="1:9" ht="15">
      <c r="A421" s="47" t="s">
        <v>166</v>
      </c>
      <c r="B421" s="47" t="s">
        <v>4674</v>
      </c>
      <c r="C421" s="47" t="s">
        <v>4558</v>
      </c>
      <c r="D421" s="47" t="s">
        <v>4559</v>
      </c>
      <c r="E421" s="47"/>
      <c r="F421" s="47"/>
      <c r="G421" s="47"/>
      <c r="H421" s="47" t="s">
        <v>3605</v>
      </c>
      <c r="I421" s="47" t="s">
        <v>166</v>
      </c>
    </row>
    <row r="422" spans="1:9" ht="15">
      <c r="A422" s="47" t="s">
        <v>167</v>
      </c>
      <c r="B422" s="47" t="s">
        <v>4675</v>
      </c>
      <c r="C422" s="47" t="s">
        <v>4558</v>
      </c>
      <c r="D422" s="47" t="s">
        <v>4559</v>
      </c>
      <c r="E422" s="47"/>
      <c r="F422" s="47"/>
      <c r="G422" s="47"/>
      <c r="H422" s="47" t="s">
        <v>3605</v>
      </c>
      <c r="I422" s="47" t="s">
        <v>167</v>
      </c>
    </row>
    <row r="423" spans="1:9" ht="15">
      <c r="A423" s="47" t="s">
        <v>168</v>
      </c>
      <c r="B423" s="47" t="s">
        <v>4676</v>
      </c>
      <c r="C423" s="47" t="s">
        <v>4558</v>
      </c>
      <c r="D423" s="47" t="s">
        <v>4559</v>
      </c>
      <c r="E423" s="47"/>
      <c r="F423" s="47"/>
      <c r="G423" s="47"/>
      <c r="H423" s="47" t="s">
        <v>3605</v>
      </c>
      <c r="I423" s="47" t="s">
        <v>168</v>
      </c>
    </row>
    <row r="424" spans="1:9" ht="15">
      <c r="A424" s="47">
        <v>7516</v>
      </c>
      <c r="B424" s="47" t="s">
        <v>4677</v>
      </c>
      <c r="C424" s="47" t="s">
        <v>4678</v>
      </c>
      <c r="D424" s="47" t="s">
        <v>4679</v>
      </c>
      <c r="E424" s="47"/>
      <c r="F424" s="47"/>
      <c r="G424" s="47"/>
      <c r="H424" s="47" t="s">
        <v>3605</v>
      </c>
      <c r="I424" s="47" t="s">
        <v>18462</v>
      </c>
    </row>
    <row r="425" spans="1:9" ht="15">
      <c r="A425" s="47" t="s">
        <v>170</v>
      </c>
      <c r="B425" s="47" t="s">
        <v>4680</v>
      </c>
      <c r="C425" s="47" t="s">
        <v>4558</v>
      </c>
      <c r="D425" s="47" t="s">
        <v>4559</v>
      </c>
      <c r="E425" s="47"/>
      <c r="F425" s="47"/>
      <c r="G425" s="47"/>
      <c r="H425" s="47" t="s">
        <v>3605</v>
      </c>
      <c r="I425" s="47" t="s">
        <v>170</v>
      </c>
    </row>
    <row r="426" spans="1:9" ht="15">
      <c r="A426" s="47">
        <v>7517</v>
      </c>
      <c r="B426" s="47" t="s">
        <v>4681</v>
      </c>
      <c r="C426" s="47" t="s">
        <v>4682</v>
      </c>
      <c r="D426" s="47" t="s">
        <v>4683</v>
      </c>
      <c r="E426" s="47"/>
      <c r="F426" s="47"/>
      <c r="G426" s="47"/>
      <c r="H426" s="47" t="s">
        <v>3605</v>
      </c>
      <c r="I426" s="47" t="s">
        <v>18463</v>
      </c>
    </row>
    <row r="427" spans="1:9" ht="15">
      <c r="A427" s="47" t="s">
        <v>172</v>
      </c>
      <c r="B427" s="47" t="s">
        <v>4684</v>
      </c>
      <c r="C427" s="47" t="s">
        <v>4558</v>
      </c>
      <c r="D427" s="47" t="s">
        <v>4559</v>
      </c>
      <c r="E427" s="47"/>
      <c r="F427" s="47"/>
      <c r="G427" s="47"/>
      <c r="H427" s="47" t="s">
        <v>3605</v>
      </c>
      <c r="I427" s="47" t="s">
        <v>172</v>
      </c>
    </row>
    <row r="428" spans="1:9" ht="15">
      <c r="A428" s="47" t="s">
        <v>173</v>
      </c>
      <c r="B428" s="47" t="s">
        <v>4685</v>
      </c>
      <c r="C428" s="47" t="s">
        <v>4558</v>
      </c>
      <c r="D428" s="47" t="s">
        <v>4559</v>
      </c>
      <c r="E428" s="47"/>
      <c r="F428" s="47"/>
      <c r="G428" s="47"/>
      <c r="H428" s="47" t="s">
        <v>3605</v>
      </c>
      <c r="I428" s="47" t="s">
        <v>173</v>
      </c>
    </row>
    <row r="429" spans="1:9" ht="15">
      <c r="A429" s="47" t="s">
        <v>174</v>
      </c>
      <c r="B429" s="47" t="s">
        <v>4686</v>
      </c>
      <c r="C429" s="47" t="s">
        <v>4558</v>
      </c>
      <c r="D429" s="47" t="s">
        <v>4559</v>
      </c>
      <c r="E429" s="47"/>
      <c r="F429" s="47"/>
      <c r="G429" s="47"/>
      <c r="H429" s="47" t="s">
        <v>3605</v>
      </c>
      <c r="I429" s="47" t="s">
        <v>174</v>
      </c>
    </row>
    <row r="430" spans="1:9" ht="15">
      <c r="A430" s="47" t="s">
        <v>175</v>
      </c>
      <c r="B430" s="47" t="s">
        <v>4687</v>
      </c>
      <c r="C430" s="47" t="s">
        <v>4558</v>
      </c>
      <c r="D430" s="47" t="s">
        <v>4559</v>
      </c>
      <c r="E430" s="47"/>
      <c r="F430" s="47"/>
      <c r="G430" s="47"/>
      <c r="H430" s="47" t="s">
        <v>3605</v>
      </c>
      <c r="I430" s="47" t="s">
        <v>175</v>
      </c>
    </row>
    <row r="431" spans="1:9" ht="15">
      <c r="A431" s="47" t="s">
        <v>176</v>
      </c>
      <c r="B431" s="47" t="s">
        <v>4688</v>
      </c>
      <c r="C431" s="47" t="s">
        <v>4558</v>
      </c>
      <c r="D431" s="47" t="s">
        <v>4559</v>
      </c>
      <c r="E431" s="47"/>
      <c r="F431" s="47"/>
      <c r="G431" s="47"/>
      <c r="H431" s="47" t="s">
        <v>3605</v>
      </c>
      <c r="I431" s="47" t="s">
        <v>176</v>
      </c>
    </row>
    <row r="432" spans="1:9" ht="15">
      <c r="A432" s="47" t="s">
        <v>177</v>
      </c>
      <c r="B432" s="47" t="s">
        <v>4689</v>
      </c>
      <c r="C432" s="47" t="s">
        <v>4558</v>
      </c>
      <c r="D432" s="47" t="s">
        <v>4559</v>
      </c>
      <c r="E432" s="47"/>
      <c r="F432" s="47"/>
      <c r="G432" s="47"/>
      <c r="H432" s="47" t="s">
        <v>3605</v>
      </c>
      <c r="I432" s="47" t="s">
        <v>177</v>
      </c>
    </row>
    <row r="433" spans="1:9" ht="15">
      <c r="A433" s="47" t="s">
        <v>178</v>
      </c>
      <c r="B433" s="47" t="s">
        <v>4690</v>
      </c>
      <c r="C433" s="47" t="s">
        <v>4558</v>
      </c>
      <c r="D433" s="47" t="s">
        <v>4559</v>
      </c>
      <c r="E433" s="47"/>
      <c r="F433" s="47"/>
      <c r="G433" s="47"/>
      <c r="H433" s="47" t="s">
        <v>3605</v>
      </c>
      <c r="I433" s="47" t="s">
        <v>178</v>
      </c>
    </row>
    <row r="434" spans="1:9" ht="15">
      <c r="A434" s="47" t="s">
        <v>179</v>
      </c>
      <c r="B434" s="47" t="s">
        <v>4691</v>
      </c>
      <c r="C434" s="47" t="s">
        <v>4558</v>
      </c>
      <c r="D434" s="47" t="s">
        <v>4559</v>
      </c>
      <c r="E434" s="47"/>
      <c r="F434" s="47"/>
      <c r="G434" s="47"/>
      <c r="H434" s="47" t="s">
        <v>3605</v>
      </c>
      <c r="I434" s="47" t="s">
        <v>179</v>
      </c>
    </row>
    <row r="435" spans="1:9" ht="15">
      <c r="A435" s="47" t="s">
        <v>3005</v>
      </c>
      <c r="B435" s="47" t="s">
        <v>4692</v>
      </c>
      <c r="C435" s="47" t="s">
        <v>4558</v>
      </c>
      <c r="D435" s="47" t="s">
        <v>4559</v>
      </c>
      <c r="E435" s="47"/>
      <c r="F435" s="47"/>
      <c r="G435" s="47"/>
      <c r="H435" s="47" t="s">
        <v>3605</v>
      </c>
      <c r="I435" s="47" t="s">
        <v>3005</v>
      </c>
    </row>
    <row r="436" spans="1:9" ht="15">
      <c r="A436" s="47" t="s">
        <v>180</v>
      </c>
      <c r="B436" s="47" t="s">
        <v>4693</v>
      </c>
      <c r="C436" s="47" t="s">
        <v>4558</v>
      </c>
      <c r="D436" s="47" t="s">
        <v>4559</v>
      </c>
      <c r="E436" s="47"/>
      <c r="F436" s="47"/>
      <c r="G436" s="47"/>
      <c r="H436" s="47" t="s">
        <v>3605</v>
      </c>
      <c r="I436" s="47" t="s">
        <v>180</v>
      </c>
    </row>
    <row r="437" spans="1:9" ht="15">
      <c r="A437" s="47" t="s">
        <v>181</v>
      </c>
      <c r="B437" s="47" t="s">
        <v>4694</v>
      </c>
      <c r="C437" s="47" t="s">
        <v>4558</v>
      </c>
      <c r="D437" s="47" t="s">
        <v>4559</v>
      </c>
      <c r="E437" s="47"/>
      <c r="F437" s="47"/>
      <c r="G437" s="47"/>
      <c r="H437" s="47" t="s">
        <v>3605</v>
      </c>
      <c r="I437" s="47" t="s">
        <v>181</v>
      </c>
    </row>
    <row r="438" spans="1:9" ht="15">
      <c r="A438" s="47" t="s">
        <v>182</v>
      </c>
      <c r="B438" s="47" t="s">
        <v>4695</v>
      </c>
      <c r="C438" s="47" t="s">
        <v>4558</v>
      </c>
      <c r="D438" s="47" t="s">
        <v>4559</v>
      </c>
      <c r="E438" s="47"/>
      <c r="F438" s="47"/>
      <c r="G438" s="47"/>
      <c r="H438" s="47" t="s">
        <v>3605</v>
      </c>
      <c r="I438" s="47" t="s">
        <v>182</v>
      </c>
    </row>
    <row r="439" spans="1:9" ht="15">
      <c r="A439" s="47" t="s">
        <v>183</v>
      </c>
      <c r="B439" s="47" t="s">
        <v>4696</v>
      </c>
      <c r="C439" s="47" t="s">
        <v>4558</v>
      </c>
      <c r="D439" s="47" t="s">
        <v>4559</v>
      </c>
      <c r="E439" s="47"/>
      <c r="F439" s="47"/>
      <c r="G439" s="47"/>
      <c r="H439" s="47" t="s">
        <v>3605</v>
      </c>
      <c r="I439" s="47" t="s">
        <v>183</v>
      </c>
    </row>
    <row r="440" spans="1:9" ht="15">
      <c r="A440" s="47" t="s">
        <v>184</v>
      </c>
      <c r="B440" s="47" t="s">
        <v>4697</v>
      </c>
      <c r="C440" s="47" t="s">
        <v>4558</v>
      </c>
      <c r="D440" s="47" t="s">
        <v>4559</v>
      </c>
      <c r="E440" s="47"/>
      <c r="F440" s="47"/>
      <c r="G440" s="47"/>
      <c r="H440" s="47" t="s">
        <v>3605</v>
      </c>
      <c r="I440" s="47" t="s">
        <v>184</v>
      </c>
    </row>
    <row r="441" spans="1:9" ht="15">
      <c r="A441" s="47" t="s">
        <v>185</v>
      </c>
      <c r="B441" s="47" t="s">
        <v>4698</v>
      </c>
      <c r="C441" s="47" t="s">
        <v>4558</v>
      </c>
      <c r="D441" s="47" t="s">
        <v>4559</v>
      </c>
      <c r="E441" s="47"/>
      <c r="F441" s="47"/>
      <c r="G441" s="47"/>
      <c r="H441" s="47" t="s">
        <v>3605</v>
      </c>
      <c r="I441" s="47" t="s">
        <v>185</v>
      </c>
    </row>
    <row r="442" spans="1:9" ht="15">
      <c r="A442" s="47" t="s">
        <v>186</v>
      </c>
      <c r="B442" s="47" t="s">
        <v>4699</v>
      </c>
      <c r="C442" s="47" t="s">
        <v>4558</v>
      </c>
      <c r="D442" s="47" t="s">
        <v>4559</v>
      </c>
      <c r="E442" s="47"/>
      <c r="F442" s="47"/>
      <c r="G442" s="47"/>
      <c r="H442" s="47" t="s">
        <v>3605</v>
      </c>
      <c r="I442" s="47" t="s">
        <v>186</v>
      </c>
    </row>
    <row r="443" spans="1:9" ht="15">
      <c r="A443" s="47" t="s">
        <v>187</v>
      </c>
      <c r="B443" s="47" t="s">
        <v>4700</v>
      </c>
      <c r="C443" s="47" t="s">
        <v>4558</v>
      </c>
      <c r="D443" s="47" t="s">
        <v>4559</v>
      </c>
      <c r="E443" s="47"/>
      <c r="F443" s="47"/>
      <c r="G443" s="47"/>
      <c r="H443" s="47" t="s">
        <v>3605</v>
      </c>
      <c r="I443" s="47" t="s">
        <v>187</v>
      </c>
    </row>
    <row r="444" spans="1:9" ht="15">
      <c r="A444" s="47" t="s">
        <v>188</v>
      </c>
      <c r="B444" s="47" t="s">
        <v>4701</v>
      </c>
      <c r="C444" s="47" t="s">
        <v>4558</v>
      </c>
      <c r="D444" s="47" t="s">
        <v>4559</v>
      </c>
      <c r="E444" s="47"/>
      <c r="F444" s="47"/>
      <c r="G444" s="47"/>
      <c r="H444" s="47" t="s">
        <v>3605</v>
      </c>
      <c r="I444" s="47" t="s">
        <v>188</v>
      </c>
    </row>
    <row r="445" spans="1:9" ht="15">
      <c r="A445" s="47" t="s">
        <v>189</v>
      </c>
      <c r="B445" s="47" t="s">
        <v>4702</v>
      </c>
      <c r="C445" s="47" t="s">
        <v>4558</v>
      </c>
      <c r="D445" s="47" t="s">
        <v>4559</v>
      </c>
      <c r="E445" s="47"/>
      <c r="F445" s="47"/>
      <c r="G445" s="47"/>
      <c r="H445" s="47" t="s">
        <v>3605</v>
      </c>
      <c r="I445" s="47" t="s">
        <v>189</v>
      </c>
    </row>
    <row r="446" spans="1:9" ht="15">
      <c r="A446" s="47" t="s">
        <v>190</v>
      </c>
      <c r="B446" s="47" t="s">
        <v>4703</v>
      </c>
      <c r="C446" s="47" t="s">
        <v>4558</v>
      </c>
      <c r="D446" s="47" t="s">
        <v>4559</v>
      </c>
      <c r="E446" s="47"/>
      <c r="F446" s="47"/>
      <c r="G446" s="47"/>
      <c r="H446" s="47" t="s">
        <v>3605</v>
      </c>
      <c r="I446" s="47" t="s">
        <v>190</v>
      </c>
    </row>
    <row r="447" spans="1:9" ht="15">
      <c r="A447" s="47" t="s">
        <v>191</v>
      </c>
      <c r="B447" s="47" t="s">
        <v>4704</v>
      </c>
      <c r="C447" s="47" t="s">
        <v>4558</v>
      </c>
      <c r="D447" s="47" t="s">
        <v>4559</v>
      </c>
      <c r="E447" s="47"/>
      <c r="F447" s="47"/>
      <c r="G447" s="47"/>
      <c r="H447" s="47" t="s">
        <v>3605</v>
      </c>
      <c r="I447" s="47" t="s">
        <v>191</v>
      </c>
    </row>
    <row r="448" spans="1:9" ht="15">
      <c r="A448" s="47" t="s">
        <v>192</v>
      </c>
      <c r="B448" s="47" t="s">
        <v>4705</v>
      </c>
      <c r="C448" s="47" t="s">
        <v>4558</v>
      </c>
      <c r="D448" s="47" t="s">
        <v>4559</v>
      </c>
      <c r="E448" s="47"/>
      <c r="F448" s="47"/>
      <c r="G448" s="47"/>
      <c r="H448" s="47" t="s">
        <v>3605</v>
      </c>
      <c r="I448" s="47" t="s">
        <v>192</v>
      </c>
    </row>
    <row r="449" spans="1:9" ht="15">
      <c r="A449" s="47" t="s">
        <v>193</v>
      </c>
      <c r="B449" s="47" t="s">
        <v>4706</v>
      </c>
      <c r="C449" s="47" t="s">
        <v>4558</v>
      </c>
      <c r="D449" s="47" t="s">
        <v>4559</v>
      </c>
      <c r="E449" s="47"/>
      <c r="F449" s="47"/>
      <c r="G449" s="47"/>
      <c r="H449" s="47" t="s">
        <v>3605</v>
      </c>
      <c r="I449" s="47" t="s">
        <v>193</v>
      </c>
    </row>
    <row r="450" spans="1:9" ht="15">
      <c r="A450" s="47" t="s">
        <v>194</v>
      </c>
      <c r="B450" s="47" t="s">
        <v>4707</v>
      </c>
      <c r="C450" s="47" t="s">
        <v>4558</v>
      </c>
      <c r="D450" s="47" t="s">
        <v>4559</v>
      </c>
      <c r="E450" s="47"/>
      <c r="F450" s="47"/>
      <c r="G450" s="47"/>
      <c r="H450" s="47" t="s">
        <v>3605</v>
      </c>
      <c r="I450" s="47" t="s">
        <v>194</v>
      </c>
    </row>
    <row r="451" spans="1:9" ht="15">
      <c r="A451" s="47" t="s">
        <v>195</v>
      </c>
      <c r="B451" s="47" t="s">
        <v>4708</v>
      </c>
      <c r="C451" s="47" t="s">
        <v>4558</v>
      </c>
      <c r="D451" s="47" t="s">
        <v>4559</v>
      </c>
      <c r="E451" s="47"/>
      <c r="F451" s="47"/>
      <c r="G451" s="47"/>
      <c r="H451" s="47" t="s">
        <v>3605</v>
      </c>
      <c r="I451" s="47" t="s">
        <v>195</v>
      </c>
    </row>
    <row r="452" spans="1:9" ht="15">
      <c r="A452" s="47" t="s">
        <v>196</v>
      </c>
      <c r="B452" s="47" t="s">
        <v>4709</v>
      </c>
      <c r="C452" s="47" t="s">
        <v>4558</v>
      </c>
      <c r="D452" s="47" t="s">
        <v>4559</v>
      </c>
      <c r="E452" s="47"/>
      <c r="F452" s="47"/>
      <c r="G452" s="47"/>
      <c r="H452" s="47" t="s">
        <v>3605</v>
      </c>
      <c r="I452" s="47" t="s">
        <v>196</v>
      </c>
    </row>
    <row r="453" spans="1:9" ht="15">
      <c r="A453" s="47" t="s">
        <v>197</v>
      </c>
      <c r="B453" s="47" t="s">
        <v>4710</v>
      </c>
      <c r="C453" s="47" t="s">
        <v>4558</v>
      </c>
      <c r="D453" s="47" t="s">
        <v>4559</v>
      </c>
      <c r="E453" s="47"/>
      <c r="F453" s="47"/>
      <c r="G453" s="47"/>
      <c r="H453" s="47" t="s">
        <v>3605</v>
      </c>
      <c r="I453" s="47" t="s">
        <v>197</v>
      </c>
    </row>
    <row r="454" spans="1:9" ht="15">
      <c r="A454" s="47" t="s">
        <v>198</v>
      </c>
      <c r="B454" s="47" t="s">
        <v>4711</v>
      </c>
      <c r="C454" s="47" t="s">
        <v>4558</v>
      </c>
      <c r="D454" s="47" t="s">
        <v>4559</v>
      </c>
      <c r="E454" s="47"/>
      <c r="F454" s="47"/>
      <c r="G454" s="47"/>
      <c r="H454" s="47" t="s">
        <v>3605</v>
      </c>
      <c r="I454" s="47" t="s">
        <v>198</v>
      </c>
    </row>
    <row r="455" spans="1:9" ht="15">
      <c r="A455" s="47" t="s">
        <v>199</v>
      </c>
      <c r="B455" s="47" t="s">
        <v>4712</v>
      </c>
      <c r="C455" s="47" t="s">
        <v>4558</v>
      </c>
      <c r="D455" s="47" t="s">
        <v>4559</v>
      </c>
      <c r="E455" s="47"/>
      <c r="F455" s="47"/>
      <c r="G455" s="47"/>
      <c r="H455" s="47" t="s">
        <v>3605</v>
      </c>
      <c r="I455" s="47" t="s">
        <v>199</v>
      </c>
    </row>
    <row r="456" spans="1:9" ht="15">
      <c r="A456" s="47" t="s">
        <v>200</v>
      </c>
      <c r="B456" s="47" t="s">
        <v>4713</v>
      </c>
      <c r="C456" s="47" t="s">
        <v>4558</v>
      </c>
      <c r="D456" s="47" t="s">
        <v>4559</v>
      </c>
      <c r="E456" s="47"/>
      <c r="F456" s="47"/>
      <c r="G456" s="47"/>
      <c r="H456" s="47" t="s">
        <v>3605</v>
      </c>
      <c r="I456" s="47" t="s">
        <v>200</v>
      </c>
    </row>
    <row r="457" spans="1:9" ht="15">
      <c r="A457" s="47" t="s">
        <v>201</v>
      </c>
      <c r="B457" s="47" t="s">
        <v>4714</v>
      </c>
      <c r="C457" s="47" t="s">
        <v>4558</v>
      </c>
      <c r="D457" s="47" t="s">
        <v>4559</v>
      </c>
      <c r="E457" s="47"/>
      <c r="F457" s="47"/>
      <c r="G457" s="47"/>
      <c r="H457" s="47" t="s">
        <v>3605</v>
      </c>
      <c r="I457" s="47" t="s">
        <v>201</v>
      </c>
    </row>
    <row r="458" spans="1:9" ht="15">
      <c r="A458" s="47" t="s">
        <v>202</v>
      </c>
      <c r="B458" s="47" t="s">
        <v>4715</v>
      </c>
      <c r="C458" s="47" t="s">
        <v>4558</v>
      </c>
      <c r="D458" s="47" t="s">
        <v>4559</v>
      </c>
      <c r="E458" s="47"/>
      <c r="F458" s="47"/>
      <c r="G458" s="47"/>
      <c r="H458" s="47" t="s">
        <v>3605</v>
      </c>
      <c r="I458" s="47" t="s">
        <v>202</v>
      </c>
    </row>
    <row r="459" spans="1:9" ht="15">
      <c r="A459" s="47" t="s">
        <v>203</v>
      </c>
      <c r="B459" s="47" t="s">
        <v>4716</v>
      </c>
      <c r="C459" s="47" t="s">
        <v>4558</v>
      </c>
      <c r="D459" s="47" t="s">
        <v>4559</v>
      </c>
      <c r="E459" s="47"/>
      <c r="F459" s="47"/>
      <c r="G459" s="47"/>
      <c r="H459" s="47" t="s">
        <v>3605</v>
      </c>
      <c r="I459" s="47" t="s">
        <v>203</v>
      </c>
    </row>
    <row r="460" spans="1:9" ht="15">
      <c r="A460" s="47" t="s">
        <v>204</v>
      </c>
      <c r="B460" s="47" t="s">
        <v>4717</v>
      </c>
      <c r="C460" s="47" t="s">
        <v>4558</v>
      </c>
      <c r="D460" s="47" t="s">
        <v>4559</v>
      </c>
      <c r="E460" s="47"/>
      <c r="F460" s="47"/>
      <c r="G460" s="47"/>
      <c r="H460" s="47" t="s">
        <v>3605</v>
      </c>
      <c r="I460" s="47" t="s">
        <v>204</v>
      </c>
    </row>
    <row r="461" spans="1:9" ht="15">
      <c r="A461" s="47" t="s">
        <v>205</v>
      </c>
      <c r="B461" s="47" t="s">
        <v>4718</v>
      </c>
      <c r="C461" s="47" t="s">
        <v>4558</v>
      </c>
      <c r="D461" s="47" t="s">
        <v>4559</v>
      </c>
      <c r="E461" s="47"/>
      <c r="F461" s="47"/>
      <c r="G461" s="47"/>
      <c r="H461" s="47" t="s">
        <v>3605</v>
      </c>
      <c r="I461" s="47" t="s">
        <v>205</v>
      </c>
    </row>
    <row r="462" spans="1:9" ht="15">
      <c r="A462" s="47" t="s">
        <v>3007</v>
      </c>
      <c r="B462" s="47" t="s">
        <v>4719</v>
      </c>
      <c r="C462" s="47" t="s">
        <v>4558</v>
      </c>
      <c r="D462" s="47" t="s">
        <v>4559</v>
      </c>
      <c r="E462" s="47"/>
      <c r="F462" s="47"/>
      <c r="G462" s="47"/>
      <c r="H462" s="47" t="s">
        <v>3605</v>
      </c>
      <c r="I462" s="47" t="s">
        <v>3007</v>
      </c>
    </row>
    <row r="463" spans="1:9" ht="15">
      <c r="A463" s="47" t="s">
        <v>206</v>
      </c>
      <c r="B463" s="47" t="s">
        <v>4720</v>
      </c>
      <c r="C463" s="47" t="s">
        <v>4558</v>
      </c>
      <c r="D463" s="47" t="s">
        <v>4559</v>
      </c>
      <c r="E463" s="47"/>
      <c r="F463" s="47"/>
      <c r="G463" s="47"/>
      <c r="H463" s="47" t="s">
        <v>3605</v>
      </c>
      <c r="I463" s="47" t="s">
        <v>206</v>
      </c>
    </row>
    <row r="464" spans="1:9" ht="15">
      <c r="A464" s="47" t="s">
        <v>207</v>
      </c>
      <c r="B464" s="47" t="s">
        <v>4721</v>
      </c>
      <c r="C464" s="47" t="s">
        <v>4558</v>
      </c>
      <c r="D464" s="47" t="s">
        <v>4559</v>
      </c>
      <c r="E464" s="47"/>
      <c r="F464" s="47"/>
      <c r="G464" s="47"/>
      <c r="H464" s="47" t="s">
        <v>3605</v>
      </c>
      <c r="I464" s="47" t="s">
        <v>207</v>
      </c>
    </row>
    <row r="465" spans="1:9" ht="15">
      <c r="A465" s="47" t="s">
        <v>208</v>
      </c>
      <c r="B465" s="47" t="s">
        <v>4722</v>
      </c>
      <c r="C465" s="47" t="s">
        <v>4558</v>
      </c>
      <c r="D465" s="47" t="s">
        <v>4559</v>
      </c>
      <c r="E465" s="47"/>
      <c r="F465" s="47"/>
      <c r="G465" s="47"/>
      <c r="H465" s="47" t="s">
        <v>3605</v>
      </c>
      <c r="I465" s="47" t="s">
        <v>208</v>
      </c>
    </row>
    <row r="466" spans="1:9" ht="15">
      <c r="A466" s="47" t="s">
        <v>209</v>
      </c>
      <c r="B466" s="47" t="s">
        <v>4723</v>
      </c>
      <c r="C466" s="47" t="s">
        <v>4558</v>
      </c>
      <c r="D466" s="47" t="s">
        <v>4559</v>
      </c>
      <c r="E466" s="47"/>
      <c r="F466" s="47"/>
      <c r="G466" s="47"/>
      <c r="H466" s="47" t="s">
        <v>3605</v>
      </c>
      <c r="I466" s="47" t="s">
        <v>209</v>
      </c>
    </row>
    <row r="467" spans="1:9" ht="15">
      <c r="A467" s="47" t="s">
        <v>3009</v>
      </c>
      <c r="B467" s="47" t="s">
        <v>4724</v>
      </c>
      <c r="C467" s="47" t="s">
        <v>4558</v>
      </c>
      <c r="D467" s="47" t="s">
        <v>4559</v>
      </c>
      <c r="E467" s="47"/>
      <c r="F467" s="47"/>
      <c r="G467" s="47"/>
      <c r="H467" s="47" t="s">
        <v>3605</v>
      </c>
      <c r="I467" s="47" t="s">
        <v>3009</v>
      </c>
    </row>
    <row r="468" spans="1:9" ht="15">
      <c r="A468" s="47" t="s">
        <v>210</v>
      </c>
      <c r="B468" s="47" t="s">
        <v>4725</v>
      </c>
      <c r="C468" s="47" t="s">
        <v>4558</v>
      </c>
      <c r="D468" s="47" t="s">
        <v>4559</v>
      </c>
      <c r="E468" s="47"/>
      <c r="F468" s="47"/>
      <c r="G468" s="47"/>
      <c r="H468" s="47" t="s">
        <v>3605</v>
      </c>
      <c r="I468" s="47" t="s">
        <v>210</v>
      </c>
    </row>
    <row r="469" spans="1:9" ht="15">
      <c r="A469" s="47" t="s">
        <v>211</v>
      </c>
      <c r="B469" s="47" t="s">
        <v>4726</v>
      </c>
      <c r="C469" s="47" t="s">
        <v>4558</v>
      </c>
      <c r="D469" s="47" t="s">
        <v>4559</v>
      </c>
      <c r="E469" s="47"/>
      <c r="F469" s="47"/>
      <c r="G469" s="47"/>
      <c r="H469" s="47" t="s">
        <v>3605</v>
      </c>
      <c r="I469" s="47" t="s">
        <v>211</v>
      </c>
    </row>
    <row r="470" spans="1:9" ht="15">
      <c r="A470" s="47" t="s">
        <v>212</v>
      </c>
      <c r="B470" s="47" t="s">
        <v>4727</v>
      </c>
      <c r="C470" s="47" t="s">
        <v>4558</v>
      </c>
      <c r="D470" s="47" t="s">
        <v>4559</v>
      </c>
      <c r="E470" s="47"/>
      <c r="F470" s="47"/>
      <c r="G470" s="47"/>
      <c r="H470" s="47" t="s">
        <v>3605</v>
      </c>
      <c r="I470" s="47" t="s">
        <v>212</v>
      </c>
    </row>
    <row r="471" spans="1:9" ht="15">
      <c r="A471" s="47" t="s">
        <v>213</v>
      </c>
      <c r="B471" s="47" t="s">
        <v>4728</v>
      </c>
      <c r="C471" s="47" t="s">
        <v>4558</v>
      </c>
      <c r="D471" s="47" t="s">
        <v>4559</v>
      </c>
      <c r="E471" s="47"/>
      <c r="F471" s="47"/>
      <c r="G471" s="47"/>
      <c r="H471" s="47" t="s">
        <v>3605</v>
      </c>
      <c r="I471" s="47" t="s">
        <v>213</v>
      </c>
    </row>
    <row r="472" spans="1:9" ht="15">
      <c r="A472" s="47" t="s">
        <v>214</v>
      </c>
      <c r="B472" s="47" t="s">
        <v>4729</v>
      </c>
      <c r="C472" s="47" t="s">
        <v>4558</v>
      </c>
      <c r="D472" s="47" t="s">
        <v>4559</v>
      </c>
      <c r="E472" s="47"/>
      <c r="F472" s="47"/>
      <c r="G472" s="47"/>
      <c r="H472" s="47" t="s">
        <v>3605</v>
      </c>
      <c r="I472" s="47" t="s">
        <v>214</v>
      </c>
    </row>
    <row r="473" spans="1:9" ht="15">
      <c r="A473" s="47" t="s">
        <v>215</v>
      </c>
      <c r="B473" s="47" t="s">
        <v>4730</v>
      </c>
      <c r="C473" s="47" t="s">
        <v>4558</v>
      </c>
      <c r="D473" s="47" t="s">
        <v>4559</v>
      </c>
      <c r="E473" s="47"/>
      <c r="F473" s="47"/>
      <c r="G473" s="47"/>
      <c r="H473" s="47" t="s">
        <v>3605</v>
      </c>
      <c r="I473" s="47" t="s">
        <v>215</v>
      </c>
    </row>
    <row r="474" spans="1:9" ht="15">
      <c r="A474" s="47" t="s">
        <v>216</v>
      </c>
      <c r="B474" s="47" t="s">
        <v>4731</v>
      </c>
      <c r="C474" s="47" t="s">
        <v>4558</v>
      </c>
      <c r="D474" s="47" t="s">
        <v>4559</v>
      </c>
      <c r="E474" s="47"/>
      <c r="F474" s="47"/>
      <c r="G474" s="47"/>
      <c r="H474" s="47" t="s">
        <v>3605</v>
      </c>
      <c r="I474" s="47" t="s">
        <v>216</v>
      </c>
    </row>
    <row r="475" spans="1:9" ht="15">
      <c r="A475" s="47" t="s">
        <v>217</v>
      </c>
      <c r="B475" s="47" t="s">
        <v>4732</v>
      </c>
      <c r="C475" s="47" t="s">
        <v>4558</v>
      </c>
      <c r="D475" s="47" t="s">
        <v>4559</v>
      </c>
      <c r="E475" s="47"/>
      <c r="F475" s="47"/>
      <c r="G475" s="47"/>
      <c r="H475" s="47" t="s">
        <v>3605</v>
      </c>
      <c r="I475" s="47" t="s">
        <v>217</v>
      </c>
    </row>
    <row r="476" spans="1:9" ht="15">
      <c r="A476" s="47" t="s">
        <v>218</v>
      </c>
      <c r="B476" s="47" t="s">
        <v>4733</v>
      </c>
      <c r="C476" s="47" t="s">
        <v>4558</v>
      </c>
      <c r="D476" s="47" t="s">
        <v>4559</v>
      </c>
      <c r="E476" s="47"/>
      <c r="F476" s="47"/>
      <c r="G476" s="47"/>
      <c r="H476" s="47" t="s">
        <v>3605</v>
      </c>
      <c r="I476" s="47" t="s">
        <v>218</v>
      </c>
    </row>
    <row r="477" spans="1:9" ht="15">
      <c r="A477" s="47" t="s">
        <v>219</v>
      </c>
      <c r="B477" s="47" t="s">
        <v>4734</v>
      </c>
      <c r="C477" s="47" t="s">
        <v>4558</v>
      </c>
      <c r="D477" s="47" t="s">
        <v>4559</v>
      </c>
      <c r="E477" s="47"/>
      <c r="F477" s="47"/>
      <c r="G477" s="47"/>
      <c r="H477" s="47" t="s">
        <v>3605</v>
      </c>
      <c r="I477" s="47" t="s">
        <v>219</v>
      </c>
    </row>
    <row r="478" spans="1:9" ht="15">
      <c r="A478" s="47" t="s">
        <v>220</v>
      </c>
      <c r="B478" s="47" t="s">
        <v>4735</v>
      </c>
      <c r="C478" s="47" t="s">
        <v>4558</v>
      </c>
      <c r="D478" s="47" t="s">
        <v>4559</v>
      </c>
      <c r="E478" s="47"/>
      <c r="F478" s="47"/>
      <c r="G478" s="47"/>
      <c r="H478" s="47" t="s">
        <v>3605</v>
      </c>
      <c r="I478" s="47" t="s">
        <v>220</v>
      </c>
    </row>
    <row r="479" spans="1:9" ht="15">
      <c r="A479" s="47" t="s">
        <v>221</v>
      </c>
      <c r="B479" s="47" t="s">
        <v>4736</v>
      </c>
      <c r="C479" s="47" t="s">
        <v>4558</v>
      </c>
      <c r="D479" s="47" t="s">
        <v>4559</v>
      </c>
      <c r="E479" s="47"/>
      <c r="F479" s="47"/>
      <c r="G479" s="47"/>
      <c r="H479" s="47" t="s">
        <v>3605</v>
      </c>
      <c r="I479" s="47" t="s">
        <v>221</v>
      </c>
    </row>
    <row r="480" spans="1:9" ht="15">
      <c r="A480" s="47" t="s">
        <v>222</v>
      </c>
      <c r="B480" s="47" t="s">
        <v>4737</v>
      </c>
      <c r="C480" s="47" t="s">
        <v>4558</v>
      </c>
      <c r="D480" s="47" t="s">
        <v>4559</v>
      </c>
      <c r="E480" s="47"/>
      <c r="F480" s="47"/>
      <c r="G480" s="47"/>
      <c r="H480" s="47" t="s">
        <v>3605</v>
      </c>
      <c r="I480" s="47" t="s">
        <v>222</v>
      </c>
    </row>
    <row r="481" spans="1:9" ht="15">
      <c r="A481" s="47" t="s">
        <v>223</v>
      </c>
      <c r="B481" s="47" t="s">
        <v>4738</v>
      </c>
      <c r="C481" s="47" t="s">
        <v>4558</v>
      </c>
      <c r="D481" s="47" t="s">
        <v>4559</v>
      </c>
      <c r="E481" s="47"/>
      <c r="F481" s="47"/>
      <c r="G481" s="47"/>
      <c r="H481" s="47" t="s">
        <v>3605</v>
      </c>
      <c r="I481" s="47" t="s">
        <v>223</v>
      </c>
    </row>
    <row r="482" spans="1:9" ht="15">
      <c r="A482" s="47" t="s">
        <v>224</v>
      </c>
      <c r="B482" s="47" t="s">
        <v>4739</v>
      </c>
      <c r="C482" s="47" t="s">
        <v>4558</v>
      </c>
      <c r="D482" s="47" t="s">
        <v>4559</v>
      </c>
      <c r="E482" s="47"/>
      <c r="F482" s="47"/>
      <c r="G482" s="47"/>
      <c r="H482" s="47" t="s">
        <v>3605</v>
      </c>
      <c r="I482" s="47" t="s">
        <v>224</v>
      </c>
    </row>
    <row r="483" spans="1:9" ht="15">
      <c r="A483" s="47" t="s">
        <v>225</v>
      </c>
      <c r="B483" s="47" t="s">
        <v>4740</v>
      </c>
      <c r="C483" s="47" t="s">
        <v>4558</v>
      </c>
      <c r="D483" s="47" t="s">
        <v>4559</v>
      </c>
      <c r="E483" s="47"/>
      <c r="F483" s="47"/>
      <c r="G483" s="47"/>
      <c r="H483" s="47" t="s">
        <v>3605</v>
      </c>
      <c r="I483" s="47" t="s">
        <v>225</v>
      </c>
    </row>
    <row r="484" spans="1:9" ht="15">
      <c r="A484" s="47" t="s">
        <v>226</v>
      </c>
      <c r="B484" s="47" t="s">
        <v>4741</v>
      </c>
      <c r="C484" s="47" t="s">
        <v>4558</v>
      </c>
      <c r="D484" s="47" t="s">
        <v>4559</v>
      </c>
      <c r="E484" s="47"/>
      <c r="F484" s="47"/>
      <c r="G484" s="47"/>
      <c r="H484" s="47" t="s">
        <v>3605</v>
      </c>
      <c r="I484" s="47" t="s">
        <v>226</v>
      </c>
    </row>
    <row r="485" spans="1:9" ht="15">
      <c r="A485" s="47" t="s">
        <v>227</v>
      </c>
      <c r="B485" s="47" t="s">
        <v>4742</v>
      </c>
      <c r="C485" s="47" t="s">
        <v>4558</v>
      </c>
      <c r="D485" s="47" t="s">
        <v>4559</v>
      </c>
      <c r="E485" s="47"/>
      <c r="F485" s="47"/>
      <c r="G485" s="47"/>
      <c r="H485" s="47" t="s">
        <v>3605</v>
      </c>
      <c r="I485" s="47" t="s">
        <v>227</v>
      </c>
    </row>
    <row r="486" spans="1:9" ht="15">
      <c r="A486" s="47" t="s">
        <v>228</v>
      </c>
      <c r="B486" s="47" t="s">
        <v>4743</v>
      </c>
      <c r="C486" s="47" t="s">
        <v>4558</v>
      </c>
      <c r="D486" s="47" t="s">
        <v>4559</v>
      </c>
      <c r="E486" s="47"/>
      <c r="F486" s="47"/>
      <c r="G486" s="47"/>
      <c r="H486" s="47" t="s">
        <v>3605</v>
      </c>
      <c r="I486" s="47" t="s">
        <v>228</v>
      </c>
    </row>
    <row r="487" spans="1:9" ht="15">
      <c r="A487" s="47" t="s">
        <v>229</v>
      </c>
      <c r="B487" s="47" t="s">
        <v>4744</v>
      </c>
      <c r="C487" s="47" t="s">
        <v>4558</v>
      </c>
      <c r="D487" s="47" t="s">
        <v>4559</v>
      </c>
      <c r="E487" s="47"/>
      <c r="F487" s="47"/>
      <c r="G487" s="47"/>
      <c r="H487" s="47" t="s">
        <v>3605</v>
      </c>
      <c r="I487" s="47" t="s">
        <v>229</v>
      </c>
    </row>
    <row r="488" spans="1:9" ht="15">
      <c r="A488" s="47" t="s">
        <v>230</v>
      </c>
      <c r="B488" s="47" t="s">
        <v>4745</v>
      </c>
      <c r="C488" s="47" t="s">
        <v>4558</v>
      </c>
      <c r="D488" s="47" t="s">
        <v>4559</v>
      </c>
      <c r="E488" s="47"/>
      <c r="F488" s="47"/>
      <c r="G488" s="47"/>
      <c r="H488" s="47" t="s">
        <v>3605</v>
      </c>
      <c r="I488" s="47" t="s">
        <v>230</v>
      </c>
    </row>
    <row r="489" spans="1:9" ht="15">
      <c r="A489" s="47" t="s">
        <v>231</v>
      </c>
      <c r="B489" s="47" t="s">
        <v>4746</v>
      </c>
      <c r="C489" s="47" t="s">
        <v>4558</v>
      </c>
      <c r="D489" s="47" t="s">
        <v>4559</v>
      </c>
      <c r="E489" s="47"/>
      <c r="F489" s="47"/>
      <c r="G489" s="47"/>
      <c r="H489" s="47" t="s">
        <v>3605</v>
      </c>
      <c r="I489" s="47" t="s">
        <v>231</v>
      </c>
    </row>
    <row r="490" spans="1:9" ht="15">
      <c r="A490" s="47" t="s">
        <v>232</v>
      </c>
      <c r="B490" s="47" t="s">
        <v>4747</v>
      </c>
      <c r="C490" s="47" t="s">
        <v>4558</v>
      </c>
      <c r="D490" s="47" t="s">
        <v>4559</v>
      </c>
      <c r="E490" s="47"/>
      <c r="F490" s="47"/>
      <c r="G490" s="47"/>
      <c r="H490" s="47" t="s">
        <v>3605</v>
      </c>
      <c r="I490" s="47" t="s">
        <v>232</v>
      </c>
    </row>
    <row r="491" spans="1:9" ht="15">
      <c r="A491" s="47" t="s">
        <v>233</v>
      </c>
      <c r="B491" s="47" t="s">
        <v>4748</v>
      </c>
      <c r="C491" s="47" t="s">
        <v>4558</v>
      </c>
      <c r="D491" s="47" t="s">
        <v>4559</v>
      </c>
      <c r="E491" s="47"/>
      <c r="F491" s="47"/>
      <c r="G491" s="47"/>
      <c r="H491" s="47" t="s">
        <v>3605</v>
      </c>
      <c r="I491" s="47" t="s">
        <v>233</v>
      </c>
    </row>
    <row r="492" spans="1:9" ht="15">
      <c r="A492" s="47" t="s">
        <v>234</v>
      </c>
      <c r="B492" s="47" t="s">
        <v>4749</v>
      </c>
      <c r="C492" s="47" t="s">
        <v>4558</v>
      </c>
      <c r="D492" s="47" t="s">
        <v>4559</v>
      </c>
      <c r="E492" s="47"/>
      <c r="F492" s="47"/>
      <c r="G492" s="47"/>
      <c r="H492" s="47" t="s">
        <v>3605</v>
      </c>
      <c r="I492" s="47" t="s">
        <v>234</v>
      </c>
    </row>
    <row r="493" spans="1:9" ht="15">
      <c r="A493" s="47" t="s">
        <v>235</v>
      </c>
      <c r="B493" s="47" t="s">
        <v>4750</v>
      </c>
      <c r="C493" s="47" t="s">
        <v>4558</v>
      </c>
      <c r="D493" s="47" t="s">
        <v>4559</v>
      </c>
      <c r="E493" s="47"/>
      <c r="F493" s="47"/>
      <c r="G493" s="47"/>
      <c r="H493" s="47" t="s">
        <v>3605</v>
      </c>
      <c r="I493" s="47" t="s">
        <v>235</v>
      </c>
    </row>
    <row r="494" spans="1:9" ht="15">
      <c r="A494" s="47" t="s">
        <v>236</v>
      </c>
      <c r="B494" s="47" t="s">
        <v>4751</v>
      </c>
      <c r="C494" s="47" t="s">
        <v>4558</v>
      </c>
      <c r="D494" s="47" t="s">
        <v>4559</v>
      </c>
      <c r="E494" s="47"/>
      <c r="F494" s="47"/>
      <c r="G494" s="47"/>
      <c r="H494" s="47" t="s">
        <v>3605</v>
      </c>
      <c r="I494" s="47" t="s">
        <v>236</v>
      </c>
    </row>
    <row r="495" spans="1:9" ht="15">
      <c r="A495" s="47" t="s">
        <v>3011</v>
      </c>
      <c r="B495" s="47" t="s">
        <v>4752</v>
      </c>
      <c r="C495" s="47" t="s">
        <v>4558</v>
      </c>
      <c r="D495" s="47" t="s">
        <v>4559</v>
      </c>
      <c r="E495" s="47"/>
      <c r="F495" s="47"/>
      <c r="G495" s="47"/>
      <c r="H495" s="47" t="s">
        <v>3605</v>
      </c>
      <c r="I495" s="47" t="s">
        <v>3011</v>
      </c>
    </row>
    <row r="496" spans="1:9" ht="15">
      <c r="A496" s="47" t="s">
        <v>237</v>
      </c>
      <c r="B496" s="47" t="s">
        <v>4753</v>
      </c>
      <c r="C496" s="47" t="s">
        <v>4558</v>
      </c>
      <c r="D496" s="47" t="s">
        <v>4559</v>
      </c>
      <c r="E496" s="47"/>
      <c r="F496" s="47"/>
      <c r="G496" s="47"/>
      <c r="H496" s="47" t="s">
        <v>3605</v>
      </c>
      <c r="I496" s="47" t="s">
        <v>237</v>
      </c>
    </row>
    <row r="497" spans="1:9" ht="15">
      <c r="A497" s="47" t="s">
        <v>238</v>
      </c>
      <c r="B497" s="47" t="s">
        <v>4754</v>
      </c>
      <c r="C497" s="47" t="s">
        <v>4558</v>
      </c>
      <c r="D497" s="47" t="s">
        <v>4559</v>
      </c>
      <c r="E497" s="47"/>
      <c r="F497" s="47"/>
      <c r="G497" s="47"/>
      <c r="H497" s="47" t="s">
        <v>3605</v>
      </c>
      <c r="I497" s="47" t="s">
        <v>238</v>
      </c>
    </row>
    <row r="498" spans="1:9" ht="15">
      <c r="A498" s="47" t="s">
        <v>239</v>
      </c>
      <c r="B498" s="47" t="s">
        <v>4755</v>
      </c>
      <c r="C498" s="47" t="s">
        <v>4558</v>
      </c>
      <c r="D498" s="47" t="s">
        <v>4559</v>
      </c>
      <c r="E498" s="47"/>
      <c r="F498" s="47"/>
      <c r="G498" s="47"/>
      <c r="H498" s="47" t="s">
        <v>3605</v>
      </c>
      <c r="I498" s="47" t="s">
        <v>239</v>
      </c>
    </row>
    <row r="499" spans="1:9" ht="15">
      <c r="A499" s="47" t="s">
        <v>3013</v>
      </c>
      <c r="B499" s="47" t="s">
        <v>4756</v>
      </c>
      <c r="C499" s="47" t="s">
        <v>4558</v>
      </c>
      <c r="D499" s="47" t="s">
        <v>4559</v>
      </c>
      <c r="E499" s="47"/>
      <c r="F499" s="47"/>
      <c r="G499" s="47"/>
      <c r="H499" s="47" t="s">
        <v>3605</v>
      </c>
      <c r="I499" s="47" t="s">
        <v>3013</v>
      </c>
    </row>
    <row r="500" spans="1:9" ht="15">
      <c r="A500" s="47" t="s">
        <v>240</v>
      </c>
      <c r="B500" s="47" t="s">
        <v>4757</v>
      </c>
      <c r="C500" s="47" t="s">
        <v>4558</v>
      </c>
      <c r="D500" s="47" t="s">
        <v>4559</v>
      </c>
      <c r="E500" s="47"/>
      <c r="F500" s="47"/>
      <c r="G500" s="47"/>
      <c r="H500" s="47" t="s">
        <v>3605</v>
      </c>
      <c r="I500" s="47" t="s">
        <v>240</v>
      </c>
    </row>
    <row r="501" spans="1:9" ht="15">
      <c r="A501" s="47" t="s">
        <v>241</v>
      </c>
      <c r="B501" s="47" t="s">
        <v>4758</v>
      </c>
      <c r="C501" s="47" t="s">
        <v>4558</v>
      </c>
      <c r="D501" s="47" t="s">
        <v>4559</v>
      </c>
      <c r="E501" s="47"/>
      <c r="F501" s="47"/>
      <c r="G501" s="47"/>
      <c r="H501" s="47" t="s">
        <v>3605</v>
      </c>
      <c r="I501" s="47" t="s">
        <v>241</v>
      </c>
    </row>
    <row r="502" spans="1:9" ht="15">
      <c r="A502" s="47" t="s">
        <v>242</v>
      </c>
      <c r="B502" s="47" t="s">
        <v>4759</v>
      </c>
      <c r="C502" s="47" t="s">
        <v>4558</v>
      </c>
      <c r="D502" s="47" t="s">
        <v>4559</v>
      </c>
      <c r="E502" s="47"/>
      <c r="F502" s="47"/>
      <c r="G502" s="47"/>
      <c r="H502" s="47" t="s">
        <v>3605</v>
      </c>
      <c r="I502" s="47" t="s">
        <v>242</v>
      </c>
    </row>
    <row r="503" spans="1:9" ht="15">
      <c r="A503" s="47" t="s">
        <v>243</v>
      </c>
      <c r="B503" s="47" t="s">
        <v>4760</v>
      </c>
      <c r="C503" s="47" t="s">
        <v>4558</v>
      </c>
      <c r="D503" s="47" t="s">
        <v>4559</v>
      </c>
      <c r="E503" s="47"/>
      <c r="F503" s="47"/>
      <c r="G503" s="47"/>
      <c r="H503" s="47" t="s">
        <v>3605</v>
      </c>
      <c r="I503" s="47" t="s">
        <v>243</v>
      </c>
    </row>
    <row r="504" spans="1:9" ht="15">
      <c r="A504" s="47" t="s">
        <v>244</v>
      </c>
      <c r="B504" s="47" t="s">
        <v>4761</v>
      </c>
      <c r="C504" s="47" t="s">
        <v>4558</v>
      </c>
      <c r="D504" s="47" t="s">
        <v>4559</v>
      </c>
      <c r="E504" s="47"/>
      <c r="F504" s="47"/>
      <c r="G504" s="47"/>
      <c r="H504" s="47" t="s">
        <v>3605</v>
      </c>
      <c r="I504" s="47" t="s">
        <v>244</v>
      </c>
    </row>
    <row r="505" spans="1:9" ht="15">
      <c r="A505" s="47" t="s">
        <v>245</v>
      </c>
      <c r="B505" s="47" t="s">
        <v>4762</v>
      </c>
      <c r="C505" s="47" t="s">
        <v>4558</v>
      </c>
      <c r="D505" s="47" t="s">
        <v>4559</v>
      </c>
      <c r="E505" s="47"/>
      <c r="F505" s="47"/>
      <c r="G505" s="47"/>
      <c r="H505" s="47" t="s">
        <v>3605</v>
      </c>
      <c r="I505" s="47" t="s">
        <v>245</v>
      </c>
    </row>
    <row r="506" spans="1:9" ht="15">
      <c r="A506" s="47" t="s">
        <v>246</v>
      </c>
      <c r="B506" s="47" t="s">
        <v>4763</v>
      </c>
      <c r="C506" s="47" t="s">
        <v>4558</v>
      </c>
      <c r="D506" s="47" t="s">
        <v>4559</v>
      </c>
      <c r="E506" s="47"/>
      <c r="F506" s="47"/>
      <c r="G506" s="47"/>
      <c r="H506" s="47" t="s">
        <v>3605</v>
      </c>
      <c r="I506" s="47" t="s">
        <v>246</v>
      </c>
    </row>
    <row r="507" spans="1:9" ht="15">
      <c r="A507" s="47" t="s">
        <v>247</v>
      </c>
      <c r="B507" s="47" t="s">
        <v>4764</v>
      </c>
      <c r="C507" s="47" t="s">
        <v>4558</v>
      </c>
      <c r="D507" s="47" t="s">
        <v>4559</v>
      </c>
      <c r="E507" s="47"/>
      <c r="F507" s="47"/>
      <c r="G507" s="47"/>
      <c r="H507" s="47" t="s">
        <v>3605</v>
      </c>
      <c r="I507" s="47" t="s">
        <v>247</v>
      </c>
    </row>
    <row r="508" spans="1:9" ht="15">
      <c r="A508" s="47" t="s">
        <v>248</v>
      </c>
      <c r="B508" s="47" t="s">
        <v>4765</v>
      </c>
      <c r="C508" s="47" t="s">
        <v>4558</v>
      </c>
      <c r="D508" s="47" t="s">
        <v>4559</v>
      </c>
      <c r="E508" s="47"/>
      <c r="F508" s="47"/>
      <c r="G508" s="47"/>
      <c r="H508" s="47" t="s">
        <v>3605</v>
      </c>
      <c r="I508" s="47" t="s">
        <v>248</v>
      </c>
    </row>
    <row r="509" spans="1:9" ht="15">
      <c r="A509" s="47" t="s">
        <v>249</v>
      </c>
      <c r="B509" s="47" t="s">
        <v>4766</v>
      </c>
      <c r="C509" s="47" t="s">
        <v>4558</v>
      </c>
      <c r="D509" s="47" t="s">
        <v>4559</v>
      </c>
      <c r="E509" s="47"/>
      <c r="F509" s="47"/>
      <c r="G509" s="47"/>
      <c r="H509" s="47" t="s">
        <v>3605</v>
      </c>
      <c r="I509" s="47" t="s">
        <v>249</v>
      </c>
    </row>
    <row r="510" spans="1:9" ht="15">
      <c r="A510" s="47" t="s">
        <v>250</v>
      </c>
      <c r="B510" s="47" t="s">
        <v>4767</v>
      </c>
      <c r="C510" s="47" t="s">
        <v>4558</v>
      </c>
      <c r="D510" s="47" t="s">
        <v>4559</v>
      </c>
      <c r="E510" s="47"/>
      <c r="F510" s="47"/>
      <c r="G510" s="47"/>
      <c r="H510" s="47" t="s">
        <v>3605</v>
      </c>
      <c r="I510" s="47" t="s">
        <v>250</v>
      </c>
    </row>
    <row r="511" spans="1:9" ht="15">
      <c r="A511" s="47" t="s">
        <v>251</v>
      </c>
      <c r="B511" s="47" t="s">
        <v>4768</v>
      </c>
      <c r="C511" s="47" t="s">
        <v>4558</v>
      </c>
      <c r="D511" s="47" t="s">
        <v>4559</v>
      </c>
      <c r="E511" s="47"/>
      <c r="F511" s="47"/>
      <c r="G511" s="47"/>
      <c r="H511" s="47" t="s">
        <v>3605</v>
      </c>
      <c r="I511" s="47" t="s">
        <v>251</v>
      </c>
    </row>
    <row r="512" spans="1:9" ht="15">
      <c r="A512" s="47" t="s">
        <v>252</v>
      </c>
      <c r="B512" s="47" t="s">
        <v>4769</v>
      </c>
      <c r="C512" s="47" t="s">
        <v>4558</v>
      </c>
      <c r="D512" s="47" t="s">
        <v>4559</v>
      </c>
      <c r="E512" s="47"/>
      <c r="F512" s="47"/>
      <c r="G512" s="47"/>
      <c r="H512" s="47" t="s">
        <v>3605</v>
      </c>
      <c r="I512" s="47" t="s">
        <v>252</v>
      </c>
    </row>
    <row r="513" spans="1:9" ht="15">
      <c r="A513" s="47" t="s">
        <v>253</v>
      </c>
      <c r="B513" s="47" t="s">
        <v>4770</v>
      </c>
      <c r="C513" s="47" t="s">
        <v>4558</v>
      </c>
      <c r="D513" s="47" t="s">
        <v>4559</v>
      </c>
      <c r="E513" s="47"/>
      <c r="F513" s="47"/>
      <c r="G513" s="47"/>
      <c r="H513" s="47" t="s">
        <v>3605</v>
      </c>
      <c r="I513" s="47" t="s">
        <v>253</v>
      </c>
    </row>
    <row r="514" spans="1:9" ht="15">
      <c r="A514" s="47" t="s">
        <v>254</v>
      </c>
      <c r="B514" s="47" t="s">
        <v>4771</v>
      </c>
      <c r="C514" s="47" t="s">
        <v>4558</v>
      </c>
      <c r="D514" s="47" t="s">
        <v>4559</v>
      </c>
      <c r="E514" s="47"/>
      <c r="F514" s="47"/>
      <c r="G514" s="47"/>
      <c r="H514" s="47" t="s">
        <v>3605</v>
      </c>
      <c r="I514" s="47" t="s">
        <v>254</v>
      </c>
    </row>
    <row r="515" spans="1:9" ht="15">
      <c r="A515" s="47" t="s">
        <v>255</v>
      </c>
      <c r="B515" s="47" t="s">
        <v>4772</v>
      </c>
      <c r="C515" s="47" t="s">
        <v>4558</v>
      </c>
      <c r="D515" s="47" t="s">
        <v>4559</v>
      </c>
      <c r="E515" s="47"/>
      <c r="F515" s="47"/>
      <c r="G515" s="47"/>
      <c r="H515" s="47" t="s">
        <v>3605</v>
      </c>
      <c r="I515" s="47" t="s">
        <v>255</v>
      </c>
    </row>
    <row r="516" spans="1:9" ht="15">
      <c r="A516" s="47" t="s">
        <v>256</v>
      </c>
      <c r="B516" s="47" t="s">
        <v>4773</v>
      </c>
      <c r="C516" s="47" t="s">
        <v>4558</v>
      </c>
      <c r="D516" s="47" t="s">
        <v>4559</v>
      </c>
      <c r="E516" s="47"/>
      <c r="F516" s="47"/>
      <c r="G516" s="47"/>
      <c r="H516" s="47" t="s">
        <v>3605</v>
      </c>
      <c r="I516" s="47" t="s">
        <v>256</v>
      </c>
    </row>
    <row r="517" spans="1:9" ht="15">
      <c r="A517" s="47" t="s">
        <v>257</v>
      </c>
      <c r="B517" s="47" t="s">
        <v>4774</v>
      </c>
      <c r="C517" s="47" t="s">
        <v>4558</v>
      </c>
      <c r="D517" s="47" t="s">
        <v>4559</v>
      </c>
      <c r="E517" s="47"/>
      <c r="F517" s="47"/>
      <c r="G517" s="47"/>
      <c r="H517" s="47" t="s">
        <v>3605</v>
      </c>
      <c r="I517" s="47" t="s">
        <v>257</v>
      </c>
    </row>
    <row r="518" spans="1:9" ht="15">
      <c r="A518" s="47" t="s">
        <v>258</v>
      </c>
      <c r="B518" s="47" t="s">
        <v>4775</v>
      </c>
      <c r="C518" s="47" t="s">
        <v>4558</v>
      </c>
      <c r="D518" s="47" t="s">
        <v>4559</v>
      </c>
      <c r="E518" s="47"/>
      <c r="F518" s="47"/>
      <c r="G518" s="47"/>
      <c r="H518" s="47" t="s">
        <v>3605</v>
      </c>
      <c r="I518" s="47" t="s">
        <v>258</v>
      </c>
    </row>
    <row r="519" spans="1:9" ht="15">
      <c r="A519" s="47" t="s">
        <v>259</v>
      </c>
      <c r="B519" s="47" t="s">
        <v>4776</v>
      </c>
      <c r="C519" s="47" t="s">
        <v>4558</v>
      </c>
      <c r="D519" s="47" t="s">
        <v>4559</v>
      </c>
      <c r="E519" s="47"/>
      <c r="F519" s="47"/>
      <c r="G519" s="47"/>
      <c r="H519" s="47" t="s">
        <v>3605</v>
      </c>
      <c r="I519" s="47" t="s">
        <v>259</v>
      </c>
    </row>
    <row r="520" spans="1:9" ht="15">
      <c r="A520" s="47" t="s">
        <v>260</v>
      </c>
      <c r="B520" s="47" t="s">
        <v>4777</v>
      </c>
      <c r="C520" s="47" t="s">
        <v>4558</v>
      </c>
      <c r="D520" s="47" t="s">
        <v>4559</v>
      </c>
      <c r="E520" s="47"/>
      <c r="F520" s="47"/>
      <c r="G520" s="47"/>
      <c r="H520" s="47" t="s">
        <v>3605</v>
      </c>
      <c r="I520" s="47" t="s">
        <v>260</v>
      </c>
    </row>
    <row r="521" spans="1:9" ht="15">
      <c r="A521" s="47" t="s">
        <v>261</v>
      </c>
      <c r="B521" s="47" t="s">
        <v>4778</v>
      </c>
      <c r="C521" s="47" t="s">
        <v>4558</v>
      </c>
      <c r="D521" s="47" t="s">
        <v>4559</v>
      </c>
      <c r="E521" s="47"/>
      <c r="F521" s="47"/>
      <c r="G521" s="47"/>
      <c r="H521" s="47" t="s">
        <v>3605</v>
      </c>
      <c r="I521" s="47" t="s">
        <v>261</v>
      </c>
    </row>
    <row r="522" spans="1:9" ht="15">
      <c r="A522" s="47" t="s">
        <v>262</v>
      </c>
      <c r="B522" s="47" t="s">
        <v>4779</v>
      </c>
      <c r="C522" s="47" t="s">
        <v>4558</v>
      </c>
      <c r="D522" s="47" t="s">
        <v>4559</v>
      </c>
      <c r="E522" s="47"/>
      <c r="F522" s="47"/>
      <c r="G522" s="47"/>
      <c r="H522" s="47" t="s">
        <v>3605</v>
      </c>
      <c r="I522" s="47" t="s">
        <v>262</v>
      </c>
    </row>
    <row r="523" spans="1:9" ht="15">
      <c r="A523" s="47" t="s">
        <v>263</v>
      </c>
      <c r="B523" s="47" t="s">
        <v>4780</v>
      </c>
      <c r="C523" s="47" t="s">
        <v>4558</v>
      </c>
      <c r="D523" s="47" t="s">
        <v>4559</v>
      </c>
      <c r="E523" s="47"/>
      <c r="F523" s="47"/>
      <c r="G523" s="47"/>
      <c r="H523" s="47" t="s">
        <v>3605</v>
      </c>
      <c r="I523" s="47" t="s">
        <v>263</v>
      </c>
    </row>
    <row r="524" spans="1:9" ht="15">
      <c r="A524" s="47" t="s">
        <v>264</v>
      </c>
      <c r="B524" s="47" t="s">
        <v>4781</v>
      </c>
      <c r="C524" s="47" t="s">
        <v>4558</v>
      </c>
      <c r="D524" s="47" t="s">
        <v>4559</v>
      </c>
      <c r="E524" s="47"/>
      <c r="F524" s="47"/>
      <c r="G524" s="47"/>
      <c r="H524" s="47" t="s">
        <v>3605</v>
      </c>
      <c r="I524" s="47" t="s">
        <v>264</v>
      </c>
    </row>
    <row r="525" spans="1:9" ht="15">
      <c r="A525" s="47" t="s">
        <v>265</v>
      </c>
      <c r="B525" s="47" t="s">
        <v>4782</v>
      </c>
      <c r="C525" s="47" t="s">
        <v>4558</v>
      </c>
      <c r="D525" s="47" t="s">
        <v>4559</v>
      </c>
      <c r="E525" s="47"/>
      <c r="F525" s="47"/>
      <c r="G525" s="47"/>
      <c r="H525" s="47" t="s">
        <v>3605</v>
      </c>
      <c r="I525" s="47" t="s">
        <v>265</v>
      </c>
    </row>
    <row r="526" spans="1:9" ht="15">
      <c r="A526" s="47" t="s">
        <v>266</v>
      </c>
      <c r="B526" s="47" t="s">
        <v>4783</v>
      </c>
      <c r="C526" s="47" t="s">
        <v>4558</v>
      </c>
      <c r="D526" s="47" t="s">
        <v>4559</v>
      </c>
      <c r="E526" s="47"/>
      <c r="F526" s="47"/>
      <c r="G526" s="47"/>
      <c r="H526" s="47" t="s">
        <v>3605</v>
      </c>
      <c r="I526" s="47" t="s">
        <v>266</v>
      </c>
    </row>
    <row r="527" spans="1:9" ht="15">
      <c r="A527" s="47" t="s">
        <v>267</v>
      </c>
      <c r="B527" s="47" t="s">
        <v>4784</v>
      </c>
      <c r="C527" s="47" t="s">
        <v>4558</v>
      </c>
      <c r="D527" s="47" t="s">
        <v>4559</v>
      </c>
      <c r="E527" s="47"/>
      <c r="F527" s="47"/>
      <c r="G527" s="47"/>
      <c r="H527" s="47" t="s">
        <v>3605</v>
      </c>
      <c r="I527" s="47" t="s">
        <v>267</v>
      </c>
    </row>
    <row r="528" spans="1:9" ht="15">
      <c r="A528" s="47" t="s">
        <v>268</v>
      </c>
      <c r="B528" s="47" t="s">
        <v>4785</v>
      </c>
      <c r="C528" s="47" t="s">
        <v>4558</v>
      </c>
      <c r="D528" s="47" t="s">
        <v>4559</v>
      </c>
      <c r="E528" s="47"/>
      <c r="F528" s="47"/>
      <c r="G528" s="47"/>
      <c r="H528" s="47" t="s">
        <v>3605</v>
      </c>
      <c r="I528" s="47" t="s">
        <v>268</v>
      </c>
    </row>
    <row r="529" spans="1:9" ht="15">
      <c r="A529" s="47" t="s">
        <v>269</v>
      </c>
      <c r="B529" s="47" t="s">
        <v>4786</v>
      </c>
      <c r="C529" s="47" t="s">
        <v>4558</v>
      </c>
      <c r="D529" s="47" t="s">
        <v>4559</v>
      </c>
      <c r="E529" s="47"/>
      <c r="F529" s="47"/>
      <c r="G529" s="47"/>
      <c r="H529" s="47" t="s">
        <v>3605</v>
      </c>
      <c r="I529" s="47" t="s">
        <v>269</v>
      </c>
    </row>
    <row r="530" spans="1:9" ht="15">
      <c r="A530" s="47" t="s">
        <v>270</v>
      </c>
      <c r="B530" s="47" t="s">
        <v>4787</v>
      </c>
      <c r="C530" s="47" t="s">
        <v>4558</v>
      </c>
      <c r="D530" s="47" t="s">
        <v>4559</v>
      </c>
      <c r="E530" s="47"/>
      <c r="F530" s="47"/>
      <c r="G530" s="47"/>
      <c r="H530" s="47" t="s">
        <v>3605</v>
      </c>
      <c r="I530" s="47" t="s">
        <v>270</v>
      </c>
    </row>
    <row r="531" spans="1:9" ht="15">
      <c r="A531" s="47" t="s">
        <v>271</v>
      </c>
      <c r="B531" s="47" t="s">
        <v>4788</v>
      </c>
      <c r="C531" s="47" t="s">
        <v>4558</v>
      </c>
      <c r="D531" s="47" t="s">
        <v>4559</v>
      </c>
      <c r="E531" s="47"/>
      <c r="F531" s="47"/>
      <c r="G531" s="47"/>
      <c r="H531" s="47" t="s">
        <v>3605</v>
      </c>
      <c r="I531" s="47" t="s">
        <v>271</v>
      </c>
    </row>
    <row r="532" spans="1:9" ht="15">
      <c r="A532" s="47" t="s">
        <v>272</v>
      </c>
      <c r="B532" s="47" t="s">
        <v>4789</v>
      </c>
      <c r="C532" s="47" t="s">
        <v>4558</v>
      </c>
      <c r="D532" s="47" t="s">
        <v>4559</v>
      </c>
      <c r="E532" s="47"/>
      <c r="F532" s="47"/>
      <c r="G532" s="47"/>
      <c r="H532" s="47" t="s">
        <v>3605</v>
      </c>
      <c r="I532" s="47" t="s">
        <v>272</v>
      </c>
    </row>
    <row r="533" spans="1:9" ht="15">
      <c r="A533" s="47" t="s">
        <v>273</v>
      </c>
      <c r="B533" s="47" t="s">
        <v>4790</v>
      </c>
      <c r="C533" s="47" t="s">
        <v>4558</v>
      </c>
      <c r="D533" s="47" t="s">
        <v>4559</v>
      </c>
      <c r="E533" s="47"/>
      <c r="F533" s="47"/>
      <c r="G533" s="47"/>
      <c r="H533" s="47" t="s">
        <v>3605</v>
      </c>
      <c r="I533" s="47" t="s">
        <v>273</v>
      </c>
    </row>
    <row r="534" spans="1:9" ht="15">
      <c r="A534" s="47" t="s">
        <v>274</v>
      </c>
      <c r="B534" s="47" t="s">
        <v>4791</v>
      </c>
      <c r="C534" s="47" t="s">
        <v>4558</v>
      </c>
      <c r="D534" s="47" t="s">
        <v>4559</v>
      </c>
      <c r="E534" s="47"/>
      <c r="F534" s="47"/>
      <c r="G534" s="47"/>
      <c r="H534" s="47" t="s">
        <v>3605</v>
      </c>
      <c r="I534" s="47" t="s">
        <v>274</v>
      </c>
    </row>
    <row r="535" spans="1:9" ht="15">
      <c r="A535" s="47" t="s">
        <v>275</v>
      </c>
      <c r="B535" s="47" t="s">
        <v>4792</v>
      </c>
      <c r="C535" s="47" t="s">
        <v>4558</v>
      </c>
      <c r="D535" s="47" t="s">
        <v>4559</v>
      </c>
      <c r="E535" s="47"/>
      <c r="F535" s="47"/>
      <c r="G535" s="47"/>
      <c r="H535" s="47" t="s">
        <v>3605</v>
      </c>
      <c r="I535" s="47" t="s">
        <v>275</v>
      </c>
    </row>
    <row r="536" spans="1:9" ht="15">
      <c r="A536" s="47" t="s">
        <v>276</v>
      </c>
      <c r="B536" s="47" t="s">
        <v>4793</v>
      </c>
      <c r="C536" s="47" t="s">
        <v>4558</v>
      </c>
      <c r="D536" s="47" t="s">
        <v>4559</v>
      </c>
      <c r="E536" s="47"/>
      <c r="F536" s="47"/>
      <c r="G536" s="47"/>
      <c r="H536" s="47" t="s">
        <v>3605</v>
      </c>
      <c r="I536" s="47" t="s">
        <v>276</v>
      </c>
    </row>
    <row r="537" spans="1:9" ht="15">
      <c r="A537" s="47" t="s">
        <v>277</v>
      </c>
      <c r="B537" s="47" t="s">
        <v>4794</v>
      </c>
      <c r="C537" s="47" t="s">
        <v>4558</v>
      </c>
      <c r="D537" s="47" t="s">
        <v>4559</v>
      </c>
      <c r="E537" s="47"/>
      <c r="F537" s="47"/>
      <c r="G537" s="47"/>
      <c r="H537" s="47" t="s">
        <v>3605</v>
      </c>
      <c r="I537" s="47" t="s">
        <v>277</v>
      </c>
    </row>
    <row r="538" spans="1:9" ht="15">
      <c r="A538" s="47" t="s">
        <v>278</v>
      </c>
      <c r="B538" s="47" t="s">
        <v>4795</v>
      </c>
      <c r="C538" s="47" t="s">
        <v>4558</v>
      </c>
      <c r="D538" s="47" t="s">
        <v>4559</v>
      </c>
      <c r="E538" s="47"/>
      <c r="F538" s="47"/>
      <c r="G538" s="47"/>
      <c r="H538" s="47" t="s">
        <v>3605</v>
      </c>
      <c r="I538" s="47" t="s">
        <v>278</v>
      </c>
    </row>
    <row r="539" spans="1:9" ht="15">
      <c r="A539" s="47" t="s">
        <v>279</v>
      </c>
      <c r="B539" s="47" t="s">
        <v>4796</v>
      </c>
      <c r="C539" s="47" t="s">
        <v>4558</v>
      </c>
      <c r="D539" s="47" t="s">
        <v>4559</v>
      </c>
      <c r="E539" s="47"/>
      <c r="F539" s="47"/>
      <c r="G539" s="47"/>
      <c r="H539" s="47" t="s">
        <v>3605</v>
      </c>
      <c r="I539" s="47" t="s">
        <v>279</v>
      </c>
    </row>
    <row r="540" spans="1:9" ht="15">
      <c r="A540" s="47" t="s">
        <v>280</v>
      </c>
      <c r="B540" s="47" t="s">
        <v>4797</v>
      </c>
      <c r="C540" s="47" t="s">
        <v>4558</v>
      </c>
      <c r="D540" s="47" t="s">
        <v>4559</v>
      </c>
      <c r="E540" s="47"/>
      <c r="F540" s="47"/>
      <c r="G540" s="47"/>
      <c r="H540" s="47" t="s">
        <v>3605</v>
      </c>
      <c r="I540" s="47" t="s">
        <v>280</v>
      </c>
    </row>
    <row r="541" spans="1:9" ht="15">
      <c r="A541" s="47" t="s">
        <v>281</v>
      </c>
      <c r="B541" s="47" t="s">
        <v>4798</v>
      </c>
      <c r="C541" s="47" t="s">
        <v>4558</v>
      </c>
      <c r="D541" s="47" t="s">
        <v>4559</v>
      </c>
      <c r="E541" s="47"/>
      <c r="F541" s="47"/>
      <c r="G541" s="47"/>
      <c r="H541" s="47" t="s">
        <v>3605</v>
      </c>
      <c r="I541" s="47" t="s">
        <v>281</v>
      </c>
    </row>
    <row r="542" spans="1:9" ht="15">
      <c r="A542" s="47" t="s">
        <v>282</v>
      </c>
      <c r="B542" s="47" t="s">
        <v>4799</v>
      </c>
      <c r="C542" s="47" t="s">
        <v>4558</v>
      </c>
      <c r="D542" s="47" t="s">
        <v>4559</v>
      </c>
      <c r="E542" s="47"/>
      <c r="F542" s="47"/>
      <c r="G542" s="47"/>
      <c r="H542" s="47" t="s">
        <v>3605</v>
      </c>
      <c r="I542" s="47" t="s">
        <v>282</v>
      </c>
    </row>
    <row r="543" spans="1:9" ht="15">
      <c r="A543" s="47" t="s">
        <v>283</v>
      </c>
      <c r="B543" s="47" t="s">
        <v>4800</v>
      </c>
      <c r="C543" s="47" t="s">
        <v>4558</v>
      </c>
      <c r="D543" s="47" t="s">
        <v>4559</v>
      </c>
      <c r="E543" s="47"/>
      <c r="F543" s="47"/>
      <c r="G543" s="47"/>
      <c r="H543" s="47" t="s">
        <v>3605</v>
      </c>
      <c r="I543" s="47" t="s">
        <v>283</v>
      </c>
    </row>
    <row r="544" spans="1:9" ht="15">
      <c r="A544" s="47" t="s">
        <v>284</v>
      </c>
      <c r="B544" s="47" t="s">
        <v>4801</v>
      </c>
      <c r="C544" s="47" t="s">
        <v>4558</v>
      </c>
      <c r="D544" s="47" t="s">
        <v>4559</v>
      </c>
      <c r="E544" s="47"/>
      <c r="F544" s="47"/>
      <c r="G544" s="47"/>
      <c r="H544" s="47" t="s">
        <v>3605</v>
      </c>
      <c r="I544" s="47" t="s">
        <v>284</v>
      </c>
    </row>
    <row r="545" spans="1:9" ht="15">
      <c r="A545" s="47" t="s">
        <v>285</v>
      </c>
      <c r="B545" s="47" t="s">
        <v>4802</v>
      </c>
      <c r="C545" s="47" t="s">
        <v>4558</v>
      </c>
      <c r="D545" s="47" t="s">
        <v>4559</v>
      </c>
      <c r="E545" s="47"/>
      <c r="F545" s="47"/>
      <c r="G545" s="47"/>
      <c r="H545" s="47" t="s">
        <v>3605</v>
      </c>
      <c r="I545" s="47" t="s">
        <v>285</v>
      </c>
    </row>
    <row r="546" spans="1:9" ht="15">
      <c r="A546" s="47" t="s">
        <v>286</v>
      </c>
      <c r="B546" s="47" t="s">
        <v>4803</v>
      </c>
      <c r="C546" s="47" t="s">
        <v>4558</v>
      </c>
      <c r="D546" s="47" t="s">
        <v>4559</v>
      </c>
      <c r="E546" s="47"/>
      <c r="F546" s="47"/>
      <c r="G546" s="47"/>
      <c r="H546" s="47" t="s">
        <v>3605</v>
      </c>
      <c r="I546" s="47" t="s">
        <v>286</v>
      </c>
    </row>
    <row r="547" spans="1:9" ht="15">
      <c r="A547" s="47" t="s">
        <v>287</v>
      </c>
      <c r="B547" s="47" t="s">
        <v>4804</v>
      </c>
      <c r="C547" s="47" t="s">
        <v>4558</v>
      </c>
      <c r="D547" s="47" t="s">
        <v>4559</v>
      </c>
      <c r="E547" s="47"/>
      <c r="F547" s="47"/>
      <c r="G547" s="47"/>
      <c r="H547" s="47" t="s">
        <v>3605</v>
      </c>
      <c r="I547" s="47" t="s">
        <v>287</v>
      </c>
    </row>
    <row r="548" spans="1:9" ht="15">
      <c r="A548" s="47" t="s">
        <v>288</v>
      </c>
      <c r="B548" s="47" t="s">
        <v>4805</v>
      </c>
      <c r="C548" s="47" t="s">
        <v>4558</v>
      </c>
      <c r="D548" s="47" t="s">
        <v>4559</v>
      </c>
      <c r="E548" s="47"/>
      <c r="F548" s="47"/>
      <c r="G548" s="47"/>
      <c r="H548" s="47" t="s">
        <v>3605</v>
      </c>
      <c r="I548" s="47" t="s">
        <v>288</v>
      </c>
    </row>
    <row r="549" spans="1:9" ht="15">
      <c r="A549" s="47" t="s">
        <v>289</v>
      </c>
      <c r="B549" s="47" t="s">
        <v>4806</v>
      </c>
      <c r="C549" s="47" t="s">
        <v>4558</v>
      </c>
      <c r="D549" s="47" t="s">
        <v>4559</v>
      </c>
      <c r="E549" s="47"/>
      <c r="F549" s="47"/>
      <c r="G549" s="47"/>
      <c r="H549" s="47" t="s">
        <v>3605</v>
      </c>
      <c r="I549" s="47" t="s">
        <v>289</v>
      </c>
    </row>
    <row r="550" spans="1:9" ht="15">
      <c r="A550" s="47" t="s">
        <v>290</v>
      </c>
      <c r="B550" s="47" t="s">
        <v>4807</v>
      </c>
      <c r="C550" s="47" t="s">
        <v>4558</v>
      </c>
      <c r="D550" s="47" t="s">
        <v>4559</v>
      </c>
      <c r="E550" s="47"/>
      <c r="F550" s="47"/>
      <c r="G550" s="47"/>
      <c r="H550" s="47" t="s">
        <v>3605</v>
      </c>
      <c r="I550" s="47" t="s">
        <v>290</v>
      </c>
    </row>
    <row r="551" spans="1:9" ht="15">
      <c r="A551" s="47" t="s">
        <v>291</v>
      </c>
      <c r="B551" s="47" t="s">
        <v>4808</v>
      </c>
      <c r="C551" s="47" t="s">
        <v>4558</v>
      </c>
      <c r="D551" s="47" t="s">
        <v>4559</v>
      </c>
      <c r="E551" s="47"/>
      <c r="F551" s="47"/>
      <c r="G551" s="47"/>
      <c r="H551" s="47" t="s">
        <v>3605</v>
      </c>
      <c r="I551" s="47" t="s">
        <v>291</v>
      </c>
    </row>
    <row r="552" spans="1:9" ht="15">
      <c r="A552" s="47" t="s">
        <v>292</v>
      </c>
      <c r="B552" s="47" t="s">
        <v>4809</v>
      </c>
      <c r="C552" s="47" t="s">
        <v>4558</v>
      </c>
      <c r="D552" s="47" t="s">
        <v>4559</v>
      </c>
      <c r="E552" s="47"/>
      <c r="F552" s="47"/>
      <c r="G552" s="47"/>
      <c r="H552" s="47" t="s">
        <v>3605</v>
      </c>
      <c r="I552" s="47" t="s">
        <v>292</v>
      </c>
    </row>
    <row r="553" spans="1:9" ht="15">
      <c r="A553" s="47" t="s">
        <v>3015</v>
      </c>
      <c r="B553" s="47" t="s">
        <v>4810</v>
      </c>
      <c r="C553" s="47" t="s">
        <v>4558</v>
      </c>
      <c r="D553" s="47" t="s">
        <v>4559</v>
      </c>
      <c r="E553" s="47"/>
      <c r="F553" s="47"/>
      <c r="G553" s="47"/>
      <c r="H553" s="47" t="s">
        <v>3605</v>
      </c>
      <c r="I553" s="47" t="s">
        <v>3015</v>
      </c>
    </row>
    <row r="554" spans="1:9" ht="15">
      <c r="A554" s="47" t="s">
        <v>293</v>
      </c>
      <c r="B554" s="47" t="s">
        <v>4811</v>
      </c>
      <c r="C554" s="47" t="s">
        <v>4558</v>
      </c>
      <c r="D554" s="47" t="s">
        <v>4559</v>
      </c>
      <c r="E554" s="47"/>
      <c r="F554" s="47"/>
      <c r="G554" s="47"/>
      <c r="H554" s="47" t="s">
        <v>3605</v>
      </c>
      <c r="I554" s="47" t="s">
        <v>293</v>
      </c>
    </row>
    <row r="555" spans="1:9" ht="15">
      <c r="A555" s="47" t="s">
        <v>294</v>
      </c>
      <c r="B555" s="47" t="s">
        <v>4812</v>
      </c>
      <c r="C555" s="47" t="s">
        <v>4558</v>
      </c>
      <c r="D555" s="47" t="s">
        <v>4559</v>
      </c>
      <c r="E555" s="47"/>
      <c r="F555" s="47"/>
      <c r="G555" s="47"/>
      <c r="H555" s="47" t="s">
        <v>3605</v>
      </c>
      <c r="I555" s="47" t="s">
        <v>294</v>
      </c>
    </row>
    <row r="556" spans="1:9" ht="15">
      <c r="A556" s="47" t="s">
        <v>295</v>
      </c>
      <c r="B556" s="47" t="s">
        <v>4813</v>
      </c>
      <c r="C556" s="47" t="s">
        <v>4558</v>
      </c>
      <c r="D556" s="47" t="s">
        <v>4559</v>
      </c>
      <c r="E556" s="47"/>
      <c r="F556" s="47"/>
      <c r="G556" s="47"/>
      <c r="H556" s="47" t="s">
        <v>3605</v>
      </c>
      <c r="I556" s="47" t="s">
        <v>295</v>
      </c>
    </row>
    <row r="557" spans="1:9" ht="15">
      <c r="A557" s="47" t="s">
        <v>296</v>
      </c>
      <c r="B557" s="47" t="s">
        <v>4814</v>
      </c>
      <c r="C557" s="47" t="s">
        <v>4558</v>
      </c>
      <c r="D557" s="47" t="s">
        <v>4559</v>
      </c>
      <c r="E557" s="47"/>
      <c r="F557" s="47"/>
      <c r="G557" s="47"/>
      <c r="H557" s="47" t="s">
        <v>3605</v>
      </c>
      <c r="I557" s="47" t="s">
        <v>296</v>
      </c>
    </row>
    <row r="558" spans="1:9" ht="15">
      <c r="A558" s="47" t="s">
        <v>297</v>
      </c>
      <c r="B558" s="47" t="s">
        <v>4815</v>
      </c>
      <c r="C558" s="47" t="s">
        <v>4558</v>
      </c>
      <c r="D558" s="47" t="s">
        <v>4559</v>
      </c>
      <c r="E558" s="47"/>
      <c r="F558" s="47"/>
      <c r="G558" s="47"/>
      <c r="H558" s="47" t="s">
        <v>3605</v>
      </c>
      <c r="I558" s="47" t="s">
        <v>297</v>
      </c>
    </row>
    <row r="559" spans="1:9" ht="15">
      <c r="A559" s="47" t="s">
        <v>298</v>
      </c>
      <c r="B559" s="47" t="s">
        <v>4816</v>
      </c>
      <c r="C559" s="47" t="s">
        <v>4558</v>
      </c>
      <c r="D559" s="47" t="s">
        <v>4559</v>
      </c>
      <c r="E559" s="47"/>
      <c r="F559" s="47"/>
      <c r="G559" s="47"/>
      <c r="H559" s="47" t="s">
        <v>3605</v>
      </c>
      <c r="I559" s="47" t="s">
        <v>298</v>
      </c>
    </row>
    <row r="560" spans="1:9" ht="15">
      <c r="A560" s="47" t="s">
        <v>299</v>
      </c>
      <c r="B560" s="47" t="s">
        <v>4817</v>
      </c>
      <c r="C560" s="47" t="s">
        <v>4558</v>
      </c>
      <c r="D560" s="47" t="s">
        <v>4559</v>
      </c>
      <c r="E560" s="47"/>
      <c r="F560" s="47"/>
      <c r="G560" s="47"/>
      <c r="H560" s="47" t="s">
        <v>3605</v>
      </c>
      <c r="I560" s="47" t="s">
        <v>299</v>
      </c>
    </row>
    <row r="561" spans="1:9" ht="15">
      <c r="A561" s="47" t="s">
        <v>300</v>
      </c>
      <c r="B561" s="47" t="s">
        <v>4818</v>
      </c>
      <c r="C561" s="47" t="s">
        <v>4558</v>
      </c>
      <c r="D561" s="47" t="s">
        <v>4559</v>
      </c>
      <c r="E561" s="47"/>
      <c r="F561" s="47"/>
      <c r="G561" s="47"/>
      <c r="H561" s="47" t="s">
        <v>3605</v>
      </c>
      <c r="I561" s="47" t="s">
        <v>300</v>
      </c>
    </row>
    <row r="562" spans="1:9" ht="15">
      <c r="A562" s="47" t="s">
        <v>301</v>
      </c>
      <c r="B562" s="47" t="s">
        <v>4819</v>
      </c>
      <c r="C562" s="47" t="s">
        <v>4558</v>
      </c>
      <c r="D562" s="47" t="s">
        <v>4559</v>
      </c>
      <c r="E562" s="47"/>
      <c r="F562" s="47"/>
      <c r="G562" s="47"/>
      <c r="H562" s="47" t="s">
        <v>3605</v>
      </c>
      <c r="I562" s="47" t="s">
        <v>301</v>
      </c>
    </row>
    <row r="563" spans="1:9" ht="15">
      <c r="A563" s="47" t="s">
        <v>302</v>
      </c>
      <c r="B563" s="47" t="s">
        <v>4820</v>
      </c>
      <c r="C563" s="47" t="s">
        <v>4558</v>
      </c>
      <c r="D563" s="47" t="s">
        <v>4559</v>
      </c>
      <c r="E563" s="47"/>
      <c r="F563" s="47"/>
      <c r="G563" s="47"/>
      <c r="H563" s="47" t="s">
        <v>3605</v>
      </c>
      <c r="I563" s="47" t="s">
        <v>302</v>
      </c>
    </row>
    <row r="564" spans="1:9" ht="15">
      <c r="A564" s="47" t="s">
        <v>303</v>
      </c>
      <c r="B564" s="47" t="s">
        <v>4821</v>
      </c>
      <c r="C564" s="47" t="s">
        <v>4558</v>
      </c>
      <c r="D564" s="47" t="s">
        <v>4559</v>
      </c>
      <c r="E564" s="47"/>
      <c r="F564" s="47"/>
      <c r="G564" s="47"/>
      <c r="H564" s="47" t="s">
        <v>3605</v>
      </c>
      <c r="I564" s="47" t="s">
        <v>303</v>
      </c>
    </row>
    <row r="565" spans="1:9" ht="15">
      <c r="A565" s="47" t="s">
        <v>304</v>
      </c>
      <c r="B565" s="47" t="s">
        <v>4822</v>
      </c>
      <c r="C565" s="47" t="s">
        <v>4558</v>
      </c>
      <c r="D565" s="47" t="s">
        <v>4559</v>
      </c>
      <c r="E565" s="47"/>
      <c r="F565" s="47"/>
      <c r="G565" s="47"/>
      <c r="H565" s="47" t="s">
        <v>3605</v>
      </c>
      <c r="I565" s="47" t="s">
        <v>304</v>
      </c>
    </row>
    <row r="566" spans="1:9" ht="15">
      <c r="A566" s="47" t="s">
        <v>305</v>
      </c>
      <c r="B566" s="47" t="s">
        <v>4823</v>
      </c>
      <c r="C566" s="47" t="s">
        <v>4558</v>
      </c>
      <c r="D566" s="47" t="s">
        <v>4559</v>
      </c>
      <c r="E566" s="47"/>
      <c r="F566" s="47"/>
      <c r="G566" s="47"/>
      <c r="H566" s="47" t="s">
        <v>3605</v>
      </c>
      <c r="I566" s="47" t="s">
        <v>305</v>
      </c>
    </row>
    <row r="567" spans="1:9" ht="15">
      <c r="A567" s="47" t="s">
        <v>306</v>
      </c>
      <c r="B567" s="47" t="s">
        <v>4824</v>
      </c>
      <c r="C567" s="47" t="s">
        <v>4558</v>
      </c>
      <c r="D567" s="47" t="s">
        <v>4559</v>
      </c>
      <c r="E567" s="47"/>
      <c r="F567" s="47"/>
      <c r="G567" s="47"/>
      <c r="H567" s="47" t="s">
        <v>3605</v>
      </c>
      <c r="I567" s="47" t="s">
        <v>306</v>
      </c>
    </row>
    <row r="568" spans="1:9" ht="15">
      <c r="A568" s="47" t="s">
        <v>307</v>
      </c>
      <c r="B568" s="47" t="s">
        <v>4825</v>
      </c>
      <c r="C568" s="47" t="s">
        <v>4558</v>
      </c>
      <c r="D568" s="47" t="s">
        <v>4559</v>
      </c>
      <c r="E568" s="47"/>
      <c r="F568" s="47"/>
      <c r="G568" s="47"/>
      <c r="H568" s="47" t="s">
        <v>3605</v>
      </c>
      <c r="I568" s="47" t="s">
        <v>307</v>
      </c>
    </row>
    <row r="569" spans="1:9" ht="15">
      <c r="A569" s="47" t="s">
        <v>308</v>
      </c>
      <c r="B569" s="47" t="s">
        <v>4826</v>
      </c>
      <c r="C569" s="47" t="s">
        <v>4558</v>
      </c>
      <c r="D569" s="47" t="s">
        <v>4559</v>
      </c>
      <c r="E569" s="47"/>
      <c r="F569" s="47"/>
      <c r="G569" s="47"/>
      <c r="H569" s="47" t="s">
        <v>3605</v>
      </c>
      <c r="I569" s="47" t="s">
        <v>308</v>
      </c>
    </row>
    <row r="570" spans="1:9" ht="15">
      <c r="A570" s="47" t="s">
        <v>309</v>
      </c>
      <c r="B570" s="47" t="s">
        <v>4827</v>
      </c>
      <c r="C570" s="47" t="s">
        <v>4558</v>
      </c>
      <c r="D570" s="47" t="s">
        <v>4559</v>
      </c>
      <c r="E570" s="47"/>
      <c r="F570" s="47"/>
      <c r="G570" s="47"/>
      <c r="H570" s="47" t="s">
        <v>3605</v>
      </c>
      <c r="I570" s="47" t="s">
        <v>309</v>
      </c>
    </row>
    <row r="571" spans="1:9" ht="15">
      <c r="A571" s="47" t="s">
        <v>3017</v>
      </c>
      <c r="B571" s="47" t="s">
        <v>4828</v>
      </c>
      <c r="C571" s="47" t="s">
        <v>4558</v>
      </c>
      <c r="D571" s="47" t="s">
        <v>4559</v>
      </c>
      <c r="E571" s="47"/>
      <c r="F571" s="47"/>
      <c r="G571" s="47"/>
      <c r="H571" s="47" t="s">
        <v>3605</v>
      </c>
      <c r="I571" s="47" t="s">
        <v>3017</v>
      </c>
    </row>
    <row r="572" spans="1:9" ht="15">
      <c r="A572" s="47" t="s">
        <v>310</v>
      </c>
      <c r="B572" s="47" t="s">
        <v>4829</v>
      </c>
      <c r="C572" s="47" t="s">
        <v>4558</v>
      </c>
      <c r="D572" s="47" t="s">
        <v>4559</v>
      </c>
      <c r="E572" s="47"/>
      <c r="F572" s="47"/>
      <c r="G572" s="47"/>
      <c r="H572" s="47" t="s">
        <v>3605</v>
      </c>
      <c r="I572" s="47" t="s">
        <v>310</v>
      </c>
    </row>
    <row r="573" spans="1:9" ht="15">
      <c r="A573" s="47" t="s">
        <v>311</v>
      </c>
      <c r="B573" s="47" t="s">
        <v>4830</v>
      </c>
      <c r="C573" s="47" t="s">
        <v>4558</v>
      </c>
      <c r="D573" s="47" t="s">
        <v>4559</v>
      </c>
      <c r="E573" s="47"/>
      <c r="F573" s="47"/>
      <c r="G573" s="47"/>
      <c r="H573" s="47" t="s">
        <v>3605</v>
      </c>
      <c r="I573" s="47" t="s">
        <v>311</v>
      </c>
    </row>
    <row r="574" spans="1:9" ht="15">
      <c r="A574" s="47" t="s">
        <v>3019</v>
      </c>
      <c r="B574" s="47" t="s">
        <v>4831</v>
      </c>
      <c r="C574" s="47" t="s">
        <v>4558</v>
      </c>
      <c r="D574" s="47" t="s">
        <v>4559</v>
      </c>
      <c r="E574" s="47"/>
      <c r="F574" s="47"/>
      <c r="G574" s="47"/>
      <c r="H574" s="47" t="s">
        <v>3605</v>
      </c>
      <c r="I574" s="47" t="s">
        <v>3019</v>
      </c>
    </row>
    <row r="575" spans="1:9" ht="15">
      <c r="A575" s="47" t="s">
        <v>312</v>
      </c>
      <c r="B575" s="47" t="s">
        <v>4832</v>
      </c>
      <c r="C575" s="47" t="s">
        <v>4558</v>
      </c>
      <c r="D575" s="47" t="s">
        <v>4559</v>
      </c>
      <c r="E575" s="47"/>
      <c r="F575" s="47"/>
      <c r="G575" s="47"/>
      <c r="H575" s="47" t="s">
        <v>3605</v>
      </c>
      <c r="I575" s="47" t="s">
        <v>312</v>
      </c>
    </row>
    <row r="576" spans="1:9" ht="15">
      <c r="A576" s="47" t="s">
        <v>313</v>
      </c>
      <c r="B576" s="47" t="s">
        <v>4833</v>
      </c>
      <c r="C576" s="47" t="s">
        <v>4558</v>
      </c>
      <c r="D576" s="47" t="s">
        <v>4559</v>
      </c>
      <c r="E576" s="47"/>
      <c r="F576" s="47"/>
      <c r="G576" s="47"/>
      <c r="H576" s="47" t="s">
        <v>3605</v>
      </c>
      <c r="I576" s="47" t="s">
        <v>313</v>
      </c>
    </row>
    <row r="577" spans="1:9" ht="15">
      <c r="A577" s="47" t="s">
        <v>314</v>
      </c>
      <c r="B577" s="47" t="s">
        <v>4834</v>
      </c>
      <c r="C577" s="47" t="s">
        <v>4558</v>
      </c>
      <c r="D577" s="47" t="s">
        <v>4559</v>
      </c>
      <c r="E577" s="47"/>
      <c r="F577" s="47"/>
      <c r="G577" s="47"/>
      <c r="H577" s="47" t="s">
        <v>3605</v>
      </c>
      <c r="I577" s="47" t="s">
        <v>314</v>
      </c>
    </row>
    <row r="578" spans="1:9" ht="15">
      <c r="A578" s="47" t="s">
        <v>315</v>
      </c>
      <c r="B578" s="47" t="s">
        <v>4835</v>
      </c>
      <c r="C578" s="47" t="s">
        <v>4558</v>
      </c>
      <c r="D578" s="47" t="s">
        <v>4559</v>
      </c>
      <c r="E578" s="47"/>
      <c r="F578" s="47"/>
      <c r="G578" s="47"/>
      <c r="H578" s="47" t="s">
        <v>3605</v>
      </c>
      <c r="I578" s="47" t="s">
        <v>315</v>
      </c>
    </row>
    <row r="579" spans="1:9" ht="15">
      <c r="A579" s="47" t="s">
        <v>316</v>
      </c>
      <c r="B579" s="47" t="s">
        <v>4836</v>
      </c>
      <c r="C579" s="47" t="s">
        <v>4558</v>
      </c>
      <c r="D579" s="47" t="s">
        <v>4559</v>
      </c>
      <c r="E579" s="47"/>
      <c r="F579" s="47"/>
      <c r="G579" s="47"/>
      <c r="H579" s="47" t="s">
        <v>3605</v>
      </c>
      <c r="I579" s="47" t="s">
        <v>316</v>
      </c>
    </row>
    <row r="580" spans="1:9" ht="15">
      <c r="A580" s="47" t="s">
        <v>317</v>
      </c>
      <c r="B580" s="47" t="s">
        <v>4837</v>
      </c>
      <c r="C580" s="47" t="s">
        <v>4558</v>
      </c>
      <c r="D580" s="47" t="s">
        <v>4559</v>
      </c>
      <c r="E580" s="47"/>
      <c r="F580" s="47"/>
      <c r="G580" s="47"/>
      <c r="H580" s="47" t="s">
        <v>3605</v>
      </c>
      <c r="I580" s="47" t="s">
        <v>317</v>
      </c>
    </row>
    <row r="581" spans="1:9" ht="15">
      <c r="A581" s="47" t="s">
        <v>318</v>
      </c>
      <c r="B581" s="47" t="s">
        <v>4838</v>
      </c>
      <c r="C581" s="47" t="s">
        <v>4558</v>
      </c>
      <c r="D581" s="47" t="s">
        <v>4559</v>
      </c>
      <c r="E581" s="47"/>
      <c r="F581" s="47"/>
      <c r="G581" s="47"/>
      <c r="H581" s="47" t="s">
        <v>3605</v>
      </c>
      <c r="I581" s="47" t="s">
        <v>318</v>
      </c>
    </row>
    <row r="582" spans="1:9" ht="15">
      <c r="A582" s="47" t="s">
        <v>319</v>
      </c>
      <c r="B582" s="47" t="s">
        <v>4839</v>
      </c>
      <c r="C582" s="47" t="s">
        <v>4558</v>
      </c>
      <c r="D582" s="47" t="s">
        <v>4559</v>
      </c>
      <c r="E582" s="47"/>
      <c r="F582" s="47"/>
      <c r="G582" s="47"/>
      <c r="H582" s="47" t="s">
        <v>3605</v>
      </c>
      <c r="I582" s="47" t="s">
        <v>319</v>
      </c>
    </row>
    <row r="583" spans="1:9" ht="15">
      <c r="A583" s="47" t="s">
        <v>320</v>
      </c>
      <c r="B583" s="47" t="s">
        <v>4840</v>
      </c>
      <c r="C583" s="47" t="s">
        <v>4558</v>
      </c>
      <c r="D583" s="47" t="s">
        <v>4559</v>
      </c>
      <c r="E583" s="47"/>
      <c r="F583" s="47"/>
      <c r="G583" s="47"/>
      <c r="H583" s="47" t="s">
        <v>3605</v>
      </c>
      <c r="I583" s="47" t="s">
        <v>320</v>
      </c>
    </row>
    <row r="584" spans="1:9" ht="15">
      <c r="A584" s="47" t="s">
        <v>321</v>
      </c>
      <c r="B584" s="47" t="s">
        <v>4841</v>
      </c>
      <c r="C584" s="47" t="s">
        <v>4558</v>
      </c>
      <c r="D584" s="47" t="s">
        <v>4559</v>
      </c>
      <c r="E584" s="47"/>
      <c r="F584" s="47"/>
      <c r="G584" s="47"/>
      <c r="H584" s="47" t="s">
        <v>3605</v>
      </c>
      <c r="I584" s="47" t="s">
        <v>321</v>
      </c>
    </row>
    <row r="585" spans="1:9" ht="15">
      <c r="A585" s="47" t="s">
        <v>322</v>
      </c>
      <c r="B585" s="47" t="s">
        <v>4842</v>
      </c>
      <c r="C585" s="47" t="s">
        <v>4558</v>
      </c>
      <c r="D585" s="47" t="s">
        <v>4559</v>
      </c>
      <c r="E585" s="47"/>
      <c r="F585" s="47"/>
      <c r="G585" s="47"/>
      <c r="H585" s="47" t="s">
        <v>3605</v>
      </c>
      <c r="I585" s="47" t="s">
        <v>322</v>
      </c>
    </row>
    <row r="586" spans="1:9" ht="15">
      <c r="A586" s="47" t="s">
        <v>323</v>
      </c>
      <c r="B586" s="47" t="s">
        <v>4843</v>
      </c>
      <c r="C586" s="47" t="s">
        <v>4558</v>
      </c>
      <c r="D586" s="47" t="s">
        <v>4559</v>
      </c>
      <c r="E586" s="47"/>
      <c r="F586" s="47"/>
      <c r="G586" s="47"/>
      <c r="H586" s="47" t="s">
        <v>3605</v>
      </c>
      <c r="I586" s="47" t="s">
        <v>323</v>
      </c>
    </row>
    <row r="587" spans="1:9" ht="15">
      <c r="A587" s="47" t="s">
        <v>324</v>
      </c>
      <c r="B587" s="47" t="s">
        <v>4844</v>
      </c>
      <c r="C587" s="47" t="s">
        <v>4558</v>
      </c>
      <c r="D587" s="47" t="s">
        <v>4559</v>
      </c>
      <c r="E587" s="47"/>
      <c r="F587" s="47"/>
      <c r="G587" s="47"/>
      <c r="H587" s="47" t="s">
        <v>3605</v>
      </c>
      <c r="I587" s="47" t="s">
        <v>324</v>
      </c>
    </row>
    <row r="588" spans="1:9" ht="15">
      <c r="A588" s="47" t="s">
        <v>325</v>
      </c>
      <c r="B588" s="47" t="s">
        <v>4845</v>
      </c>
      <c r="C588" s="47" t="s">
        <v>4558</v>
      </c>
      <c r="D588" s="47" t="s">
        <v>4559</v>
      </c>
      <c r="E588" s="47"/>
      <c r="F588" s="47"/>
      <c r="G588" s="47"/>
      <c r="H588" s="47" t="s">
        <v>3605</v>
      </c>
      <c r="I588" s="47" t="s">
        <v>325</v>
      </c>
    </row>
    <row r="589" spans="1:9" ht="15">
      <c r="A589" s="47" t="s">
        <v>326</v>
      </c>
      <c r="B589" s="47" t="s">
        <v>4846</v>
      </c>
      <c r="C589" s="47" t="s">
        <v>4558</v>
      </c>
      <c r="D589" s="47" t="s">
        <v>4559</v>
      </c>
      <c r="E589" s="47"/>
      <c r="F589" s="47"/>
      <c r="G589" s="47"/>
      <c r="H589" s="47" t="s">
        <v>3605</v>
      </c>
      <c r="I589" s="47" t="s">
        <v>326</v>
      </c>
    </row>
    <row r="590" spans="1:9" ht="15">
      <c r="A590" s="47" t="s">
        <v>327</v>
      </c>
      <c r="B590" s="47" t="s">
        <v>4847</v>
      </c>
      <c r="C590" s="47" t="s">
        <v>4558</v>
      </c>
      <c r="D590" s="47" t="s">
        <v>4559</v>
      </c>
      <c r="E590" s="47"/>
      <c r="F590" s="47"/>
      <c r="G590" s="47"/>
      <c r="H590" s="47" t="s">
        <v>3605</v>
      </c>
      <c r="I590" s="47" t="s">
        <v>327</v>
      </c>
    </row>
    <row r="591" spans="1:9" ht="15">
      <c r="A591" s="47" t="s">
        <v>328</v>
      </c>
      <c r="B591" s="47" t="s">
        <v>4848</v>
      </c>
      <c r="C591" s="47" t="s">
        <v>4558</v>
      </c>
      <c r="D591" s="47" t="s">
        <v>4559</v>
      </c>
      <c r="E591" s="47"/>
      <c r="F591" s="47"/>
      <c r="G591" s="47"/>
      <c r="H591" s="47" t="s">
        <v>3605</v>
      </c>
      <c r="I591" s="47" t="s">
        <v>328</v>
      </c>
    </row>
    <row r="592" spans="1:9" ht="15">
      <c r="A592" s="47" t="s">
        <v>329</v>
      </c>
      <c r="B592" s="47" t="s">
        <v>4849</v>
      </c>
      <c r="C592" s="47" t="s">
        <v>4558</v>
      </c>
      <c r="D592" s="47" t="s">
        <v>4559</v>
      </c>
      <c r="E592" s="47"/>
      <c r="F592" s="47"/>
      <c r="G592" s="47"/>
      <c r="H592" s="47" t="s">
        <v>3605</v>
      </c>
      <c r="I592" s="47" t="s">
        <v>329</v>
      </c>
    </row>
    <row r="593" spans="1:9" ht="15">
      <c r="A593" s="47" t="s">
        <v>330</v>
      </c>
      <c r="B593" s="47" t="s">
        <v>4850</v>
      </c>
      <c r="C593" s="47" t="s">
        <v>4558</v>
      </c>
      <c r="D593" s="47" t="s">
        <v>4559</v>
      </c>
      <c r="E593" s="47"/>
      <c r="F593" s="47"/>
      <c r="G593" s="47"/>
      <c r="H593" s="47" t="s">
        <v>3605</v>
      </c>
      <c r="I593" s="47" t="s">
        <v>330</v>
      </c>
    </row>
    <row r="594" spans="1:9" ht="15">
      <c r="A594" s="47" t="s">
        <v>331</v>
      </c>
      <c r="B594" s="47" t="s">
        <v>4851</v>
      </c>
      <c r="C594" s="47" t="s">
        <v>4558</v>
      </c>
      <c r="D594" s="47" t="s">
        <v>4559</v>
      </c>
      <c r="E594" s="47"/>
      <c r="F594" s="47"/>
      <c r="G594" s="47"/>
      <c r="H594" s="47" t="s">
        <v>3605</v>
      </c>
      <c r="I594" s="47" t="s">
        <v>331</v>
      </c>
    </row>
    <row r="595" spans="1:9" ht="15">
      <c r="A595" s="47" t="s">
        <v>332</v>
      </c>
      <c r="B595" s="47" t="s">
        <v>4852</v>
      </c>
      <c r="C595" s="47" t="s">
        <v>4558</v>
      </c>
      <c r="D595" s="47" t="s">
        <v>4559</v>
      </c>
      <c r="E595" s="47"/>
      <c r="F595" s="47"/>
      <c r="G595" s="47"/>
      <c r="H595" s="47" t="s">
        <v>3605</v>
      </c>
      <c r="I595" s="47" t="s">
        <v>332</v>
      </c>
    </row>
    <row r="596" spans="1:9" ht="15">
      <c r="A596" s="47" t="s">
        <v>333</v>
      </c>
      <c r="B596" s="47" t="s">
        <v>4853</v>
      </c>
      <c r="C596" s="47" t="s">
        <v>4558</v>
      </c>
      <c r="D596" s="47" t="s">
        <v>4559</v>
      </c>
      <c r="E596" s="47"/>
      <c r="F596" s="47"/>
      <c r="G596" s="47"/>
      <c r="H596" s="47" t="s">
        <v>3605</v>
      </c>
      <c r="I596" s="47" t="s">
        <v>333</v>
      </c>
    </row>
    <row r="597" spans="1:9" ht="15">
      <c r="A597" s="47" t="s">
        <v>334</v>
      </c>
      <c r="B597" s="47" t="s">
        <v>4854</v>
      </c>
      <c r="C597" s="47" t="s">
        <v>4558</v>
      </c>
      <c r="D597" s="47" t="s">
        <v>4559</v>
      </c>
      <c r="E597" s="47"/>
      <c r="F597" s="47"/>
      <c r="G597" s="47"/>
      <c r="H597" s="47" t="s">
        <v>3605</v>
      </c>
      <c r="I597" s="47" t="s">
        <v>334</v>
      </c>
    </row>
    <row r="598" spans="1:9" ht="15">
      <c r="A598" s="47" t="s">
        <v>335</v>
      </c>
      <c r="B598" s="47" t="s">
        <v>4855</v>
      </c>
      <c r="C598" s="47" t="s">
        <v>4558</v>
      </c>
      <c r="D598" s="47" t="s">
        <v>4559</v>
      </c>
      <c r="E598" s="47"/>
      <c r="F598" s="47"/>
      <c r="G598" s="47"/>
      <c r="H598" s="47" t="s">
        <v>3605</v>
      </c>
      <c r="I598" s="47" t="s">
        <v>335</v>
      </c>
    </row>
    <row r="599" spans="1:9" ht="15">
      <c r="A599" s="47" t="s">
        <v>336</v>
      </c>
      <c r="B599" s="47" t="s">
        <v>4856</v>
      </c>
      <c r="C599" s="47" t="s">
        <v>4558</v>
      </c>
      <c r="D599" s="47" t="s">
        <v>4559</v>
      </c>
      <c r="E599" s="47"/>
      <c r="F599" s="47"/>
      <c r="G599" s="47"/>
      <c r="H599" s="47" t="s">
        <v>3605</v>
      </c>
      <c r="I599" s="47" t="s">
        <v>336</v>
      </c>
    </row>
    <row r="600" spans="1:9" ht="15">
      <c r="A600" s="47" t="s">
        <v>337</v>
      </c>
      <c r="B600" s="47" t="s">
        <v>4857</v>
      </c>
      <c r="C600" s="47" t="s">
        <v>4558</v>
      </c>
      <c r="D600" s="47" t="s">
        <v>4559</v>
      </c>
      <c r="E600" s="47"/>
      <c r="F600" s="47"/>
      <c r="G600" s="47"/>
      <c r="H600" s="47" t="s">
        <v>3605</v>
      </c>
      <c r="I600" s="47" t="s">
        <v>337</v>
      </c>
    </row>
    <row r="601" spans="1:9" ht="15">
      <c r="A601" s="47" t="s">
        <v>338</v>
      </c>
      <c r="B601" s="47" t="s">
        <v>4858</v>
      </c>
      <c r="C601" s="47" t="s">
        <v>4558</v>
      </c>
      <c r="D601" s="47" t="s">
        <v>4559</v>
      </c>
      <c r="E601" s="47"/>
      <c r="F601" s="47"/>
      <c r="G601" s="47"/>
      <c r="H601" s="47" t="s">
        <v>3605</v>
      </c>
      <c r="I601" s="47" t="s">
        <v>338</v>
      </c>
    </row>
    <row r="602" spans="1:9" ht="15">
      <c r="A602" s="47" t="s">
        <v>339</v>
      </c>
      <c r="B602" s="47" t="s">
        <v>4859</v>
      </c>
      <c r="C602" s="47" t="s">
        <v>4558</v>
      </c>
      <c r="D602" s="47" t="s">
        <v>4559</v>
      </c>
      <c r="E602" s="47"/>
      <c r="F602" s="47"/>
      <c r="G602" s="47"/>
      <c r="H602" s="47" t="s">
        <v>3605</v>
      </c>
      <c r="I602" s="47" t="s">
        <v>339</v>
      </c>
    </row>
    <row r="603" spans="1:9" ht="15">
      <c r="A603" s="47" t="s">
        <v>340</v>
      </c>
      <c r="B603" s="47" t="s">
        <v>4860</v>
      </c>
      <c r="C603" s="47" t="s">
        <v>4558</v>
      </c>
      <c r="D603" s="47" t="s">
        <v>4559</v>
      </c>
      <c r="E603" s="47"/>
      <c r="F603" s="47"/>
      <c r="G603" s="47"/>
      <c r="H603" s="47" t="s">
        <v>3605</v>
      </c>
      <c r="I603" s="47" t="s">
        <v>340</v>
      </c>
    </row>
    <row r="604" spans="1:9" ht="15">
      <c r="A604" s="47" t="s">
        <v>341</v>
      </c>
      <c r="B604" s="47" t="s">
        <v>4861</v>
      </c>
      <c r="C604" s="47" t="s">
        <v>4558</v>
      </c>
      <c r="D604" s="47" t="s">
        <v>4559</v>
      </c>
      <c r="E604" s="47"/>
      <c r="F604" s="47"/>
      <c r="G604" s="47"/>
      <c r="H604" s="47" t="s">
        <v>3605</v>
      </c>
      <c r="I604" s="47" t="s">
        <v>341</v>
      </c>
    </row>
    <row r="605" spans="1:9" ht="15">
      <c r="A605" s="47" t="s">
        <v>3021</v>
      </c>
      <c r="B605" s="47" t="s">
        <v>4862</v>
      </c>
      <c r="C605" s="47" t="s">
        <v>4558</v>
      </c>
      <c r="D605" s="47" t="s">
        <v>4559</v>
      </c>
      <c r="E605" s="47"/>
      <c r="F605" s="47"/>
      <c r="G605" s="47"/>
      <c r="H605" s="47" t="s">
        <v>3605</v>
      </c>
      <c r="I605" s="47" t="s">
        <v>3021</v>
      </c>
    </row>
    <row r="606" spans="1:9" ht="15">
      <c r="A606" s="47" t="s">
        <v>342</v>
      </c>
      <c r="B606" s="47" t="s">
        <v>4863</v>
      </c>
      <c r="C606" s="47" t="s">
        <v>4558</v>
      </c>
      <c r="D606" s="47" t="s">
        <v>4559</v>
      </c>
      <c r="E606" s="47"/>
      <c r="F606" s="47"/>
      <c r="G606" s="47"/>
      <c r="H606" s="47" t="s">
        <v>3605</v>
      </c>
      <c r="I606" s="47" t="s">
        <v>342</v>
      </c>
    </row>
    <row r="607" spans="1:9" ht="15">
      <c r="A607" s="47" t="s">
        <v>343</v>
      </c>
      <c r="B607" s="47" t="s">
        <v>4864</v>
      </c>
      <c r="C607" s="47" t="s">
        <v>4558</v>
      </c>
      <c r="D607" s="47" t="s">
        <v>4559</v>
      </c>
      <c r="E607" s="47"/>
      <c r="F607" s="47"/>
      <c r="G607" s="47"/>
      <c r="H607" s="47" t="s">
        <v>3605</v>
      </c>
      <c r="I607" s="47" t="s">
        <v>343</v>
      </c>
    </row>
    <row r="608" spans="1:9" ht="15">
      <c r="A608" s="47" t="s">
        <v>344</v>
      </c>
      <c r="B608" s="47" t="s">
        <v>4865</v>
      </c>
      <c r="C608" s="47" t="s">
        <v>4558</v>
      </c>
      <c r="D608" s="47" t="s">
        <v>4559</v>
      </c>
      <c r="E608" s="47"/>
      <c r="F608" s="47"/>
      <c r="G608" s="47"/>
      <c r="H608" s="47" t="s">
        <v>3605</v>
      </c>
      <c r="I608" s="47" t="s">
        <v>344</v>
      </c>
    </row>
    <row r="609" spans="1:9" ht="15">
      <c r="A609" s="47" t="s">
        <v>3023</v>
      </c>
      <c r="B609" s="47" t="s">
        <v>4866</v>
      </c>
      <c r="C609" s="47" t="s">
        <v>4558</v>
      </c>
      <c r="D609" s="47" t="s">
        <v>4559</v>
      </c>
      <c r="E609" s="47"/>
      <c r="F609" s="47"/>
      <c r="G609" s="47"/>
      <c r="H609" s="47" t="s">
        <v>3605</v>
      </c>
      <c r="I609" s="47" t="s">
        <v>3023</v>
      </c>
    </row>
    <row r="610" spans="1:9" ht="15">
      <c r="A610" s="47" t="s">
        <v>345</v>
      </c>
      <c r="B610" s="47" t="s">
        <v>4867</v>
      </c>
      <c r="C610" s="47" t="s">
        <v>4558</v>
      </c>
      <c r="D610" s="47" t="s">
        <v>4559</v>
      </c>
      <c r="E610" s="47"/>
      <c r="F610" s="47"/>
      <c r="G610" s="47"/>
      <c r="H610" s="47" t="s">
        <v>3605</v>
      </c>
      <c r="I610" s="47" t="s">
        <v>345</v>
      </c>
    </row>
    <row r="611" spans="1:9" ht="15">
      <c r="A611" s="47" t="s">
        <v>346</v>
      </c>
      <c r="B611" s="47" t="s">
        <v>4868</v>
      </c>
      <c r="C611" s="47" t="s">
        <v>4558</v>
      </c>
      <c r="D611" s="47" t="s">
        <v>4559</v>
      </c>
      <c r="E611" s="47"/>
      <c r="F611" s="47"/>
      <c r="G611" s="47"/>
      <c r="H611" s="47" t="s">
        <v>3605</v>
      </c>
      <c r="I611" s="47" t="s">
        <v>346</v>
      </c>
    </row>
    <row r="612" spans="1:9" ht="15">
      <c r="A612" s="47" t="s">
        <v>347</v>
      </c>
      <c r="B612" s="47" t="s">
        <v>4869</v>
      </c>
      <c r="C612" s="47" t="s">
        <v>4558</v>
      </c>
      <c r="D612" s="47" t="s">
        <v>4559</v>
      </c>
      <c r="E612" s="47"/>
      <c r="F612" s="47"/>
      <c r="G612" s="47"/>
      <c r="H612" s="47" t="s">
        <v>3605</v>
      </c>
      <c r="I612" s="47" t="s">
        <v>347</v>
      </c>
    </row>
    <row r="613" spans="1:9" ht="15">
      <c r="A613" s="47" t="s">
        <v>348</v>
      </c>
      <c r="B613" s="47" t="s">
        <v>4870</v>
      </c>
      <c r="C613" s="47" t="s">
        <v>4558</v>
      </c>
      <c r="D613" s="47" t="s">
        <v>4559</v>
      </c>
      <c r="E613" s="47"/>
      <c r="F613" s="47"/>
      <c r="G613" s="47"/>
      <c r="H613" s="47" t="s">
        <v>3605</v>
      </c>
      <c r="I613" s="47" t="s">
        <v>348</v>
      </c>
    </row>
    <row r="614" spans="1:9" ht="15">
      <c r="A614" s="47" t="s">
        <v>349</v>
      </c>
      <c r="B614" s="47" t="s">
        <v>4871</v>
      </c>
      <c r="C614" s="47" t="s">
        <v>4558</v>
      </c>
      <c r="D614" s="47" t="s">
        <v>4559</v>
      </c>
      <c r="E614" s="47"/>
      <c r="F614" s="47"/>
      <c r="G614" s="47"/>
      <c r="H614" s="47" t="s">
        <v>3605</v>
      </c>
      <c r="I614" s="47" t="s">
        <v>349</v>
      </c>
    </row>
    <row r="615" spans="1:9" ht="15">
      <c r="A615" s="47" t="s">
        <v>350</v>
      </c>
      <c r="B615" s="47" t="s">
        <v>4872</v>
      </c>
      <c r="C615" s="47" t="s">
        <v>4558</v>
      </c>
      <c r="D615" s="47" t="s">
        <v>4559</v>
      </c>
      <c r="E615" s="47"/>
      <c r="F615" s="47"/>
      <c r="G615" s="47"/>
      <c r="H615" s="47" t="s">
        <v>3605</v>
      </c>
      <c r="I615" s="47" t="s">
        <v>350</v>
      </c>
    </row>
    <row r="616" spans="1:9" ht="15">
      <c r="A616" s="47" t="s">
        <v>351</v>
      </c>
      <c r="B616" s="47" t="s">
        <v>4873</v>
      </c>
      <c r="C616" s="47" t="s">
        <v>4558</v>
      </c>
      <c r="D616" s="47" t="s">
        <v>4559</v>
      </c>
      <c r="E616" s="47"/>
      <c r="F616" s="47"/>
      <c r="G616" s="47"/>
      <c r="H616" s="47" t="s">
        <v>3605</v>
      </c>
      <c r="I616" s="47" t="s">
        <v>351</v>
      </c>
    </row>
    <row r="617" spans="1:9" ht="15">
      <c r="A617" s="47" t="s">
        <v>352</v>
      </c>
      <c r="B617" s="47" t="s">
        <v>4874</v>
      </c>
      <c r="C617" s="47" t="s">
        <v>4558</v>
      </c>
      <c r="D617" s="47" t="s">
        <v>4559</v>
      </c>
      <c r="E617" s="47"/>
      <c r="F617" s="47"/>
      <c r="G617" s="47"/>
      <c r="H617" s="47" t="s">
        <v>3605</v>
      </c>
      <c r="I617" s="47" t="s">
        <v>352</v>
      </c>
    </row>
    <row r="618" spans="1:9" ht="15">
      <c r="A618" s="47" t="s">
        <v>353</v>
      </c>
      <c r="B618" s="47" t="s">
        <v>4875</v>
      </c>
      <c r="C618" s="47" t="s">
        <v>4558</v>
      </c>
      <c r="D618" s="47" t="s">
        <v>4559</v>
      </c>
      <c r="E618" s="47"/>
      <c r="F618" s="47"/>
      <c r="G618" s="47"/>
      <c r="H618" s="47" t="s">
        <v>3605</v>
      </c>
      <c r="I618" s="47" t="s">
        <v>353</v>
      </c>
    </row>
    <row r="619" spans="1:9" ht="15">
      <c r="A619" s="47" t="s">
        <v>354</v>
      </c>
      <c r="B619" s="47" t="s">
        <v>4876</v>
      </c>
      <c r="C619" s="47" t="s">
        <v>4558</v>
      </c>
      <c r="D619" s="47" t="s">
        <v>4559</v>
      </c>
      <c r="E619" s="47"/>
      <c r="F619" s="47"/>
      <c r="G619" s="47"/>
      <c r="H619" s="47" t="s">
        <v>3605</v>
      </c>
      <c r="I619" s="47" t="s">
        <v>354</v>
      </c>
    </row>
    <row r="620" spans="1:9" ht="15">
      <c r="A620" s="47" t="s">
        <v>355</v>
      </c>
      <c r="B620" s="47" t="s">
        <v>4877</v>
      </c>
      <c r="C620" s="47" t="s">
        <v>4558</v>
      </c>
      <c r="D620" s="47" t="s">
        <v>4559</v>
      </c>
      <c r="E620" s="47"/>
      <c r="F620" s="47"/>
      <c r="G620" s="47"/>
      <c r="H620" s="47" t="s">
        <v>3605</v>
      </c>
      <c r="I620" s="47" t="s">
        <v>355</v>
      </c>
    </row>
    <row r="621" spans="1:9" ht="15">
      <c r="A621" s="47" t="s">
        <v>356</v>
      </c>
      <c r="B621" s="47" t="s">
        <v>4878</v>
      </c>
      <c r="C621" s="47" t="s">
        <v>4558</v>
      </c>
      <c r="D621" s="47" t="s">
        <v>4559</v>
      </c>
      <c r="E621" s="47"/>
      <c r="F621" s="47"/>
      <c r="G621" s="47"/>
      <c r="H621" s="47" t="s">
        <v>3605</v>
      </c>
      <c r="I621" s="47" t="s">
        <v>356</v>
      </c>
    </row>
    <row r="622" spans="1:9" ht="15">
      <c r="A622" s="47" t="s">
        <v>357</v>
      </c>
      <c r="B622" s="47" t="s">
        <v>4879</v>
      </c>
      <c r="C622" s="47" t="s">
        <v>4558</v>
      </c>
      <c r="D622" s="47" t="s">
        <v>4559</v>
      </c>
      <c r="E622" s="47"/>
      <c r="F622" s="47"/>
      <c r="G622" s="47"/>
      <c r="H622" s="47" t="s">
        <v>3605</v>
      </c>
      <c r="I622" s="47" t="s">
        <v>357</v>
      </c>
    </row>
    <row r="623" spans="1:9" ht="15">
      <c r="A623" s="47" t="s">
        <v>358</v>
      </c>
      <c r="B623" s="47" t="s">
        <v>4880</v>
      </c>
      <c r="C623" s="47" t="s">
        <v>4558</v>
      </c>
      <c r="D623" s="47" t="s">
        <v>4559</v>
      </c>
      <c r="E623" s="47"/>
      <c r="F623" s="47"/>
      <c r="G623" s="47"/>
      <c r="H623" s="47" t="s">
        <v>3605</v>
      </c>
      <c r="I623" s="47" t="s">
        <v>358</v>
      </c>
    </row>
    <row r="624" spans="1:9" ht="15">
      <c r="A624" s="47" t="s">
        <v>359</v>
      </c>
      <c r="B624" s="47" t="s">
        <v>4881</v>
      </c>
      <c r="C624" s="47" t="s">
        <v>4558</v>
      </c>
      <c r="D624" s="47" t="s">
        <v>4559</v>
      </c>
      <c r="E624" s="47"/>
      <c r="F624" s="47"/>
      <c r="G624" s="47"/>
      <c r="H624" s="47" t="s">
        <v>3605</v>
      </c>
      <c r="I624" s="47" t="s">
        <v>359</v>
      </c>
    </row>
    <row r="625" spans="1:9" ht="15">
      <c r="A625" s="47" t="s">
        <v>360</v>
      </c>
      <c r="B625" s="47" t="s">
        <v>4882</v>
      </c>
      <c r="C625" s="47" t="s">
        <v>4558</v>
      </c>
      <c r="D625" s="47" t="s">
        <v>4559</v>
      </c>
      <c r="E625" s="47"/>
      <c r="F625" s="47"/>
      <c r="G625" s="47"/>
      <c r="H625" s="47" t="s">
        <v>3605</v>
      </c>
      <c r="I625" s="47" t="s">
        <v>360</v>
      </c>
    </row>
    <row r="626" spans="1:9" ht="15">
      <c r="A626" s="47" t="s">
        <v>361</v>
      </c>
      <c r="B626" s="47" t="s">
        <v>4883</v>
      </c>
      <c r="C626" s="47" t="s">
        <v>4558</v>
      </c>
      <c r="D626" s="47" t="s">
        <v>4559</v>
      </c>
      <c r="E626" s="47"/>
      <c r="F626" s="47"/>
      <c r="G626" s="47"/>
      <c r="H626" s="47" t="s">
        <v>3605</v>
      </c>
      <c r="I626" s="47" t="s">
        <v>361</v>
      </c>
    </row>
    <row r="627" spans="1:9" ht="15">
      <c r="A627" s="47" t="s">
        <v>362</v>
      </c>
      <c r="B627" s="47" t="s">
        <v>4884</v>
      </c>
      <c r="C627" s="47" t="s">
        <v>4558</v>
      </c>
      <c r="D627" s="47" t="s">
        <v>4559</v>
      </c>
      <c r="E627" s="47"/>
      <c r="F627" s="47"/>
      <c r="G627" s="47"/>
      <c r="H627" s="47" t="s">
        <v>3605</v>
      </c>
      <c r="I627" s="47" t="s">
        <v>362</v>
      </c>
    </row>
    <row r="628" spans="1:9" ht="15">
      <c r="A628" s="47" t="s">
        <v>363</v>
      </c>
      <c r="B628" s="47" t="s">
        <v>4885</v>
      </c>
      <c r="C628" s="47" t="s">
        <v>4558</v>
      </c>
      <c r="D628" s="47" t="s">
        <v>4559</v>
      </c>
      <c r="E628" s="47"/>
      <c r="F628" s="47"/>
      <c r="G628" s="47"/>
      <c r="H628" s="47" t="s">
        <v>3605</v>
      </c>
      <c r="I628" s="47" t="s">
        <v>363</v>
      </c>
    </row>
    <row r="629" spans="1:9" ht="15">
      <c r="A629" s="47" t="s">
        <v>364</v>
      </c>
      <c r="B629" s="47" t="s">
        <v>4886</v>
      </c>
      <c r="C629" s="47" t="s">
        <v>4558</v>
      </c>
      <c r="D629" s="47" t="s">
        <v>4559</v>
      </c>
      <c r="E629" s="47"/>
      <c r="F629" s="47"/>
      <c r="G629" s="47"/>
      <c r="H629" s="47" t="s">
        <v>3605</v>
      </c>
      <c r="I629" s="47" t="s">
        <v>364</v>
      </c>
    </row>
    <row r="630" spans="1:9" ht="15">
      <c r="A630" s="47" t="s">
        <v>365</v>
      </c>
      <c r="B630" s="47" t="s">
        <v>4887</v>
      </c>
      <c r="C630" s="47" t="s">
        <v>4558</v>
      </c>
      <c r="D630" s="47" t="s">
        <v>4559</v>
      </c>
      <c r="E630" s="47"/>
      <c r="F630" s="47"/>
      <c r="G630" s="47"/>
      <c r="H630" s="47" t="s">
        <v>3605</v>
      </c>
      <c r="I630" s="47" t="s">
        <v>365</v>
      </c>
    </row>
    <row r="631" spans="1:9" ht="15">
      <c r="A631" s="47" t="s">
        <v>366</v>
      </c>
      <c r="B631" s="47" t="s">
        <v>4888</v>
      </c>
      <c r="C631" s="47" t="s">
        <v>4558</v>
      </c>
      <c r="D631" s="47" t="s">
        <v>4559</v>
      </c>
      <c r="E631" s="47"/>
      <c r="F631" s="47"/>
      <c r="G631" s="47"/>
      <c r="H631" s="47" t="s">
        <v>3605</v>
      </c>
      <c r="I631" s="47" t="s">
        <v>366</v>
      </c>
    </row>
    <row r="632" spans="1:9" ht="15">
      <c r="A632" s="47" t="s">
        <v>367</v>
      </c>
      <c r="B632" s="47" t="s">
        <v>4889</v>
      </c>
      <c r="C632" s="47" t="s">
        <v>4558</v>
      </c>
      <c r="D632" s="47" t="s">
        <v>4559</v>
      </c>
      <c r="E632" s="47"/>
      <c r="F632" s="47"/>
      <c r="G632" s="47"/>
      <c r="H632" s="47" t="s">
        <v>3605</v>
      </c>
      <c r="I632" s="47" t="s">
        <v>367</v>
      </c>
    </row>
    <row r="633" spans="1:9" ht="15">
      <c r="A633" s="47" t="s">
        <v>368</v>
      </c>
      <c r="B633" s="47" t="s">
        <v>4890</v>
      </c>
      <c r="C633" s="47" t="s">
        <v>4558</v>
      </c>
      <c r="D633" s="47" t="s">
        <v>4559</v>
      </c>
      <c r="E633" s="47"/>
      <c r="F633" s="47"/>
      <c r="G633" s="47"/>
      <c r="H633" s="47" t="s">
        <v>3605</v>
      </c>
      <c r="I633" s="47" t="s">
        <v>368</v>
      </c>
    </row>
    <row r="634" spans="1:9" ht="15">
      <c r="A634" s="47" t="s">
        <v>369</v>
      </c>
      <c r="B634" s="47" t="s">
        <v>4891</v>
      </c>
      <c r="C634" s="47" t="s">
        <v>4558</v>
      </c>
      <c r="D634" s="47" t="s">
        <v>4559</v>
      </c>
      <c r="E634" s="47"/>
      <c r="F634" s="47"/>
      <c r="G634" s="47"/>
      <c r="H634" s="47" t="s">
        <v>3605</v>
      </c>
      <c r="I634" s="47" t="s">
        <v>369</v>
      </c>
    </row>
    <row r="635" spans="1:9" ht="15">
      <c r="A635" s="47" t="s">
        <v>370</v>
      </c>
      <c r="B635" s="47" t="s">
        <v>4892</v>
      </c>
      <c r="C635" s="47" t="s">
        <v>4558</v>
      </c>
      <c r="D635" s="47" t="s">
        <v>4559</v>
      </c>
      <c r="E635" s="47"/>
      <c r="F635" s="47"/>
      <c r="G635" s="47"/>
      <c r="H635" s="47" t="s">
        <v>3605</v>
      </c>
      <c r="I635" s="47" t="s">
        <v>370</v>
      </c>
    </row>
    <row r="636" spans="1:9" ht="15">
      <c r="A636" s="47" t="s">
        <v>371</v>
      </c>
      <c r="B636" s="47" t="s">
        <v>4893</v>
      </c>
      <c r="C636" s="47" t="s">
        <v>4558</v>
      </c>
      <c r="D636" s="47" t="s">
        <v>4559</v>
      </c>
      <c r="E636" s="47"/>
      <c r="F636" s="47"/>
      <c r="G636" s="47"/>
      <c r="H636" s="47" t="s">
        <v>3605</v>
      </c>
      <c r="I636" s="47" t="s">
        <v>371</v>
      </c>
    </row>
    <row r="637" spans="1:9" ht="15">
      <c r="A637" s="47" t="s">
        <v>372</v>
      </c>
      <c r="B637" s="47" t="s">
        <v>4894</v>
      </c>
      <c r="C637" s="47" t="s">
        <v>4558</v>
      </c>
      <c r="D637" s="47" t="s">
        <v>4559</v>
      </c>
      <c r="E637" s="47"/>
      <c r="F637" s="47"/>
      <c r="G637" s="47"/>
      <c r="H637" s="47" t="s">
        <v>3605</v>
      </c>
      <c r="I637" s="47" t="s">
        <v>372</v>
      </c>
    </row>
    <row r="638" spans="1:9" ht="15">
      <c r="A638" s="47" t="s">
        <v>373</v>
      </c>
      <c r="B638" s="47" t="s">
        <v>4895</v>
      </c>
      <c r="C638" s="47" t="s">
        <v>4558</v>
      </c>
      <c r="D638" s="47" t="s">
        <v>4559</v>
      </c>
      <c r="E638" s="47"/>
      <c r="F638" s="47"/>
      <c r="G638" s="47"/>
      <c r="H638" s="47" t="s">
        <v>3605</v>
      </c>
      <c r="I638" s="47" t="s">
        <v>373</v>
      </c>
    </row>
    <row r="639" spans="1:9" ht="15">
      <c r="A639" s="47" t="s">
        <v>374</v>
      </c>
      <c r="B639" s="47" t="s">
        <v>4896</v>
      </c>
      <c r="C639" s="47" t="s">
        <v>4558</v>
      </c>
      <c r="D639" s="47" t="s">
        <v>4559</v>
      </c>
      <c r="E639" s="47"/>
      <c r="F639" s="47"/>
      <c r="G639" s="47"/>
      <c r="H639" s="47" t="s">
        <v>3605</v>
      </c>
      <c r="I639" s="47" t="s">
        <v>374</v>
      </c>
    </row>
    <row r="640" spans="1:9" ht="15">
      <c r="A640" s="47" t="s">
        <v>375</v>
      </c>
      <c r="B640" s="47" t="s">
        <v>4897</v>
      </c>
      <c r="C640" s="47" t="s">
        <v>4558</v>
      </c>
      <c r="D640" s="47" t="s">
        <v>4559</v>
      </c>
      <c r="E640" s="47"/>
      <c r="F640" s="47"/>
      <c r="G640" s="47"/>
      <c r="H640" s="47" t="s">
        <v>3605</v>
      </c>
      <c r="I640" s="47" t="s">
        <v>375</v>
      </c>
    </row>
    <row r="641" spans="1:9" ht="15">
      <c r="A641" s="47" t="s">
        <v>376</v>
      </c>
      <c r="B641" s="47" t="s">
        <v>4898</v>
      </c>
      <c r="C641" s="47" t="s">
        <v>4558</v>
      </c>
      <c r="D641" s="47" t="s">
        <v>4559</v>
      </c>
      <c r="E641" s="47"/>
      <c r="F641" s="47"/>
      <c r="G641" s="47"/>
      <c r="H641" s="47" t="s">
        <v>3605</v>
      </c>
      <c r="I641" s="47" t="s">
        <v>376</v>
      </c>
    </row>
    <row r="642" spans="1:9" ht="15">
      <c r="A642" s="47" t="s">
        <v>377</v>
      </c>
      <c r="B642" s="47" t="s">
        <v>4899</v>
      </c>
      <c r="C642" s="47" t="s">
        <v>4558</v>
      </c>
      <c r="D642" s="47" t="s">
        <v>4559</v>
      </c>
      <c r="E642" s="47"/>
      <c r="F642" s="47"/>
      <c r="G642" s="47"/>
      <c r="H642" s="47" t="s">
        <v>3605</v>
      </c>
      <c r="I642" s="47" t="s">
        <v>377</v>
      </c>
    </row>
    <row r="643" spans="1:9" ht="15">
      <c r="A643" s="47" t="s">
        <v>378</v>
      </c>
      <c r="B643" s="47" t="s">
        <v>4900</v>
      </c>
      <c r="C643" s="47" t="s">
        <v>4558</v>
      </c>
      <c r="D643" s="47" t="s">
        <v>4559</v>
      </c>
      <c r="E643" s="47"/>
      <c r="F643" s="47"/>
      <c r="G643" s="47"/>
      <c r="H643" s="47" t="s">
        <v>3605</v>
      </c>
      <c r="I643" s="47" t="s">
        <v>378</v>
      </c>
    </row>
    <row r="644" spans="1:9" ht="15">
      <c r="A644" s="47" t="s">
        <v>379</v>
      </c>
      <c r="B644" s="47" t="s">
        <v>4901</v>
      </c>
      <c r="C644" s="47" t="s">
        <v>4558</v>
      </c>
      <c r="D644" s="47" t="s">
        <v>4559</v>
      </c>
      <c r="E644" s="47"/>
      <c r="F644" s="47"/>
      <c r="G644" s="47"/>
      <c r="H644" s="47" t="s">
        <v>3605</v>
      </c>
      <c r="I644" s="47" t="s">
        <v>379</v>
      </c>
    </row>
    <row r="645" spans="1:9" ht="15">
      <c r="A645" s="47" t="s">
        <v>380</v>
      </c>
      <c r="B645" s="47" t="s">
        <v>4902</v>
      </c>
      <c r="C645" s="47" t="s">
        <v>4558</v>
      </c>
      <c r="D645" s="47" t="s">
        <v>4559</v>
      </c>
      <c r="E645" s="47"/>
      <c r="F645" s="47"/>
      <c r="G645" s="47"/>
      <c r="H645" s="47" t="s">
        <v>3605</v>
      </c>
      <c r="I645" s="47" t="s">
        <v>380</v>
      </c>
    </row>
    <row r="646" spans="1:9" ht="15">
      <c r="A646" s="47" t="s">
        <v>381</v>
      </c>
      <c r="B646" s="47" t="s">
        <v>4903</v>
      </c>
      <c r="C646" s="47" t="s">
        <v>4558</v>
      </c>
      <c r="D646" s="47" t="s">
        <v>4559</v>
      </c>
      <c r="E646" s="47"/>
      <c r="F646" s="47"/>
      <c r="G646" s="47"/>
      <c r="H646" s="47" t="s">
        <v>3605</v>
      </c>
      <c r="I646" s="47" t="s">
        <v>381</v>
      </c>
    </row>
    <row r="647" spans="1:9" ht="15">
      <c r="A647" s="47" t="s">
        <v>382</v>
      </c>
      <c r="B647" s="47" t="s">
        <v>4904</v>
      </c>
      <c r="C647" s="47" t="s">
        <v>4558</v>
      </c>
      <c r="D647" s="47" t="s">
        <v>4559</v>
      </c>
      <c r="E647" s="47"/>
      <c r="F647" s="47"/>
      <c r="G647" s="47"/>
      <c r="H647" s="47" t="s">
        <v>3605</v>
      </c>
      <c r="I647" s="47" t="s">
        <v>382</v>
      </c>
    </row>
    <row r="648" spans="1:9" ht="15">
      <c r="A648" s="47" t="s">
        <v>383</v>
      </c>
      <c r="B648" s="47" t="s">
        <v>4905</v>
      </c>
      <c r="C648" s="47" t="s">
        <v>4558</v>
      </c>
      <c r="D648" s="47" t="s">
        <v>4559</v>
      </c>
      <c r="E648" s="47"/>
      <c r="F648" s="47"/>
      <c r="G648" s="47"/>
      <c r="H648" s="47" t="s">
        <v>3605</v>
      </c>
      <c r="I648" s="47" t="s">
        <v>383</v>
      </c>
    </row>
    <row r="649" spans="1:9" ht="15">
      <c r="A649" s="47" t="s">
        <v>3025</v>
      </c>
      <c r="B649" s="47" t="s">
        <v>4906</v>
      </c>
      <c r="C649" s="47" t="s">
        <v>4558</v>
      </c>
      <c r="D649" s="47" t="s">
        <v>4559</v>
      </c>
      <c r="E649" s="47"/>
      <c r="F649" s="47"/>
      <c r="G649" s="47"/>
      <c r="H649" s="47" t="s">
        <v>3605</v>
      </c>
      <c r="I649" s="47" t="s">
        <v>3025</v>
      </c>
    </row>
    <row r="650" spans="1:9" ht="15">
      <c r="A650" s="47" t="s">
        <v>384</v>
      </c>
      <c r="B650" s="47" t="s">
        <v>4907</v>
      </c>
      <c r="C650" s="47" t="s">
        <v>4558</v>
      </c>
      <c r="D650" s="47" t="s">
        <v>4559</v>
      </c>
      <c r="E650" s="47"/>
      <c r="F650" s="47"/>
      <c r="G650" s="47"/>
      <c r="H650" s="47" t="s">
        <v>3605</v>
      </c>
      <c r="I650" s="47" t="s">
        <v>384</v>
      </c>
    </row>
    <row r="651" spans="1:9" ht="15">
      <c r="A651" s="47" t="s">
        <v>385</v>
      </c>
      <c r="B651" s="47" t="s">
        <v>4908</v>
      </c>
      <c r="C651" s="47" t="s">
        <v>4558</v>
      </c>
      <c r="D651" s="47" t="s">
        <v>4559</v>
      </c>
      <c r="E651" s="47"/>
      <c r="F651" s="47"/>
      <c r="G651" s="47"/>
      <c r="H651" s="47" t="s">
        <v>3605</v>
      </c>
      <c r="I651" s="47" t="s">
        <v>385</v>
      </c>
    </row>
    <row r="652" spans="1:9" ht="15">
      <c r="A652" s="47" t="s">
        <v>3027</v>
      </c>
      <c r="B652" s="47" t="s">
        <v>4909</v>
      </c>
      <c r="C652" s="47" t="s">
        <v>4558</v>
      </c>
      <c r="D652" s="47" t="s">
        <v>4559</v>
      </c>
      <c r="E652" s="47"/>
      <c r="F652" s="47"/>
      <c r="G652" s="47"/>
      <c r="H652" s="47" t="s">
        <v>3605</v>
      </c>
      <c r="I652" s="47" t="s">
        <v>3027</v>
      </c>
    </row>
    <row r="653" spans="1:9" ht="15">
      <c r="A653" s="47" t="s">
        <v>386</v>
      </c>
      <c r="B653" s="47" t="s">
        <v>4910</v>
      </c>
      <c r="C653" s="47" t="s">
        <v>4558</v>
      </c>
      <c r="D653" s="47" t="s">
        <v>4559</v>
      </c>
      <c r="E653" s="47"/>
      <c r="F653" s="47"/>
      <c r="G653" s="47"/>
      <c r="H653" s="47" t="s">
        <v>3605</v>
      </c>
      <c r="I653" s="47" t="s">
        <v>386</v>
      </c>
    </row>
    <row r="654" spans="1:9" ht="15">
      <c r="A654" s="47" t="s">
        <v>387</v>
      </c>
      <c r="B654" s="47" t="s">
        <v>4911</v>
      </c>
      <c r="C654" s="47" t="s">
        <v>4558</v>
      </c>
      <c r="D654" s="47" t="s">
        <v>4559</v>
      </c>
      <c r="E654" s="47"/>
      <c r="F654" s="47"/>
      <c r="G654" s="47"/>
      <c r="H654" s="47" t="s">
        <v>3605</v>
      </c>
      <c r="I654" s="47" t="s">
        <v>387</v>
      </c>
    </row>
    <row r="655" spans="1:9" ht="15">
      <c r="A655" s="47" t="s">
        <v>388</v>
      </c>
      <c r="B655" s="47" t="s">
        <v>4912</v>
      </c>
      <c r="C655" s="47" t="s">
        <v>4558</v>
      </c>
      <c r="D655" s="47" t="s">
        <v>4559</v>
      </c>
      <c r="E655" s="47"/>
      <c r="F655" s="47"/>
      <c r="G655" s="47"/>
      <c r="H655" s="47" t="s">
        <v>3605</v>
      </c>
      <c r="I655" s="47" t="s">
        <v>388</v>
      </c>
    </row>
    <row r="656" spans="1:9" ht="15">
      <c r="A656" s="47" t="s">
        <v>389</v>
      </c>
      <c r="B656" s="47" t="s">
        <v>4913</v>
      </c>
      <c r="C656" s="47" t="s">
        <v>4558</v>
      </c>
      <c r="D656" s="47" t="s">
        <v>4559</v>
      </c>
      <c r="E656" s="47"/>
      <c r="F656" s="47"/>
      <c r="G656" s="47"/>
      <c r="H656" s="47" t="s">
        <v>3605</v>
      </c>
      <c r="I656" s="47" t="s">
        <v>389</v>
      </c>
    </row>
    <row r="657" spans="1:9" ht="15">
      <c r="A657" s="47" t="s">
        <v>390</v>
      </c>
      <c r="B657" s="47" t="s">
        <v>4914</v>
      </c>
      <c r="C657" s="47" t="s">
        <v>4558</v>
      </c>
      <c r="D657" s="47" t="s">
        <v>4559</v>
      </c>
      <c r="E657" s="47"/>
      <c r="F657" s="47"/>
      <c r="G657" s="47"/>
      <c r="H657" s="47" t="s">
        <v>3605</v>
      </c>
      <c r="I657" s="47" t="s">
        <v>390</v>
      </c>
    </row>
    <row r="658" spans="1:9" ht="15">
      <c r="A658" s="47" t="s">
        <v>391</v>
      </c>
      <c r="B658" s="47" t="s">
        <v>4915</v>
      </c>
      <c r="C658" s="47" t="s">
        <v>4558</v>
      </c>
      <c r="D658" s="47" t="s">
        <v>4559</v>
      </c>
      <c r="E658" s="47"/>
      <c r="F658" s="47"/>
      <c r="G658" s="47"/>
      <c r="H658" s="47" t="s">
        <v>3605</v>
      </c>
      <c r="I658" s="47" t="s">
        <v>391</v>
      </c>
    </row>
    <row r="659" spans="1:9" ht="15">
      <c r="A659" s="47" t="s">
        <v>392</v>
      </c>
      <c r="B659" s="47" t="s">
        <v>4916</v>
      </c>
      <c r="C659" s="47" t="s">
        <v>4558</v>
      </c>
      <c r="D659" s="47" t="s">
        <v>4559</v>
      </c>
      <c r="E659" s="47"/>
      <c r="F659" s="47"/>
      <c r="G659" s="47"/>
      <c r="H659" s="47" t="s">
        <v>3605</v>
      </c>
      <c r="I659" s="47" t="s">
        <v>392</v>
      </c>
    </row>
    <row r="660" spans="1:9" ht="15">
      <c r="A660" s="47">
        <v>7518</v>
      </c>
      <c r="B660" s="47" t="s">
        <v>4917</v>
      </c>
      <c r="C660" s="47" t="s">
        <v>4918</v>
      </c>
      <c r="D660" s="47" t="s">
        <v>4919</v>
      </c>
      <c r="E660" s="47"/>
      <c r="F660" s="47"/>
      <c r="G660" s="47"/>
      <c r="H660" s="47" t="s">
        <v>3605</v>
      </c>
      <c r="I660" s="47" t="s">
        <v>18464</v>
      </c>
    </row>
    <row r="661" spans="1:9" ht="15">
      <c r="A661" s="47" t="s">
        <v>394</v>
      </c>
      <c r="B661" s="47" t="s">
        <v>4920</v>
      </c>
      <c r="C661" s="47" t="s">
        <v>4558</v>
      </c>
      <c r="D661" s="47" t="s">
        <v>4559</v>
      </c>
      <c r="E661" s="47"/>
      <c r="F661" s="47"/>
      <c r="G661" s="47"/>
      <c r="H661" s="47" t="s">
        <v>3605</v>
      </c>
      <c r="I661" s="47" t="s">
        <v>394</v>
      </c>
    </row>
    <row r="662" spans="1:9" ht="15">
      <c r="A662" s="47" t="s">
        <v>395</v>
      </c>
      <c r="B662" s="47" t="s">
        <v>4921</v>
      </c>
      <c r="C662" s="47" t="s">
        <v>4558</v>
      </c>
      <c r="D662" s="47" t="s">
        <v>4559</v>
      </c>
      <c r="E662" s="47"/>
      <c r="F662" s="47"/>
      <c r="G662" s="47"/>
      <c r="H662" s="47" t="s">
        <v>3605</v>
      </c>
      <c r="I662" s="47" t="s">
        <v>395</v>
      </c>
    </row>
    <row r="663" spans="1:9" ht="15">
      <c r="A663" s="47" t="s">
        <v>3029</v>
      </c>
      <c r="B663" s="47" t="s">
        <v>4922</v>
      </c>
      <c r="C663" s="47" t="s">
        <v>4558</v>
      </c>
      <c r="D663" s="47" t="s">
        <v>4559</v>
      </c>
      <c r="E663" s="47"/>
      <c r="F663" s="47"/>
      <c r="G663" s="47"/>
      <c r="H663" s="47" t="s">
        <v>3605</v>
      </c>
      <c r="I663" s="47" t="s">
        <v>3029</v>
      </c>
    </row>
    <row r="664" spans="1:9" ht="15">
      <c r="A664" s="47">
        <v>7520</v>
      </c>
      <c r="B664" s="47" t="s">
        <v>4923</v>
      </c>
      <c r="C664" s="47" t="s">
        <v>4924</v>
      </c>
      <c r="D664" s="47" t="s">
        <v>4925</v>
      </c>
      <c r="E664" s="47"/>
      <c r="F664" s="47"/>
      <c r="G664" s="47"/>
      <c r="H664" s="47" t="s">
        <v>3605</v>
      </c>
      <c r="I664" s="47" t="s">
        <v>18465</v>
      </c>
    </row>
    <row r="665" spans="1:9" ht="15">
      <c r="A665" s="47">
        <v>7521</v>
      </c>
      <c r="B665" s="47" t="s">
        <v>4926</v>
      </c>
      <c r="C665" s="47" t="s">
        <v>4927</v>
      </c>
      <c r="D665" s="47" t="s">
        <v>4928</v>
      </c>
      <c r="E665" s="47"/>
      <c r="F665" s="47"/>
      <c r="G665" s="47"/>
      <c r="H665" s="47" t="s">
        <v>3605</v>
      </c>
      <c r="I665" s="47" t="s">
        <v>18466</v>
      </c>
    </row>
    <row r="666" spans="1:9" ht="15">
      <c r="A666" s="47">
        <v>7522</v>
      </c>
      <c r="B666" s="47" t="s">
        <v>4929</v>
      </c>
      <c r="C666" s="47" t="s">
        <v>4930</v>
      </c>
      <c r="D666" s="47" t="s">
        <v>4931</v>
      </c>
      <c r="E666" s="47"/>
      <c r="F666" s="47"/>
      <c r="G666" s="47"/>
      <c r="H666" s="47" t="s">
        <v>3605</v>
      </c>
      <c r="I666" s="47" t="s">
        <v>18467</v>
      </c>
    </row>
    <row r="667" spans="1:9" ht="15">
      <c r="A667" s="47" t="s">
        <v>399</v>
      </c>
      <c r="B667" s="47" t="s">
        <v>4932</v>
      </c>
      <c r="C667" s="47" t="s">
        <v>4558</v>
      </c>
      <c r="D667" s="47" t="s">
        <v>4559</v>
      </c>
      <c r="E667" s="47"/>
      <c r="F667" s="47"/>
      <c r="G667" s="47"/>
      <c r="H667" s="47" t="s">
        <v>3605</v>
      </c>
      <c r="I667" s="47" t="s">
        <v>399</v>
      </c>
    </row>
    <row r="668" spans="1:9" ht="15">
      <c r="A668" s="47" t="s">
        <v>400</v>
      </c>
      <c r="B668" s="47" t="s">
        <v>4933</v>
      </c>
      <c r="C668" s="47" t="s">
        <v>4558</v>
      </c>
      <c r="D668" s="47" t="s">
        <v>4559</v>
      </c>
      <c r="E668" s="47"/>
      <c r="F668" s="47"/>
      <c r="G668" s="47"/>
      <c r="H668" s="47" t="s">
        <v>3605</v>
      </c>
      <c r="I668" s="47" t="s">
        <v>400</v>
      </c>
    </row>
    <row r="669" spans="1:9" ht="15">
      <c r="A669" s="47" t="s">
        <v>401</v>
      </c>
      <c r="B669" s="47" t="s">
        <v>4934</v>
      </c>
      <c r="C669" s="47" t="s">
        <v>4558</v>
      </c>
      <c r="D669" s="47" t="s">
        <v>4559</v>
      </c>
      <c r="E669" s="47"/>
      <c r="F669" s="47"/>
      <c r="G669" s="47"/>
      <c r="H669" s="47" t="s">
        <v>3605</v>
      </c>
      <c r="I669" s="47" t="s">
        <v>401</v>
      </c>
    </row>
    <row r="670" spans="1:9" ht="15">
      <c r="A670" s="47" t="s">
        <v>402</v>
      </c>
      <c r="B670" s="47" t="s">
        <v>4935</v>
      </c>
      <c r="C670" s="47" t="s">
        <v>4558</v>
      </c>
      <c r="D670" s="47" t="s">
        <v>4559</v>
      </c>
      <c r="E670" s="47"/>
      <c r="F670" s="47"/>
      <c r="G670" s="47"/>
      <c r="H670" s="47" t="s">
        <v>3605</v>
      </c>
      <c r="I670" s="47" t="s">
        <v>402</v>
      </c>
    </row>
    <row r="671" spans="1:9" ht="15">
      <c r="A671" s="47" t="s">
        <v>403</v>
      </c>
      <c r="B671" s="47" t="s">
        <v>4936</v>
      </c>
      <c r="C671" s="47" t="s">
        <v>4558</v>
      </c>
      <c r="D671" s="47" t="s">
        <v>4559</v>
      </c>
      <c r="E671" s="47"/>
      <c r="F671" s="47"/>
      <c r="G671" s="47"/>
      <c r="H671" s="47" t="s">
        <v>3605</v>
      </c>
      <c r="I671" s="47" t="s">
        <v>403</v>
      </c>
    </row>
    <row r="672" spans="1:9" ht="15">
      <c r="A672" s="47" t="s">
        <v>404</v>
      </c>
      <c r="B672" s="47" t="s">
        <v>4937</v>
      </c>
      <c r="C672" s="47" t="s">
        <v>4558</v>
      </c>
      <c r="D672" s="47" t="s">
        <v>4559</v>
      </c>
      <c r="E672" s="47"/>
      <c r="F672" s="47"/>
      <c r="G672" s="47"/>
      <c r="H672" s="47" t="s">
        <v>3605</v>
      </c>
      <c r="I672" s="47" t="s">
        <v>404</v>
      </c>
    </row>
    <row r="673" spans="1:9" ht="15">
      <c r="A673" s="47" t="s">
        <v>405</v>
      </c>
      <c r="B673" s="47" t="s">
        <v>4938</v>
      </c>
      <c r="C673" s="47" t="s">
        <v>4558</v>
      </c>
      <c r="D673" s="47" t="s">
        <v>4559</v>
      </c>
      <c r="E673" s="47"/>
      <c r="F673" s="47"/>
      <c r="G673" s="47"/>
      <c r="H673" s="47" t="s">
        <v>3605</v>
      </c>
      <c r="I673" s="47" t="s">
        <v>405</v>
      </c>
    </row>
    <row r="674" spans="1:9" ht="15">
      <c r="A674" s="47" t="s">
        <v>406</v>
      </c>
      <c r="B674" s="47" t="s">
        <v>4939</v>
      </c>
      <c r="C674" s="47" t="s">
        <v>4558</v>
      </c>
      <c r="D674" s="47" t="s">
        <v>4559</v>
      </c>
      <c r="E674" s="47"/>
      <c r="F674" s="47"/>
      <c r="G674" s="47"/>
      <c r="H674" s="47" t="s">
        <v>3605</v>
      </c>
      <c r="I674" s="47" t="s">
        <v>406</v>
      </c>
    </row>
    <row r="675" spans="1:9" ht="15">
      <c r="A675" s="47" t="s">
        <v>407</v>
      </c>
      <c r="B675" s="47" t="s">
        <v>4940</v>
      </c>
      <c r="C675" s="47" t="s">
        <v>4558</v>
      </c>
      <c r="D675" s="47" t="s">
        <v>4559</v>
      </c>
      <c r="E675" s="47"/>
      <c r="F675" s="47"/>
      <c r="G675" s="47"/>
      <c r="H675" s="47" t="s">
        <v>3605</v>
      </c>
      <c r="I675" s="47" t="s">
        <v>407</v>
      </c>
    </row>
    <row r="676" spans="1:9" ht="15">
      <c r="A676" s="47" t="s">
        <v>408</v>
      </c>
      <c r="B676" s="47" t="s">
        <v>4941</v>
      </c>
      <c r="C676" s="47" t="s">
        <v>4558</v>
      </c>
      <c r="D676" s="47" t="s">
        <v>4559</v>
      </c>
      <c r="E676" s="47"/>
      <c r="F676" s="47"/>
      <c r="G676" s="47"/>
      <c r="H676" s="47" t="s">
        <v>3605</v>
      </c>
      <c r="I676" s="47" t="s">
        <v>408</v>
      </c>
    </row>
    <row r="677" spans="1:9" ht="15">
      <c r="A677" s="47" t="s">
        <v>409</v>
      </c>
      <c r="B677" s="47" t="s">
        <v>4942</v>
      </c>
      <c r="C677" s="47" t="s">
        <v>4558</v>
      </c>
      <c r="D677" s="47" t="s">
        <v>4559</v>
      </c>
      <c r="E677" s="47"/>
      <c r="F677" s="47"/>
      <c r="G677" s="47"/>
      <c r="H677" s="47" t="s">
        <v>3605</v>
      </c>
      <c r="I677" s="47" t="s">
        <v>409</v>
      </c>
    </row>
    <row r="678" spans="1:9" ht="15">
      <c r="A678" s="47" t="s">
        <v>410</v>
      </c>
      <c r="B678" s="47" t="s">
        <v>4943</v>
      </c>
      <c r="C678" s="47" t="s">
        <v>4558</v>
      </c>
      <c r="D678" s="47" t="s">
        <v>4559</v>
      </c>
      <c r="E678" s="47"/>
      <c r="F678" s="47"/>
      <c r="G678" s="47"/>
      <c r="H678" s="47" t="s">
        <v>3605</v>
      </c>
      <c r="I678" s="47" t="s">
        <v>410</v>
      </c>
    </row>
    <row r="679" spans="1:9" ht="15">
      <c r="A679" s="47" t="s">
        <v>411</v>
      </c>
      <c r="B679" s="47" t="s">
        <v>4944</v>
      </c>
      <c r="C679" s="47" t="s">
        <v>4558</v>
      </c>
      <c r="D679" s="47" t="s">
        <v>4559</v>
      </c>
      <c r="E679" s="47"/>
      <c r="F679" s="47"/>
      <c r="G679" s="47"/>
      <c r="H679" s="47" t="s">
        <v>3605</v>
      </c>
      <c r="I679" s="47" t="s">
        <v>411</v>
      </c>
    </row>
    <row r="680" spans="1:9" ht="15">
      <c r="A680" s="47" t="s">
        <v>412</v>
      </c>
      <c r="B680" s="47" t="s">
        <v>4945</v>
      </c>
      <c r="C680" s="47" t="s">
        <v>4558</v>
      </c>
      <c r="D680" s="47" t="s">
        <v>4559</v>
      </c>
      <c r="E680" s="47"/>
      <c r="F680" s="47"/>
      <c r="G680" s="47"/>
      <c r="H680" s="47" t="s">
        <v>3605</v>
      </c>
      <c r="I680" s="47" t="s">
        <v>412</v>
      </c>
    </row>
    <row r="681" spans="1:9" ht="15">
      <c r="A681" s="47" t="s">
        <v>413</v>
      </c>
      <c r="B681" s="47" t="s">
        <v>4946</v>
      </c>
      <c r="C681" s="47" t="s">
        <v>4558</v>
      </c>
      <c r="D681" s="47" t="s">
        <v>4559</v>
      </c>
      <c r="E681" s="47"/>
      <c r="F681" s="47"/>
      <c r="G681" s="47"/>
      <c r="H681" s="47" t="s">
        <v>3605</v>
      </c>
      <c r="I681" s="47" t="s">
        <v>413</v>
      </c>
    </row>
    <row r="682" spans="1:9" ht="15">
      <c r="A682" s="47" t="s">
        <v>414</v>
      </c>
      <c r="B682" s="47" t="s">
        <v>4947</v>
      </c>
      <c r="C682" s="47" t="s">
        <v>4558</v>
      </c>
      <c r="D682" s="47" t="s">
        <v>4559</v>
      </c>
      <c r="E682" s="47"/>
      <c r="F682" s="47"/>
      <c r="G682" s="47"/>
      <c r="H682" s="47" t="s">
        <v>3605</v>
      </c>
      <c r="I682" s="47" t="s">
        <v>414</v>
      </c>
    </row>
    <row r="683" spans="1:9" ht="15">
      <c r="A683" s="47" t="s">
        <v>415</v>
      </c>
      <c r="B683" s="47" t="s">
        <v>4948</v>
      </c>
      <c r="C683" s="47" t="s">
        <v>4558</v>
      </c>
      <c r="D683" s="47" t="s">
        <v>4559</v>
      </c>
      <c r="E683" s="47"/>
      <c r="F683" s="47"/>
      <c r="G683" s="47"/>
      <c r="H683" s="47" t="s">
        <v>3605</v>
      </c>
      <c r="I683" s="47" t="s">
        <v>415</v>
      </c>
    </row>
    <row r="684" spans="1:9" ht="15">
      <c r="A684" s="47" t="s">
        <v>416</v>
      </c>
      <c r="B684" s="47" t="s">
        <v>4949</v>
      </c>
      <c r="C684" s="47" t="s">
        <v>4558</v>
      </c>
      <c r="D684" s="47" t="s">
        <v>4559</v>
      </c>
      <c r="E684" s="47"/>
      <c r="F684" s="47"/>
      <c r="G684" s="47"/>
      <c r="H684" s="47" t="s">
        <v>3605</v>
      </c>
      <c r="I684" s="47" t="s">
        <v>416</v>
      </c>
    </row>
    <row r="685" spans="1:9" ht="15">
      <c r="A685" s="47" t="s">
        <v>417</v>
      </c>
      <c r="B685" s="47" t="s">
        <v>4950</v>
      </c>
      <c r="C685" s="47" t="s">
        <v>4558</v>
      </c>
      <c r="D685" s="47" t="s">
        <v>4559</v>
      </c>
      <c r="E685" s="47"/>
      <c r="F685" s="47"/>
      <c r="G685" s="47"/>
      <c r="H685" s="47" t="s">
        <v>3605</v>
      </c>
      <c r="I685" s="47" t="s">
        <v>417</v>
      </c>
    </row>
    <row r="686" spans="1:9" ht="15">
      <c r="A686" s="47" t="s">
        <v>418</v>
      </c>
      <c r="B686" s="47" t="s">
        <v>4951</v>
      </c>
      <c r="C686" s="47" t="s">
        <v>4558</v>
      </c>
      <c r="D686" s="47" t="s">
        <v>4559</v>
      </c>
      <c r="E686" s="47"/>
      <c r="F686" s="47"/>
      <c r="G686" s="47"/>
      <c r="H686" s="47" t="s">
        <v>3605</v>
      </c>
      <c r="I686" s="47" t="s">
        <v>418</v>
      </c>
    </row>
    <row r="687" spans="1:9" ht="15">
      <c r="A687" s="47" t="s">
        <v>419</v>
      </c>
      <c r="B687" s="47" t="s">
        <v>4952</v>
      </c>
      <c r="C687" s="47" t="s">
        <v>4558</v>
      </c>
      <c r="D687" s="47" t="s">
        <v>4559</v>
      </c>
      <c r="E687" s="47"/>
      <c r="F687" s="47"/>
      <c r="G687" s="47"/>
      <c r="H687" s="47" t="s">
        <v>3605</v>
      </c>
      <c r="I687" s="47" t="s">
        <v>419</v>
      </c>
    </row>
    <row r="688" spans="1:9" ht="15">
      <c r="A688" s="47" t="s">
        <v>420</v>
      </c>
      <c r="B688" s="47" t="s">
        <v>4953</v>
      </c>
      <c r="C688" s="47" t="s">
        <v>4558</v>
      </c>
      <c r="D688" s="47" t="s">
        <v>4559</v>
      </c>
      <c r="E688" s="47"/>
      <c r="F688" s="47"/>
      <c r="G688" s="47"/>
      <c r="H688" s="47" t="s">
        <v>3605</v>
      </c>
      <c r="I688" s="47" t="s">
        <v>420</v>
      </c>
    </row>
    <row r="689" spans="1:9" ht="15">
      <c r="A689" s="47" t="s">
        <v>421</v>
      </c>
      <c r="B689" s="47" t="s">
        <v>4954</v>
      </c>
      <c r="C689" s="47" t="s">
        <v>4558</v>
      </c>
      <c r="D689" s="47" t="s">
        <v>4559</v>
      </c>
      <c r="E689" s="47"/>
      <c r="F689" s="47"/>
      <c r="G689" s="47"/>
      <c r="H689" s="47" t="s">
        <v>3605</v>
      </c>
      <c r="I689" s="47" t="s">
        <v>421</v>
      </c>
    </row>
    <row r="690" spans="1:9" ht="15">
      <c r="A690" s="47" t="s">
        <v>422</v>
      </c>
      <c r="B690" s="47" t="s">
        <v>4955</v>
      </c>
      <c r="C690" s="47" t="s">
        <v>4558</v>
      </c>
      <c r="D690" s="47" t="s">
        <v>4559</v>
      </c>
      <c r="E690" s="47"/>
      <c r="F690" s="47"/>
      <c r="G690" s="47"/>
      <c r="H690" s="47" t="s">
        <v>3605</v>
      </c>
      <c r="I690" s="47" t="s">
        <v>422</v>
      </c>
    </row>
    <row r="691" spans="1:9" ht="15">
      <c r="A691" s="47" t="s">
        <v>423</v>
      </c>
      <c r="B691" s="47" t="s">
        <v>4956</v>
      </c>
      <c r="C691" s="47" t="s">
        <v>4558</v>
      </c>
      <c r="D691" s="47" t="s">
        <v>4559</v>
      </c>
      <c r="E691" s="47"/>
      <c r="F691" s="47"/>
      <c r="G691" s="47"/>
      <c r="H691" s="47" t="s">
        <v>3605</v>
      </c>
      <c r="I691" s="47" t="s">
        <v>423</v>
      </c>
    </row>
    <row r="692" spans="1:9" ht="15">
      <c r="A692" s="47" t="s">
        <v>424</v>
      </c>
      <c r="B692" s="47" t="s">
        <v>4957</v>
      </c>
      <c r="C692" s="47" t="s">
        <v>4558</v>
      </c>
      <c r="D692" s="47" t="s">
        <v>4559</v>
      </c>
      <c r="E692" s="47"/>
      <c r="F692" s="47"/>
      <c r="G692" s="47"/>
      <c r="H692" s="47" t="s">
        <v>3605</v>
      </c>
      <c r="I692" s="47" t="s">
        <v>424</v>
      </c>
    </row>
    <row r="693" spans="1:9" ht="15">
      <c r="A693" s="47" t="s">
        <v>425</v>
      </c>
      <c r="B693" s="47" t="s">
        <v>4958</v>
      </c>
      <c r="C693" s="47" t="s">
        <v>4558</v>
      </c>
      <c r="D693" s="47" t="s">
        <v>4559</v>
      </c>
      <c r="E693" s="47"/>
      <c r="F693" s="47"/>
      <c r="G693" s="47"/>
      <c r="H693" s="47" t="s">
        <v>3605</v>
      </c>
      <c r="I693" s="47" t="s">
        <v>425</v>
      </c>
    </row>
    <row r="694" spans="1:9" ht="15">
      <c r="A694" s="47" t="s">
        <v>426</v>
      </c>
      <c r="B694" s="47" t="s">
        <v>4959</v>
      </c>
      <c r="C694" s="47" t="s">
        <v>4558</v>
      </c>
      <c r="D694" s="47" t="s">
        <v>4559</v>
      </c>
      <c r="E694" s="47"/>
      <c r="F694" s="47"/>
      <c r="G694" s="47"/>
      <c r="H694" s="47" t="s">
        <v>3605</v>
      </c>
      <c r="I694" s="47" t="s">
        <v>426</v>
      </c>
    </row>
    <row r="695" spans="1:9" ht="15">
      <c r="A695" s="47" t="s">
        <v>427</v>
      </c>
      <c r="B695" s="47" t="s">
        <v>4960</v>
      </c>
      <c r="C695" s="47" t="s">
        <v>4558</v>
      </c>
      <c r="D695" s="47" t="s">
        <v>4559</v>
      </c>
      <c r="E695" s="47"/>
      <c r="F695" s="47"/>
      <c r="G695" s="47"/>
      <c r="H695" s="47" t="s">
        <v>3605</v>
      </c>
      <c r="I695" s="47" t="s">
        <v>427</v>
      </c>
    </row>
    <row r="696" spans="1:9" ht="15">
      <c r="A696" s="47" t="s">
        <v>428</v>
      </c>
      <c r="B696" s="47" t="s">
        <v>4961</v>
      </c>
      <c r="C696" s="47" t="s">
        <v>4558</v>
      </c>
      <c r="D696" s="47" t="s">
        <v>4559</v>
      </c>
      <c r="E696" s="47"/>
      <c r="F696" s="47"/>
      <c r="G696" s="47"/>
      <c r="H696" s="47" t="s">
        <v>3605</v>
      </c>
      <c r="I696" s="47" t="s">
        <v>428</v>
      </c>
    </row>
    <row r="697" spans="1:9" ht="15">
      <c r="A697" s="47" t="s">
        <v>429</v>
      </c>
      <c r="B697" s="47" t="s">
        <v>4962</v>
      </c>
      <c r="C697" s="47" t="s">
        <v>4558</v>
      </c>
      <c r="D697" s="47" t="s">
        <v>4559</v>
      </c>
      <c r="E697" s="47"/>
      <c r="F697" s="47"/>
      <c r="G697" s="47"/>
      <c r="H697" s="47" t="s">
        <v>3605</v>
      </c>
      <c r="I697" s="47" t="s">
        <v>429</v>
      </c>
    </row>
    <row r="698" spans="1:9" ht="15">
      <c r="A698" s="47" t="s">
        <v>430</v>
      </c>
      <c r="B698" s="47" t="s">
        <v>4963</v>
      </c>
      <c r="C698" s="47" t="s">
        <v>4558</v>
      </c>
      <c r="D698" s="47" t="s">
        <v>4559</v>
      </c>
      <c r="E698" s="47"/>
      <c r="F698" s="47"/>
      <c r="G698" s="47"/>
      <c r="H698" s="47" t="s">
        <v>3605</v>
      </c>
      <c r="I698" s="47" t="s">
        <v>430</v>
      </c>
    </row>
    <row r="699" spans="1:9" ht="15">
      <c r="A699" s="47" t="s">
        <v>431</v>
      </c>
      <c r="B699" s="47" t="s">
        <v>4964</v>
      </c>
      <c r="C699" s="47" t="s">
        <v>4558</v>
      </c>
      <c r="D699" s="47" t="s">
        <v>4559</v>
      </c>
      <c r="E699" s="47"/>
      <c r="F699" s="47"/>
      <c r="G699" s="47"/>
      <c r="H699" s="47" t="s">
        <v>3605</v>
      </c>
      <c r="I699" s="47" t="s">
        <v>431</v>
      </c>
    </row>
    <row r="700" spans="1:9" ht="15">
      <c r="A700" s="47" t="s">
        <v>432</v>
      </c>
      <c r="B700" s="47" t="s">
        <v>4965</v>
      </c>
      <c r="C700" s="47" t="s">
        <v>4558</v>
      </c>
      <c r="D700" s="47" t="s">
        <v>4559</v>
      </c>
      <c r="E700" s="47"/>
      <c r="F700" s="47"/>
      <c r="G700" s="47"/>
      <c r="H700" s="47" t="s">
        <v>3605</v>
      </c>
      <c r="I700" s="47" t="s">
        <v>432</v>
      </c>
    </row>
    <row r="701" spans="1:9" ht="15">
      <c r="A701" s="47" t="s">
        <v>433</v>
      </c>
      <c r="B701" s="47" t="s">
        <v>4966</v>
      </c>
      <c r="C701" s="47" t="s">
        <v>4558</v>
      </c>
      <c r="D701" s="47" t="s">
        <v>4559</v>
      </c>
      <c r="E701" s="47"/>
      <c r="F701" s="47"/>
      <c r="G701" s="47"/>
      <c r="H701" s="47" t="s">
        <v>3605</v>
      </c>
      <c r="I701" s="47" t="s">
        <v>433</v>
      </c>
    </row>
    <row r="702" spans="1:9" ht="15">
      <c r="A702" s="47" t="s">
        <v>434</v>
      </c>
      <c r="B702" s="47" t="s">
        <v>4967</v>
      </c>
      <c r="C702" s="47" t="s">
        <v>4558</v>
      </c>
      <c r="D702" s="47" t="s">
        <v>4559</v>
      </c>
      <c r="E702" s="47"/>
      <c r="F702" s="47"/>
      <c r="G702" s="47"/>
      <c r="H702" s="47" t="s">
        <v>3605</v>
      </c>
      <c r="I702" s="47" t="s">
        <v>434</v>
      </c>
    </row>
    <row r="703" spans="1:9" ht="15">
      <c r="A703" s="47" t="s">
        <v>435</v>
      </c>
      <c r="B703" s="47" t="s">
        <v>4968</v>
      </c>
      <c r="C703" s="47" t="s">
        <v>4558</v>
      </c>
      <c r="D703" s="47" t="s">
        <v>4559</v>
      </c>
      <c r="E703" s="47"/>
      <c r="F703" s="47"/>
      <c r="G703" s="47"/>
      <c r="H703" s="47" t="s">
        <v>3605</v>
      </c>
      <c r="I703" s="47" t="s">
        <v>435</v>
      </c>
    </row>
    <row r="704" spans="1:9" ht="15">
      <c r="A704" s="47" t="s">
        <v>436</v>
      </c>
      <c r="B704" s="47" t="s">
        <v>4969</v>
      </c>
      <c r="C704" s="47" t="s">
        <v>4558</v>
      </c>
      <c r="D704" s="47" t="s">
        <v>4559</v>
      </c>
      <c r="E704" s="47"/>
      <c r="F704" s="47"/>
      <c r="G704" s="47"/>
      <c r="H704" s="47" t="s">
        <v>3605</v>
      </c>
      <c r="I704" s="47" t="s">
        <v>436</v>
      </c>
    </row>
    <row r="705" spans="1:9" ht="15">
      <c r="A705" s="47" t="s">
        <v>437</v>
      </c>
      <c r="B705" s="47" t="s">
        <v>4970</v>
      </c>
      <c r="C705" s="47" t="s">
        <v>4558</v>
      </c>
      <c r="D705" s="47" t="s">
        <v>4559</v>
      </c>
      <c r="E705" s="47"/>
      <c r="F705" s="47"/>
      <c r="G705" s="47"/>
      <c r="H705" s="47" t="s">
        <v>3605</v>
      </c>
      <c r="I705" s="47" t="s">
        <v>437</v>
      </c>
    </row>
    <row r="706" spans="1:9" ht="15">
      <c r="A706" s="47" t="s">
        <v>438</v>
      </c>
      <c r="B706" s="47" t="s">
        <v>4971</v>
      </c>
      <c r="C706" s="47" t="s">
        <v>4558</v>
      </c>
      <c r="D706" s="47" t="s">
        <v>4559</v>
      </c>
      <c r="E706" s="47"/>
      <c r="F706" s="47"/>
      <c r="G706" s="47"/>
      <c r="H706" s="47" t="s">
        <v>3605</v>
      </c>
      <c r="I706" s="47" t="s">
        <v>438</v>
      </c>
    </row>
    <row r="707" spans="1:9" ht="15">
      <c r="A707" s="47" t="s">
        <v>439</v>
      </c>
      <c r="B707" s="47" t="s">
        <v>4972</v>
      </c>
      <c r="C707" s="47" t="s">
        <v>4558</v>
      </c>
      <c r="D707" s="47" t="s">
        <v>4559</v>
      </c>
      <c r="E707" s="47"/>
      <c r="F707" s="47"/>
      <c r="G707" s="47"/>
      <c r="H707" s="47" t="s">
        <v>3605</v>
      </c>
      <c r="I707" s="47" t="s">
        <v>439</v>
      </c>
    </row>
    <row r="708" spans="1:9" ht="15">
      <c r="A708" s="47" t="s">
        <v>440</v>
      </c>
      <c r="B708" s="47" t="s">
        <v>4973</v>
      </c>
      <c r="C708" s="47" t="s">
        <v>4558</v>
      </c>
      <c r="D708" s="47" t="s">
        <v>4559</v>
      </c>
      <c r="E708" s="47"/>
      <c r="F708" s="47"/>
      <c r="G708" s="47"/>
      <c r="H708" s="47" t="s">
        <v>3605</v>
      </c>
      <c r="I708" s="47" t="s">
        <v>440</v>
      </c>
    </row>
    <row r="709" spans="1:9" ht="15">
      <c r="A709" s="47" t="s">
        <v>441</v>
      </c>
      <c r="B709" s="47" t="s">
        <v>4974</v>
      </c>
      <c r="C709" s="47" t="s">
        <v>4558</v>
      </c>
      <c r="D709" s="47" t="s">
        <v>4559</v>
      </c>
      <c r="E709" s="47"/>
      <c r="F709" s="47"/>
      <c r="G709" s="47"/>
      <c r="H709" s="47" t="s">
        <v>3605</v>
      </c>
      <c r="I709" s="47" t="s">
        <v>441</v>
      </c>
    </row>
    <row r="710" spans="1:9" ht="15">
      <c r="A710" s="47" t="s">
        <v>442</v>
      </c>
      <c r="B710" s="47" t="s">
        <v>4975</v>
      </c>
      <c r="C710" s="47" t="s">
        <v>4558</v>
      </c>
      <c r="D710" s="47" t="s">
        <v>4559</v>
      </c>
      <c r="E710" s="47"/>
      <c r="F710" s="47"/>
      <c r="G710" s="47"/>
      <c r="H710" s="47" t="s">
        <v>3605</v>
      </c>
      <c r="I710" s="47" t="s">
        <v>442</v>
      </c>
    </row>
    <row r="711" spans="1:9" ht="15">
      <c r="A711" s="47" t="s">
        <v>443</v>
      </c>
      <c r="B711" s="47" t="s">
        <v>4976</v>
      </c>
      <c r="C711" s="47" t="s">
        <v>4558</v>
      </c>
      <c r="D711" s="47" t="s">
        <v>4559</v>
      </c>
      <c r="E711" s="47"/>
      <c r="F711" s="47"/>
      <c r="G711" s="47"/>
      <c r="H711" s="47" t="s">
        <v>3605</v>
      </c>
      <c r="I711" s="47" t="s">
        <v>443</v>
      </c>
    </row>
    <row r="712" spans="1:9" ht="15">
      <c r="A712" s="47" t="s">
        <v>444</v>
      </c>
      <c r="B712" s="47" t="s">
        <v>4977</v>
      </c>
      <c r="C712" s="47" t="s">
        <v>4558</v>
      </c>
      <c r="D712" s="47" t="s">
        <v>4559</v>
      </c>
      <c r="E712" s="47"/>
      <c r="F712" s="47"/>
      <c r="G712" s="47"/>
      <c r="H712" s="47" t="s">
        <v>3605</v>
      </c>
      <c r="I712" s="47" t="s">
        <v>444</v>
      </c>
    </row>
    <row r="713" spans="1:9" ht="15">
      <c r="A713" s="47" t="s">
        <v>445</v>
      </c>
      <c r="B713" s="47" t="s">
        <v>4978</v>
      </c>
      <c r="C713" s="47" t="s">
        <v>4558</v>
      </c>
      <c r="D713" s="47" t="s">
        <v>4559</v>
      </c>
      <c r="E713" s="47"/>
      <c r="F713" s="47"/>
      <c r="G713" s="47"/>
      <c r="H713" s="47" t="s">
        <v>3605</v>
      </c>
      <c r="I713" s="47" t="s">
        <v>445</v>
      </c>
    </row>
    <row r="714" spans="1:9" ht="15">
      <c r="A714" s="47" t="s">
        <v>446</v>
      </c>
      <c r="B714" s="47" t="s">
        <v>4979</v>
      </c>
      <c r="C714" s="47" t="s">
        <v>4558</v>
      </c>
      <c r="D714" s="47" t="s">
        <v>4559</v>
      </c>
      <c r="E714" s="47"/>
      <c r="F714" s="47"/>
      <c r="G714" s="47"/>
      <c r="H714" s="47" t="s">
        <v>3605</v>
      </c>
      <c r="I714" s="47" t="s">
        <v>446</v>
      </c>
    </row>
    <row r="715" spans="1:9" ht="15">
      <c r="A715" s="47" t="s">
        <v>447</v>
      </c>
      <c r="B715" s="47" t="s">
        <v>4980</v>
      </c>
      <c r="C715" s="47" t="s">
        <v>4558</v>
      </c>
      <c r="D715" s="47" t="s">
        <v>4559</v>
      </c>
      <c r="E715" s="47"/>
      <c r="F715" s="47"/>
      <c r="G715" s="47"/>
      <c r="H715" s="47" t="s">
        <v>3605</v>
      </c>
      <c r="I715" s="47" t="s">
        <v>447</v>
      </c>
    </row>
    <row r="716" spans="1:9" ht="15">
      <c r="A716" s="47" t="s">
        <v>448</v>
      </c>
      <c r="B716" s="47" t="s">
        <v>4981</v>
      </c>
      <c r="C716" s="47" t="s">
        <v>4558</v>
      </c>
      <c r="D716" s="47" t="s">
        <v>4559</v>
      </c>
      <c r="E716" s="47"/>
      <c r="F716" s="47"/>
      <c r="G716" s="47"/>
      <c r="H716" s="47" t="s">
        <v>3605</v>
      </c>
      <c r="I716" s="47" t="s">
        <v>448</v>
      </c>
    </row>
    <row r="717" spans="1:9" ht="15">
      <c r="A717" s="47" t="s">
        <v>449</v>
      </c>
      <c r="B717" s="47" t="s">
        <v>4982</v>
      </c>
      <c r="C717" s="47" t="s">
        <v>4558</v>
      </c>
      <c r="D717" s="47" t="s">
        <v>4559</v>
      </c>
      <c r="E717" s="47"/>
      <c r="F717" s="47"/>
      <c r="G717" s="47"/>
      <c r="H717" s="47" t="s">
        <v>3605</v>
      </c>
      <c r="I717" s="47" t="s">
        <v>449</v>
      </c>
    </row>
    <row r="718" spans="1:9" ht="15">
      <c r="A718" s="47" t="s">
        <v>3031</v>
      </c>
      <c r="B718" s="47" t="s">
        <v>4983</v>
      </c>
      <c r="C718" s="47" t="s">
        <v>4558</v>
      </c>
      <c r="D718" s="47" t="s">
        <v>4559</v>
      </c>
      <c r="E718" s="47"/>
      <c r="F718" s="47"/>
      <c r="G718" s="47"/>
      <c r="H718" s="47" t="s">
        <v>3605</v>
      </c>
      <c r="I718" s="47" t="s">
        <v>3031</v>
      </c>
    </row>
    <row r="719" spans="1:9" ht="15">
      <c r="A719" s="47" t="s">
        <v>3033</v>
      </c>
      <c r="B719" s="47" t="s">
        <v>4984</v>
      </c>
      <c r="C719" s="47" t="s">
        <v>4558</v>
      </c>
      <c r="D719" s="47" t="s">
        <v>4559</v>
      </c>
      <c r="E719" s="47"/>
      <c r="F719" s="47"/>
      <c r="G719" s="47"/>
      <c r="H719" s="47" t="s">
        <v>3605</v>
      </c>
      <c r="I719" s="47" t="s">
        <v>3033</v>
      </c>
    </row>
    <row r="720" spans="1:9" ht="15">
      <c r="A720" s="47" t="s">
        <v>3035</v>
      </c>
      <c r="B720" s="47" t="s">
        <v>4985</v>
      </c>
      <c r="C720" s="47" t="s">
        <v>4558</v>
      </c>
      <c r="D720" s="47" t="s">
        <v>4559</v>
      </c>
      <c r="E720" s="47"/>
      <c r="F720" s="47"/>
      <c r="G720" s="47"/>
      <c r="H720" s="47" t="s">
        <v>3605</v>
      </c>
      <c r="I720" s="47" t="s">
        <v>3035</v>
      </c>
    </row>
    <row r="721" spans="1:9" ht="15">
      <c r="A721" s="47" t="s">
        <v>3037</v>
      </c>
      <c r="B721" s="47" t="s">
        <v>4986</v>
      </c>
      <c r="C721" s="47" t="s">
        <v>4558</v>
      </c>
      <c r="D721" s="47" t="s">
        <v>4559</v>
      </c>
      <c r="E721" s="47"/>
      <c r="F721" s="47"/>
      <c r="G721" s="47"/>
      <c r="H721" s="47" t="s">
        <v>3605</v>
      </c>
      <c r="I721" s="47" t="s">
        <v>3037</v>
      </c>
    </row>
    <row r="722" spans="1:9" ht="15">
      <c r="A722" s="47">
        <v>7523</v>
      </c>
      <c r="B722" s="47" t="s">
        <v>4987</v>
      </c>
      <c r="C722" s="47" t="s">
        <v>4988</v>
      </c>
      <c r="D722" s="47" t="s">
        <v>4989</v>
      </c>
      <c r="E722" s="47"/>
      <c r="F722" s="47"/>
      <c r="G722" s="47"/>
      <c r="H722" s="47" t="s">
        <v>3605</v>
      </c>
      <c r="I722" s="47" t="s">
        <v>18468</v>
      </c>
    </row>
    <row r="723" spans="1:9" ht="15">
      <c r="A723" s="47">
        <v>7524</v>
      </c>
      <c r="B723" s="47" t="s">
        <v>4990</v>
      </c>
      <c r="C723" s="47" t="s">
        <v>4991</v>
      </c>
      <c r="D723" s="47" t="s">
        <v>4992</v>
      </c>
      <c r="E723" s="47"/>
      <c r="F723" s="47"/>
      <c r="G723" s="47"/>
      <c r="H723" s="47" t="s">
        <v>3605</v>
      </c>
      <c r="I723" s="47" t="s">
        <v>18469</v>
      </c>
    </row>
    <row r="724" spans="1:9" ht="15">
      <c r="A724" s="47">
        <v>7525</v>
      </c>
      <c r="B724" s="47" t="s">
        <v>4993</v>
      </c>
      <c r="C724" s="47" t="s">
        <v>4994</v>
      </c>
      <c r="D724" s="47" t="s">
        <v>4995</v>
      </c>
      <c r="E724" s="47"/>
      <c r="F724" s="47"/>
      <c r="G724" s="47"/>
      <c r="H724" s="47" t="s">
        <v>3605</v>
      </c>
      <c r="I724" s="47" t="s">
        <v>18470</v>
      </c>
    </row>
    <row r="725" spans="1:9" ht="15">
      <c r="A725" s="47">
        <v>7526</v>
      </c>
      <c r="B725" s="47" t="s">
        <v>4996</v>
      </c>
      <c r="C725" s="47" t="s">
        <v>4997</v>
      </c>
      <c r="D725" s="47" t="s">
        <v>4998</v>
      </c>
      <c r="E725" s="47"/>
      <c r="F725" s="47"/>
      <c r="G725" s="47"/>
      <c r="H725" s="47" t="s">
        <v>3605</v>
      </c>
      <c r="I725" s="47" t="s">
        <v>18471</v>
      </c>
    </row>
    <row r="726" spans="1:9" ht="15">
      <c r="A726" s="47">
        <v>7527</v>
      </c>
      <c r="B726" s="47" t="s">
        <v>4999</v>
      </c>
      <c r="C726" s="47" t="s">
        <v>5000</v>
      </c>
      <c r="D726" s="47" t="s">
        <v>5001</v>
      </c>
      <c r="E726" s="47"/>
      <c r="F726" s="47"/>
      <c r="G726" s="47"/>
      <c r="H726" s="47" t="s">
        <v>3605</v>
      </c>
      <c r="I726" s="47" t="s">
        <v>18472</v>
      </c>
    </row>
    <row r="727" spans="1:9" ht="15">
      <c r="A727" s="47">
        <v>7805</v>
      </c>
      <c r="B727" s="47" t="s">
        <v>5002</v>
      </c>
      <c r="C727" s="47" t="s">
        <v>5003</v>
      </c>
      <c r="D727" s="47" t="s">
        <v>5004</v>
      </c>
      <c r="E727" s="47"/>
      <c r="F727" s="47"/>
      <c r="G727" s="47"/>
      <c r="H727" s="47" t="s">
        <v>3605</v>
      </c>
      <c r="I727" s="47" t="s">
        <v>18473</v>
      </c>
    </row>
    <row r="728" spans="1:9" ht="15">
      <c r="A728" s="47">
        <v>8115</v>
      </c>
      <c r="B728" s="47" t="s">
        <v>5005</v>
      </c>
      <c r="C728" s="47" t="s">
        <v>5006</v>
      </c>
      <c r="D728" s="47" t="s">
        <v>5007</v>
      </c>
      <c r="E728" s="47"/>
      <c r="F728" s="47"/>
      <c r="G728" s="47"/>
      <c r="H728" s="47" t="s">
        <v>3605</v>
      </c>
      <c r="I728" s="47" t="s">
        <v>18474</v>
      </c>
    </row>
    <row r="729" spans="1:9" ht="15">
      <c r="A729" s="47">
        <v>9105</v>
      </c>
      <c r="B729" s="47" t="s">
        <v>5008</v>
      </c>
      <c r="C729" s="47" t="s">
        <v>5009</v>
      </c>
      <c r="D729" s="47" t="s">
        <v>5010</v>
      </c>
      <c r="E729" s="47"/>
      <c r="F729" s="47"/>
      <c r="G729" s="47"/>
      <c r="H729" s="47" t="s">
        <v>3605</v>
      </c>
      <c r="I729" s="47" t="s">
        <v>18475</v>
      </c>
    </row>
    <row r="730" spans="1:9" ht="15">
      <c r="A730" s="47">
        <v>10045</v>
      </c>
      <c r="B730" s="47" t="s">
        <v>5011</v>
      </c>
      <c r="C730" s="47" t="s">
        <v>5012</v>
      </c>
      <c r="D730" s="47" t="s">
        <v>5013</v>
      </c>
      <c r="E730" s="47"/>
      <c r="F730" s="47" t="s">
        <v>3603</v>
      </c>
      <c r="G730" s="47" t="s">
        <v>3604</v>
      </c>
      <c r="H730" s="47" t="s">
        <v>3605</v>
      </c>
      <c r="I730" s="47" t="s">
        <v>18476</v>
      </c>
    </row>
    <row r="731" spans="1:9" ht="15">
      <c r="A731" s="47">
        <v>10050</v>
      </c>
      <c r="B731" s="47" t="s">
        <v>5014</v>
      </c>
      <c r="C731" s="47" t="s">
        <v>5015</v>
      </c>
      <c r="D731" s="47" t="s">
        <v>5016</v>
      </c>
      <c r="E731" s="47"/>
      <c r="F731" s="47" t="s">
        <v>3603</v>
      </c>
      <c r="G731" s="47" t="s">
        <v>3604</v>
      </c>
      <c r="H731" s="47" t="s">
        <v>3605</v>
      </c>
      <c r="I731" s="47" t="s">
        <v>18477</v>
      </c>
    </row>
    <row r="732" spans="1:9" ht="15">
      <c r="A732" s="47">
        <v>10152</v>
      </c>
      <c r="B732" s="47" t="s">
        <v>5017</v>
      </c>
      <c r="C732" s="47" t="s">
        <v>5018</v>
      </c>
      <c r="D732" s="47" t="s">
        <v>5019</v>
      </c>
      <c r="E732" s="47"/>
      <c r="F732" s="47" t="s">
        <v>3603</v>
      </c>
      <c r="G732" s="47" t="s">
        <v>3604</v>
      </c>
      <c r="H732" s="47" t="s">
        <v>3605</v>
      </c>
      <c r="I732" s="47" t="s">
        <v>18478</v>
      </c>
    </row>
    <row r="733" spans="1:9" ht="15">
      <c r="A733" s="47">
        <v>10158</v>
      </c>
      <c r="B733" s="47" t="s">
        <v>5020</v>
      </c>
      <c r="C733" s="47" t="s">
        <v>5021</v>
      </c>
      <c r="D733" s="47" t="s">
        <v>5022</v>
      </c>
      <c r="E733" s="47"/>
      <c r="F733" s="47" t="s">
        <v>3603</v>
      </c>
      <c r="G733" s="47" t="s">
        <v>3604</v>
      </c>
      <c r="H733" s="47" t="s">
        <v>3605</v>
      </c>
      <c r="I733" s="47" t="s">
        <v>18479</v>
      </c>
    </row>
    <row r="734" spans="1:9" ht="15">
      <c r="A734" s="47">
        <v>10159</v>
      </c>
      <c r="B734" s="47" t="s">
        <v>5023</v>
      </c>
      <c r="C734" s="47" t="s">
        <v>5024</v>
      </c>
      <c r="D734" s="47" t="s">
        <v>5025</v>
      </c>
      <c r="E734" s="47"/>
      <c r="F734" s="47" t="s">
        <v>3603</v>
      </c>
      <c r="G734" s="47" t="s">
        <v>3604</v>
      </c>
      <c r="H734" s="47" t="s">
        <v>3605</v>
      </c>
      <c r="I734" s="47" t="s">
        <v>18480</v>
      </c>
    </row>
    <row r="735" spans="1:9" ht="15">
      <c r="A735" s="47">
        <v>10165</v>
      </c>
      <c r="B735" s="47" t="s">
        <v>5026</v>
      </c>
      <c r="C735" s="47" t="s">
        <v>5027</v>
      </c>
      <c r="D735" s="47" t="s">
        <v>5028</v>
      </c>
      <c r="E735" s="47"/>
      <c r="F735" s="47" t="s">
        <v>3603</v>
      </c>
      <c r="G735" s="47" t="s">
        <v>3604</v>
      </c>
      <c r="H735" s="47" t="s">
        <v>3605</v>
      </c>
      <c r="I735" s="47" t="s">
        <v>18481</v>
      </c>
    </row>
    <row r="736" spans="1:9" ht="15">
      <c r="A736" s="47">
        <v>10175</v>
      </c>
      <c r="B736" s="47" t="s">
        <v>5029</v>
      </c>
      <c r="C736" s="47" t="s">
        <v>5030</v>
      </c>
      <c r="D736" s="47" t="s">
        <v>5031</v>
      </c>
      <c r="E736" s="47"/>
      <c r="F736" s="47"/>
      <c r="G736" s="47"/>
      <c r="H736" s="47" t="s">
        <v>3605</v>
      </c>
      <c r="I736" s="47" t="s">
        <v>18482</v>
      </c>
    </row>
    <row r="737" spans="1:9" ht="15">
      <c r="A737" s="47">
        <v>10225</v>
      </c>
      <c r="B737" s="47" t="s">
        <v>5032</v>
      </c>
      <c r="C737" s="47" t="s">
        <v>5033</v>
      </c>
      <c r="D737" s="47" t="s">
        <v>5034</v>
      </c>
      <c r="E737" s="47"/>
      <c r="F737" s="47" t="s">
        <v>3603</v>
      </c>
      <c r="G737" s="47" t="s">
        <v>3604</v>
      </c>
      <c r="H737" s="47" t="s">
        <v>3605</v>
      </c>
      <c r="I737" s="47" t="s">
        <v>18483</v>
      </c>
    </row>
    <row r="738" spans="1:9" ht="15">
      <c r="A738" s="47">
        <v>10252</v>
      </c>
      <c r="B738" s="47" t="s">
        <v>5035</v>
      </c>
      <c r="C738" s="47" t="s">
        <v>5036</v>
      </c>
      <c r="D738" s="47" t="s">
        <v>5037</v>
      </c>
      <c r="E738" s="47"/>
      <c r="F738" s="47"/>
      <c r="G738" s="47"/>
      <c r="H738" s="47" t="s">
        <v>3605</v>
      </c>
      <c r="I738" s="47" t="s">
        <v>18484</v>
      </c>
    </row>
    <row r="739" spans="1:9" ht="15">
      <c r="A739" s="47">
        <v>10253</v>
      </c>
      <c r="B739" s="47" t="s">
        <v>5038</v>
      </c>
      <c r="C739" s="47" t="s">
        <v>5039</v>
      </c>
      <c r="D739" s="47" t="s">
        <v>5040</v>
      </c>
      <c r="E739" s="47"/>
      <c r="F739" s="47"/>
      <c r="G739" s="47"/>
      <c r="H739" s="47" t="s">
        <v>3605</v>
      </c>
      <c r="I739" s="47" t="s">
        <v>18485</v>
      </c>
    </row>
    <row r="740" spans="1:9" ht="15">
      <c r="A740" s="47" t="s">
        <v>467</v>
      </c>
      <c r="B740" s="47" t="s">
        <v>5041</v>
      </c>
      <c r="C740" s="47" t="s">
        <v>4558</v>
      </c>
      <c r="D740" s="47" t="s">
        <v>4559</v>
      </c>
      <c r="E740" s="47"/>
      <c r="F740" s="47"/>
      <c r="G740" s="47"/>
      <c r="H740" s="47" t="s">
        <v>3605</v>
      </c>
      <c r="I740" s="47" t="s">
        <v>467</v>
      </c>
    </row>
    <row r="741" spans="1:9" ht="15">
      <c r="A741" s="47" t="s">
        <v>468</v>
      </c>
      <c r="B741" s="47" t="s">
        <v>5042</v>
      </c>
      <c r="C741" s="47" t="s">
        <v>4558</v>
      </c>
      <c r="D741" s="47" t="s">
        <v>4559</v>
      </c>
      <c r="E741" s="47"/>
      <c r="F741" s="47"/>
      <c r="G741" s="47"/>
      <c r="H741" s="47" t="s">
        <v>3605</v>
      </c>
      <c r="I741" s="47" t="s">
        <v>468</v>
      </c>
    </row>
    <row r="742" spans="1:9" ht="15">
      <c r="A742" s="47" t="s">
        <v>469</v>
      </c>
      <c r="B742" s="47" t="s">
        <v>5043</v>
      </c>
      <c r="C742" s="47" t="s">
        <v>4558</v>
      </c>
      <c r="D742" s="47" t="s">
        <v>4559</v>
      </c>
      <c r="E742" s="47"/>
      <c r="F742" s="47"/>
      <c r="G742" s="47"/>
      <c r="H742" s="47" t="s">
        <v>3605</v>
      </c>
      <c r="I742" s="47" t="s">
        <v>469</v>
      </c>
    </row>
    <row r="743" spans="1:9" ht="15">
      <c r="A743" s="47" t="s">
        <v>470</v>
      </c>
      <c r="B743" s="47" t="s">
        <v>5044</v>
      </c>
      <c r="C743" s="47" t="s">
        <v>4558</v>
      </c>
      <c r="D743" s="47" t="s">
        <v>4559</v>
      </c>
      <c r="E743" s="47"/>
      <c r="F743" s="47"/>
      <c r="G743" s="47"/>
      <c r="H743" s="47" t="s">
        <v>3605</v>
      </c>
      <c r="I743" s="47" t="s">
        <v>470</v>
      </c>
    </row>
    <row r="744" spans="1:9" ht="15">
      <c r="A744" s="47" t="s">
        <v>471</v>
      </c>
      <c r="B744" s="47" t="s">
        <v>5045</v>
      </c>
      <c r="C744" s="47" t="s">
        <v>4558</v>
      </c>
      <c r="D744" s="47" t="s">
        <v>4559</v>
      </c>
      <c r="E744" s="47"/>
      <c r="F744" s="47"/>
      <c r="G744" s="47"/>
      <c r="H744" s="47" t="s">
        <v>3605</v>
      </c>
      <c r="I744" s="47" t="s">
        <v>471</v>
      </c>
    </row>
    <row r="745" spans="1:9" ht="15">
      <c r="A745" s="47" t="s">
        <v>3047</v>
      </c>
      <c r="B745" s="47" t="s">
        <v>5046</v>
      </c>
      <c r="C745" s="47" t="s">
        <v>4558</v>
      </c>
      <c r="D745" s="47" t="s">
        <v>4559</v>
      </c>
      <c r="E745" s="47"/>
      <c r="F745" s="47"/>
      <c r="G745" s="47"/>
      <c r="H745" s="47" t="s">
        <v>3605</v>
      </c>
      <c r="I745" s="47" t="s">
        <v>3047</v>
      </c>
    </row>
    <row r="746" spans="1:9" ht="15">
      <c r="A746" s="47" t="s">
        <v>472</v>
      </c>
      <c r="B746" s="47" t="s">
        <v>5047</v>
      </c>
      <c r="C746" s="47" t="s">
        <v>4558</v>
      </c>
      <c r="D746" s="47" t="s">
        <v>4559</v>
      </c>
      <c r="E746" s="47"/>
      <c r="F746" s="47"/>
      <c r="G746" s="47"/>
      <c r="H746" s="47" t="s">
        <v>3605</v>
      </c>
      <c r="I746" s="47" t="s">
        <v>472</v>
      </c>
    </row>
    <row r="747" spans="1:9" ht="15">
      <c r="A747" s="47">
        <v>10255</v>
      </c>
      <c r="B747" s="47" t="s">
        <v>5048</v>
      </c>
      <c r="C747" s="47" t="s">
        <v>5049</v>
      </c>
      <c r="D747" s="47" t="s">
        <v>5050</v>
      </c>
      <c r="E747" s="47"/>
      <c r="F747" s="47" t="s">
        <v>3603</v>
      </c>
      <c r="G747" s="47" t="s">
        <v>3604</v>
      </c>
      <c r="H747" s="47" t="s">
        <v>3605</v>
      </c>
      <c r="I747" s="47" t="s">
        <v>18486</v>
      </c>
    </row>
    <row r="748" spans="1:9" ht="15">
      <c r="A748" s="47" t="s">
        <v>3049</v>
      </c>
      <c r="B748" s="47" t="s">
        <v>5051</v>
      </c>
      <c r="C748" s="47" t="s">
        <v>4558</v>
      </c>
      <c r="D748" s="47" t="s">
        <v>4559</v>
      </c>
      <c r="E748" s="47"/>
      <c r="F748" s="47"/>
      <c r="G748" s="47"/>
      <c r="H748" s="47" t="s">
        <v>3605</v>
      </c>
      <c r="I748" s="47" t="s">
        <v>3049</v>
      </c>
    </row>
    <row r="749" spans="1:9" ht="15">
      <c r="A749" s="47" t="s">
        <v>475</v>
      </c>
      <c r="B749" s="47" t="s">
        <v>5052</v>
      </c>
      <c r="C749" s="47" t="s">
        <v>4558</v>
      </c>
      <c r="D749" s="47" t="s">
        <v>4559</v>
      </c>
      <c r="E749" s="47"/>
      <c r="F749" s="47"/>
      <c r="G749" s="47"/>
      <c r="H749" s="47" t="s">
        <v>3605</v>
      </c>
      <c r="I749" s="47" t="s">
        <v>475</v>
      </c>
    </row>
    <row r="750" spans="1:9" ht="15">
      <c r="A750" s="47" t="s">
        <v>476</v>
      </c>
      <c r="B750" s="47" t="s">
        <v>5053</v>
      </c>
      <c r="C750" s="47" t="s">
        <v>4558</v>
      </c>
      <c r="D750" s="47" t="s">
        <v>4559</v>
      </c>
      <c r="E750" s="47"/>
      <c r="F750" s="47"/>
      <c r="G750" s="47"/>
      <c r="H750" s="47" t="s">
        <v>3605</v>
      </c>
      <c r="I750" s="47" t="s">
        <v>476</v>
      </c>
    </row>
    <row r="751" spans="1:9" ht="15">
      <c r="A751" s="47">
        <v>10256</v>
      </c>
      <c r="B751" s="47" t="s">
        <v>5054</v>
      </c>
      <c r="C751" s="47" t="s">
        <v>5055</v>
      </c>
      <c r="D751" s="47" t="s">
        <v>5056</v>
      </c>
      <c r="E751" s="47"/>
      <c r="F751" s="47" t="s">
        <v>3603</v>
      </c>
      <c r="G751" s="47" t="s">
        <v>3604</v>
      </c>
      <c r="H751" s="47" t="s">
        <v>3605</v>
      </c>
      <c r="I751" s="47" t="s">
        <v>18487</v>
      </c>
    </row>
    <row r="752" spans="1:9" ht="15">
      <c r="A752" s="47" t="s">
        <v>478</v>
      </c>
      <c r="B752" s="47" t="s">
        <v>5057</v>
      </c>
      <c r="C752" s="47" t="s">
        <v>4558</v>
      </c>
      <c r="D752" s="47" t="s">
        <v>4559</v>
      </c>
      <c r="E752" s="47"/>
      <c r="F752" s="47"/>
      <c r="G752" s="47"/>
      <c r="H752" s="47" t="s">
        <v>3605</v>
      </c>
      <c r="I752" s="47" t="s">
        <v>478</v>
      </c>
    </row>
    <row r="753" spans="1:9" ht="15">
      <c r="A753" s="47" t="s">
        <v>479</v>
      </c>
      <c r="B753" s="47" t="s">
        <v>5058</v>
      </c>
      <c r="C753" s="47" t="s">
        <v>4558</v>
      </c>
      <c r="D753" s="47" t="s">
        <v>4559</v>
      </c>
      <c r="E753" s="47"/>
      <c r="F753" s="47"/>
      <c r="G753" s="47"/>
      <c r="H753" s="47" t="s">
        <v>3605</v>
      </c>
      <c r="I753" s="47" t="s">
        <v>479</v>
      </c>
    </row>
    <row r="754" spans="1:9" ht="15">
      <c r="A754" s="47" t="s">
        <v>480</v>
      </c>
      <c r="B754" s="47" t="s">
        <v>5059</v>
      </c>
      <c r="C754" s="47" t="s">
        <v>4558</v>
      </c>
      <c r="D754" s="47" t="s">
        <v>4559</v>
      </c>
      <c r="E754" s="47"/>
      <c r="F754" s="47"/>
      <c r="G754" s="47"/>
      <c r="H754" s="47" t="s">
        <v>3605</v>
      </c>
      <c r="I754" s="47" t="s">
        <v>480</v>
      </c>
    </row>
    <row r="755" spans="1:9" ht="15">
      <c r="A755" s="47" t="s">
        <v>481</v>
      </c>
      <c r="B755" s="47" t="s">
        <v>5060</v>
      </c>
      <c r="C755" s="47" t="s">
        <v>4558</v>
      </c>
      <c r="D755" s="47" t="s">
        <v>4559</v>
      </c>
      <c r="E755" s="47"/>
      <c r="F755" s="47"/>
      <c r="G755" s="47"/>
      <c r="H755" s="47" t="s">
        <v>3605</v>
      </c>
      <c r="I755" s="47" t="s">
        <v>481</v>
      </c>
    </row>
    <row r="756" spans="1:9" ht="15">
      <c r="A756" s="47" t="s">
        <v>482</v>
      </c>
      <c r="B756" s="47" t="s">
        <v>5061</v>
      </c>
      <c r="C756" s="47" t="s">
        <v>4558</v>
      </c>
      <c r="D756" s="47" t="s">
        <v>4559</v>
      </c>
      <c r="E756" s="47"/>
      <c r="F756" s="47"/>
      <c r="G756" s="47"/>
      <c r="H756" s="47" t="s">
        <v>3605</v>
      </c>
      <c r="I756" s="47" t="s">
        <v>482</v>
      </c>
    </row>
    <row r="757" spans="1:9" ht="15">
      <c r="A757" s="47" t="s">
        <v>483</v>
      </c>
      <c r="B757" s="47" t="s">
        <v>5062</v>
      </c>
      <c r="C757" s="47" t="s">
        <v>4558</v>
      </c>
      <c r="D757" s="47" t="s">
        <v>4559</v>
      </c>
      <c r="E757" s="47"/>
      <c r="F757" s="47"/>
      <c r="G757" s="47"/>
      <c r="H757" s="47" t="s">
        <v>3605</v>
      </c>
      <c r="I757" s="47" t="s">
        <v>483</v>
      </c>
    </row>
    <row r="758" spans="1:9" ht="15">
      <c r="A758" s="47">
        <v>10257</v>
      </c>
      <c r="B758" s="47" t="s">
        <v>5063</v>
      </c>
      <c r="C758" s="47" t="s">
        <v>5064</v>
      </c>
      <c r="D758" s="47" t="s">
        <v>5065</v>
      </c>
      <c r="E758" s="47"/>
      <c r="F758" s="47"/>
      <c r="G758" s="47"/>
      <c r="H758" s="47" t="s">
        <v>3605</v>
      </c>
      <c r="I758" s="47" t="s">
        <v>18488</v>
      </c>
    </row>
    <row r="759" spans="1:9" ht="15">
      <c r="A759" s="47" t="s">
        <v>3053</v>
      </c>
      <c r="B759" s="47" t="s">
        <v>5066</v>
      </c>
      <c r="C759" s="47" t="s">
        <v>4558</v>
      </c>
      <c r="D759" s="47" t="s">
        <v>4559</v>
      </c>
      <c r="E759" s="47"/>
      <c r="F759" s="47"/>
      <c r="G759" s="47"/>
      <c r="H759" s="47" t="s">
        <v>3605</v>
      </c>
      <c r="I759" s="47" t="s">
        <v>3053</v>
      </c>
    </row>
    <row r="760" spans="1:9" ht="15">
      <c r="A760" s="47" t="s">
        <v>3055</v>
      </c>
      <c r="B760" s="47" t="s">
        <v>5067</v>
      </c>
      <c r="C760" s="47" t="s">
        <v>4558</v>
      </c>
      <c r="D760" s="47" t="s">
        <v>4559</v>
      </c>
      <c r="E760" s="47"/>
      <c r="F760" s="47"/>
      <c r="G760" s="47"/>
      <c r="H760" s="47" t="s">
        <v>3605</v>
      </c>
      <c r="I760" s="47" t="s">
        <v>3055</v>
      </c>
    </row>
    <row r="761" spans="1:9" ht="15">
      <c r="A761" s="47" t="s">
        <v>484</v>
      </c>
      <c r="B761" s="47" t="s">
        <v>5068</v>
      </c>
      <c r="C761" s="47" t="s">
        <v>4558</v>
      </c>
      <c r="D761" s="47" t="s">
        <v>4559</v>
      </c>
      <c r="E761" s="47"/>
      <c r="F761" s="47"/>
      <c r="G761" s="47"/>
      <c r="H761" s="47" t="s">
        <v>3605</v>
      </c>
      <c r="I761" s="47" t="s">
        <v>484</v>
      </c>
    </row>
    <row r="762" spans="1:9" ht="15">
      <c r="A762" s="47" t="s">
        <v>485</v>
      </c>
      <c r="B762" s="47" t="s">
        <v>5069</v>
      </c>
      <c r="C762" s="47" t="s">
        <v>4558</v>
      </c>
      <c r="D762" s="47" t="s">
        <v>4559</v>
      </c>
      <c r="E762" s="47"/>
      <c r="F762" s="47"/>
      <c r="G762" s="47"/>
      <c r="H762" s="47" t="s">
        <v>3605</v>
      </c>
      <c r="I762" s="47" t="s">
        <v>485</v>
      </c>
    </row>
    <row r="763" spans="1:9" ht="15">
      <c r="A763" s="47" t="s">
        <v>486</v>
      </c>
      <c r="B763" s="47" t="s">
        <v>5070</v>
      </c>
      <c r="C763" s="47" t="s">
        <v>4558</v>
      </c>
      <c r="D763" s="47" t="s">
        <v>4559</v>
      </c>
      <c r="E763" s="47"/>
      <c r="F763" s="47"/>
      <c r="G763" s="47"/>
      <c r="H763" s="47" t="s">
        <v>3605</v>
      </c>
      <c r="I763" s="47" t="s">
        <v>486</v>
      </c>
    </row>
    <row r="764" spans="1:9" ht="15">
      <c r="A764" s="47" t="s">
        <v>487</v>
      </c>
      <c r="B764" s="47" t="s">
        <v>5071</v>
      </c>
      <c r="C764" s="47" t="s">
        <v>4558</v>
      </c>
      <c r="D764" s="47" t="s">
        <v>4559</v>
      </c>
      <c r="E764" s="47"/>
      <c r="F764" s="47"/>
      <c r="G764" s="47"/>
      <c r="H764" s="47" t="s">
        <v>3605</v>
      </c>
      <c r="I764" s="47" t="s">
        <v>487</v>
      </c>
    </row>
    <row r="765" spans="1:9" ht="15">
      <c r="A765" s="47">
        <v>10258</v>
      </c>
      <c r="B765" s="47" t="s">
        <v>5072</v>
      </c>
      <c r="C765" s="47" t="s">
        <v>5073</v>
      </c>
      <c r="D765" s="47" t="s">
        <v>5074</v>
      </c>
      <c r="E765" s="47"/>
      <c r="F765" s="47"/>
      <c r="G765" s="47"/>
      <c r="H765" s="47" t="s">
        <v>3605</v>
      </c>
      <c r="I765" s="47" t="s">
        <v>18489</v>
      </c>
    </row>
    <row r="766" spans="1:9" ht="15">
      <c r="A766" s="47">
        <v>10259</v>
      </c>
      <c r="B766" s="47" t="s">
        <v>5075</v>
      </c>
      <c r="C766" s="47" t="s">
        <v>5076</v>
      </c>
      <c r="D766" s="47" t="s">
        <v>5077</v>
      </c>
      <c r="E766" s="47"/>
      <c r="F766" s="47" t="s">
        <v>3603</v>
      </c>
      <c r="G766" s="47" t="s">
        <v>3604</v>
      </c>
      <c r="H766" s="47" t="s">
        <v>3605</v>
      </c>
      <c r="I766" s="47" t="s">
        <v>18490</v>
      </c>
    </row>
    <row r="767" spans="1:9" ht="15">
      <c r="A767" s="47" t="s">
        <v>490</v>
      </c>
      <c r="B767" s="47" t="s">
        <v>5078</v>
      </c>
      <c r="C767" s="47" t="s">
        <v>4558</v>
      </c>
      <c r="D767" s="47" t="s">
        <v>4559</v>
      </c>
      <c r="E767" s="47"/>
      <c r="F767" s="47"/>
      <c r="G767" s="47"/>
      <c r="H767" s="47" t="s">
        <v>3605</v>
      </c>
      <c r="I767" s="47" t="s">
        <v>490</v>
      </c>
    </row>
    <row r="768" spans="1:9" ht="15">
      <c r="A768" s="47" t="s">
        <v>491</v>
      </c>
      <c r="B768" s="47" t="s">
        <v>5079</v>
      </c>
      <c r="C768" s="47" t="s">
        <v>4558</v>
      </c>
      <c r="D768" s="47" t="s">
        <v>4559</v>
      </c>
      <c r="E768" s="47"/>
      <c r="F768" s="47"/>
      <c r="G768" s="47"/>
      <c r="H768" s="47" t="s">
        <v>3605</v>
      </c>
      <c r="I768" s="47" t="s">
        <v>491</v>
      </c>
    </row>
    <row r="769" spans="1:9" ht="15">
      <c r="A769" s="47">
        <v>10265</v>
      </c>
      <c r="B769" s="47" t="s">
        <v>5080</v>
      </c>
      <c r="C769" s="47" t="s">
        <v>3664</v>
      </c>
      <c r="D769" s="47" t="s">
        <v>3665</v>
      </c>
      <c r="E769" s="47"/>
      <c r="F769" s="47" t="s">
        <v>3603</v>
      </c>
      <c r="G769" s="47" t="s">
        <v>3604</v>
      </c>
      <c r="H769" s="47" t="s">
        <v>3605</v>
      </c>
      <c r="I769" s="47" t="s">
        <v>18491</v>
      </c>
    </row>
    <row r="770" spans="1:9" ht="15">
      <c r="A770" s="47" t="s">
        <v>493</v>
      </c>
      <c r="B770" s="47" t="s">
        <v>5081</v>
      </c>
      <c r="C770" s="47" t="s">
        <v>4558</v>
      </c>
      <c r="D770" s="47" t="s">
        <v>4559</v>
      </c>
      <c r="E770" s="47"/>
      <c r="F770" s="47"/>
      <c r="G770" s="47"/>
      <c r="H770" s="47" t="s">
        <v>3605</v>
      </c>
      <c r="I770" s="47" t="s">
        <v>493</v>
      </c>
    </row>
    <row r="771" spans="1:9" ht="15">
      <c r="A771" s="47" t="s">
        <v>494</v>
      </c>
      <c r="B771" s="47" t="s">
        <v>5082</v>
      </c>
      <c r="C771" s="47" t="s">
        <v>4558</v>
      </c>
      <c r="D771" s="47" t="s">
        <v>4559</v>
      </c>
      <c r="E771" s="47"/>
      <c r="F771" s="47"/>
      <c r="G771" s="47"/>
      <c r="H771" s="47" t="s">
        <v>3605</v>
      </c>
      <c r="I771" s="47" t="s">
        <v>494</v>
      </c>
    </row>
    <row r="772" spans="1:9" ht="15">
      <c r="A772" s="47" t="s">
        <v>495</v>
      </c>
      <c r="B772" s="47" t="s">
        <v>5083</v>
      </c>
      <c r="C772" s="47" t="s">
        <v>4558</v>
      </c>
      <c r="D772" s="47" t="s">
        <v>4559</v>
      </c>
      <c r="E772" s="47"/>
      <c r="F772" s="47"/>
      <c r="G772" s="47"/>
      <c r="H772" s="47" t="s">
        <v>3605</v>
      </c>
      <c r="I772" s="47" t="s">
        <v>495</v>
      </c>
    </row>
    <row r="773" spans="1:9" ht="15">
      <c r="A773" s="47" t="s">
        <v>496</v>
      </c>
      <c r="B773" s="47" t="s">
        <v>5084</v>
      </c>
      <c r="C773" s="47" t="s">
        <v>4558</v>
      </c>
      <c r="D773" s="47" t="s">
        <v>4559</v>
      </c>
      <c r="E773" s="47"/>
      <c r="F773" s="47"/>
      <c r="G773" s="47"/>
      <c r="H773" s="47" t="s">
        <v>3605</v>
      </c>
      <c r="I773" s="47" t="s">
        <v>496</v>
      </c>
    </row>
    <row r="774" spans="1:9" ht="15">
      <c r="A774" s="47" t="s">
        <v>497</v>
      </c>
      <c r="B774" s="47" t="s">
        <v>5085</v>
      </c>
      <c r="C774" s="47" t="s">
        <v>4558</v>
      </c>
      <c r="D774" s="47" t="s">
        <v>4559</v>
      </c>
      <c r="E774" s="47"/>
      <c r="F774" s="47"/>
      <c r="G774" s="47"/>
      <c r="H774" s="47" t="s">
        <v>3605</v>
      </c>
      <c r="I774" s="47" t="s">
        <v>497</v>
      </c>
    </row>
    <row r="775" spans="1:9" ht="15">
      <c r="A775" s="47" t="s">
        <v>3057</v>
      </c>
      <c r="B775" s="47" t="s">
        <v>5086</v>
      </c>
      <c r="C775" s="47" t="s">
        <v>4558</v>
      </c>
      <c r="D775" s="47" t="s">
        <v>4559</v>
      </c>
      <c r="E775" s="47"/>
      <c r="F775" s="47"/>
      <c r="G775" s="47"/>
      <c r="H775" s="47" t="s">
        <v>3605</v>
      </c>
      <c r="I775" s="47" t="s">
        <v>3057</v>
      </c>
    </row>
    <row r="776" spans="1:9" ht="15">
      <c r="A776" s="47" t="s">
        <v>3059</v>
      </c>
      <c r="B776" s="47" t="s">
        <v>5087</v>
      </c>
      <c r="C776" s="47" t="s">
        <v>4558</v>
      </c>
      <c r="D776" s="47" t="s">
        <v>4559</v>
      </c>
      <c r="E776" s="47"/>
      <c r="F776" s="47"/>
      <c r="G776" s="47"/>
      <c r="H776" s="47" t="s">
        <v>3605</v>
      </c>
      <c r="I776" s="47" t="s">
        <v>3059</v>
      </c>
    </row>
    <row r="777" spans="1:9" ht="15">
      <c r="A777" s="47">
        <v>10305</v>
      </c>
      <c r="B777" s="47" t="s">
        <v>2341</v>
      </c>
      <c r="C777" s="47" t="s">
        <v>5088</v>
      </c>
      <c r="D777" s="47" t="s">
        <v>5089</v>
      </c>
      <c r="E777" s="47"/>
      <c r="F777" s="47"/>
      <c r="G777" s="47"/>
      <c r="H777" s="47" t="s">
        <v>3605</v>
      </c>
      <c r="I777" s="47" t="s">
        <v>18492</v>
      </c>
    </row>
    <row r="778" spans="1:9" ht="15">
      <c r="A778" s="47">
        <v>10325</v>
      </c>
      <c r="B778" s="47" t="s">
        <v>5090</v>
      </c>
      <c r="C778" s="47" t="s">
        <v>5091</v>
      </c>
      <c r="D778" s="47" t="s">
        <v>5092</v>
      </c>
      <c r="E778" s="47"/>
      <c r="F778" s="47" t="s">
        <v>3603</v>
      </c>
      <c r="G778" s="47" t="s">
        <v>3604</v>
      </c>
      <c r="H778" s="47" t="s">
        <v>3605</v>
      </c>
      <c r="I778" s="47" t="s">
        <v>18493</v>
      </c>
    </row>
    <row r="779" spans="1:9" ht="15">
      <c r="A779" s="47">
        <v>10335</v>
      </c>
      <c r="B779" s="47" t="s">
        <v>5093</v>
      </c>
      <c r="C779" s="47" t="s">
        <v>5094</v>
      </c>
      <c r="D779" s="47" t="s">
        <v>5095</v>
      </c>
      <c r="E779" s="47"/>
      <c r="F779" s="47" t="s">
        <v>3603</v>
      </c>
      <c r="G779" s="47" t="s">
        <v>3604</v>
      </c>
      <c r="H779" s="47" t="s">
        <v>3605</v>
      </c>
      <c r="I779" s="47" t="s">
        <v>18494</v>
      </c>
    </row>
    <row r="780" spans="1:9" ht="15">
      <c r="A780" s="47">
        <v>10510</v>
      </c>
      <c r="B780" s="47" t="s">
        <v>5096</v>
      </c>
      <c r="C780" s="47" t="s">
        <v>5097</v>
      </c>
      <c r="D780" s="47" t="s">
        <v>5098</v>
      </c>
      <c r="E780" s="47"/>
      <c r="F780" s="47"/>
      <c r="G780" s="47"/>
      <c r="H780" s="47" t="s">
        <v>3605</v>
      </c>
      <c r="I780" s="47" t="s">
        <v>18495</v>
      </c>
    </row>
    <row r="781" spans="1:9" ht="15">
      <c r="A781" s="47" t="s">
        <v>500</v>
      </c>
      <c r="B781" s="47" t="s">
        <v>5099</v>
      </c>
      <c r="C781" s="47" t="s">
        <v>4558</v>
      </c>
      <c r="D781" s="47" t="s">
        <v>4559</v>
      </c>
      <c r="E781" s="47"/>
      <c r="F781" s="47"/>
      <c r="G781" s="47"/>
      <c r="H781" s="47" t="s">
        <v>3605</v>
      </c>
      <c r="I781" s="47" t="s">
        <v>500</v>
      </c>
    </row>
    <row r="782" spans="1:9" ht="15">
      <c r="A782" s="47" t="s">
        <v>501</v>
      </c>
      <c r="B782" s="47" t="s">
        <v>5100</v>
      </c>
      <c r="C782" s="47" t="s">
        <v>4558</v>
      </c>
      <c r="D782" s="47" t="s">
        <v>4559</v>
      </c>
      <c r="E782" s="47"/>
      <c r="F782" s="47"/>
      <c r="G782" s="47"/>
      <c r="H782" s="47" t="s">
        <v>3605</v>
      </c>
      <c r="I782" s="47" t="s">
        <v>501</v>
      </c>
    </row>
    <row r="783" spans="1:9" ht="15">
      <c r="A783" s="47" t="s">
        <v>3067</v>
      </c>
      <c r="B783" s="47" t="s">
        <v>5101</v>
      </c>
      <c r="C783" s="47" t="s">
        <v>4558</v>
      </c>
      <c r="D783" s="47" t="s">
        <v>4559</v>
      </c>
      <c r="E783" s="47"/>
      <c r="F783" s="47"/>
      <c r="G783" s="47"/>
      <c r="H783" s="47" t="s">
        <v>3605</v>
      </c>
      <c r="I783" s="47" t="s">
        <v>3067</v>
      </c>
    </row>
    <row r="784" spans="1:9" ht="15">
      <c r="A784" s="47" t="s">
        <v>502</v>
      </c>
      <c r="B784" s="47" t="s">
        <v>5102</v>
      </c>
      <c r="C784" s="47" t="s">
        <v>4558</v>
      </c>
      <c r="D784" s="47" t="s">
        <v>4559</v>
      </c>
      <c r="E784" s="47"/>
      <c r="F784" s="47"/>
      <c r="G784" s="47"/>
      <c r="H784" s="47" t="s">
        <v>3605</v>
      </c>
      <c r="I784" s="47" t="s">
        <v>502</v>
      </c>
    </row>
    <row r="785" spans="1:9" ht="15">
      <c r="A785" s="47" t="s">
        <v>503</v>
      </c>
      <c r="B785" s="47" t="s">
        <v>5103</v>
      </c>
      <c r="C785" s="47" t="s">
        <v>4558</v>
      </c>
      <c r="D785" s="47" t="s">
        <v>4559</v>
      </c>
      <c r="E785" s="47"/>
      <c r="F785" s="47"/>
      <c r="G785" s="47"/>
      <c r="H785" s="47" t="s">
        <v>3605</v>
      </c>
      <c r="I785" s="47" t="s">
        <v>503</v>
      </c>
    </row>
    <row r="786" spans="1:9" ht="15">
      <c r="A786" s="47" t="s">
        <v>504</v>
      </c>
      <c r="B786" s="47" t="s">
        <v>5104</v>
      </c>
      <c r="C786" s="47" t="s">
        <v>4558</v>
      </c>
      <c r="D786" s="47" t="s">
        <v>4559</v>
      </c>
      <c r="E786" s="47"/>
      <c r="F786" s="47"/>
      <c r="G786" s="47"/>
      <c r="H786" s="47" t="s">
        <v>3605</v>
      </c>
      <c r="I786" s="47" t="s">
        <v>504</v>
      </c>
    </row>
    <row r="787" spans="1:9" ht="15">
      <c r="A787" s="47" t="s">
        <v>1712</v>
      </c>
      <c r="B787" s="47" t="s">
        <v>5105</v>
      </c>
      <c r="C787" s="47" t="s">
        <v>4558</v>
      </c>
      <c r="D787" s="47" t="s">
        <v>4559</v>
      </c>
      <c r="E787" s="47"/>
      <c r="F787" s="47"/>
      <c r="G787" s="47"/>
      <c r="H787" s="47" t="s">
        <v>3605</v>
      </c>
      <c r="I787" s="47" t="s">
        <v>1712</v>
      </c>
    </row>
    <row r="788" spans="1:9" ht="15">
      <c r="A788" s="47" t="s">
        <v>505</v>
      </c>
      <c r="B788" s="47" t="s">
        <v>5106</v>
      </c>
      <c r="C788" s="47" t="s">
        <v>4558</v>
      </c>
      <c r="D788" s="47" t="s">
        <v>4559</v>
      </c>
      <c r="E788" s="47"/>
      <c r="F788" s="47"/>
      <c r="G788" s="47"/>
      <c r="H788" s="47" t="s">
        <v>3605</v>
      </c>
      <c r="I788" s="47" t="s">
        <v>505</v>
      </c>
    </row>
    <row r="789" spans="1:9" ht="15">
      <c r="A789" s="47">
        <v>10525</v>
      </c>
      <c r="B789" s="47" t="s">
        <v>5107</v>
      </c>
      <c r="C789" s="47" t="s">
        <v>5108</v>
      </c>
      <c r="D789" s="47" t="s">
        <v>5109</v>
      </c>
      <c r="E789" s="47"/>
      <c r="F789" s="47"/>
      <c r="G789" s="47"/>
      <c r="H789" s="47" t="s">
        <v>3605</v>
      </c>
      <c r="I789" s="47" t="s">
        <v>18496</v>
      </c>
    </row>
    <row r="790" spans="1:9" ht="15">
      <c r="A790" s="47">
        <v>10526</v>
      </c>
      <c r="B790" s="47" t="s">
        <v>2334</v>
      </c>
      <c r="C790" s="47" t="s">
        <v>5110</v>
      </c>
      <c r="D790" s="47" t="s">
        <v>5111</v>
      </c>
      <c r="E790" s="47"/>
      <c r="F790" s="47"/>
      <c r="G790" s="47"/>
      <c r="H790" s="47" t="s">
        <v>3605</v>
      </c>
      <c r="I790" s="47" t="s">
        <v>18497</v>
      </c>
    </row>
    <row r="791" spans="1:9" ht="15">
      <c r="A791" s="47" t="s">
        <v>508</v>
      </c>
      <c r="B791" s="47" t="s">
        <v>5112</v>
      </c>
      <c r="C791" s="47" t="s">
        <v>4558</v>
      </c>
      <c r="D791" s="47" t="s">
        <v>4559</v>
      </c>
      <c r="E791" s="47"/>
      <c r="F791" s="47"/>
      <c r="G791" s="47"/>
      <c r="H791" s="47" t="s">
        <v>3605</v>
      </c>
      <c r="I791" s="47" t="s">
        <v>508</v>
      </c>
    </row>
    <row r="792" spans="1:9" ht="15">
      <c r="A792" s="47" t="s">
        <v>509</v>
      </c>
      <c r="B792" s="47" t="s">
        <v>5113</v>
      </c>
      <c r="C792" s="47" t="s">
        <v>4558</v>
      </c>
      <c r="D792" s="47" t="s">
        <v>4559</v>
      </c>
      <c r="E792" s="47"/>
      <c r="F792" s="47"/>
      <c r="G792" s="47"/>
      <c r="H792" s="47" t="s">
        <v>3605</v>
      </c>
      <c r="I792" s="47" t="s">
        <v>509</v>
      </c>
    </row>
    <row r="793" spans="1:9" ht="15">
      <c r="A793" s="47">
        <v>10528</v>
      </c>
      <c r="B793" s="47" t="s">
        <v>2333</v>
      </c>
      <c r="C793" s="47" t="s">
        <v>5114</v>
      </c>
      <c r="D793" s="47" t="s">
        <v>5115</v>
      </c>
      <c r="E793" s="47"/>
      <c r="F793" s="47"/>
      <c r="G793" s="47"/>
      <c r="H793" s="47" t="s">
        <v>3605</v>
      </c>
      <c r="I793" s="47" t="s">
        <v>18498</v>
      </c>
    </row>
    <row r="794" spans="1:9" ht="15">
      <c r="A794" s="47" t="s">
        <v>511</v>
      </c>
      <c r="B794" s="47" t="s">
        <v>5116</v>
      </c>
      <c r="C794" s="47" t="s">
        <v>4558</v>
      </c>
      <c r="D794" s="47" t="s">
        <v>4559</v>
      </c>
      <c r="E794" s="47"/>
      <c r="F794" s="47"/>
      <c r="G794" s="47"/>
      <c r="H794" s="47" t="s">
        <v>3605</v>
      </c>
      <c r="I794" s="47" t="s">
        <v>511</v>
      </c>
    </row>
    <row r="795" spans="1:9" ht="15">
      <c r="A795" s="47" t="s">
        <v>512</v>
      </c>
      <c r="B795" s="47" t="s">
        <v>5117</v>
      </c>
      <c r="C795" s="47" t="s">
        <v>4558</v>
      </c>
      <c r="D795" s="47" t="s">
        <v>4559</v>
      </c>
      <c r="E795" s="47"/>
      <c r="F795" s="47"/>
      <c r="G795" s="47"/>
      <c r="H795" s="47" t="s">
        <v>3605</v>
      </c>
      <c r="I795" s="47" t="s">
        <v>512</v>
      </c>
    </row>
    <row r="796" spans="1:9" ht="15">
      <c r="A796" s="47" t="s">
        <v>513</v>
      </c>
      <c r="B796" s="47" t="s">
        <v>5118</v>
      </c>
      <c r="C796" s="47" t="s">
        <v>4558</v>
      </c>
      <c r="D796" s="47" t="s">
        <v>4559</v>
      </c>
      <c r="E796" s="47"/>
      <c r="F796" s="47"/>
      <c r="G796" s="47"/>
      <c r="H796" s="47" t="s">
        <v>3605</v>
      </c>
      <c r="I796" s="47" t="s">
        <v>513</v>
      </c>
    </row>
    <row r="797" spans="1:9" ht="15">
      <c r="A797" s="47">
        <v>10529</v>
      </c>
      <c r="B797" s="47" t="s">
        <v>2322</v>
      </c>
      <c r="C797" s="47" t="s">
        <v>5119</v>
      </c>
      <c r="D797" s="47" t="s">
        <v>5120</v>
      </c>
      <c r="E797" s="47"/>
      <c r="F797" s="47"/>
      <c r="G797" s="47"/>
      <c r="H797" s="47" t="s">
        <v>3605</v>
      </c>
      <c r="I797" s="47" t="s">
        <v>18499</v>
      </c>
    </row>
    <row r="798" spans="1:9" ht="15">
      <c r="A798" s="47">
        <v>10534</v>
      </c>
      <c r="B798" s="47" t="s">
        <v>5121</v>
      </c>
      <c r="C798" s="47" t="s">
        <v>5122</v>
      </c>
      <c r="D798" s="47" t="s">
        <v>5123</v>
      </c>
      <c r="E798" s="47"/>
      <c r="F798" s="47" t="s">
        <v>3603</v>
      </c>
      <c r="G798" s="47" t="s">
        <v>3604</v>
      </c>
      <c r="H798" s="47" t="s">
        <v>3605</v>
      </c>
      <c r="I798" s="47" t="s">
        <v>18500</v>
      </c>
    </row>
    <row r="799" spans="1:9" ht="15">
      <c r="A799" s="47" t="s">
        <v>516</v>
      </c>
      <c r="B799" s="47" t="s">
        <v>5124</v>
      </c>
      <c r="C799" s="47" t="s">
        <v>4558</v>
      </c>
      <c r="D799" s="47" t="s">
        <v>4559</v>
      </c>
      <c r="E799" s="47"/>
      <c r="F799" s="47"/>
      <c r="G799" s="47"/>
      <c r="H799" s="47" t="s">
        <v>3605</v>
      </c>
      <c r="I799" s="47" t="s">
        <v>516</v>
      </c>
    </row>
    <row r="800" spans="1:9" ht="15">
      <c r="A800" s="47" t="s">
        <v>517</v>
      </c>
      <c r="B800" s="47" t="s">
        <v>5125</v>
      </c>
      <c r="C800" s="47" t="s">
        <v>4558</v>
      </c>
      <c r="D800" s="47" t="s">
        <v>4559</v>
      </c>
      <c r="E800" s="47"/>
      <c r="F800" s="47"/>
      <c r="G800" s="47"/>
      <c r="H800" s="47" t="s">
        <v>3605</v>
      </c>
      <c r="I800" s="47" t="s">
        <v>517</v>
      </c>
    </row>
    <row r="801" spans="1:9" ht="15">
      <c r="A801" s="47" t="s">
        <v>518</v>
      </c>
      <c r="B801" s="47" t="s">
        <v>5126</v>
      </c>
      <c r="C801" s="47" t="s">
        <v>4558</v>
      </c>
      <c r="D801" s="47" t="s">
        <v>4559</v>
      </c>
      <c r="E801" s="47"/>
      <c r="F801" s="47"/>
      <c r="G801" s="47"/>
      <c r="H801" s="47" t="s">
        <v>3605</v>
      </c>
      <c r="I801" s="47" t="s">
        <v>518</v>
      </c>
    </row>
    <row r="802" spans="1:9" ht="15">
      <c r="A802" s="47" t="s">
        <v>519</v>
      </c>
      <c r="B802" s="47" t="s">
        <v>5127</v>
      </c>
      <c r="C802" s="47" t="s">
        <v>4558</v>
      </c>
      <c r="D802" s="47" t="s">
        <v>4559</v>
      </c>
      <c r="E802" s="47"/>
      <c r="F802" s="47"/>
      <c r="G802" s="47"/>
      <c r="H802" s="47" t="s">
        <v>3605</v>
      </c>
      <c r="I802" s="47" t="s">
        <v>519</v>
      </c>
    </row>
    <row r="803" spans="1:9" ht="15">
      <c r="A803" s="47">
        <v>10540</v>
      </c>
      <c r="B803" s="47" t="s">
        <v>5128</v>
      </c>
      <c r="C803" s="47" t="s">
        <v>5129</v>
      </c>
      <c r="D803" s="47" t="s">
        <v>5130</v>
      </c>
      <c r="E803" s="47"/>
      <c r="F803" s="47"/>
      <c r="G803" s="47"/>
      <c r="H803" s="47" t="s">
        <v>3605</v>
      </c>
      <c r="I803" s="47" t="s">
        <v>18501</v>
      </c>
    </row>
    <row r="804" spans="1:9" ht="15">
      <c r="A804" s="47" t="s">
        <v>3069</v>
      </c>
      <c r="B804" s="47" t="s">
        <v>5131</v>
      </c>
      <c r="C804" s="47" t="s">
        <v>4558</v>
      </c>
      <c r="D804" s="47" t="s">
        <v>4559</v>
      </c>
      <c r="E804" s="47"/>
      <c r="F804" s="47"/>
      <c r="G804" s="47"/>
      <c r="H804" s="47" t="s">
        <v>3605</v>
      </c>
      <c r="I804" s="47" t="s">
        <v>3069</v>
      </c>
    </row>
    <row r="805" spans="1:9" ht="15">
      <c r="A805" s="47">
        <v>10560</v>
      </c>
      <c r="B805" s="47" t="s">
        <v>5132</v>
      </c>
      <c r="C805" s="47" t="s">
        <v>5133</v>
      </c>
      <c r="D805" s="47" t="s">
        <v>5134</v>
      </c>
      <c r="E805" s="47"/>
      <c r="F805" s="47"/>
      <c r="G805" s="47"/>
      <c r="H805" s="47" t="s">
        <v>3605</v>
      </c>
      <c r="I805" s="47" t="s">
        <v>18502</v>
      </c>
    </row>
    <row r="806" spans="1:9" ht="15">
      <c r="A806" s="47" t="s">
        <v>522</v>
      </c>
      <c r="B806" s="47" t="s">
        <v>5135</v>
      </c>
      <c r="C806" s="47" t="s">
        <v>4558</v>
      </c>
      <c r="D806" s="47" t="s">
        <v>4559</v>
      </c>
      <c r="E806" s="47"/>
      <c r="F806" s="47"/>
      <c r="G806" s="47"/>
      <c r="H806" s="47" t="s">
        <v>3605</v>
      </c>
      <c r="I806" s="47" t="s">
        <v>522</v>
      </c>
    </row>
    <row r="807" spans="1:9" ht="15">
      <c r="A807" s="47" t="s">
        <v>3073</v>
      </c>
      <c r="B807" s="47" t="s">
        <v>5136</v>
      </c>
      <c r="C807" s="47" t="s">
        <v>4558</v>
      </c>
      <c r="D807" s="47" t="s">
        <v>4559</v>
      </c>
      <c r="E807" s="47"/>
      <c r="F807" s="47"/>
      <c r="G807" s="47"/>
      <c r="H807" s="47" t="s">
        <v>3605</v>
      </c>
      <c r="I807" s="47" t="s">
        <v>3073</v>
      </c>
    </row>
    <row r="808" spans="1:9" ht="15">
      <c r="A808" s="47" t="s">
        <v>523</v>
      </c>
      <c r="B808" s="47" t="s">
        <v>5137</v>
      </c>
      <c r="C808" s="47" t="s">
        <v>4558</v>
      </c>
      <c r="D808" s="47" t="s">
        <v>4559</v>
      </c>
      <c r="E808" s="47"/>
      <c r="F808" s="47"/>
      <c r="G808" s="47"/>
      <c r="H808" s="47" t="s">
        <v>3605</v>
      </c>
      <c r="I808" s="47" t="s">
        <v>523</v>
      </c>
    </row>
    <row r="809" spans="1:9" ht="15">
      <c r="A809" s="47" t="s">
        <v>3075</v>
      </c>
      <c r="B809" s="47" t="s">
        <v>5138</v>
      </c>
      <c r="C809" s="47" t="s">
        <v>4558</v>
      </c>
      <c r="D809" s="47" t="s">
        <v>4559</v>
      </c>
      <c r="E809" s="47"/>
      <c r="F809" s="47"/>
      <c r="G809" s="47"/>
      <c r="H809" s="47" t="s">
        <v>3605</v>
      </c>
      <c r="I809" s="47" t="s">
        <v>3075</v>
      </c>
    </row>
    <row r="810" spans="1:9" ht="15">
      <c r="A810" s="47" t="s">
        <v>524</v>
      </c>
      <c r="B810" s="47" t="s">
        <v>5139</v>
      </c>
      <c r="C810" s="47" t="s">
        <v>4558</v>
      </c>
      <c r="D810" s="47" t="s">
        <v>4559</v>
      </c>
      <c r="E810" s="47"/>
      <c r="F810" s="47"/>
      <c r="G810" s="47"/>
      <c r="H810" s="47" t="s">
        <v>3605</v>
      </c>
      <c r="I810" s="47" t="s">
        <v>524</v>
      </c>
    </row>
    <row r="811" spans="1:9" ht="15">
      <c r="A811" s="47" t="s">
        <v>525</v>
      </c>
      <c r="B811" s="47" t="s">
        <v>5140</v>
      </c>
      <c r="C811" s="47" t="s">
        <v>4558</v>
      </c>
      <c r="D811" s="47" t="s">
        <v>4559</v>
      </c>
      <c r="E811" s="47"/>
      <c r="F811" s="47"/>
      <c r="G811" s="47"/>
      <c r="H811" s="47" t="s">
        <v>3605</v>
      </c>
      <c r="I811" s="47" t="s">
        <v>525</v>
      </c>
    </row>
    <row r="812" spans="1:9" ht="15">
      <c r="A812" s="47">
        <v>10570</v>
      </c>
      <c r="B812" s="47" t="s">
        <v>5141</v>
      </c>
      <c r="C812" s="47" t="s">
        <v>5142</v>
      </c>
      <c r="D812" s="47" t="s">
        <v>5143</v>
      </c>
      <c r="E812" s="47"/>
      <c r="F812" s="47"/>
      <c r="G812" s="47"/>
      <c r="H812" s="47" t="s">
        <v>3605</v>
      </c>
      <c r="I812" s="47" t="s">
        <v>18503</v>
      </c>
    </row>
    <row r="813" spans="1:9" ht="15">
      <c r="A813" s="47">
        <v>10575</v>
      </c>
      <c r="B813" s="47" t="s">
        <v>5144</v>
      </c>
      <c r="C813" s="47" t="s">
        <v>5145</v>
      </c>
      <c r="D813" s="47" t="s">
        <v>5146</v>
      </c>
      <c r="E813" s="47"/>
      <c r="F813" s="47"/>
      <c r="G813" s="47"/>
      <c r="H813" s="47" t="s">
        <v>3605</v>
      </c>
      <c r="I813" s="47" t="s">
        <v>18504</v>
      </c>
    </row>
    <row r="814" spans="1:9" ht="15">
      <c r="A814" s="47">
        <v>10580</v>
      </c>
      <c r="B814" s="47" t="s">
        <v>5147</v>
      </c>
      <c r="C814" s="47" t="s">
        <v>5148</v>
      </c>
      <c r="D814" s="47" t="s">
        <v>5149</v>
      </c>
      <c r="E814" s="47"/>
      <c r="F814" s="47" t="s">
        <v>3603</v>
      </c>
      <c r="G814" s="47" t="s">
        <v>3604</v>
      </c>
      <c r="H814" s="47" t="s">
        <v>3605</v>
      </c>
      <c r="I814" s="47" t="s">
        <v>18505</v>
      </c>
    </row>
    <row r="815" spans="1:9" ht="15">
      <c r="A815" s="47">
        <v>10582</v>
      </c>
      <c r="B815" s="47" t="s">
        <v>758</v>
      </c>
      <c r="C815" s="47" t="s">
        <v>5150</v>
      </c>
      <c r="D815" s="47" t="s">
        <v>5151</v>
      </c>
      <c r="E815" s="47"/>
      <c r="F815" s="47"/>
      <c r="G815" s="47"/>
      <c r="H815" s="47" t="s">
        <v>3605</v>
      </c>
      <c r="I815" s="47" t="s">
        <v>18506</v>
      </c>
    </row>
    <row r="816" spans="1:9" ht="15">
      <c r="A816" s="47">
        <v>10715</v>
      </c>
      <c r="B816" s="47" t="s">
        <v>5152</v>
      </c>
      <c r="C816" s="47" t="s">
        <v>5153</v>
      </c>
      <c r="D816" s="47" t="s">
        <v>5154</v>
      </c>
      <c r="E816" s="47"/>
      <c r="F816" s="47" t="s">
        <v>3603</v>
      </c>
      <c r="G816" s="47" t="s">
        <v>3604</v>
      </c>
      <c r="H816" s="47" t="s">
        <v>3605</v>
      </c>
      <c r="I816" s="47" t="s">
        <v>18507</v>
      </c>
    </row>
    <row r="817" spans="1:9" ht="15">
      <c r="A817" s="47">
        <v>10750</v>
      </c>
      <c r="B817" s="47" t="s">
        <v>5155</v>
      </c>
      <c r="C817" s="47" t="s">
        <v>5156</v>
      </c>
      <c r="D817" s="47" t="s">
        <v>5157</v>
      </c>
      <c r="E817" s="47"/>
      <c r="F817" s="47"/>
      <c r="G817" s="47"/>
      <c r="H817" s="47" t="s">
        <v>3605</v>
      </c>
      <c r="I817" s="47" t="s">
        <v>18508</v>
      </c>
    </row>
    <row r="818" spans="1:9" ht="15">
      <c r="A818" s="47">
        <v>10756</v>
      </c>
      <c r="B818" s="47" t="s">
        <v>5158</v>
      </c>
      <c r="C818" s="47" t="s">
        <v>5159</v>
      </c>
      <c r="D818" s="47" t="s">
        <v>5160</v>
      </c>
      <c r="E818" s="47"/>
      <c r="F818" s="47" t="s">
        <v>3603</v>
      </c>
      <c r="G818" s="47" t="s">
        <v>3604</v>
      </c>
      <c r="H818" s="47" t="s">
        <v>3605</v>
      </c>
      <c r="I818" s="47" t="s">
        <v>18509</v>
      </c>
    </row>
    <row r="819" spans="1:9" ht="15">
      <c r="A819" s="47" t="s">
        <v>3081</v>
      </c>
      <c r="B819" s="47" t="s">
        <v>5161</v>
      </c>
      <c r="C819" s="47" t="s">
        <v>4558</v>
      </c>
      <c r="D819" s="47" t="s">
        <v>4559</v>
      </c>
      <c r="E819" s="47"/>
      <c r="F819" s="47"/>
      <c r="G819" s="47"/>
      <c r="H819" s="47" t="s">
        <v>3605</v>
      </c>
      <c r="I819" s="47" t="s">
        <v>3081</v>
      </c>
    </row>
    <row r="820" spans="1:9" ht="15">
      <c r="A820" s="47">
        <v>10815</v>
      </c>
      <c r="B820" s="47" t="s">
        <v>5162</v>
      </c>
      <c r="C820" s="47" t="s">
        <v>5163</v>
      </c>
      <c r="D820" s="47" t="s">
        <v>5164</v>
      </c>
      <c r="E820" s="47"/>
      <c r="F820" s="47"/>
      <c r="G820" s="47"/>
      <c r="H820" s="47" t="s">
        <v>3605</v>
      </c>
      <c r="I820" s="47" t="s">
        <v>18510</v>
      </c>
    </row>
    <row r="821" spans="1:9" ht="15">
      <c r="A821" s="47" t="s">
        <v>532</v>
      </c>
      <c r="B821" s="47" t="s">
        <v>5165</v>
      </c>
      <c r="C821" s="47" t="s">
        <v>4558</v>
      </c>
      <c r="D821" s="47" t="s">
        <v>4559</v>
      </c>
      <c r="E821" s="47"/>
      <c r="F821" s="47"/>
      <c r="G821" s="47"/>
      <c r="H821" s="47" t="s">
        <v>3605</v>
      </c>
      <c r="I821" s="47" t="s">
        <v>532</v>
      </c>
    </row>
    <row r="822" spans="1:9" ht="15">
      <c r="A822" s="47" t="s">
        <v>533</v>
      </c>
      <c r="B822" s="47" t="s">
        <v>5166</v>
      </c>
      <c r="C822" s="47" t="s">
        <v>4558</v>
      </c>
      <c r="D822" s="47" t="s">
        <v>4559</v>
      </c>
      <c r="E822" s="47"/>
      <c r="F822" s="47"/>
      <c r="G822" s="47"/>
      <c r="H822" s="47" t="s">
        <v>3605</v>
      </c>
      <c r="I822" s="47" t="s">
        <v>533</v>
      </c>
    </row>
    <row r="823" spans="1:9" ht="15">
      <c r="A823" s="47" t="s">
        <v>534</v>
      </c>
      <c r="B823" s="47" t="s">
        <v>5167</v>
      </c>
      <c r="C823" s="47" t="s">
        <v>4558</v>
      </c>
      <c r="D823" s="47" t="s">
        <v>4559</v>
      </c>
      <c r="E823" s="47"/>
      <c r="F823" s="47"/>
      <c r="G823" s="47"/>
      <c r="H823" s="47" t="s">
        <v>3605</v>
      </c>
      <c r="I823" s="47" t="s">
        <v>534</v>
      </c>
    </row>
    <row r="824" spans="1:9" ht="15">
      <c r="A824" s="47">
        <v>11115</v>
      </c>
      <c r="B824" s="47" t="s">
        <v>5168</v>
      </c>
      <c r="C824" s="47" t="s">
        <v>5169</v>
      </c>
      <c r="D824" s="47" t="s">
        <v>5170</v>
      </c>
      <c r="E824" s="47"/>
      <c r="F824" s="47"/>
      <c r="G824" s="47"/>
      <c r="H824" s="47" t="s">
        <v>3605</v>
      </c>
      <c r="I824" s="47" t="s">
        <v>18511</v>
      </c>
    </row>
    <row r="825" spans="1:9" ht="15">
      <c r="A825" s="47" t="s">
        <v>536</v>
      </c>
      <c r="B825" s="47" t="s">
        <v>5171</v>
      </c>
      <c r="C825" s="47" t="s">
        <v>4558</v>
      </c>
      <c r="D825" s="47" t="s">
        <v>4559</v>
      </c>
      <c r="E825" s="47"/>
      <c r="F825" s="47"/>
      <c r="G825" s="47"/>
      <c r="H825" s="47" t="s">
        <v>3605</v>
      </c>
      <c r="I825" s="47" t="s">
        <v>536</v>
      </c>
    </row>
    <row r="826" spans="1:9" ht="15">
      <c r="A826" s="47" t="s">
        <v>537</v>
      </c>
      <c r="B826" s="47" t="s">
        <v>5172</v>
      </c>
      <c r="C826" s="47" t="s">
        <v>4558</v>
      </c>
      <c r="D826" s="47" t="s">
        <v>4559</v>
      </c>
      <c r="E826" s="47"/>
      <c r="F826" s="47"/>
      <c r="G826" s="47"/>
      <c r="H826" s="47" t="s">
        <v>3605</v>
      </c>
      <c r="I826" s="47" t="s">
        <v>537</v>
      </c>
    </row>
    <row r="827" spans="1:9" ht="15">
      <c r="A827" s="47">
        <v>11225</v>
      </c>
      <c r="B827" s="47" t="s">
        <v>5173</v>
      </c>
      <c r="C827" s="47" t="s">
        <v>5174</v>
      </c>
      <c r="D827" s="47" t="s">
        <v>5175</v>
      </c>
      <c r="E827" s="47"/>
      <c r="F827" s="47" t="s">
        <v>3603</v>
      </c>
      <c r="G827" s="47" t="s">
        <v>3604</v>
      </c>
      <c r="H827" s="47" t="s">
        <v>3605</v>
      </c>
      <c r="I827" s="47" t="s">
        <v>18512</v>
      </c>
    </row>
    <row r="828" spans="1:9" ht="15">
      <c r="A828" s="47">
        <v>11915</v>
      </c>
      <c r="B828" s="47" t="s">
        <v>5176</v>
      </c>
      <c r="C828" s="47" t="s">
        <v>5177</v>
      </c>
      <c r="D828" s="47" t="s">
        <v>5178</v>
      </c>
      <c r="E828" s="47"/>
      <c r="F828" s="47"/>
      <c r="G828" s="47"/>
      <c r="H828" s="47" t="s">
        <v>3605</v>
      </c>
      <c r="I828" s="47" t="s">
        <v>18513</v>
      </c>
    </row>
    <row r="829" spans="1:9" ht="15">
      <c r="A829" s="47">
        <v>12525</v>
      </c>
      <c r="B829" s="47" t="s">
        <v>5179</v>
      </c>
      <c r="C829" s="47" t="s">
        <v>5180</v>
      </c>
      <c r="D829" s="47" t="s">
        <v>5181</v>
      </c>
      <c r="E829" s="47"/>
      <c r="F829" s="47" t="s">
        <v>3603</v>
      </c>
      <c r="G829" s="47" t="s">
        <v>3604</v>
      </c>
      <c r="H829" s="47" t="s">
        <v>3605</v>
      </c>
      <c r="I829" s="47" t="s">
        <v>18514</v>
      </c>
    </row>
    <row r="830" spans="1:9" ht="15">
      <c r="A830" s="47">
        <v>13150</v>
      </c>
      <c r="B830" s="47" t="s">
        <v>5182</v>
      </c>
      <c r="C830" s="47" t="s">
        <v>5183</v>
      </c>
      <c r="D830" s="47" t="s">
        <v>5184</v>
      </c>
      <c r="E830" s="47"/>
      <c r="F830" s="47" t="s">
        <v>3603</v>
      </c>
      <c r="G830" s="47" t="s">
        <v>3604</v>
      </c>
      <c r="H830" s="47" t="s">
        <v>3605</v>
      </c>
      <c r="I830" s="47" t="s">
        <v>18515</v>
      </c>
    </row>
    <row r="831" spans="1:9" ht="15">
      <c r="A831" s="47">
        <v>13235</v>
      </c>
      <c r="B831" s="47" t="s">
        <v>5185</v>
      </c>
      <c r="C831" s="47" t="s">
        <v>5186</v>
      </c>
      <c r="D831" s="47" t="s">
        <v>5187</v>
      </c>
      <c r="E831" s="47"/>
      <c r="F831" s="47" t="s">
        <v>3603</v>
      </c>
      <c r="G831" s="47" t="s">
        <v>3604</v>
      </c>
      <c r="H831" s="47" t="s">
        <v>3605</v>
      </c>
      <c r="I831" s="47" t="s">
        <v>18516</v>
      </c>
    </row>
    <row r="832" spans="1:9" ht="15">
      <c r="A832" s="47">
        <v>15000</v>
      </c>
      <c r="B832" s="47" t="s">
        <v>5188</v>
      </c>
      <c r="C832" s="47" t="s">
        <v>5189</v>
      </c>
      <c r="D832" s="47" t="s">
        <v>5190</v>
      </c>
      <c r="E832" s="47"/>
      <c r="F832" s="47" t="s">
        <v>3603</v>
      </c>
      <c r="G832" s="47" t="s">
        <v>3604</v>
      </c>
      <c r="H832" s="47" t="s">
        <v>3605</v>
      </c>
      <c r="I832" s="47" t="s">
        <v>18517</v>
      </c>
    </row>
    <row r="833" spans="1:9" ht="15">
      <c r="A833" s="47">
        <v>15010</v>
      </c>
      <c r="B833" s="47" t="s">
        <v>5191</v>
      </c>
      <c r="C833" s="47" t="s">
        <v>5192</v>
      </c>
      <c r="D833" s="47" t="s">
        <v>5184</v>
      </c>
      <c r="E833" s="47"/>
      <c r="F833" s="47" t="s">
        <v>3603</v>
      </c>
      <c r="G833" s="47" t="s">
        <v>3604</v>
      </c>
      <c r="H833" s="47" t="s">
        <v>3605</v>
      </c>
      <c r="I833" s="47" t="s">
        <v>18518</v>
      </c>
    </row>
    <row r="834" spans="1:9" ht="15">
      <c r="A834" s="47">
        <v>17015</v>
      </c>
      <c r="B834" s="47" t="s">
        <v>5193</v>
      </c>
      <c r="C834" s="47" t="s">
        <v>5194</v>
      </c>
      <c r="D834" s="47" t="s">
        <v>5195</v>
      </c>
      <c r="E834" s="47"/>
      <c r="F834" s="47"/>
      <c r="G834" s="47"/>
      <c r="H834" s="47" t="s">
        <v>3605</v>
      </c>
      <c r="I834" s="47" t="s">
        <v>18519</v>
      </c>
    </row>
    <row r="835" spans="1:9" ht="15">
      <c r="A835" s="47">
        <v>17050</v>
      </c>
      <c r="B835" s="47" t="s">
        <v>5196</v>
      </c>
      <c r="C835" s="47" t="s">
        <v>5197</v>
      </c>
      <c r="D835" s="47" t="s">
        <v>5198</v>
      </c>
      <c r="E835" s="47"/>
      <c r="F835" s="47"/>
      <c r="G835" s="47"/>
      <c r="H835" s="47" t="s">
        <v>3605</v>
      </c>
      <c r="I835" s="47" t="s">
        <v>18520</v>
      </c>
    </row>
    <row r="836" spans="1:9" ht="15">
      <c r="A836" s="47">
        <v>17065</v>
      </c>
      <c r="B836" s="47" t="s">
        <v>5199</v>
      </c>
      <c r="C836" s="47" t="s">
        <v>5200</v>
      </c>
      <c r="D836" s="47" t="s">
        <v>5201</v>
      </c>
      <c r="E836" s="47"/>
      <c r="F836" s="47"/>
      <c r="G836" s="47"/>
      <c r="H836" s="47" t="s">
        <v>3605</v>
      </c>
      <c r="I836" s="47" t="s">
        <v>18521</v>
      </c>
    </row>
    <row r="837" spans="1:9" ht="15">
      <c r="A837" s="47">
        <v>17500</v>
      </c>
      <c r="B837" s="47" t="s">
        <v>5202</v>
      </c>
      <c r="C837" s="47" t="s">
        <v>5203</v>
      </c>
      <c r="D837" s="47" t="s">
        <v>5204</v>
      </c>
      <c r="E837" s="47"/>
      <c r="F837" s="47"/>
      <c r="G837" s="47"/>
      <c r="H837" s="47" t="s">
        <v>3605</v>
      </c>
      <c r="I837" s="47" t="s">
        <v>18522</v>
      </c>
    </row>
    <row r="838" spans="1:9" ht="15">
      <c r="A838" s="47">
        <v>17905</v>
      </c>
      <c r="B838" s="47" t="s">
        <v>5205</v>
      </c>
      <c r="C838" s="47" t="s">
        <v>5206</v>
      </c>
      <c r="D838" s="47" t="s">
        <v>5207</v>
      </c>
      <c r="E838" s="47"/>
      <c r="F838" s="47"/>
      <c r="G838" s="47"/>
      <c r="H838" s="47" t="s">
        <v>3605</v>
      </c>
      <c r="I838" s="47" t="s">
        <v>18523</v>
      </c>
    </row>
    <row r="839" spans="1:9" ht="15">
      <c r="A839" s="47">
        <v>17915</v>
      </c>
      <c r="B839" s="47" t="s">
        <v>5208</v>
      </c>
      <c r="C839" s="47" t="s">
        <v>5209</v>
      </c>
      <c r="D839" s="47" t="s">
        <v>5210</v>
      </c>
      <c r="E839" s="47"/>
      <c r="F839" s="47"/>
      <c r="G839" s="47"/>
      <c r="H839" s="47" t="s">
        <v>3605</v>
      </c>
      <c r="I839" s="47" t="s">
        <v>18524</v>
      </c>
    </row>
    <row r="840" spans="1:9" ht="15">
      <c r="A840" s="47">
        <v>93014</v>
      </c>
      <c r="B840" s="47" t="s">
        <v>5211</v>
      </c>
      <c r="C840" s="47" t="s">
        <v>5212</v>
      </c>
      <c r="D840" s="47" t="s">
        <v>5213</v>
      </c>
      <c r="E840" s="47"/>
      <c r="F840" s="47"/>
      <c r="G840" s="47"/>
      <c r="H840" s="47" t="s">
        <v>3605</v>
      </c>
      <c r="I840" s="47" t="s">
        <v>18525</v>
      </c>
    </row>
    <row r="841" spans="1:9" ht="15">
      <c r="A841" s="47">
        <v>19065</v>
      </c>
      <c r="B841" s="47" t="s">
        <v>5214</v>
      </c>
      <c r="C841" s="47" t="s">
        <v>5215</v>
      </c>
      <c r="D841" s="47" t="s">
        <v>5216</v>
      </c>
      <c r="E841" s="47"/>
      <c r="F841" s="47"/>
      <c r="G841" s="47"/>
      <c r="H841" s="47" t="s">
        <v>3605</v>
      </c>
      <c r="I841" s="47" t="s">
        <v>18526</v>
      </c>
    </row>
    <row r="842" spans="1:9" ht="15">
      <c r="A842" s="47">
        <v>20250</v>
      </c>
      <c r="B842" s="47" t="s">
        <v>5217</v>
      </c>
      <c r="C842" s="47" t="s">
        <v>5218</v>
      </c>
      <c r="D842" s="47" t="s">
        <v>5219</v>
      </c>
      <c r="E842" s="47"/>
      <c r="F842" s="47" t="s">
        <v>3603</v>
      </c>
      <c r="G842" s="47" t="s">
        <v>3604</v>
      </c>
      <c r="H842" s="47" t="s">
        <v>3605</v>
      </c>
      <c r="I842" s="47" t="s">
        <v>18527</v>
      </c>
    </row>
    <row r="843" spans="1:9" ht="15">
      <c r="A843" s="47">
        <v>20251</v>
      </c>
      <c r="B843" s="47" t="s">
        <v>5220</v>
      </c>
      <c r="C843" s="47" t="s">
        <v>5221</v>
      </c>
      <c r="D843" s="47" t="s">
        <v>5222</v>
      </c>
      <c r="E843" s="47"/>
      <c r="F843" s="47" t="s">
        <v>3603</v>
      </c>
      <c r="G843" s="47" t="s">
        <v>3604</v>
      </c>
      <c r="H843" s="47" t="s">
        <v>3605</v>
      </c>
      <c r="I843" s="47" t="s">
        <v>18528</v>
      </c>
    </row>
    <row r="844" spans="1:9" ht="15">
      <c r="A844" s="47" t="s">
        <v>5223</v>
      </c>
      <c r="B844" s="47" t="s">
        <v>5224</v>
      </c>
      <c r="C844" s="47" t="s">
        <v>5225</v>
      </c>
      <c r="D844" s="47" t="s">
        <v>5226</v>
      </c>
      <c r="E844" s="47"/>
      <c r="F844" s="47"/>
      <c r="G844" s="47"/>
      <c r="H844" s="47" t="s">
        <v>3605</v>
      </c>
      <c r="I844" s="47" t="s">
        <v>5223</v>
      </c>
    </row>
    <row r="845" spans="1:9" ht="15">
      <c r="A845" s="47" t="s">
        <v>5227</v>
      </c>
      <c r="B845" s="47" t="s">
        <v>5228</v>
      </c>
      <c r="C845" s="47" t="s">
        <v>5229</v>
      </c>
      <c r="D845" s="47" t="s">
        <v>5230</v>
      </c>
      <c r="E845" s="47"/>
      <c r="F845" s="47"/>
      <c r="G845" s="47"/>
      <c r="H845" s="47" t="s">
        <v>3605</v>
      </c>
      <c r="I845" s="47" t="s">
        <v>5227</v>
      </c>
    </row>
    <row r="846" spans="1:9" ht="15">
      <c r="A846" s="47" t="s">
        <v>5231</v>
      </c>
      <c r="B846" s="47" t="s">
        <v>5232</v>
      </c>
      <c r="C846" s="47" t="s">
        <v>5233</v>
      </c>
      <c r="D846" s="47" t="s">
        <v>5234</v>
      </c>
      <c r="E846" s="47"/>
      <c r="F846" s="47"/>
      <c r="G846" s="47"/>
      <c r="H846" s="47" t="s">
        <v>3605</v>
      </c>
      <c r="I846" s="47" t="s">
        <v>5231</v>
      </c>
    </row>
    <row r="847" spans="1:9" ht="15">
      <c r="A847" s="47">
        <v>20252</v>
      </c>
      <c r="B847" s="47" t="s">
        <v>5235</v>
      </c>
      <c r="C847" s="47" t="s">
        <v>5236</v>
      </c>
      <c r="D847" s="47" t="s">
        <v>5237</v>
      </c>
      <c r="E847" s="47"/>
      <c r="F847" s="47" t="s">
        <v>3603</v>
      </c>
      <c r="G847" s="47" t="s">
        <v>3604</v>
      </c>
      <c r="H847" s="47" t="s">
        <v>3605</v>
      </c>
      <c r="I847" s="47" t="s">
        <v>18529</v>
      </c>
    </row>
    <row r="848" spans="1:9" ht="15">
      <c r="A848" s="47" t="s">
        <v>5238</v>
      </c>
      <c r="B848" s="47" t="s">
        <v>5239</v>
      </c>
      <c r="C848" s="47" t="s">
        <v>5240</v>
      </c>
      <c r="D848" s="47" t="s">
        <v>5241</v>
      </c>
      <c r="E848" s="47"/>
      <c r="F848" s="47"/>
      <c r="G848" s="47"/>
      <c r="H848" s="47" t="s">
        <v>3605</v>
      </c>
      <c r="I848" s="47" t="s">
        <v>5238</v>
      </c>
    </row>
    <row r="849" spans="1:9" ht="15">
      <c r="A849" s="47">
        <v>20253</v>
      </c>
      <c r="B849" s="47" t="s">
        <v>5242</v>
      </c>
      <c r="C849" s="47" t="s">
        <v>5243</v>
      </c>
      <c r="D849" s="47" t="s">
        <v>5244</v>
      </c>
      <c r="E849" s="47"/>
      <c r="F849" s="47" t="s">
        <v>3603</v>
      </c>
      <c r="G849" s="47" t="s">
        <v>3604</v>
      </c>
      <c r="H849" s="47" t="s">
        <v>3605</v>
      </c>
      <c r="I849" s="47" t="s">
        <v>18530</v>
      </c>
    </row>
    <row r="850" spans="1:9" ht="15">
      <c r="A850" s="47">
        <v>93272</v>
      </c>
      <c r="B850" s="47" t="s">
        <v>5245</v>
      </c>
      <c r="C850" s="47" t="s">
        <v>5246</v>
      </c>
      <c r="D850" s="47" t="s">
        <v>5247</v>
      </c>
      <c r="E850" s="47"/>
      <c r="F850" s="47"/>
      <c r="G850" s="47"/>
      <c r="H850" s="47" t="s">
        <v>3605</v>
      </c>
      <c r="I850" s="47" t="s">
        <v>18531</v>
      </c>
    </row>
    <row r="851" spans="1:9" ht="15">
      <c r="A851" s="47">
        <v>17202</v>
      </c>
      <c r="B851" s="47" t="s">
        <v>5248</v>
      </c>
      <c r="C851" s="47" t="s">
        <v>5249</v>
      </c>
      <c r="D851" s="47" t="s">
        <v>5250</v>
      </c>
      <c r="E851" s="47"/>
      <c r="F851" s="47" t="s">
        <v>3603</v>
      </c>
      <c r="G851" s="47" t="s">
        <v>3604</v>
      </c>
      <c r="H851" s="47" t="s">
        <v>3605</v>
      </c>
      <c r="I851" s="47" t="s">
        <v>18532</v>
      </c>
    </row>
    <row r="852" spans="1:9" ht="15">
      <c r="A852" s="47">
        <v>20254</v>
      </c>
      <c r="B852" s="47" t="s">
        <v>5251</v>
      </c>
      <c r="C852" s="47" t="s">
        <v>5252</v>
      </c>
      <c r="D852" s="47" t="s">
        <v>5253</v>
      </c>
      <c r="E852" s="47"/>
      <c r="F852" s="47" t="s">
        <v>3603</v>
      </c>
      <c r="G852" s="47" t="s">
        <v>3604</v>
      </c>
      <c r="H852" s="47" t="s">
        <v>3605</v>
      </c>
      <c r="I852" s="47" t="s">
        <v>18533</v>
      </c>
    </row>
    <row r="853" spans="1:9" ht="15">
      <c r="A853" s="47">
        <v>10036</v>
      </c>
      <c r="B853" s="47" t="s">
        <v>5254</v>
      </c>
      <c r="C853" s="47" t="s">
        <v>5255</v>
      </c>
      <c r="D853" s="47" t="s">
        <v>5256</v>
      </c>
      <c r="E853" s="47"/>
      <c r="F853" s="47" t="s">
        <v>3603</v>
      </c>
      <c r="G853" s="47" t="s">
        <v>3604</v>
      </c>
      <c r="H853" s="47" t="s">
        <v>3605</v>
      </c>
      <c r="I853" s="47" t="s">
        <v>18534</v>
      </c>
    </row>
    <row r="854" spans="1:9" ht="15">
      <c r="A854" s="47">
        <v>10037</v>
      </c>
      <c r="B854" s="47" t="s">
        <v>5257</v>
      </c>
      <c r="C854" s="47" t="s">
        <v>5258</v>
      </c>
      <c r="D854" s="47" t="s">
        <v>5259</v>
      </c>
      <c r="E854" s="47"/>
      <c r="F854" s="47" t="s">
        <v>3603</v>
      </c>
      <c r="G854" s="47" t="s">
        <v>3604</v>
      </c>
      <c r="H854" s="47" t="s">
        <v>3605</v>
      </c>
      <c r="I854" s="47" t="s">
        <v>18535</v>
      </c>
    </row>
    <row r="855" spans="1:9" ht="15">
      <c r="A855" s="47">
        <v>113840</v>
      </c>
      <c r="B855" s="47" t="s">
        <v>5260</v>
      </c>
      <c r="C855" s="47" t="s">
        <v>5261</v>
      </c>
      <c r="D855" s="47" t="s">
        <v>5262</v>
      </c>
      <c r="E855" s="47"/>
      <c r="F855" s="47" t="s">
        <v>3603</v>
      </c>
      <c r="G855" s="47" t="s">
        <v>3604</v>
      </c>
      <c r="H855" s="47" t="s">
        <v>3605</v>
      </c>
      <c r="I855" s="47" t="s">
        <v>18536</v>
      </c>
    </row>
    <row r="856" spans="1:9" ht="15">
      <c r="A856" s="47">
        <v>118600</v>
      </c>
      <c r="B856" s="47" t="s">
        <v>5263</v>
      </c>
      <c r="C856" s="47" t="s">
        <v>5264</v>
      </c>
      <c r="D856" s="47" t="s">
        <v>5265</v>
      </c>
      <c r="E856" s="47"/>
      <c r="F856" s="47" t="s">
        <v>3603</v>
      </c>
      <c r="G856" s="47" t="s">
        <v>3604</v>
      </c>
      <c r="H856" s="47" t="s">
        <v>3605</v>
      </c>
      <c r="I856" s="47" t="s">
        <v>18537</v>
      </c>
    </row>
    <row r="857" spans="1:9" ht="15">
      <c r="A857" s="47">
        <v>121000</v>
      </c>
      <c r="B857" s="47" t="s">
        <v>5266</v>
      </c>
      <c r="C857" s="47" t="s">
        <v>5267</v>
      </c>
      <c r="D857" s="47" t="s">
        <v>5268</v>
      </c>
      <c r="E857" s="47"/>
      <c r="F857" s="47" t="s">
        <v>3603</v>
      </c>
      <c r="G857" s="47" t="s">
        <v>3604</v>
      </c>
      <c r="H857" s="47" t="s">
        <v>3605</v>
      </c>
      <c r="I857" s="47" t="s">
        <v>18538</v>
      </c>
    </row>
    <row r="858" spans="1:9" ht="15">
      <c r="A858" s="47">
        <v>7162</v>
      </c>
      <c r="B858" s="47" t="s">
        <v>5269</v>
      </c>
      <c r="C858" s="47" t="s">
        <v>5270</v>
      </c>
      <c r="D858" s="47" t="s">
        <v>5271</v>
      </c>
      <c r="E858" s="47"/>
      <c r="F858" s="47"/>
      <c r="G858" s="47"/>
      <c r="H858" s="47" t="s">
        <v>3605</v>
      </c>
      <c r="I858" s="47" t="s">
        <v>18539</v>
      </c>
    </row>
    <row r="859" spans="1:9" ht="15">
      <c r="A859" s="47">
        <v>20255</v>
      </c>
      <c r="B859" s="47" t="s">
        <v>5272</v>
      </c>
      <c r="C859" s="47" t="s">
        <v>5273</v>
      </c>
      <c r="D859" s="47" t="s">
        <v>5274</v>
      </c>
      <c r="E859" s="47"/>
      <c r="F859" s="47" t="s">
        <v>3603</v>
      </c>
      <c r="G859" s="47" t="s">
        <v>3604</v>
      </c>
      <c r="H859" s="47" t="s">
        <v>3605</v>
      </c>
      <c r="I859" s="47" t="s">
        <v>18540</v>
      </c>
    </row>
    <row r="860" spans="1:9" ht="15">
      <c r="A860" s="47">
        <v>124000</v>
      </c>
      <c r="B860" s="47" t="s">
        <v>5275</v>
      </c>
      <c r="C860" s="47" t="s">
        <v>5276</v>
      </c>
      <c r="D860" s="47" t="s">
        <v>5277</v>
      </c>
      <c r="E860" s="47"/>
      <c r="F860" s="47" t="s">
        <v>3603</v>
      </c>
      <c r="G860" s="47" t="s">
        <v>3604</v>
      </c>
      <c r="H860" s="47" t="s">
        <v>3605</v>
      </c>
      <c r="I860" s="47" t="s">
        <v>18541</v>
      </c>
    </row>
    <row r="861" spans="1:9" ht="15">
      <c r="A861" s="47">
        <v>123000</v>
      </c>
      <c r="B861" s="47" t="s">
        <v>5278</v>
      </c>
      <c r="C861" s="47" t="s">
        <v>5279</v>
      </c>
      <c r="D861" s="47" t="s">
        <v>5280</v>
      </c>
      <c r="E861" s="47"/>
      <c r="F861" s="47" t="s">
        <v>3603</v>
      </c>
      <c r="G861" s="47" t="s">
        <v>3604</v>
      </c>
      <c r="H861" s="47" t="s">
        <v>3605</v>
      </c>
      <c r="I861" s="47" t="s">
        <v>18542</v>
      </c>
    </row>
    <row r="862" spans="1:9" ht="15">
      <c r="A862" s="47">
        <v>20256</v>
      </c>
      <c r="B862" s="47" t="s">
        <v>5281</v>
      </c>
      <c r="C862" s="47" t="s">
        <v>5282</v>
      </c>
      <c r="D862" s="47" t="s">
        <v>5283</v>
      </c>
      <c r="E862" s="47"/>
      <c r="F862" s="47"/>
      <c r="G862" s="47"/>
      <c r="H862" s="47" t="s">
        <v>3605</v>
      </c>
      <c r="I862" s="47" t="s">
        <v>18543</v>
      </c>
    </row>
    <row r="863" spans="1:9" ht="15">
      <c r="A863" s="47">
        <v>20257</v>
      </c>
      <c r="B863" s="47" t="s">
        <v>5284</v>
      </c>
      <c r="C863" s="47" t="s">
        <v>5285</v>
      </c>
      <c r="D863" s="47" t="s">
        <v>5286</v>
      </c>
      <c r="E863" s="47"/>
      <c r="F863" s="47" t="s">
        <v>3603</v>
      </c>
      <c r="G863" s="47" t="s">
        <v>3604</v>
      </c>
      <c r="H863" s="47" t="s">
        <v>3605</v>
      </c>
      <c r="I863" s="47" t="s">
        <v>18544</v>
      </c>
    </row>
    <row r="864" spans="1:9" ht="15">
      <c r="A864" s="47">
        <v>20258</v>
      </c>
      <c r="B864" s="47" t="s">
        <v>5287</v>
      </c>
      <c r="C864" s="47" t="s">
        <v>5288</v>
      </c>
      <c r="D864" s="47" t="s">
        <v>5289</v>
      </c>
      <c r="E864" s="47"/>
      <c r="F864" s="47"/>
      <c r="G864" s="47"/>
      <c r="H864" s="47" t="s">
        <v>3605</v>
      </c>
      <c r="I864" s="47" t="s">
        <v>18545</v>
      </c>
    </row>
    <row r="865" spans="1:9" ht="15">
      <c r="A865" s="47">
        <v>10768</v>
      </c>
      <c r="B865" s="47" t="s">
        <v>5290</v>
      </c>
      <c r="C865" s="47" t="s">
        <v>5291</v>
      </c>
      <c r="D865" s="47" t="s">
        <v>5292</v>
      </c>
      <c r="E865" s="47"/>
      <c r="F865" s="47" t="s">
        <v>3603</v>
      </c>
      <c r="G865" s="47" t="s">
        <v>3604</v>
      </c>
      <c r="H865" s="47" t="s">
        <v>3605</v>
      </c>
      <c r="I865" s="47" t="s">
        <v>18546</v>
      </c>
    </row>
    <row r="866" spans="1:9" ht="15">
      <c r="A866" s="47">
        <v>10774</v>
      </c>
      <c r="B866" s="47" t="s">
        <v>5293</v>
      </c>
      <c r="C866" s="47" t="s">
        <v>5294</v>
      </c>
      <c r="D866" s="47" t="s">
        <v>5295</v>
      </c>
      <c r="E866" s="47"/>
      <c r="F866" s="47" t="s">
        <v>3603</v>
      </c>
      <c r="G866" s="47" t="s">
        <v>3604</v>
      </c>
      <c r="H866" s="47" t="s">
        <v>3605</v>
      </c>
      <c r="I866" s="47" t="s">
        <v>18547</v>
      </c>
    </row>
    <row r="867" spans="1:9" ht="15">
      <c r="A867" s="47">
        <v>113606</v>
      </c>
      <c r="B867" s="47" t="s">
        <v>5296</v>
      </c>
      <c r="C867" s="47" t="s">
        <v>5297</v>
      </c>
      <c r="D867" s="47" t="s">
        <v>5298</v>
      </c>
      <c r="E867" s="47"/>
      <c r="F867" s="47" t="s">
        <v>3603</v>
      </c>
      <c r="G867" s="47" t="s">
        <v>3604</v>
      </c>
      <c r="H867" s="47" t="s">
        <v>3605</v>
      </c>
      <c r="I867" s="47" t="s">
        <v>18548</v>
      </c>
    </row>
    <row r="868" spans="1:9" ht="15">
      <c r="A868" s="47" t="s">
        <v>5299</v>
      </c>
      <c r="B868" s="47" t="s">
        <v>5300</v>
      </c>
      <c r="C868" s="47" t="s">
        <v>5301</v>
      </c>
      <c r="D868" s="47" t="s">
        <v>5302</v>
      </c>
      <c r="E868" s="47"/>
      <c r="F868" s="47"/>
      <c r="G868" s="47"/>
      <c r="H868" s="47" t="s">
        <v>3605</v>
      </c>
      <c r="I868" s="47" t="s">
        <v>5299</v>
      </c>
    </row>
    <row r="869" spans="1:9" ht="15">
      <c r="A869" s="47" t="s">
        <v>5303</v>
      </c>
      <c r="B869" s="47" t="s">
        <v>5304</v>
      </c>
      <c r="C869" s="47" t="s">
        <v>5305</v>
      </c>
      <c r="D869" s="47" t="s">
        <v>5306</v>
      </c>
      <c r="E869" s="47"/>
      <c r="F869" s="47"/>
      <c r="G869" s="47"/>
      <c r="H869" s="47" t="s">
        <v>3605</v>
      </c>
      <c r="I869" s="47" t="s">
        <v>5303</v>
      </c>
    </row>
    <row r="870" spans="1:9" ht="15">
      <c r="A870" s="47" t="s">
        <v>5307</v>
      </c>
      <c r="B870" s="47" t="s">
        <v>5308</v>
      </c>
      <c r="C870" s="47" t="s">
        <v>5309</v>
      </c>
      <c r="D870" s="47" t="s">
        <v>5310</v>
      </c>
      <c r="E870" s="47"/>
      <c r="F870" s="47"/>
      <c r="G870" s="47"/>
      <c r="H870" s="47" t="s">
        <v>3605</v>
      </c>
      <c r="I870" s="47" t="s">
        <v>5307</v>
      </c>
    </row>
    <row r="871" spans="1:9" ht="15">
      <c r="A871" s="47" t="s">
        <v>5311</v>
      </c>
      <c r="B871" s="47" t="s">
        <v>5312</v>
      </c>
      <c r="C871" s="47" t="s">
        <v>5313</v>
      </c>
      <c r="D871" s="47" t="s">
        <v>5314</v>
      </c>
      <c r="E871" s="47"/>
      <c r="F871" s="47"/>
      <c r="G871" s="47"/>
      <c r="H871" s="47" t="s">
        <v>3605</v>
      </c>
      <c r="I871" s="47" t="s">
        <v>5311</v>
      </c>
    </row>
    <row r="872" spans="1:9" ht="15">
      <c r="A872" s="47">
        <v>7040</v>
      </c>
      <c r="B872" s="47" t="s">
        <v>5315</v>
      </c>
      <c r="C872" s="47" t="s">
        <v>5316</v>
      </c>
      <c r="D872" s="47" t="s">
        <v>5317</v>
      </c>
      <c r="E872" s="47"/>
      <c r="F872" s="47"/>
      <c r="G872" s="47"/>
      <c r="H872" s="47" t="s">
        <v>3605</v>
      </c>
      <c r="I872" s="47" t="s">
        <v>18549</v>
      </c>
    </row>
    <row r="873" spans="1:9" ht="15">
      <c r="A873" s="47" t="s">
        <v>5318</v>
      </c>
      <c r="B873" s="47" t="s">
        <v>5319</v>
      </c>
      <c r="C873" s="47" t="s">
        <v>5320</v>
      </c>
      <c r="D873" s="47" t="s">
        <v>5321</v>
      </c>
      <c r="E873" s="47"/>
      <c r="F873" s="47"/>
      <c r="G873" s="47"/>
      <c r="H873" s="47" t="s">
        <v>3605</v>
      </c>
      <c r="I873" s="47" t="s">
        <v>5318</v>
      </c>
    </row>
    <row r="874" spans="1:9" ht="15">
      <c r="A874" s="47">
        <v>20950</v>
      </c>
      <c r="B874" s="47" t="s">
        <v>2004</v>
      </c>
      <c r="C874" s="47" t="s">
        <v>5322</v>
      </c>
      <c r="D874" s="47" t="s">
        <v>5323</v>
      </c>
      <c r="E874" s="47"/>
      <c r="F874" s="47"/>
      <c r="G874" s="47"/>
      <c r="H874" s="47" t="s">
        <v>3605</v>
      </c>
      <c r="I874" s="47" t="s">
        <v>18550</v>
      </c>
    </row>
    <row r="875" spans="1:9" ht="15">
      <c r="A875" s="47">
        <v>7217</v>
      </c>
      <c r="B875" s="47" t="s">
        <v>5324</v>
      </c>
      <c r="C875" s="47" t="s">
        <v>5325</v>
      </c>
      <c r="D875" s="47" t="s">
        <v>5326</v>
      </c>
      <c r="E875" s="47"/>
      <c r="F875" s="47"/>
      <c r="G875" s="47"/>
      <c r="H875" s="47" t="s">
        <v>3605</v>
      </c>
      <c r="I875" s="47" t="s">
        <v>18551</v>
      </c>
    </row>
    <row r="876" spans="1:9" ht="15">
      <c r="A876" s="47">
        <v>7041</v>
      </c>
      <c r="B876" s="47" t="s">
        <v>5327</v>
      </c>
      <c r="C876" s="47" t="s">
        <v>5328</v>
      </c>
      <c r="D876" s="47" t="s">
        <v>5329</v>
      </c>
      <c r="E876" s="47"/>
      <c r="F876" s="47"/>
      <c r="G876" s="47"/>
      <c r="H876" s="47" t="s">
        <v>3605</v>
      </c>
      <c r="I876" s="47" t="s">
        <v>18552</v>
      </c>
    </row>
    <row r="877" spans="1:9" ht="15">
      <c r="A877" s="47">
        <v>20951</v>
      </c>
      <c r="B877" s="47" t="s">
        <v>784</v>
      </c>
      <c r="C877" s="47" t="s">
        <v>5330</v>
      </c>
      <c r="D877" s="47" t="s">
        <v>5331</v>
      </c>
      <c r="E877" s="47"/>
      <c r="F877" s="47"/>
      <c r="G877" s="47"/>
      <c r="H877" s="47" t="s">
        <v>3605</v>
      </c>
      <c r="I877" s="47" t="s">
        <v>18553</v>
      </c>
    </row>
    <row r="878" spans="1:9" ht="15">
      <c r="A878" s="47">
        <v>21500</v>
      </c>
      <c r="B878" s="47" t="s">
        <v>5332</v>
      </c>
      <c r="C878" s="47" t="s">
        <v>5333</v>
      </c>
      <c r="D878" s="47" t="s">
        <v>5334</v>
      </c>
      <c r="E878" s="47"/>
      <c r="F878" s="47" t="s">
        <v>3603</v>
      </c>
      <c r="G878" s="47" t="s">
        <v>3604</v>
      </c>
      <c r="H878" s="47" t="s">
        <v>3605</v>
      </c>
      <c r="I878" s="47" t="s">
        <v>18554</v>
      </c>
    </row>
    <row r="879" spans="1:9" ht="15">
      <c r="A879" s="47">
        <v>7043</v>
      </c>
      <c r="B879" s="47" t="s">
        <v>5335</v>
      </c>
      <c r="C879" s="47" t="s">
        <v>5336</v>
      </c>
      <c r="D879" s="47" t="s">
        <v>5337</v>
      </c>
      <c r="E879" s="47"/>
      <c r="F879" s="47"/>
      <c r="G879" s="47"/>
      <c r="H879" s="47" t="s">
        <v>3605</v>
      </c>
      <c r="I879" s="47" t="s">
        <v>18555</v>
      </c>
    </row>
    <row r="880" spans="1:9" ht="15">
      <c r="A880" s="47">
        <v>7044</v>
      </c>
      <c r="B880" s="47" t="s">
        <v>5338</v>
      </c>
      <c r="C880" s="47" t="s">
        <v>5339</v>
      </c>
      <c r="D880" s="47" t="s">
        <v>5340</v>
      </c>
      <c r="E880" s="47"/>
      <c r="F880" s="47"/>
      <c r="G880" s="47"/>
      <c r="H880" s="47" t="s">
        <v>3605</v>
      </c>
      <c r="I880" s="47" t="s">
        <v>18556</v>
      </c>
    </row>
    <row r="881" spans="1:9" ht="15">
      <c r="A881" s="47" t="s">
        <v>5341</v>
      </c>
      <c r="B881" s="47" t="s">
        <v>5342</v>
      </c>
      <c r="C881" s="47" t="s">
        <v>5343</v>
      </c>
      <c r="D881" s="47" t="s">
        <v>5344</v>
      </c>
      <c r="E881" s="47"/>
      <c r="F881" s="47"/>
      <c r="G881" s="47"/>
      <c r="H881" s="47" t="s">
        <v>3605</v>
      </c>
      <c r="I881" s="47" t="s">
        <v>5341</v>
      </c>
    </row>
    <row r="882" spans="1:9" ht="15">
      <c r="A882" s="47" t="s">
        <v>5345</v>
      </c>
      <c r="B882" s="47" t="s">
        <v>5346</v>
      </c>
      <c r="C882" s="47" t="s">
        <v>5347</v>
      </c>
      <c r="D882" s="47" t="s">
        <v>5348</v>
      </c>
      <c r="E882" s="47"/>
      <c r="F882" s="47"/>
      <c r="G882" s="47"/>
      <c r="H882" s="47" t="s">
        <v>3605</v>
      </c>
      <c r="I882" s="47" t="s">
        <v>5345</v>
      </c>
    </row>
    <row r="883" spans="1:9" ht="15">
      <c r="A883" s="47">
        <v>21540</v>
      </c>
      <c r="B883" s="47" t="s">
        <v>2085</v>
      </c>
      <c r="C883" s="47" t="s">
        <v>5349</v>
      </c>
      <c r="D883" s="47" t="s">
        <v>5350</v>
      </c>
      <c r="E883" s="47"/>
      <c r="F883" s="47"/>
      <c r="G883" s="47"/>
      <c r="H883" s="47" t="s">
        <v>3605</v>
      </c>
      <c r="I883" s="47" t="s">
        <v>18557</v>
      </c>
    </row>
    <row r="884" spans="1:9" ht="15">
      <c r="A884" s="47">
        <v>21585</v>
      </c>
      <c r="B884" s="47" t="s">
        <v>5351</v>
      </c>
      <c r="C884" s="47" t="s">
        <v>5352</v>
      </c>
      <c r="D884" s="47" t="s">
        <v>5353</v>
      </c>
      <c r="E884" s="47"/>
      <c r="F884" s="47" t="s">
        <v>3603</v>
      </c>
      <c r="G884" s="47" t="s">
        <v>3604</v>
      </c>
      <c r="H884" s="47" t="s">
        <v>3605</v>
      </c>
      <c r="I884" s="47" t="s">
        <v>18558</v>
      </c>
    </row>
    <row r="885" spans="1:9" ht="15">
      <c r="A885" s="47" t="s">
        <v>5354</v>
      </c>
      <c r="B885" s="47" t="s">
        <v>5355</v>
      </c>
      <c r="C885" s="47" t="s">
        <v>5356</v>
      </c>
      <c r="D885" s="47" t="s">
        <v>5357</v>
      </c>
      <c r="E885" s="47"/>
      <c r="F885" s="47"/>
      <c r="G885" s="47"/>
      <c r="H885" s="47" t="s">
        <v>3605</v>
      </c>
      <c r="I885" s="47" t="s">
        <v>5354</v>
      </c>
    </row>
    <row r="886" spans="1:9" ht="15">
      <c r="A886" s="47" t="s">
        <v>5358</v>
      </c>
      <c r="B886" s="47" t="s">
        <v>5359</v>
      </c>
      <c r="C886" s="47" t="s">
        <v>5360</v>
      </c>
      <c r="D886" s="47" t="s">
        <v>5361</v>
      </c>
      <c r="E886" s="47"/>
      <c r="F886" s="47"/>
      <c r="G886" s="47"/>
      <c r="H886" s="47" t="s">
        <v>3605</v>
      </c>
      <c r="I886" s="47" t="s">
        <v>5358</v>
      </c>
    </row>
    <row r="887" spans="1:9" ht="15">
      <c r="A887" s="47">
        <v>21590</v>
      </c>
      <c r="B887" s="47" t="s">
        <v>5362</v>
      </c>
      <c r="C887" s="47" t="s">
        <v>5363</v>
      </c>
      <c r="D887" s="47" t="s">
        <v>5364</v>
      </c>
      <c r="E887" s="47"/>
      <c r="F887" s="47" t="s">
        <v>3603</v>
      </c>
      <c r="G887" s="47" t="s">
        <v>3604</v>
      </c>
      <c r="H887" s="47" t="s">
        <v>3605</v>
      </c>
      <c r="I887" s="47" t="s">
        <v>18559</v>
      </c>
    </row>
    <row r="888" spans="1:9" ht="15">
      <c r="A888" s="47" t="s">
        <v>5365</v>
      </c>
      <c r="B888" s="47" t="s">
        <v>5366</v>
      </c>
      <c r="C888" s="47" t="s">
        <v>5367</v>
      </c>
      <c r="D888" s="47" t="s">
        <v>5368</v>
      </c>
      <c r="E888" s="47"/>
      <c r="F888" s="47"/>
      <c r="G888" s="47"/>
      <c r="H888" s="47" t="s">
        <v>3605</v>
      </c>
      <c r="I888" s="47" t="s">
        <v>5365</v>
      </c>
    </row>
    <row r="889" spans="1:9" ht="15">
      <c r="A889" s="47" t="s">
        <v>5369</v>
      </c>
      <c r="B889" s="47" t="s">
        <v>5370</v>
      </c>
      <c r="C889" s="47" t="s">
        <v>5371</v>
      </c>
      <c r="D889" s="47" t="s">
        <v>5372</v>
      </c>
      <c r="E889" s="47"/>
      <c r="F889" s="47"/>
      <c r="G889" s="47"/>
      <c r="H889" s="47" t="s">
        <v>3605</v>
      </c>
      <c r="I889" s="47" t="s">
        <v>5369</v>
      </c>
    </row>
    <row r="890" spans="1:9" ht="15">
      <c r="A890" s="47">
        <v>22205</v>
      </c>
      <c r="B890" s="47" t="s">
        <v>5373</v>
      </c>
      <c r="C890" s="47" t="s">
        <v>5374</v>
      </c>
      <c r="D890" s="47" t="s">
        <v>5375</v>
      </c>
      <c r="E890" s="47"/>
      <c r="F890" s="47" t="s">
        <v>3603</v>
      </c>
      <c r="G890" s="47" t="s">
        <v>3604</v>
      </c>
      <c r="H890" s="47" t="s">
        <v>3605</v>
      </c>
      <c r="I890" s="47" t="s">
        <v>18560</v>
      </c>
    </row>
    <row r="891" spans="1:9" ht="15">
      <c r="A891" s="47">
        <v>114400</v>
      </c>
      <c r="B891" s="47" t="s">
        <v>5376</v>
      </c>
      <c r="C891" s="47" t="s">
        <v>5377</v>
      </c>
      <c r="D891" s="47" t="s">
        <v>5378</v>
      </c>
      <c r="E891" s="47"/>
      <c r="F891" s="47" t="s">
        <v>3603</v>
      </c>
      <c r="G891" s="47" t="s">
        <v>3604</v>
      </c>
      <c r="H891" s="47" t="s">
        <v>3605</v>
      </c>
      <c r="I891" s="47" t="s">
        <v>18561</v>
      </c>
    </row>
    <row r="892" spans="1:9" ht="15">
      <c r="A892" s="47" t="s">
        <v>5379</v>
      </c>
      <c r="B892" s="47" t="s">
        <v>5380</v>
      </c>
      <c r="C892" s="47" t="s">
        <v>5381</v>
      </c>
      <c r="D892" s="47" t="s">
        <v>5382</v>
      </c>
      <c r="E892" s="47"/>
      <c r="F892" s="47"/>
      <c r="G892" s="47"/>
      <c r="H892" s="47" t="s">
        <v>3605</v>
      </c>
      <c r="I892" s="47" t="s">
        <v>5379</v>
      </c>
    </row>
    <row r="893" spans="1:9" ht="15">
      <c r="A893" s="47">
        <v>22235</v>
      </c>
      <c r="B893" s="47" t="s">
        <v>5383</v>
      </c>
      <c r="C893" s="47" t="s">
        <v>5384</v>
      </c>
      <c r="D893" s="47" t="s">
        <v>5385</v>
      </c>
      <c r="E893" s="47"/>
      <c r="F893" s="47" t="s">
        <v>3603</v>
      </c>
      <c r="G893" s="47" t="s">
        <v>3604</v>
      </c>
      <c r="H893" s="47" t="s">
        <v>3605</v>
      </c>
      <c r="I893" s="47" t="s">
        <v>18562</v>
      </c>
    </row>
    <row r="894" spans="1:9" ht="15">
      <c r="A894" s="47">
        <v>8310310</v>
      </c>
      <c r="B894" s="47" t="s">
        <v>1957</v>
      </c>
      <c r="C894" s="47" t="s">
        <v>5386</v>
      </c>
      <c r="D894" s="47" t="s">
        <v>5387</v>
      </c>
      <c r="E894" s="47"/>
      <c r="F894" s="47"/>
      <c r="G894" s="47"/>
      <c r="H894" s="47" t="s">
        <v>3605</v>
      </c>
      <c r="I894" s="47" t="s">
        <v>18563</v>
      </c>
    </row>
    <row r="895" spans="1:9" ht="15">
      <c r="A895" s="47">
        <v>22350</v>
      </c>
      <c r="B895" s="47" t="s">
        <v>5388</v>
      </c>
      <c r="C895" s="47" t="s">
        <v>5389</v>
      </c>
      <c r="D895" s="47" t="s">
        <v>5390</v>
      </c>
      <c r="E895" s="47"/>
      <c r="F895" s="47" t="s">
        <v>3603</v>
      </c>
      <c r="G895" s="47" t="s">
        <v>3604</v>
      </c>
      <c r="H895" s="47" t="s">
        <v>3605</v>
      </c>
      <c r="I895" s="47" t="s">
        <v>18564</v>
      </c>
    </row>
    <row r="896" spans="1:9" ht="15">
      <c r="A896" s="47">
        <v>110000</v>
      </c>
      <c r="B896" s="47" t="s">
        <v>5391</v>
      </c>
      <c r="C896" s="47" t="s">
        <v>5505</v>
      </c>
      <c r="D896" s="47" t="s">
        <v>5393</v>
      </c>
      <c r="E896" s="47"/>
      <c r="F896" s="47"/>
      <c r="G896" s="47"/>
      <c r="H896" s="47" t="s">
        <v>3605</v>
      </c>
      <c r="I896" s="47" t="s">
        <v>18565</v>
      </c>
    </row>
    <row r="897" spans="1:9" ht="15">
      <c r="A897" s="47">
        <v>110003</v>
      </c>
      <c r="B897" s="47" t="s">
        <v>5394</v>
      </c>
      <c r="C897" s="47" t="s">
        <v>5395</v>
      </c>
      <c r="D897" s="47" t="s">
        <v>5396</v>
      </c>
      <c r="E897" s="47"/>
      <c r="F897" s="47"/>
      <c r="G897" s="47"/>
      <c r="H897" s="47" t="s">
        <v>3605</v>
      </c>
      <c r="I897" s="47" t="s">
        <v>18566</v>
      </c>
    </row>
    <row r="898" spans="1:9" ht="15">
      <c r="A898" s="47">
        <v>22351</v>
      </c>
      <c r="B898" s="47" t="s">
        <v>5397</v>
      </c>
      <c r="C898" s="47" t="s">
        <v>5398</v>
      </c>
      <c r="D898" s="47" t="s">
        <v>5399</v>
      </c>
      <c r="E898" s="47"/>
      <c r="F898" s="47" t="s">
        <v>3603</v>
      </c>
      <c r="G898" s="47" t="s">
        <v>3604</v>
      </c>
      <c r="H898" s="47" t="s">
        <v>3605</v>
      </c>
      <c r="I898" s="47" t="s">
        <v>18567</v>
      </c>
    </row>
    <row r="899" spans="1:9" ht="15">
      <c r="A899" s="47">
        <v>113210</v>
      </c>
      <c r="B899" s="47" t="s">
        <v>5400</v>
      </c>
      <c r="C899" s="47" t="s">
        <v>5401</v>
      </c>
      <c r="D899" s="47" t="s">
        <v>5402</v>
      </c>
      <c r="E899" s="47"/>
      <c r="F899" s="47"/>
      <c r="G899" s="47"/>
      <c r="H899" s="47" t="s">
        <v>3605</v>
      </c>
      <c r="I899" s="47" t="s">
        <v>18568</v>
      </c>
    </row>
    <row r="900" spans="1:9" ht="15">
      <c r="A900" s="47">
        <v>32140</v>
      </c>
      <c r="B900" s="47" t="s">
        <v>5403</v>
      </c>
      <c r="C900" s="47" t="s">
        <v>5404</v>
      </c>
      <c r="D900" s="47" t="s">
        <v>5405</v>
      </c>
      <c r="E900" s="47"/>
      <c r="F900" s="47"/>
      <c r="G900" s="47"/>
      <c r="H900" s="47" t="s">
        <v>3605</v>
      </c>
      <c r="I900" s="47" t="s">
        <v>18569</v>
      </c>
    </row>
    <row r="901" spans="1:9" ht="15">
      <c r="A901" s="47">
        <v>22353</v>
      </c>
      <c r="B901" s="47" t="s">
        <v>5406</v>
      </c>
      <c r="C901" s="47" t="s">
        <v>5407</v>
      </c>
      <c r="D901" s="47" t="s">
        <v>5408</v>
      </c>
      <c r="E901" s="47"/>
      <c r="F901" s="47" t="s">
        <v>3603</v>
      </c>
      <c r="G901" s="47" t="s">
        <v>3604</v>
      </c>
      <c r="H901" s="47" t="s">
        <v>3605</v>
      </c>
      <c r="I901" s="47" t="s">
        <v>18570</v>
      </c>
    </row>
    <row r="902" spans="1:9" ht="15">
      <c r="A902" s="47">
        <v>113041</v>
      </c>
      <c r="B902" s="47" t="s">
        <v>5409</v>
      </c>
      <c r="C902" s="47" t="s">
        <v>5410</v>
      </c>
      <c r="D902" s="47" t="s">
        <v>5411</v>
      </c>
      <c r="E902" s="47"/>
      <c r="F902" s="47" t="s">
        <v>3603</v>
      </c>
      <c r="G902" s="47" t="s">
        <v>3604</v>
      </c>
      <c r="H902" s="47" t="s">
        <v>3605</v>
      </c>
      <c r="I902" s="47" t="s">
        <v>18571</v>
      </c>
    </row>
    <row r="903" spans="1:9" ht="15">
      <c r="A903" s="47">
        <v>113042</v>
      </c>
      <c r="B903" s="47" t="s">
        <v>5412</v>
      </c>
      <c r="C903" s="47" t="s">
        <v>5413</v>
      </c>
      <c r="D903" s="47" t="s">
        <v>5414</v>
      </c>
      <c r="E903" s="47"/>
      <c r="F903" s="47" t="s">
        <v>3603</v>
      </c>
      <c r="G903" s="47" t="s">
        <v>3604</v>
      </c>
      <c r="H903" s="47" t="s">
        <v>3605</v>
      </c>
      <c r="I903" s="47" t="s">
        <v>18572</v>
      </c>
    </row>
    <row r="904" spans="1:9" ht="15">
      <c r="A904" s="47">
        <v>113046</v>
      </c>
      <c r="B904" s="47" t="s">
        <v>1960</v>
      </c>
      <c r="C904" s="47" t="s">
        <v>5415</v>
      </c>
      <c r="D904" s="47" t="s">
        <v>5416</v>
      </c>
      <c r="E904" s="47"/>
      <c r="F904" s="47"/>
      <c r="G904" s="47"/>
      <c r="H904" s="47" t="s">
        <v>3605</v>
      </c>
      <c r="I904" s="47" t="s">
        <v>18573</v>
      </c>
    </row>
    <row r="905" spans="1:9" ht="15">
      <c r="A905" s="47">
        <v>113047</v>
      </c>
      <c r="B905" s="47" t="s">
        <v>5417</v>
      </c>
      <c r="C905" s="47" t="s">
        <v>5418</v>
      </c>
      <c r="D905" s="47" t="s">
        <v>5419</v>
      </c>
      <c r="E905" s="47"/>
      <c r="F905" s="47" t="s">
        <v>3603</v>
      </c>
      <c r="G905" s="47" t="s">
        <v>3604</v>
      </c>
      <c r="H905" s="47" t="s">
        <v>3605</v>
      </c>
      <c r="I905" s="47" t="s">
        <v>18574</v>
      </c>
    </row>
    <row r="906" spans="1:9" ht="15">
      <c r="A906" s="47">
        <v>113048</v>
      </c>
      <c r="B906" s="47" t="s">
        <v>1952</v>
      </c>
      <c r="C906" s="47" t="s">
        <v>5420</v>
      </c>
      <c r="D906" s="47" t="s">
        <v>5421</v>
      </c>
      <c r="E906" s="47"/>
      <c r="F906" s="47"/>
      <c r="G906" s="47"/>
      <c r="H906" s="47" t="s">
        <v>3605</v>
      </c>
      <c r="I906" s="47" t="s">
        <v>18575</v>
      </c>
    </row>
    <row r="907" spans="1:9" ht="15">
      <c r="A907" s="47">
        <v>90666</v>
      </c>
      <c r="B907" s="47" t="s">
        <v>1961</v>
      </c>
      <c r="C907" s="47" t="s">
        <v>5422</v>
      </c>
      <c r="D907" s="47" t="s">
        <v>5423</v>
      </c>
      <c r="E907" s="47"/>
      <c r="F907" s="47"/>
      <c r="G907" s="47"/>
      <c r="H907" s="47" t="s">
        <v>3605</v>
      </c>
      <c r="I907" s="47" t="s">
        <v>18576</v>
      </c>
    </row>
    <row r="908" spans="1:9" ht="15">
      <c r="A908" s="47" t="s">
        <v>5424</v>
      </c>
      <c r="B908" s="47" t="s">
        <v>5425</v>
      </c>
      <c r="C908" s="47" t="s">
        <v>5426</v>
      </c>
      <c r="D908" s="47" t="s">
        <v>5427</v>
      </c>
      <c r="E908" s="47"/>
      <c r="F908" s="47"/>
      <c r="G908" s="47"/>
      <c r="H908" s="47" t="s">
        <v>3605</v>
      </c>
      <c r="I908" s="47" t="s">
        <v>5424</v>
      </c>
    </row>
    <row r="909" spans="1:9" ht="15">
      <c r="A909" s="47">
        <v>39112</v>
      </c>
      <c r="B909" s="47" t="s">
        <v>5428</v>
      </c>
      <c r="C909" s="47" t="s">
        <v>5429</v>
      </c>
      <c r="D909" s="47" t="s">
        <v>5430</v>
      </c>
      <c r="E909" s="47"/>
      <c r="F909" s="47" t="s">
        <v>3603</v>
      </c>
      <c r="G909" s="47" t="s">
        <v>3604</v>
      </c>
      <c r="H909" s="47" t="s">
        <v>3605</v>
      </c>
      <c r="I909" s="47" t="s">
        <v>18577</v>
      </c>
    </row>
    <row r="910" spans="1:9" ht="15">
      <c r="A910" s="47">
        <v>114040</v>
      </c>
      <c r="B910" s="47" t="s">
        <v>5431</v>
      </c>
      <c r="C910" s="47" t="s">
        <v>5432</v>
      </c>
      <c r="D910" s="47" t="s">
        <v>5433</v>
      </c>
      <c r="E910" s="47"/>
      <c r="F910" s="47" t="s">
        <v>3603</v>
      </c>
      <c r="G910" s="47" t="s">
        <v>3604</v>
      </c>
      <c r="H910" s="47" t="s">
        <v>3605</v>
      </c>
      <c r="I910" s="47" t="s">
        <v>18578</v>
      </c>
    </row>
    <row r="911" spans="1:9" ht="15">
      <c r="A911" s="47">
        <v>39114</v>
      </c>
      <c r="B911" s="47" t="s">
        <v>5434</v>
      </c>
      <c r="C911" s="47" t="s">
        <v>5435</v>
      </c>
      <c r="D911" s="47" t="s">
        <v>5436</v>
      </c>
      <c r="E911" s="47"/>
      <c r="F911" s="47" t="s">
        <v>3603</v>
      </c>
      <c r="G911" s="47" t="s">
        <v>3604</v>
      </c>
      <c r="H911" s="47" t="s">
        <v>3605</v>
      </c>
      <c r="I911" s="47" t="s">
        <v>18579</v>
      </c>
    </row>
    <row r="912" spans="1:9" ht="15">
      <c r="A912" s="47">
        <v>39111</v>
      </c>
      <c r="B912" s="47" t="s">
        <v>5437</v>
      </c>
      <c r="C912" s="47" t="s">
        <v>5438</v>
      </c>
      <c r="D912" s="47" t="s">
        <v>5439</v>
      </c>
      <c r="E912" s="47"/>
      <c r="F912" s="47" t="s">
        <v>3603</v>
      </c>
      <c r="G912" s="47" t="s">
        <v>3604</v>
      </c>
      <c r="H912" s="47" t="s">
        <v>3605</v>
      </c>
      <c r="I912" s="47" t="s">
        <v>18580</v>
      </c>
    </row>
    <row r="913" spans="1:9" ht="15">
      <c r="A913" s="47">
        <v>22356</v>
      </c>
      <c r="B913" s="47" t="s">
        <v>5440</v>
      </c>
      <c r="C913" s="47" t="s">
        <v>5441</v>
      </c>
      <c r="D913" s="47" t="s">
        <v>5442</v>
      </c>
      <c r="E913" s="47"/>
      <c r="F913" s="47"/>
      <c r="G913" s="47"/>
      <c r="H913" s="47" t="s">
        <v>3605</v>
      </c>
      <c r="I913" s="47" t="s">
        <v>18581</v>
      </c>
    </row>
    <row r="914" spans="1:9" ht="15">
      <c r="A914" s="47">
        <v>114000</v>
      </c>
      <c r="B914" s="47" t="s">
        <v>5443</v>
      </c>
      <c r="C914" s="47" t="s">
        <v>5444</v>
      </c>
      <c r="D914" s="47" t="s">
        <v>5445</v>
      </c>
      <c r="E914" s="47"/>
      <c r="F914" s="47" t="s">
        <v>3603</v>
      </c>
      <c r="G914" s="47" t="s">
        <v>3604</v>
      </c>
      <c r="H914" s="47" t="s">
        <v>3605</v>
      </c>
      <c r="I914" s="47" t="s">
        <v>18582</v>
      </c>
    </row>
    <row r="915" spans="1:9" ht="15">
      <c r="A915" s="47">
        <v>22357</v>
      </c>
      <c r="B915" s="47" t="s">
        <v>5446</v>
      </c>
      <c r="C915" s="47" t="s">
        <v>5447</v>
      </c>
      <c r="D915" s="47" t="s">
        <v>5448</v>
      </c>
      <c r="E915" s="47"/>
      <c r="F915" s="47"/>
      <c r="G915" s="47"/>
      <c r="H915" s="47" t="s">
        <v>3605</v>
      </c>
      <c r="I915" s="47" t="s">
        <v>18583</v>
      </c>
    </row>
    <row r="916" spans="1:9" ht="15">
      <c r="A916" s="47">
        <v>114060</v>
      </c>
      <c r="B916" s="47" t="s">
        <v>5449</v>
      </c>
      <c r="C916" s="47" t="s">
        <v>5450</v>
      </c>
      <c r="D916" s="47" t="s">
        <v>5451</v>
      </c>
      <c r="E916" s="47"/>
      <c r="F916" s="47" t="s">
        <v>3603</v>
      </c>
      <c r="G916" s="47" t="s">
        <v>3604</v>
      </c>
      <c r="H916" s="47" t="s">
        <v>3605</v>
      </c>
      <c r="I916" s="47" t="s">
        <v>18584</v>
      </c>
    </row>
    <row r="917" spans="1:9" ht="15">
      <c r="A917" s="47">
        <v>114010</v>
      </c>
      <c r="B917" s="47" t="s">
        <v>5452</v>
      </c>
      <c r="C917" s="47" t="s">
        <v>5453</v>
      </c>
      <c r="D917" s="47" t="s">
        <v>5454</v>
      </c>
      <c r="E917" s="47"/>
      <c r="F917" s="47" t="s">
        <v>3603</v>
      </c>
      <c r="G917" s="47" t="s">
        <v>3604</v>
      </c>
      <c r="H917" s="47" t="s">
        <v>3605</v>
      </c>
      <c r="I917" s="47" t="s">
        <v>18585</v>
      </c>
    </row>
    <row r="918" spans="1:9" ht="15">
      <c r="A918" s="47">
        <v>22359</v>
      </c>
      <c r="B918" s="47" t="s">
        <v>5455</v>
      </c>
      <c r="C918" s="47" t="s">
        <v>5456</v>
      </c>
      <c r="D918" s="47" t="s">
        <v>5457</v>
      </c>
      <c r="E918" s="47"/>
      <c r="F918" s="47" t="s">
        <v>3603</v>
      </c>
      <c r="G918" s="47" t="s">
        <v>3604</v>
      </c>
      <c r="H918" s="47" t="s">
        <v>3605</v>
      </c>
      <c r="I918" s="47" t="s">
        <v>18586</v>
      </c>
    </row>
    <row r="919" spans="1:9" ht="15">
      <c r="A919" s="47">
        <v>114090</v>
      </c>
      <c r="B919" s="47" t="s">
        <v>5458</v>
      </c>
      <c r="C919" s="47" t="s">
        <v>5459</v>
      </c>
      <c r="D919" s="47" t="s">
        <v>5460</v>
      </c>
      <c r="E919" s="47"/>
      <c r="F919" s="47" t="s">
        <v>3603</v>
      </c>
      <c r="G919" s="47" t="s">
        <v>3604</v>
      </c>
      <c r="H919" s="47" t="s">
        <v>3605</v>
      </c>
      <c r="I919" s="47" t="s">
        <v>18587</v>
      </c>
    </row>
    <row r="920" spans="1:9" ht="15">
      <c r="A920" s="47">
        <v>114100</v>
      </c>
      <c r="B920" s="47" t="s">
        <v>5461</v>
      </c>
      <c r="C920" s="47" t="s">
        <v>5462</v>
      </c>
      <c r="D920" s="47" t="s">
        <v>5463</v>
      </c>
      <c r="E920" s="47"/>
      <c r="F920" s="47" t="s">
        <v>3603</v>
      </c>
      <c r="G920" s="47" t="s">
        <v>3604</v>
      </c>
      <c r="H920" s="47" t="s">
        <v>3605</v>
      </c>
      <c r="I920" s="47" t="s">
        <v>18588</v>
      </c>
    </row>
    <row r="921" spans="1:9" ht="15">
      <c r="A921" s="47">
        <v>32135</v>
      </c>
      <c r="B921" s="47" t="s">
        <v>5464</v>
      </c>
      <c r="C921" s="47" t="s">
        <v>5465</v>
      </c>
      <c r="D921" s="47" t="s">
        <v>5466</v>
      </c>
      <c r="E921" s="47"/>
      <c r="F921" s="47"/>
      <c r="G921" s="47"/>
      <c r="H921" s="47" t="s">
        <v>3605</v>
      </c>
      <c r="I921" s="47" t="s">
        <v>18589</v>
      </c>
    </row>
    <row r="922" spans="1:9" ht="15">
      <c r="A922" s="47">
        <v>32145</v>
      </c>
      <c r="B922" s="47" t="s">
        <v>5467</v>
      </c>
      <c r="C922" s="47" t="s">
        <v>5468</v>
      </c>
      <c r="D922" s="47" t="s">
        <v>5469</v>
      </c>
      <c r="E922" s="47"/>
      <c r="F922" s="47"/>
      <c r="G922" s="47"/>
      <c r="H922" s="47" t="s">
        <v>3605</v>
      </c>
      <c r="I922" s="47" t="s">
        <v>18590</v>
      </c>
    </row>
    <row r="923" spans="1:9" ht="15">
      <c r="A923" s="47">
        <v>32150</v>
      </c>
      <c r="B923" s="47" t="s">
        <v>5470</v>
      </c>
      <c r="C923" s="47" t="s">
        <v>5471</v>
      </c>
      <c r="D923" s="47" t="s">
        <v>5472</v>
      </c>
      <c r="E923" s="47"/>
      <c r="F923" s="47"/>
      <c r="G923" s="47"/>
      <c r="H923" s="47" t="s">
        <v>3605</v>
      </c>
      <c r="I923" s="47" t="s">
        <v>18591</v>
      </c>
    </row>
    <row r="924" spans="1:9" ht="15">
      <c r="A924" s="47">
        <v>114041</v>
      </c>
      <c r="B924" s="47" t="s">
        <v>5473</v>
      </c>
      <c r="C924" s="47" t="s">
        <v>5474</v>
      </c>
      <c r="D924" s="47" t="s">
        <v>5475</v>
      </c>
      <c r="E924" s="47"/>
      <c r="F924" s="47" t="s">
        <v>3603</v>
      </c>
      <c r="G924" s="47" t="s">
        <v>3604</v>
      </c>
      <c r="H924" s="47" t="s">
        <v>3605</v>
      </c>
      <c r="I924" s="47" t="s">
        <v>18592</v>
      </c>
    </row>
    <row r="925" spans="1:9" ht="15">
      <c r="A925" s="47">
        <v>114030</v>
      </c>
      <c r="B925" s="47" t="s">
        <v>5476</v>
      </c>
      <c r="C925" s="47" t="s">
        <v>5477</v>
      </c>
      <c r="D925" s="47" t="s">
        <v>5478</v>
      </c>
      <c r="E925" s="47"/>
      <c r="F925" s="47" t="s">
        <v>3603</v>
      </c>
      <c r="G925" s="47" t="s">
        <v>3604</v>
      </c>
      <c r="H925" s="47" t="s">
        <v>3605</v>
      </c>
      <c r="I925" s="47" t="s">
        <v>18593</v>
      </c>
    </row>
    <row r="926" spans="1:9" ht="15">
      <c r="A926" s="47">
        <v>38254</v>
      </c>
      <c r="B926" s="47" t="s">
        <v>800</v>
      </c>
      <c r="C926" s="47" t="s">
        <v>5479</v>
      </c>
      <c r="D926" s="47" t="s">
        <v>5480</v>
      </c>
      <c r="E926" s="47"/>
      <c r="F926" s="47"/>
      <c r="G926" s="47"/>
      <c r="H926" s="47" t="s">
        <v>3605</v>
      </c>
      <c r="I926" s="47" t="s">
        <v>18594</v>
      </c>
    </row>
    <row r="927" spans="1:9" ht="15">
      <c r="A927" s="47">
        <v>38255</v>
      </c>
      <c r="B927" s="47" t="s">
        <v>5481</v>
      </c>
      <c r="C927" s="47" t="s">
        <v>5482</v>
      </c>
      <c r="D927" s="47" t="s">
        <v>5483</v>
      </c>
      <c r="E927" s="47"/>
      <c r="F927" s="47" t="s">
        <v>3603</v>
      </c>
      <c r="G927" s="47" t="s">
        <v>3604</v>
      </c>
      <c r="H927" s="47" t="s">
        <v>3605</v>
      </c>
      <c r="I927" s="47" t="s">
        <v>18595</v>
      </c>
    </row>
    <row r="928" spans="1:9" ht="15">
      <c r="A928" s="47" t="s">
        <v>5484</v>
      </c>
      <c r="B928" s="47" t="s">
        <v>5485</v>
      </c>
      <c r="C928" s="47" t="s">
        <v>5486</v>
      </c>
      <c r="D928" s="47" t="s">
        <v>5487</v>
      </c>
      <c r="E928" s="47"/>
      <c r="F928" s="47"/>
      <c r="G928" s="47"/>
      <c r="H928" s="47" t="s">
        <v>3605</v>
      </c>
      <c r="I928" s="47" t="s">
        <v>5484</v>
      </c>
    </row>
    <row r="929" spans="1:9" ht="15">
      <c r="A929" s="47">
        <v>38259</v>
      </c>
      <c r="B929" s="47" t="s">
        <v>5488</v>
      </c>
      <c r="C929" s="47" t="s">
        <v>5489</v>
      </c>
      <c r="D929" s="47" t="s">
        <v>5490</v>
      </c>
      <c r="E929" s="47"/>
      <c r="F929" s="47" t="s">
        <v>5491</v>
      </c>
      <c r="G929" s="47" t="s">
        <v>5492</v>
      </c>
      <c r="H929" s="47" t="s">
        <v>3605</v>
      </c>
      <c r="I929" s="47" t="s">
        <v>18596</v>
      </c>
    </row>
    <row r="930" spans="1:9" ht="15">
      <c r="A930" s="47" t="s">
        <v>5493</v>
      </c>
      <c r="B930" s="47" t="s">
        <v>5494</v>
      </c>
      <c r="C930" s="47" t="s">
        <v>5495</v>
      </c>
      <c r="D930" s="47" t="s">
        <v>5496</v>
      </c>
      <c r="E930" s="47"/>
      <c r="F930" s="47"/>
      <c r="G930" s="47"/>
      <c r="H930" s="47" t="s">
        <v>3605</v>
      </c>
      <c r="I930" s="47" t="s">
        <v>5493</v>
      </c>
    </row>
    <row r="931" spans="1:9" ht="15">
      <c r="A931" s="47" t="s">
        <v>5497</v>
      </c>
      <c r="B931" s="47" t="s">
        <v>5498</v>
      </c>
      <c r="C931" s="47" t="s">
        <v>5499</v>
      </c>
      <c r="D931" s="47" t="s">
        <v>5500</v>
      </c>
      <c r="E931" s="47"/>
      <c r="F931" s="47"/>
      <c r="G931" s="47"/>
      <c r="H931" s="47" t="s">
        <v>3605</v>
      </c>
      <c r="I931" s="47" t="s">
        <v>5497</v>
      </c>
    </row>
    <row r="932" spans="1:9" ht="15">
      <c r="A932" s="47">
        <v>10601</v>
      </c>
      <c r="B932" s="47" t="s">
        <v>5501</v>
      </c>
      <c r="C932" s="47" t="s">
        <v>5502</v>
      </c>
      <c r="D932" s="47" t="s">
        <v>5503</v>
      </c>
      <c r="E932" s="47"/>
      <c r="F932" s="47"/>
      <c r="G932" s="47"/>
      <c r="H932" s="47" t="s">
        <v>3605</v>
      </c>
      <c r="I932" s="47" t="s">
        <v>18597</v>
      </c>
    </row>
    <row r="933" spans="1:9" ht="15">
      <c r="A933" s="47" t="s">
        <v>5504</v>
      </c>
      <c r="B933" s="47" t="s">
        <v>5504</v>
      </c>
      <c r="C933" s="47" t="s">
        <v>5505</v>
      </c>
      <c r="D933" s="47" t="s">
        <v>5506</v>
      </c>
      <c r="E933" s="47"/>
      <c r="F933" s="47"/>
      <c r="G933" s="47"/>
      <c r="H933" s="47" t="s">
        <v>3605</v>
      </c>
      <c r="I933" s="47" t="s">
        <v>5504</v>
      </c>
    </row>
    <row r="934" spans="1:9" ht="15">
      <c r="A934" s="47">
        <v>93013</v>
      </c>
      <c r="B934" s="47" t="s">
        <v>5507</v>
      </c>
      <c r="C934" s="47" t="s">
        <v>5508</v>
      </c>
      <c r="D934" s="47" t="s">
        <v>5509</v>
      </c>
      <c r="E934" s="47"/>
      <c r="F934" s="47"/>
      <c r="G934" s="47"/>
      <c r="H934" s="47" t="s">
        <v>3605</v>
      </c>
      <c r="I934" s="47" t="s">
        <v>18598</v>
      </c>
    </row>
    <row r="935" spans="1:9" ht="15">
      <c r="A935" s="47" t="s">
        <v>1950</v>
      </c>
      <c r="B935" s="47" t="s">
        <v>5510</v>
      </c>
      <c r="C935" s="47" t="s">
        <v>5511</v>
      </c>
      <c r="D935" s="47" t="s">
        <v>5512</v>
      </c>
      <c r="E935" s="47"/>
      <c r="F935" s="47"/>
      <c r="G935" s="47"/>
      <c r="H935" s="47" t="s">
        <v>3605</v>
      </c>
      <c r="I935" s="47" t="s">
        <v>1950</v>
      </c>
    </row>
    <row r="936" spans="1:9" ht="15">
      <c r="A936" s="47" t="s">
        <v>5513</v>
      </c>
      <c r="B936" s="47" t="s">
        <v>5514</v>
      </c>
      <c r="C936" s="47" t="s">
        <v>5515</v>
      </c>
      <c r="D936" s="47" t="s">
        <v>5516</v>
      </c>
      <c r="E936" s="47"/>
      <c r="F936" s="47"/>
      <c r="G936" s="47"/>
      <c r="H936" s="47" t="s">
        <v>3605</v>
      </c>
      <c r="I936" s="47" t="s">
        <v>5513</v>
      </c>
    </row>
    <row r="937" spans="1:9" ht="15">
      <c r="A937" s="47">
        <v>10170</v>
      </c>
      <c r="B937" s="47" t="s">
        <v>5517</v>
      </c>
      <c r="C937" s="47" t="s">
        <v>5518</v>
      </c>
      <c r="D937" s="47" t="s">
        <v>5519</v>
      </c>
      <c r="E937" s="47"/>
      <c r="F937" s="47" t="s">
        <v>3603</v>
      </c>
      <c r="G937" s="47" t="s">
        <v>3604</v>
      </c>
      <c r="H937" s="47" t="s">
        <v>3605</v>
      </c>
      <c r="I937" s="47" t="s">
        <v>18599</v>
      </c>
    </row>
    <row r="938" spans="1:9" ht="15">
      <c r="A938" s="47">
        <v>7074</v>
      </c>
      <c r="B938" s="47" t="s">
        <v>5520</v>
      </c>
      <c r="C938" s="47" t="s">
        <v>5521</v>
      </c>
      <c r="D938" s="47" t="s">
        <v>5522</v>
      </c>
      <c r="E938" s="47"/>
      <c r="F938" s="47"/>
      <c r="G938" s="47"/>
      <c r="H938" s="47" t="s">
        <v>3605</v>
      </c>
      <c r="I938" s="47" t="s">
        <v>18600</v>
      </c>
    </row>
    <row r="939" spans="1:9" ht="15">
      <c r="A939" s="47">
        <v>38575</v>
      </c>
      <c r="B939" s="47" t="s">
        <v>5523</v>
      </c>
      <c r="C939" s="47" t="s">
        <v>5524</v>
      </c>
      <c r="D939" s="47" t="s">
        <v>5525</v>
      </c>
      <c r="E939" s="47"/>
      <c r="F939" s="47"/>
      <c r="G939" s="47"/>
      <c r="H939" s="47" t="s">
        <v>3605</v>
      </c>
      <c r="I939" s="47" t="s">
        <v>18601</v>
      </c>
    </row>
    <row r="940" spans="1:9" ht="15">
      <c r="A940" s="47">
        <v>3100438</v>
      </c>
      <c r="B940" s="47" t="s">
        <v>5526</v>
      </c>
      <c r="C940" s="47" t="s">
        <v>5527</v>
      </c>
      <c r="D940" s="47" t="s">
        <v>5528</v>
      </c>
      <c r="E940" s="47"/>
      <c r="F940" s="47" t="s">
        <v>3603</v>
      </c>
      <c r="G940" s="47" t="s">
        <v>3604</v>
      </c>
      <c r="H940" s="47" t="s">
        <v>3605</v>
      </c>
      <c r="I940" s="47" t="s">
        <v>18602</v>
      </c>
    </row>
    <row r="941" spans="1:9" ht="15">
      <c r="A941" s="47">
        <v>39125</v>
      </c>
      <c r="B941" s="47" t="s">
        <v>5529</v>
      </c>
      <c r="C941" s="47" t="s">
        <v>5530</v>
      </c>
      <c r="D941" s="47" t="s">
        <v>5531</v>
      </c>
      <c r="E941" s="47"/>
      <c r="F941" s="47"/>
      <c r="G941" s="47"/>
      <c r="H941" s="47" t="s">
        <v>3605</v>
      </c>
      <c r="I941" s="47" t="s">
        <v>18603</v>
      </c>
    </row>
    <row r="942" spans="1:9" ht="15">
      <c r="A942" s="47">
        <v>104021</v>
      </c>
      <c r="B942" s="47" t="s">
        <v>5532</v>
      </c>
      <c r="C942" s="47" t="s">
        <v>5533</v>
      </c>
      <c r="D942" s="47" t="s">
        <v>5534</v>
      </c>
      <c r="E942" s="47"/>
      <c r="F942" s="47" t="s">
        <v>3603</v>
      </c>
      <c r="G942" s="47" t="s">
        <v>3604</v>
      </c>
      <c r="H942" s="47" t="s">
        <v>3605</v>
      </c>
      <c r="I942" s="47" t="s">
        <v>18604</v>
      </c>
    </row>
    <row r="943" spans="1:9" ht="15">
      <c r="A943" s="47">
        <v>3100437</v>
      </c>
      <c r="B943" s="47" t="s">
        <v>1182</v>
      </c>
      <c r="C943" s="47" t="s">
        <v>5535</v>
      </c>
      <c r="D943" s="47" t="s">
        <v>5536</v>
      </c>
      <c r="E943" s="47"/>
      <c r="F943" s="47"/>
      <c r="G943" s="47"/>
      <c r="H943" s="47" t="s">
        <v>3605</v>
      </c>
      <c r="I943" s="47" t="s">
        <v>18605</v>
      </c>
    </row>
    <row r="944" spans="1:9" ht="15">
      <c r="A944" s="47">
        <v>39150</v>
      </c>
      <c r="B944" s="47" t="s">
        <v>5537</v>
      </c>
      <c r="C944" s="47" t="s">
        <v>5538</v>
      </c>
      <c r="D944" s="47" t="s">
        <v>5539</v>
      </c>
      <c r="E944" s="47"/>
      <c r="F944" s="47" t="s">
        <v>3603</v>
      </c>
      <c r="G944" s="47" t="s">
        <v>3604</v>
      </c>
      <c r="H944" s="47" t="s">
        <v>3605</v>
      </c>
      <c r="I944" s="47" t="s">
        <v>18606</v>
      </c>
    </row>
    <row r="945" spans="1:9" ht="15">
      <c r="A945" s="47">
        <v>104310</v>
      </c>
      <c r="B945" s="47" t="s">
        <v>2431</v>
      </c>
      <c r="C945" s="47" t="s">
        <v>5540</v>
      </c>
      <c r="D945" s="47" t="s">
        <v>5541</v>
      </c>
      <c r="E945" s="47"/>
      <c r="F945" s="47"/>
      <c r="G945" s="47"/>
      <c r="H945" s="47" t="s">
        <v>3605</v>
      </c>
      <c r="I945" s="47" t="s">
        <v>18607</v>
      </c>
    </row>
    <row r="946" spans="1:9" ht="15">
      <c r="A946" s="47">
        <v>104302</v>
      </c>
      <c r="B946" s="47" t="s">
        <v>5542</v>
      </c>
      <c r="C946" s="47" t="s">
        <v>5543</v>
      </c>
      <c r="D946" s="47" t="s">
        <v>5544</v>
      </c>
      <c r="E946" s="47"/>
      <c r="F946" s="47" t="s">
        <v>3603</v>
      </c>
      <c r="G946" s="47" t="s">
        <v>3604</v>
      </c>
      <c r="H946" s="47" t="s">
        <v>3605</v>
      </c>
      <c r="I946" s="47" t="s">
        <v>18608</v>
      </c>
    </row>
    <row r="947" spans="1:9" ht="15">
      <c r="A947" s="47">
        <v>104303</v>
      </c>
      <c r="B947" s="47" t="s">
        <v>5545</v>
      </c>
      <c r="C947" s="47" t="s">
        <v>5546</v>
      </c>
      <c r="D947" s="47" t="s">
        <v>5547</v>
      </c>
      <c r="E947" s="47"/>
      <c r="F947" s="47" t="s">
        <v>3603</v>
      </c>
      <c r="G947" s="47" t="s">
        <v>3604</v>
      </c>
      <c r="H947" s="47" t="s">
        <v>3605</v>
      </c>
      <c r="I947" s="47" t="s">
        <v>18609</v>
      </c>
    </row>
    <row r="948" spans="1:9" ht="15">
      <c r="A948" s="47">
        <v>104304</v>
      </c>
      <c r="B948" s="47" t="s">
        <v>5548</v>
      </c>
      <c r="C948" s="47" t="s">
        <v>5549</v>
      </c>
      <c r="D948" s="47" t="s">
        <v>5550</v>
      </c>
      <c r="E948" s="47"/>
      <c r="F948" s="47" t="s">
        <v>3603</v>
      </c>
      <c r="G948" s="47" t="s">
        <v>3604</v>
      </c>
      <c r="H948" s="47" t="s">
        <v>3605</v>
      </c>
      <c r="I948" s="47" t="s">
        <v>18610</v>
      </c>
    </row>
    <row r="949" spans="1:9" ht="15">
      <c r="A949" s="47">
        <v>39155</v>
      </c>
      <c r="B949" s="47" t="s">
        <v>5551</v>
      </c>
      <c r="C949" s="47" t="s">
        <v>5552</v>
      </c>
      <c r="D949" s="47" t="s">
        <v>5553</v>
      </c>
      <c r="E949" s="47"/>
      <c r="F949" s="47" t="s">
        <v>3603</v>
      </c>
      <c r="G949" s="47" t="s">
        <v>3604</v>
      </c>
      <c r="H949" s="47" t="s">
        <v>3605</v>
      </c>
      <c r="I949" s="47" t="s">
        <v>18611</v>
      </c>
    </row>
    <row r="950" spans="1:9" ht="15">
      <c r="A950" s="47">
        <v>42405</v>
      </c>
      <c r="B950" s="47" t="s">
        <v>5554</v>
      </c>
      <c r="C950" s="47" t="s">
        <v>5555</v>
      </c>
      <c r="D950" s="47" t="s">
        <v>5556</v>
      </c>
      <c r="E950" s="47"/>
      <c r="F950" s="47" t="s">
        <v>3603</v>
      </c>
      <c r="G950" s="47" t="s">
        <v>3604</v>
      </c>
      <c r="H950" s="47" t="s">
        <v>3605</v>
      </c>
      <c r="I950" s="47" t="s">
        <v>18612</v>
      </c>
    </row>
    <row r="951" spans="1:9" ht="15">
      <c r="A951" s="47">
        <v>42435</v>
      </c>
      <c r="B951" s="47" t="s">
        <v>5557</v>
      </c>
      <c r="C951" s="47" t="s">
        <v>5558</v>
      </c>
      <c r="D951" s="47" t="s">
        <v>5559</v>
      </c>
      <c r="E951" s="47"/>
      <c r="F951" s="47" t="s">
        <v>3603</v>
      </c>
      <c r="G951" s="47" t="s">
        <v>3604</v>
      </c>
      <c r="H951" s="47" t="s">
        <v>3605</v>
      </c>
      <c r="I951" s="47" t="s">
        <v>18613</v>
      </c>
    </row>
    <row r="952" spans="1:9" ht="15">
      <c r="A952" s="47">
        <v>42450</v>
      </c>
      <c r="B952" s="47" t="s">
        <v>5560</v>
      </c>
      <c r="C952" s="47" t="s">
        <v>5561</v>
      </c>
      <c r="D952" s="47" t="s">
        <v>5562</v>
      </c>
      <c r="E952" s="47"/>
      <c r="F952" s="47"/>
      <c r="G952" s="47"/>
      <c r="H952" s="47" t="s">
        <v>3605</v>
      </c>
      <c r="I952" s="47" t="s">
        <v>18614</v>
      </c>
    </row>
    <row r="953" spans="1:9" ht="15">
      <c r="A953" s="47">
        <v>10321</v>
      </c>
      <c r="B953" s="47" t="s">
        <v>5563</v>
      </c>
      <c r="C953" s="47" t="s">
        <v>5564</v>
      </c>
      <c r="D953" s="47" t="s">
        <v>5565</v>
      </c>
      <c r="E953" s="47"/>
      <c r="F953" s="47" t="s">
        <v>3603</v>
      </c>
      <c r="G953" s="47" t="s">
        <v>3604</v>
      </c>
      <c r="H953" s="47" t="s">
        <v>3605</v>
      </c>
      <c r="I953" s="47" t="s">
        <v>18615</v>
      </c>
    </row>
    <row r="954" spans="1:9" ht="15">
      <c r="A954" s="47">
        <v>38261</v>
      </c>
      <c r="B954" s="47" t="s">
        <v>5566</v>
      </c>
      <c r="C954" s="47" t="s">
        <v>5567</v>
      </c>
      <c r="D954" s="47" t="s">
        <v>5568</v>
      </c>
      <c r="E954" s="47"/>
      <c r="F954" s="47" t="s">
        <v>3603</v>
      </c>
      <c r="G954" s="47" t="s">
        <v>3604</v>
      </c>
      <c r="H954" s="47" t="s">
        <v>3605</v>
      </c>
      <c r="I954" s="47" t="s">
        <v>18616</v>
      </c>
    </row>
    <row r="955" spans="1:9" ht="15">
      <c r="A955" s="47">
        <v>3100428</v>
      </c>
      <c r="B955" s="47" t="s">
        <v>5569</v>
      </c>
      <c r="C955" s="47" t="s">
        <v>5570</v>
      </c>
      <c r="D955" s="47" t="s">
        <v>5571</v>
      </c>
      <c r="E955" s="47"/>
      <c r="F955" s="47" t="s">
        <v>3603</v>
      </c>
      <c r="G955" s="47" t="s">
        <v>3604</v>
      </c>
      <c r="H955" s="47" t="s">
        <v>3605</v>
      </c>
      <c r="I955" s="47" t="s">
        <v>18617</v>
      </c>
    </row>
    <row r="956" spans="1:9" ht="15">
      <c r="A956" s="47">
        <v>3100467</v>
      </c>
      <c r="B956" s="47" t="s">
        <v>2405</v>
      </c>
      <c r="C956" s="47" t="s">
        <v>5572</v>
      </c>
      <c r="D956" s="47" t="s">
        <v>5573</v>
      </c>
      <c r="E956" s="47"/>
      <c r="F956" s="47"/>
      <c r="G956" s="47"/>
      <c r="H956" s="47" t="s">
        <v>3605</v>
      </c>
      <c r="I956" s="47" t="s">
        <v>18618</v>
      </c>
    </row>
    <row r="957" spans="1:9" ht="15">
      <c r="A957" s="47">
        <v>3100468</v>
      </c>
      <c r="B957" s="47" t="s">
        <v>5574</v>
      </c>
      <c r="C957" s="47" t="s">
        <v>5575</v>
      </c>
      <c r="D957" s="47" t="s">
        <v>5576</v>
      </c>
      <c r="E957" s="47"/>
      <c r="F957" s="47" t="s">
        <v>3603</v>
      </c>
      <c r="G957" s="47" t="s">
        <v>3604</v>
      </c>
      <c r="H957" s="47" t="s">
        <v>3605</v>
      </c>
      <c r="I957" s="47" t="s">
        <v>18619</v>
      </c>
    </row>
    <row r="958" spans="1:9" ht="15">
      <c r="A958" s="47">
        <v>3100600</v>
      </c>
      <c r="B958" s="47" t="s">
        <v>5577</v>
      </c>
      <c r="C958" s="47" t="s">
        <v>5578</v>
      </c>
      <c r="D958" s="47" t="s">
        <v>5579</v>
      </c>
      <c r="E958" s="47"/>
      <c r="F958" s="47" t="s">
        <v>3603</v>
      </c>
      <c r="G958" s="47" t="s">
        <v>3604</v>
      </c>
      <c r="H958" s="47" t="s">
        <v>3605</v>
      </c>
      <c r="I958" s="47" t="s">
        <v>18620</v>
      </c>
    </row>
    <row r="959" spans="1:9" ht="15">
      <c r="A959" s="47">
        <v>104034</v>
      </c>
      <c r="B959" s="47" t="s">
        <v>2453</v>
      </c>
      <c r="C959" s="47" t="s">
        <v>5580</v>
      </c>
      <c r="D959" s="47" t="s">
        <v>5581</v>
      </c>
      <c r="E959" s="47"/>
      <c r="F959" s="47"/>
      <c r="G959" s="47"/>
      <c r="H959" s="47" t="s">
        <v>3605</v>
      </c>
      <c r="I959" s="47" t="s">
        <v>18621</v>
      </c>
    </row>
    <row r="960" spans="1:9" ht="15">
      <c r="A960" s="47">
        <v>104032</v>
      </c>
      <c r="B960" s="47" t="s">
        <v>5582</v>
      </c>
      <c r="C960" s="47" t="s">
        <v>5583</v>
      </c>
      <c r="D960" s="47" t="s">
        <v>5584</v>
      </c>
      <c r="E960" s="47"/>
      <c r="F960" s="47" t="s">
        <v>3603</v>
      </c>
      <c r="G960" s="47" t="s">
        <v>3604</v>
      </c>
      <c r="H960" s="47" t="s">
        <v>3605</v>
      </c>
      <c r="I960" s="47" t="s">
        <v>18622</v>
      </c>
    </row>
    <row r="961" spans="1:9" ht="15">
      <c r="A961" s="47">
        <v>104031</v>
      </c>
      <c r="B961" s="47" t="s">
        <v>2449</v>
      </c>
      <c r="C961" s="47" t="s">
        <v>5585</v>
      </c>
      <c r="D961" s="47" t="s">
        <v>5586</v>
      </c>
      <c r="E961" s="47"/>
      <c r="F961" s="47"/>
      <c r="G961" s="47"/>
      <c r="H961" s="47" t="s">
        <v>3605</v>
      </c>
      <c r="I961" s="47" t="s">
        <v>18623</v>
      </c>
    </row>
    <row r="962" spans="1:9" ht="15">
      <c r="A962" s="47">
        <v>104037</v>
      </c>
      <c r="B962" s="47" t="s">
        <v>2117</v>
      </c>
      <c r="C962" s="47" t="s">
        <v>5587</v>
      </c>
      <c r="D962" s="47" t="s">
        <v>5588</v>
      </c>
      <c r="E962" s="47"/>
      <c r="F962" s="47"/>
      <c r="G962" s="47"/>
      <c r="H962" s="47" t="s">
        <v>3605</v>
      </c>
      <c r="I962" s="47" t="s">
        <v>18624</v>
      </c>
    </row>
    <row r="963" spans="1:9" ht="15">
      <c r="A963" s="47">
        <v>104040</v>
      </c>
      <c r="B963" s="47" t="s">
        <v>2424</v>
      </c>
      <c r="C963" s="47" t="s">
        <v>5589</v>
      </c>
      <c r="D963" s="47" t="s">
        <v>5590</v>
      </c>
      <c r="E963" s="47"/>
      <c r="F963" s="47"/>
      <c r="G963" s="47"/>
      <c r="H963" s="47" t="s">
        <v>3605</v>
      </c>
      <c r="I963" s="47" t="s">
        <v>18625</v>
      </c>
    </row>
    <row r="964" spans="1:9" ht="15">
      <c r="A964" s="47">
        <v>104041</v>
      </c>
      <c r="B964" s="47" t="s">
        <v>2425</v>
      </c>
      <c r="C964" s="47" t="s">
        <v>5591</v>
      </c>
      <c r="D964" s="47" t="s">
        <v>5592</v>
      </c>
      <c r="E964" s="47"/>
      <c r="F964" s="47"/>
      <c r="G964" s="47"/>
      <c r="H964" s="47" t="s">
        <v>3605</v>
      </c>
      <c r="I964" s="47" t="s">
        <v>18626</v>
      </c>
    </row>
    <row r="965" spans="1:9" ht="15">
      <c r="A965" s="47" t="s">
        <v>2128</v>
      </c>
      <c r="B965" s="47" t="s">
        <v>2129</v>
      </c>
      <c r="C965" s="47" t="s">
        <v>5593</v>
      </c>
      <c r="D965" s="47" t="s">
        <v>5594</v>
      </c>
      <c r="E965" s="47"/>
      <c r="F965" s="47"/>
      <c r="G965" s="47"/>
      <c r="H965" s="47" t="s">
        <v>3605</v>
      </c>
      <c r="I965" s="47" t="s">
        <v>2128</v>
      </c>
    </row>
    <row r="966" spans="1:9" ht="15">
      <c r="A966" s="47">
        <v>104026</v>
      </c>
      <c r="B966" s="47" t="s">
        <v>2127</v>
      </c>
      <c r="C966" s="47" t="s">
        <v>5595</v>
      </c>
      <c r="D966" s="47" t="s">
        <v>5596</v>
      </c>
      <c r="E966" s="47"/>
      <c r="F966" s="47"/>
      <c r="G966" s="47"/>
      <c r="H966" s="47" t="s">
        <v>3605</v>
      </c>
      <c r="I966" s="47" t="s">
        <v>18627</v>
      </c>
    </row>
    <row r="967" spans="1:9" ht="15">
      <c r="A967" s="47">
        <v>104033</v>
      </c>
      <c r="B967" s="47" t="s">
        <v>2452</v>
      </c>
      <c r="C967" s="47" t="s">
        <v>5597</v>
      </c>
      <c r="D967" s="47" t="s">
        <v>5598</v>
      </c>
      <c r="E967" s="47"/>
      <c r="F967" s="47"/>
      <c r="G967" s="47"/>
      <c r="H967" s="47" t="s">
        <v>3605</v>
      </c>
      <c r="I967" s="47" t="s">
        <v>18628</v>
      </c>
    </row>
    <row r="968" spans="1:9" ht="15">
      <c r="A968" s="47">
        <v>104027</v>
      </c>
      <c r="B968" s="47" t="s">
        <v>2448</v>
      </c>
      <c r="C968" s="47" t="s">
        <v>5599</v>
      </c>
      <c r="D968" s="47" t="s">
        <v>5600</v>
      </c>
      <c r="E968" s="47"/>
      <c r="F968" s="47"/>
      <c r="G968" s="47"/>
      <c r="H968" s="47" t="s">
        <v>3605</v>
      </c>
      <c r="I968" s="47" t="s">
        <v>18629</v>
      </c>
    </row>
    <row r="969" spans="1:9" ht="15">
      <c r="A969" s="47">
        <v>104023</v>
      </c>
      <c r="B969" s="47" t="s">
        <v>2177</v>
      </c>
      <c r="C969" s="47" t="s">
        <v>5601</v>
      </c>
      <c r="D969" s="47" t="s">
        <v>5602</v>
      </c>
      <c r="E969" s="47"/>
      <c r="F969" s="47"/>
      <c r="G969" s="47"/>
      <c r="H969" s="47" t="s">
        <v>3605</v>
      </c>
      <c r="I969" s="47" t="s">
        <v>18630</v>
      </c>
    </row>
    <row r="970" spans="1:9" ht="15">
      <c r="A970" s="47">
        <v>104036</v>
      </c>
      <c r="B970" s="47" t="s">
        <v>5603</v>
      </c>
      <c r="C970" s="47" t="s">
        <v>5604</v>
      </c>
      <c r="D970" s="47" t="s">
        <v>5605</v>
      </c>
      <c r="E970" s="47"/>
      <c r="F970" s="47" t="s">
        <v>3603</v>
      </c>
      <c r="G970" s="47" t="s">
        <v>3604</v>
      </c>
      <c r="H970" s="47" t="s">
        <v>3605</v>
      </c>
      <c r="I970" s="47" t="s">
        <v>18631</v>
      </c>
    </row>
    <row r="971" spans="1:9" ht="15">
      <c r="A971" s="47">
        <v>104030</v>
      </c>
      <c r="B971" s="47" t="s">
        <v>5606</v>
      </c>
      <c r="C971" s="47" t="s">
        <v>5607</v>
      </c>
      <c r="D971" s="47" t="s">
        <v>5608</v>
      </c>
      <c r="E971" s="47"/>
      <c r="F971" s="47" t="s">
        <v>3603</v>
      </c>
      <c r="G971" s="47" t="s">
        <v>3604</v>
      </c>
      <c r="H971" s="47" t="s">
        <v>3605</v>
      </c>
      <c r="I971" s="47" t="s">
        <v>18632</v>
      </c>
    </row>
    <row r="972" spans="1:9" ht="15">
      <c r="A972" s="47">
        <v>104028</v>
      </c>
      <c r="B972" s="47" t="s">
        <v>2030</v>
      </c>
      <c r="C972" s="47" t="s">
        <v>5609</v>
      </c>
      <c r="D972" s="47" t="s">
        <v>5610</v>
      </c>
      <c r="E972" s="47"/>
      <c r="F972" s="47"/>
      <c r="G972" s="47"/>
      <c r="H972" s="47" t="s">
        <v>3605</v>
      </c>
      <c r="I972" s="47" t="s">
        <v>18633</v>
      </c>
    </row>
    <row r="973" spans="1:9" ht="15">
      <c r="A973" s="47">
        <v>104029</v>
      </c>
      <c r="B973" s="47" t="s">
        <v>2031</v>
      </c>
      <c r="C973" s="47" t="s">
        <v>5611</v>
      </c>
      <c r="D973" s="47" t="s">
        <v>5612</v>
      </c>
      <c r="E973" s="47"/>
      <c r="F973" s="47"/>
      <c r="G973" s="47"/>
      <c r="H973" s="47" t="s">
        <v>3605</v>
      </c>
      <c r="I973" s="47" t="s">
        <v>18634</v>
      </c>
    </row>
    <row r="974" spans="1:9" ht="15">
      <c r="A974" s="47">
        <v>104039</v>
      </c>
      <c r="B974" s="47" t="s">
        <v>2423</v>
      </c>
      <c r="C974" s="47" t="s">
        <v>5613</v>
      </c>
      <c r="D974" s="47" t="s">
        <v>5614</v>
      </c>
      <c r="E974" s="47"/>
      <c r="F974" s="47"/>
      <c r="G974" s="47"/>
      <c r="H974" s="47" t="s">
        <v>3605</v>
      </c>
      <c r="I974" s="47" t="s">
        <v>18635</v>
      </c>
    </row>
    <row r="975" spans="1:9" ht="15">
      <c r="A975" s="47">
        <v>104020</v>
      </c>
      <c r="B975" s="47" t="s">
        <v>2176</v>
      </c>
      <c r="C975" s="47" t="s">
        <v>5615</v>
      </c>
      <c r="D975" s="47" t="s">
        <v>5616</v>
      </c>
      <c r="E975" s="47"/>
      <c r="F975" s="47"/>
      <c r="G975" s="47"/>
      <c r="H975" s="47" t="s">
        <v>3605</v>
      </c>
      <c r="I975" s="47" t="s">
        <v>18636</v>
      </c>
    </row>
    <row r="976" spans="1:9" ht="15">
      <c r="A976" s="47">
        <v>3110389</v>
      </c>
      <c r="B976" s="47" t="s">
        <v>5617</v>
      </c>
      <c r="C976" s="47" t="s">
        <v>5618</v>
      </c>
      <c r="D976" s="47" t="s">
        <v>5619</v>
      </c>
      <c r="E976" s="47"/>
      <c r="F976" s="47" t="s">
        <v>3603</v>
      </c>
      <c r="G976" s="47" t="s">
        <v>3604</v>
      </c>
      <c r="H976" s="47" t="s">
        <v>3605</v>
      </c>
      <c r="I976" s="47" t="s">
        <v>18637</v>
      </c>
    </row>
    <row r="977" spans="1:9" ht="15">
      <c r="A977" s="47">
        <v>42456</v>
      </c>
      <c r="B977" s="47" t="s">
        <v>5620</v>
      </c>
      <c r="C977" s="47" t="s">
        <v>5621</v>
      </c>
      <c r="D977" s="47" t="s">
        <v>5622</v>
      </c>
      <c r="E977" s="47"/>
      <c r="F977" s="47"/>
      <c r="G977" s="47"/>
      <c r="H977" s="47" t="s">
        <v>3605</v>
      </c>
      <c r="I977" s="47" t="s">
        <v>18638</v>
      </c>
    </row>
    <row r="978" spans="1:9" ht="15">
      <c r="A978" s="47">
        <v>42458</v>
      </c>
      <c r="B978" s="47" t="s">
        <v>5623</v>
      </c>
      <c r="C978" s="47" t="s">
        <v>5624</v>
      </c>
      <c r="D978" s="47" t="s">
        <v>5625</v>
      </c>
      <c r="E978" s="47"/>
      <c r="F978" s="47" t="s">
        <v>3603</v>
      </c>
      <c r="G978" s="47" t="s">
        <v>3604</v>
      </c>
      <c r="H978" s="47" t="s">
        <v>3605</v>
      </c>
      <c r="I978" s="47" t="s">
        <v>18639</v>
      </c>
    </row>
    <row r="979" spans="1:9" ht="15">
      <c r="A979" s="47">
        <v>10331</v>
      </c>
      <c r="B979" s="47" t="s">
        <v>5626</v>
      </c>
      <c r="C979" s="47" t="s">
        <v>5627</v>
      </c>
      <c r="D979" s="47" t="s">
        <v>5628</v>
      </c>
      <c r="E979" s="47"/>
      <c r="F979" s="47" t="s">
        <v>3603</v>
      </c>
      <c r="G979" s="47" t="s">
        <v>3604</v>
      </c>
      <c r="H979" s="47" t="s">
        <v>3605</v>
      </c>
      <c r="I979" s="47" t="s">
        <v>18640</v>
      </c>
    </row>
    <row r="980" spans="1:9" ht="15">
      <c r="A980" s="47">
        <v>10333</v>
      </c>
      <c r="B980" s="47" t="s">
        <v>5629</v>
      </c>
      <c r="C980" s="47" t="s">
        <v>5630</v>
      </c>
      <c r="D980" s="47" t="s">
        <v>5631</v>
      </c>
      <c r="E980" s="47"/>
      <c r="F980" s="47" t="s">
        <v>3603</v>
      </c>
      <c r="G980" s="47" t="s">
        <v>3604</v>
      </c>
      <c r="H980" s="47" t="s">
        <v>3605</v>
      </c>
      <c r="I980" s="47" t="s">
        <v>18641</v>
      </c>
    </row>
    <row r="981" spans="1:9" ht="15">
      <c r="A981" s="47">
        <v>10337</v>
      </c>
      <c r="B981" s="47" t="s">
        <v>5632</v>
      </c>
      <c r="C981" s="47" t="s">
        <v>5633</v>
      </c>
      <c r="D981" s="47" t="s">
        <v>5634</v>
      </c>
      <c r="E981" s="47"/>
      <c r="F981" s="47" t="s">
        <v>3603</v>
      </c>
      <c r="G981" s="47" t="s">
        <v>3604</v>
      </c>
      <c r="H981" s="47" t="s">
        <v>3605</v>
      </c>
      <c r="I981" s="47" t="s">
        <v>18642</v>
      </c>
    </row>
    <row r="982" spans="1:9" ht="15">
      <c r="A982" s="47">
        <v>1013406</v>
      </c>
      <c r="B982" s="47" t="s">
        <v>5635</v>
      </c>
      <c r="C982" s="47" t="s">
        <v>5636</v>
      </c>
      <c r="D982" s="47" t="s">
        <v>5637</v>
      </c>
      <c r="E982" s="47"/>
      <c r="F982" s="47" t="s">
        <v>3603</v>
      </c>
      <c r="G982" s="47" t="s">
        <v>3604</v>
      </c>
      <c r="H982" s="47" t="s">
        <v>3605</v>
      </c>
      <c r="I982" s="47" t="s">
        <v>18643</v>
      </c>
    </row>
    <row r="983" spans="1:9" ht="15">
      <c r="A983" s="47">
        <v>1013416</v>
      </c>
      <c r="B983" s="47" t="s">
        <v>5638</v>
      </c>
      <c r="C983" s="47" t="s">
        <v>5639</v>
      </c>
      <c r="D983" s="47" t="s">
        <v>5640</v>
      </c>
      <c r="E983" s="47"/>
      <c r="F983" s="47" t="s">
        <v>3603</v>
      </c>
      <c r="G983" s="47" t="s">
        <v>3604</v>
      </c>
      <c r="H983" s="47" t="s">
        <v>3605</v>
      </c>
      <c r="I983" s="47" t="s">
        <v>18644</v>
      </c>
    </row>
    <row r="984" spans="1:9" ht="15">
      <c r="A984" s="47">
        <v>42459</v>
      </c>
      <c r="B984" s="47" t="s">
        <v>5641</v>
      </c>
      <c r="C984" s="47" t="s">
        <v>5642</v>
      </c>
      <c r="D984" s="47" t="s">
        <v>5643</v>
      </c>
      <c r="E984" s="47"/>
      <c r="F984" s="47" t="s">
        <v>3603</v>
      </c>
      <c r="G984" s="47" t="s">
        <v>3604</v>
      </c>
      <c r="H984" s="47" t="s">
        <v>3605</v>
      </c>
      <c r="I984" s="47" t="s">
        <v>18645</v>
      </c>
    </row>
    <row r="985" spans="1:9" ht="15">
      <c r="A985" s="47" t="s">
        <v>2182</v>
      </c>
      <c r="B985" s="47" t="s">
        <v>2183</v>
      </c>
      <c r="C985" s="47" t="s">
        <v>5644</v>
      </c>
      <c r="D985" s="47" t="s">
        <v>5645</v>
      </c>
      <c r="E985" s="47"/>
      <c r="F985" s="47"/>
      <c r="G985" s="47"/>
      <c r="H985" s="47" t="s">
        <v>3605</v>
      </c>
      <c r="I985" s="47" t="s">
        <v>2182</v>
      </c>
    </row>
    <row r="986" spans="1:9" ht="15">
      <c r="A986" s="47">
        <v>42475</v>
      </c>
      <c r="B986" s="47" t="s">
        <v>5646</v>
      </c>
      <c r="C986" s="47" t="s">
        <v>5647</v>
      </c>
      <c r="D986" s="47" t="s">
        <v>5648</v>
      </c>
      <c r="E986" s="47"/>
      <c r="F986" s="47" t="s">
        <v>5491</v>
      </c>
      <c r="G986" s="47" t="s">
        <v>5492</v>
      </c>
      <c r="H986" s="47" t="s">
        <v>3605</v>
      </c>
      <c r="I986" s="47" t="s">
        <v>18646</v>
      </c>
    </row>
    <row r="987" spans="1:9" ht="15">
      <c r="A987" s="47" t="s">
        <v>2454</v>
      </c>
      <c r="B987" s="47" t="s">
        <v>2455</v>
      </c>
      <c r="C987" s="47" t="s">
        <v>5649</v>
      </c>
      <c r="D987" s="47" t="s">
        <v>5650</v>
      </c>
      <c r="E987" s="47"/>
      <c r="F987" s="47"/>
      <c r="G987" s="47"/>
      <c r="H987" s="47" t="s">
        <v>3605</v>
      </c>
      <c r="I987" s="47" t="s">
        <v>2454</v>
      </c>
    </row>
    <row r="988" spans="1:9" ht="15">
      <c r="A988" s="47" t="s">
        <v>2450</v>
      </c>
      <c r="B988" s="47" t="s">
        <v>2451</v>
      </c>
      <c r="C988" s="47" t="s">
        <v>5651</v>
      </c>
      <c r="D988" s="47" t="s">
        <v>5652</v>
      </c>
      <c r="E988" s="47"/>
      <c r="F988" s="47"/>
      <c r="G988" s="47"/>
      <c r="H988" s="47" t="s">
        <v>3605</v>
      </c>
      <c r="I988" s="47" t="s">
        <v>2450</v>
      </c>
    </row>
    <row r="989" spans="1:9" ht="15">
      <c r="A989" s="47" t="s">
        <v>2184</v>
      </c>
      <c r="B989" s="47" t="s">
        <v>2185</v>
      </c>
      <c r="C989" s="47" t="s">
        <v>5653</v>
      </c>
      <c r="D989" s="47" t="s">
        <v>5654</v>
      </c>
      <c r="E989" s="47"/>
      <c r="F989" s="47"/>
      <c r="G989" s="47"/>
      <c r="H989" s="47" t="s">
        <v>3605</v>
      </c>
      <c r="I989" s="47" t="s">
        <v>2184</v>
      </c>
    </row>
    <row r="990" spans="1:9" ht="15">
      <c r="A990" s="47">
        <v>3000408</v>
      </c>
      <c r="B990" s="47" t="s">
        <v>5655</v>
      </c>
      <c r="C990" s="47" t="s">
        <v>5656</v>
      </c>
      <c r="D990" s="47" t="s">
        <v>5657</v>
      </c>
      <c r="E990" s="47"/>
      <c r="F990" s="47" t="s">
        <v>3603</v>
      </c>
      <c r="G990" s="47" t="s">
        <v>3604</v>
      </c>
      <c r="H990" s="47" t="s">
        <v>3605</v>
      </c>
      <c r="I990" s="47" t="s">
        <v>18647</v>
      </c>
    </row>
    <row r="991" spans="1:9" ht="15">
      <c r="A991" s="47">
        <v>787480</v>
      </c>
      <c r="B991" s="47" t="s">
        <v>5658</v>
      </c>
      <c r="C991" s="47" t="s">
        <v>5659</v>
      </c>
      <c r="D991" s="47" t="s">
        <v>5660</v>
      </c>
      <c r="E991" s="47"/>
      <c r="F991" s="47" t="s">
        <v>3603</v>
      </c>
      <c r="G991" s="47" t="s">
        <v>3604</v>
      </c>
      <c r="H991" s="47" t="s">
        <v>3605</v>
      </c>
      <c r="I991" s="47" t="s">
        <v>18648</v>
      </c>
    </row>
    <row r="992" spans="1:9" ht="15">
      <c r="A992" s="47">
        <v>600003</v>
      </c>
      <c r="B992" s="47" t="s">
        <v>5661</v>
      </c>
      <c r="C992" s="47" t="s">
        <v>5662</v>
      </c>
      <c r="D992" s="47" t="s">
        <v>5663</v>
      </c>
      <c r="E992" s="47"/>
      <c r="F992" s="47" t="s">
        <v>3603</v>
      </c>
      <c r="G992" s="47" t="s">
        <v>3604</v>
      </c>
      <c r="H992" s="47" t="s">
        <v>3605</v>
      </c>
      <c r="I992" s="47" t="s">
        <v>18649</v>
      </c>
    </row>
    <row r="993" spans="1:9" ht="15">
      <c r="A993" s="47" t="s">
        <v>2188</v>
      </c>
      <c r="B993" s="47" t="s">
        <v>2189</v>
      </c>
      <c r="C993" s="47" t="s">
        <v>5664</v>
      </c>
      <c r="D993" s="47" t="s">
        <v>5665</v>
      </c>
      <c r="E993" s="47"/>
      <c r="F993" s="47"/>
      <c r="G993" s="47"/>
      <c r="H993" s="47" t="s">
        <v>3605</v>
      </c>
      <c r="I993" s="47" t="s">
        <v>2188</v>
      </c>
    </row>
    <row r="994" spans="1:9" ht="15">
      <c r="A994" s="47">
        <v>42501</v>
      </c>
      <c r="B994" s="47" t="s">
        <v>5666</v>
      </c>
      <c r="C994" s="47" t="s">
        <v>5667</v>
      </c>
      <c r="D994" s="47" t="s">
        <v>5668</v>
      </c>
      <c r="E994" s="47"/>
      <c r="F994" s="47"/>
      <c r="G994" s="47"/>
      <c r="H994" s="47" t="s">
        <v>3605</v>
      </c>
      <c r="I994" s="47" t="s">
        <v>18650</v>
      </c>
    </row>
    <row r="995" spans="1:9" ht="15">
      <c r="A995" s="47">
        <v>104001</v>
      </c>
      <c r="B995" s="47" t="s">
        <v>2421</v>
      </c>
      <c r="C995" s="47" t="s">
        <v>5669</v>
      </c>
      <c r="D995" s="47" t="s">
        <v>5670</v>
      </c>
      <c r="E995" s="47"/>
      <c r="F995" s="47"/>
      <c r="G995" s="47"/>
      <c r="H995" s="47" t="s">
        <v>3605</v>
      </c>
      <c r="I995" s="47" t="s">
        <v>18651</v>
      </c>
    </row>
    <row r="996" spans="1:9" ht="15">
      <c r="A996" s="47">
        <v>42502</v>
      </c>
      <c r="B996" s="47" t="s">
        <v>5671</v>
      </c>
      <c r="C996" s="47" t="s">
        <v>5672</v>
      </c>
      <c r="D996" s="47" t="s">
        <v>5673</v>
      </c>
      <c r="E996" s="47"/>
      <c r="F996" s="47" t="s">
        <v>3603</v>
      </c>
      <c r="G996" s="47" t="s">
        <v>3604</v>
      </c>
      <c r="H996" s="47" t="s">
        <v>3605</v>
      </c>
      <c r="I996" s="47" t="s">
        <v>18652</v>
      </c>
    </row>
    <row r="997" spans="1:9" ht="15">
      <c r="A997" s="47">
        <v>104009</v>
      </c>
      <c r="B997" s="47" t="s">
        <v>5674</v>
      </c>
      <c r="C997" s="47" t="s">
        <v>5675</v>
      </c>
      <c r="D997" s="47" t="s">
        <v>5676</v>
      </c>
      <c r="E997" s="47"/>
      <c r="F997" s="47" t="s">
        <v>3603</v>
      </c>
      <c r="G997" s="47" t="s">
        <v>3604</v>
      </c>
      <c r="H997" s="47" t="s">
        <v>3605</v>
      </c>
      <c r="I997" s="47" t="s">
        <v>18653</v>
      </c>
    </row>
    <row r="998" spans="1:9" ht="15">
      <c r="A998" s="47">
        <v>104012</v>
      </c>
      <c r="B998" s="47" t="s">
        <v>1032</v>
      </c>
      <c r="C998" s="47" t="s">
        <v>5677</v>
      </c>
      <c r="D998" s="47" t="s">
        <v>5678</v>
      </c>
      <c r="E998" s="47"/>
      <c r="F998" s="47"/>
      <c r="G998" s="47"/>
      <c r="H998" s="47" t="s">
        <v>3605</v>
      </c>
      <c r="I998" s="47" t="s">
        <v>18654</v>
      </c>
    </row>
    <row r="999" spans="1:9" ht="15">
      <c r="A999" s="47">
        <v>10336</v>
      </c>
      <c r="B999" s="47" t="s">
        <v>2190</v>
      </c>
      <c r="C999" s="47" t="s">
        <v>5679</v>
      </c>
      <c r="D999" s="47" t="s">
        <v>5680</v>
      </c>
      <c r="E999" s="47"/>
      <c r="F999" s="47"/>
      <c r="G999" s="47"/>
      <c r="H999" s="47" t="s">
        <v>3605</v>
      </c>
      <c r="I999" s="47" t="s">
        <v>18655</v>
      </c>
    </row>
    <row r="1000" spans="1:9" ht="15">
      <c r="A1000" s="47">
        <v>42503</v>
      </c>
      <c r="B1000" s="47" t="s">
        <v>5681</v>
      </c>
      <c r="C1000" s="47" t="s">
        <v>5682</v>
      </c>
      <c r="D1000" s="47" t="s">
        <v>5683</v>
      </c>
      <c r="E1000" s="47"/>
      <c r="F1000" s="47" t="s">
        <v>3603</v>
      </c>
      <c r="G1000" s="47" t="s">
        <v>3604</v>
      </c>
      <c r="H1000" s="47" t="s">
        <v>3605</v>
      </c>
      <c r="I1000" s="47" t="s">
        <v>18656</v>
      </c>
    </row>
    <row r="1001" spans="1:9" ht="15">
      <c r="A1001" s="47">
        <v>600002</v>
      </c>
      <c r="B1001" s="47" t="s">
        <v>1138</v>
      </c>
      <c r="C1001" s="47" t="s">
        <v>5684</v>
      </c>
      <c r="D1001" s="47" t="s">
        <v>5685</v>
      </c>
      <c r="E1001" s="47"/>
      <c r="F1001" s="47"/>
      <c r="G1001" s="47"/>
      <c r="H1001" s="47" t="s">
        <v>3605</v>
      </c>
      <c r="I1001" s="47" t="s">
        <v>18657</v>
      </c>
    </row>
    <row r="1002" spans="1:9" ht="15">
      <c r="A1002" s="47">
        <v>104002</v>
      </c>
      <c r="B1002" s="47" t="s">
        <v>5686</v>
      </c>
      <c r="C1002" s="47" t="s">
        <v>5687</v>
      </c>
      <c r="D1002" s="47" t="s">
        <v>5688</v>
      </c>
      <c r="E1002" s="47"/>
      <c r="F1002" s="47" t="s">
        <v>3603</v>
      </c>
      <c r="G1002" s="47" t="s">
        <v>3604</v>
      </c>
      <c r="H1002" s="47" t="s">
        <v>3605</v>
      </c>
      <c r="I1002" s="47" t="s">
        <v>18658</v>
      </c>
    </row>
    <row r="1003" spans="1:9" ht="15">
      <c r="A1003" s="47">
        <v>1013412</v>
      </c>
      <c r="B1003" s="47" t="s">
        <v>5689</v>
      </c>
      <c r="C1003" s="47" t="s">
        <v>5690</v>
      </c>
      <c r="D1003" s="47" t="s">
        <v>5691</v>
      </c>
      <c r="E1003" s="47"/>
      <c r="F1003" s="47" t="s">
        <v>3603</v>
      </c>
      <c r="G1003" s="47" t="s">
        <v>3604</v>
      </c>
      <c r="H1003" s="47" t="s">
        <v>3605</v>
      </c>
      <c r="I1003" s="47" t="s">
        <v>18659</v>
      </c>
    </row>
    <row r="1004" spans="1:9" ht="15">
      <c r="A1004" s="47">
        <v>104010</v>
      </c>
      <c r="B1004" s="47" t="s">
        <v>1031</v>
      </c>
      <c r="C1004" s="47" t="s">
        <v>5692</v>
      </c>
      <c r="D1004" s="47" t="s">
        <v>5693</v>
      </c>
      <c r="E1004" s="47"/>
      <c r="F1004" s="47"/>
      <c r="G1004" s="47"/>
      <c r="H1004" s="47" t="s">
        <v>3605</v>
      </c>
      <c r="I1004" s="47" t="s">
        <v>18660</v>
      </c>
    </row>
    <row r="1005" spans="1:9" ht="15">
      <c r="A1005" s="47">
        <v>787800</v>
      </c>
      <c r="B1005" s="47" t="s">
        <v>2420</v>
      </c>
      <c r="C1005" s="47" t="s">
        <v>5694</v>
      </c>
      <c r="D1005" s="47" t="s">
        <v>5695</v>
      </c>
      <c r="E1005" s="47"/>
      <c r="F1005" s="47"/>
      <c r="G1005" s="47"/>
      <c r="H1005" s="47" t="s">
        <v>3605</v>
      </c>
      <c r="I1005" s="47" t="s">
        <v>18661</v>
      </c>
    </row>
    <row r="1006" spans="1:9" ht="15">
      <c r="A1006" s="47">
        <v>8211134</v>
      </c>
      <c r="B1006" s="47" t="s">
        <v>2196</v>
      </c>
      <c r="C1006" s="47" t="s">
        <v>5696</v>
      </c>
      <c r="D1006" s="47" t="s">
        <v>5697</v>
      </c>
      <c r="E1006" s="47"/>
      <c r="F1006" s="47"/>
      <c r="G1006" s="47"/>
      <c r="H1006" s="47" t="s">
        <v>3605</v>
      </c>
      <c r="I1006" s="47" t="s">
        <v>18662</v>
      </c>
    </row>
    <row r="1007" spans="1:9" ht="15">
      <c r="A1007" s="47">
        <v>104004</v>
      </c>
      <c r="B1007" s="47" t="s">
        <v>1027</v>
      </c>
      <c r="C1007" s="47" t="s">
        <v>5698</v>
      </c>
      <c r="D1007" s="47" t="s">
        <v>5699</v>
      </c>
      <c r="E1007" s="47"/>
      <c r="F1007" s="47"/>
      <c r="G1007" s="47"/>
      <c r="H1007" s="47" t="s">
        <v>3605</v>
      </c>
      <c r="I1007" s="47" t="s">
        <v>18663</v>
      </c>
    </row>
    <row r="1008" spans="1:9" ht="15">
      <c r="A1008" s="47">
        <v>104008</v>
      </c>
      <c r="B1008" s="47" t="s">
        <v>1029</v>
      </c>
      <c r="C1008" s="47" t="s">
        <v>5700</v>
      </c>
      <c r="D1008" s="47" t="s">
        <v>5701</v>
      </c>
      <c r="E1008" s="47"/>
      <c r="F1008" s="47"/>
      <c r="G1008" s="47"/>
      <c r="H1008" s="47" t="s">
        <v>3605</v>
      </c>
      <c r="I1008" s="47" t="s">
        <v>18664</v>
      </c>
    </row>
    <row r="1009" spans="1:9" ht="15">
      <c r="A1009" s="47">
        <v>600000</v>
      </c>
      <c r="B1009" s="47" t="s">
        <v>1137</v>
      </c>
      <c r="C1009" s="47" t="s">
        <v>5702</v>
      </c>
      <c r="D1009" s="47" t="s">
        <v>5703</v>
      </c>
      <c r="E1009" s="47"/>
      <c r="F1009" s="47"/>
      <c r="G1009" s="47"/>
      <c r="H1009" s="47" t="s">
        <v>3605</v>
      </c>
      <c r="I1009" s="47" t="s">
        <v>18665</v>
      </c>
    </row>
    <row r="1010" spans="1:9" ht="15">
      <c r="A1010" s="47">
        <v>104022</v>
      </c>
      <c r="B1010" s="47" t="s">
        <v>2447</v>
      </c>
      <c r="C1010" s="47" t="s">
        <v>5704</v>
      </c>
      <c r="D1010" s="47" t="s">
        <v>5705</v>
      </c>
      <c r="E1010" s="47"/>
      <c r="F1010" s="47"/>
      <c r="G1010" s="47"/>
      <c r="H1010" s="47" t="s">
        <v>3605</v>
      </c>
      <c r="I1010" s="47" t="s">
        <v>18666</v>
      </c>
    </row>
    <row r="1011" spans="1:9" ht="15">
      <c r="A1011" s="47">
        <v>3200449</v>
      </c>
      <c r="B1011" s="47" t="s">
        <v>1194</v>
      </c>
      <c r="C1011" s="47" t="s">
        <v>5706</v>
      </c>
      <c r="D1011" s="47" t="s">
        <v>5707</v>
      </c>
      <c r="E1011" s="47"/>
      <c r="F1011" s="47"/>
      <c r="G1011" s="47"/>
      <c r="H1011" s="47" t="s">
        <v>3605</v>
      </c>
      <c r="I1011" s="47" t="s">
        <v>18667</v>
      </c>
    </row>
    <row r="1012" spans="1:9" ht="15">
      <c r="A1012" s="47">
        <v>42504</v>
      </c>
      <c r="B1012" s="47" t="s">
        <v>5708</v>
      </c>
      <c r="C1012" s="47" t="s">
        <v>5709</v>
      </c>
      <c r="D1012" s="47" t="s">
        <v>5710</v>
      </c>
      <c r="E1012" s="47"/>
      <c r="F1012" s="47" t="s">
        <v>3603</v>
      </c>
      <c r="G1012" s="47" t="s">
        <v>3604</v>
      </c>
      <c r="H1012" s="47" t="s">
        <v>3605</v>
      </c>
      <c r="I1012" s="47" t="s">
        <v>18668</v>
      </c>
    </row>
    <row r="1013" spans="1:9" ht="15">
      <c r="A1013" s="47">
        <v>102190</v>
      </c>
      <c r="B1013" s="47" t="s">
        <v>5711</v>
      </c>
      <c r="C1013" s="47" t="s">
        <v>5712</v>
      </c>
      <c r="D1013" s="47" t="s">
        <v>5713</v>
      </c>
      <c r="E1013" s="47"/>
      <c r="F1013" s="47" t="s">
        <v>3603</v>
      </c>
      <c r="G1013" s="47" t="s">
        <v>3604</v>
      </c>
      <c r="H1013" s="47" t="s">
        <v>3605</v>
      </c>
      <c r="I1013" s="47" t="s">
        <v>18669</v>
      </c>
    </row>
    <row r="1014" spans="1:9" ht="15">
      <c r="A1014" s="47">
        <v>42528</v>
      </c>
      <c r="B1014" s="47" t="s">
        <v>5714</v>
      </c>
      <c r="C1014" s="47" t="s">
        <v>5715</v>
      </c>
      <c r="D1014" s="47" t="s">
        <v>5716</v>
      </c>
      <c r="E1014" s="47"/>
      <c r="F1014" s="47" t="s">
        <v>3603</v>
      </c>
      <c r="G1014" s="47" t="s">
        <v>3604</v>
      </c>
      <c r="H1014" s="47" t="s">
        <v>3605</v>
      </c>
      <c r="I1014" s="47" t="s">
        <v>18670</v>
      </c>
    </row>
    <row r="1015" spans="1:9" ht="15">
      <c r="A1015" s="47">
        <v>102170</v>
      </c>
      <c r="B1015" s="47" t="s">
        <v>1021</v>
      </c>
      <c r="C1015" s="47" t="s">
        <v>5717</v>
      </c>
      <c r="D1015" s="47" t="s">
        <v>5718</v>
      </c>
      <c r="E1015" s="47"/>
      <c r="F1015" s="47"/>
      <c r="G1015" s="47"/>
      <c r="H1015" s="47" t="s">
        <v>3605</v>
      </c>
      <c r="I1015" s="47" t="s">
        <v>18671</v>
      </c>
    </row>
    <row r="1016" spans="1:9" ht="15">
      <c r="A1016" s="47">
        <v>42539</v>
      </c>
      <c r="B1016" s="47" t="s">
        <v>5719</v>
      </c>
      <c r="C1016" s="47" t="s">
        <v>5720</v>
      </c>
      <c r="D1016" s="47" t="s">
        <v>5721</v>
      </c>
      <c r="E1016" s="47"/>
      <c r="F1016" s="47" t="s">
        <v>3603</v>
      </c>
      <c r="G1016" s="47" t="s">
        <v>3604</v>
      </c>
      <c r="H1016" s="47" t="s">
        <v>3605</v>
      </c>
      <c r="I1016" s="47" t="s">
        <v>18672</v>
      </c>
    </row>
    <row r="1017" spans="1:9" ht="15">
      <c r="A1017" s="47">
        <v>42556</v>
      </c>
      <c r="B1017" s="47" t="s">
        <v>5722</v>
      </c>
      <c r="C1017" s="47" t="s">
        <v>5723</v>
      </c>
      <c r="D1017" s="47" t="s">
        <v>5724</v>
      </c>
      <c r="E1017" s="47"/>
      <c r="F1017" s="47" t="s">
        <v>3603</v>
      </c>
      <c r="G1017" s="47" t="s">
        <v>3604</v>
      </c>
      <c r="H1017" s="47" t="s">
        <v>3605</v>
      </c>
      <c r="I1017" s="47" t="s">
        <v>18673</v>
      </c>
    </row>
    <row r="1018" spans="1:9" ht="15">
      <c r="A1018" s="47">
        <v>8210329</v>
      </c>
      <c r="B1018" s="47" t="s">
        <v>5725</v>
      </c>
      <c r="C1018" s="47" t="s">
        <v>5726</v>
      </c>
      <c r="D1018" s="47" t="s">
        <v>5727</v>
      </c>
      <c r="E1018" s="47"/>
      <c r="F1018" s="47" t="s">
        <v>3603</v>
      </c>
      <c r="G1018" s="47" t="s">
        <v>3604</v>
      </c>
      <c r="H1018" s="47" t="s">
        <v>3605</v>
      </c>
      <c r="I1018" s="47" t="s">
        <v>18674</v>
      </c>
    </row>
    <row r="1019" spans="1:9" ht="15">
      <c r="A1019" s="47">
        <v>42575</v>
      </c>
      <c r="B1019" s="47" t="s">
        <v>5728</v>
      </c>
      <c r="C1019" s="47" t="s">
        <v>5729</v>
      </c>
      <c r="D1019" s="47" t="s">
        <v>5730</v>
      </c>
      <c r="E1019" s="47"/>
      <c r="F1019" s="47" t="s">
        <v>3603</v>
      </c>
      <c r="G1019" s="47" t="s">
        <v>3604</v>
      </c>
      <c r="H1019" s="47" t="s">
        <v>3605</v>
      </c>
      <c r="I1019" s="47" t="s">
        <v>18675</v>
      </c>
    </row>
    <row r="1020" spans="1:9" ht="15">
      <c r="A1020" s="47">
        <v>42576</v>
      </c>
      <c r="B1020" s="47" t="s">
        <v>5731</v>
      </c>
      <c r="C1020" s="47" t="s">
        <v>5732</v>
      </c>
      <c r="D1020" s="47" t="s">
        <v>5733</v>
      </c>
      <c r="E1020" s="47"/>
      <c r="F1020" s="47" t="s">
        <v>3603</v>
      </c>
      <c r="G1020" s="47" t="s">
        <v>3604</v>
      </c>
      <c r="H1020" s="47" t="s">
        <v>3605</v>
      </c>
      <c r="I1020" s="47" t="s">
        <v>18676</v>
      </c>
    </row>
    <row r="1021" spans="1:9" ht="15">
      <c r="A1021" s="47">
        <v>42577</v>
      </c>
      <c r="B1021" s="47" t="s">
        <v>5734</v>
      </c>
      <c r="C1021" s="47" t="s">
        <v>5735</v>
      </c>
      <c r="D1021" s="47" t="s">
        <v>5736</v>
      </c>
      <c r="E1021" s="47"/>
      <c r="F1021" s="47" t="s">
        <v>3603</v>
      </c>
      <c r="G1021" s="47" t="s">
        <v>3604</v>
      </c>
      <c r="H1021" s="47" t="s">
        <v>3605</v>
      </c>
      <c r="I1021" s="47" t="s">
        <v>18677</v>
      </c>
    </row>
    <row r="1022" spans="1:9" ht="15">
      <c r="A1022" s="47">
        <v>102410</v>
      </c>
      <c r="B1022" s="47" t="s">
        <v>2211</v>
      </c>
      <c r="C1022" s="47" t="s">
        <v>5737</v>
      </c>
      <c r="D1022" s="47" t="s">
        <v>5738</v>
      </c>
      <c r="E1022" s="47"/>
      <c r="F1022" s="47"/>
      <c r="G1022" s="47"/>
      <c r="H1022" s="47" t="s">
        <v>3605</v>
      </c>
      <c r="I1022" s="47" t="s">
        <v>18678</v>
      </c>
    </row>
    <row r="1023" spans="1:9" ht="15">
      <c r="A1023" s="47">
        <v>102160</v>
      </c>
      <c r="B1023" s="47" t="s">
        <v>5739</v>
      </c>
      <c r="C1023" s="47" t="s">
        <v>5740</v>
      </c>
      <c r="D1023" s="47" t="s">
        <v>5741</v>
      </c>
      <c r="E1023" s="47"/>
      <c r="F1023" s="47" t="s">
        <v>3603</v>
      </c>
      <c r="G1023" s="47" t="s">
        <v>3604</v>
      </c>
      <c r="H1023" s="47" t="s">
        <v>3605</v>
      </c>
      <c r="I1023" s="47" t="s">
        <v>18679</v>
      </c>
    </row>
    <row r="1024" spans="1:9" ht="15">
      <c r="A1024" s="47">
        <v>102280</v>
      </c>
      <c r="B1024" s="47" t="s">
        <v>2210</v>
      </c>
      <c r="C1024" s="47" t="s">
        <v>5742</v>
      </c>
      <c r="D1024" s="47" t="s">
        <v>5743</v>
      </c>
      <c r="E1024" s="47"/>
      <c r="F1024" s="47"/>
      <c r="G1024" s="47"/>
      <c r="H1024" s="47" t="s">
        <v>3605</v>
      </c>
      <c r="I1024" s="47" t="s">
        <v>18680</v>
      </c>
    </row>
    <row r="1025" spans="1:9" ht="15">
      <c r="A1025" s="47">
        <v>104321</v>
      </c>
      <c r="B1025" s="47" t="s">
        <v>5744</v>
      </c>
      <c r="C1025" s="47" t="s">
        <v>5745</v>
      </c>
      <c r="D1025" s="47" t="s">
        <v>5746</v>
      </c>
      <c r="E1025" s="47"/>
      <c r="F1025" s="47" t="s">
        <v>3603</v>
      </c>
      <c r="G1025" s="47" t="s">
        <v>3604</v>
      </c>
      <c r="H1025" s="47" t="s">
        <v>3605</v>
      </c>
      <c r="I1025" s="47" t="s">
        <v>18681</v>
      </c>
    </row>
    <row r="1026" spans="1:9" ht="15">
      <c r="A1026" s="47">
        <v>42578</v>
      </c>
      <c r="B1026" s="47" t="s">
        <v>5747</v>
      </c>
      <c r="C1026" s="47" t="s">
        <v>5748</v>
      </c>
      <c r="D1026" s="47" t="s">
        <v>5749</v>
      </c>
      <c r="E1026" s="47"/>
      <c r="F1026" s="47" t="s">
        <v>3603</v>
      </c>
      <c r="G1026" s="47" t="s">
        <v>3604</v>
      </c>
      <c r="H1026" s="47" t="s">
        <v>3605</v>
      </c>
      <c r="I1026" s="47" t="s">
        <v>18682</v>
      </c>
    </row>
    <row r="1027" spans="1:9" ht="15">
      <c r="A1027" s="47">
        <v>102260</v>
      </c>
      <c r="B1027" s="47" t="s">
        <v>2208</v>
      </c>
      <c r="C1027" s="47" t="s">
        <v>5750</v>
      </c>
      <c r="D1027" s="47" t="s">
        <v>5751</v>
      </c>
      <c r="E1027" s="47"/>
      <c r="F1027" s="47"/>
      <c r="G1027" s="47"/>
      <c r="H1027" s="47" t="s">
        <v>3605</v>
      </c>
      <c r="I1027" s="47" t="s">
        <v>18683</v>
      </c>
    </row>
    <row r="1028" spans="1:9" ht="15">
      <c r="A1028" s="47" t="s">
        <v>2204</v>
      </c>
      <c r="B1028" s="47" t="s">
        <v>2205</v>
      </c>
      <c r="C1028" s="47" t="s">
        <v>5752</v>
      </c>
      <c r="D1028" s="47" t="s">
        <v>5753</v>
      </c>
      <c r="E1028" s="47"/>
      <c r="F1028" s="47"/>
      <c r="G1028" s="47"/>
      <c r="H1028" s="47" t="s">
        <v>3605</v>
      </c>
      <c r="I1028" s="47" t="s">
        <v>2204</v>
      </c>
    </row>
    <row r="1029" spans="1:9" ht="15">
      <c r="A1029" s="47">
        <v>102140</v>
      </c>
      <c r="B1029" s="47" t="s">
        <v>2203</v>
      </c>
      <c r="C1029" s="47" t="s">
        <v>5754</v>
      </c>
      <c r="D1029" s="47" t="s">
        <v>5755</v>
      </c>
      <c r="E1029" s="47"/>
      <c r="F1029" s="47"/>
      <c r="G1029" s="47"/>
      <c r="H1029" s="47" t="s">
        <v>3605</v>
      </c>
      <c r="I1029" s="47" t="s">
        <v>18684</v>
      </c>
    </row>
    <row r="1030" spans="1:9" ht="15">
      <c r="A1030" s="47">
        <v>102211</v>
      </c>
      <c r="B1030" s="47" t="s">
        <v>5756</v>
      </c>
      <c r="C1030" s="47" t="s">
        <v>5757</v>
      </c>
      <c r="D1030" s="47" t="s">
        <v>5758</v>
      </c>
      <c r="E1030" s="47"/>
      <c r="F1030" s="47" t="s">
        <v>3603</v>
      </c>
      <c r="G1030" s="47" t="s">
        <v>3604</v>
      </c>
      <c r="H1030" s="47" t="s">
        <v>3605</v>
      </c>
      <c r="I1030" s="47" t="s">
        <v>18685</v>
      </c>
    </row>
    <row r="1031" spans="1:9" ht="15">
      <c r="A1031" s="47">
        <v>102212</v>
      </c>
      <c r="B1031" s="47" t="s">
        <v>2207</v>
      </c>
      <c r="C1031" s="47" t="s">
        <v>5759</v>
      </c>
      <c r="D1031" s="47" t="s">
        <v>5760</v>
      </c>
      <c r="E1031" s="47"/>
      <c r="F1031" s="47"/>
      <c r="G1031" s="47"/>
      <c r="H1031" s="47" t="s">
        <v>3605</v>
      </c>
      <c r="I1031" s="47" t="s">
        <v>18686</v>
      </c>
    </row>
    <row r="1032" spans="1:9" ht="15">
      <c r="A1032" s="47">
        <v>102213</v>
      </c>
      <c r="B1032" s="47" t="s">
        <v>1025</v>
      </c>
      <c r="C1032" s="47" t="s">
        <v>5761</v>
      </c>
      <c r="D1032" s="47" t="s">
        <v>5762</v>
      </c>
      <c r="E1032" s="47"/>
      <c r="F1032" s="47"/>
      <c r="G1032" s="47"/>
      <c r="H1032" s="47" t="s">
        <v>3605</v>
      </c>
      <c r="I1032" s="47" t="s">
        <v>18687</v>
      </c>
    </row>
    <row r="1033" spans="1:9" ht="15">
      <c r="A1033" s="47">
        <v>8210328</v>
      </c>
      <c r="B1033" s="47" t="s">
        <v>5763</v>
      </c>
      <c r="C1033" s="47" t="s">
        <v>5764</v>
      </c>
      <c r="D1033" s="47" t="s">
        <v>5765</v>
      </c>
      <c r="E1033" s="47"/>
      <c r="F1033" s="47" t="s">
        <v>3603</v>
      </c>
      <c r="G1033" s="47" t="s">
        <v>3604</v>
      </c>
      <c r="H1033" s="47" t="s">
        <v>3605</v>
      </c>
      <c r="I1033" s="47" t="s">
        <v>18688</v>
      </c>
    </row>
    <row r="1034" spans="1:9" ht="15">
      <c r="A1034" s="47">
        <v>104308</v>
      </c>
      <c r="B1034" s="47" t="s">
        <v>5766</v>
      </c>
      <c r="C1034" s="47" t="s">
        <v>5767</v>
      </c>
      <c r="D1034" s="47" t="s">
        <v>5768</v>
      </c>
      <c r="E1034" s="47"/>
      <c r="F1034" s="47" t="s">
        <v>3603</v>
      </c>
      <c r="G1034" s="47" t="s">
        <v>3604</v>
      </c>
      <c r="H1034" s="47" t="s">
        <v>3605</v>
      </c>
      <c r="I1034" s="47" t="s">
        <v>18689</v>
      </c>
    </row>
    <row r="1035" spans="1:9" ht="15">
      <c r="A1035" s="47">
        <v>104307</v>
      </c>
      <c r="B1035" s="47" t="s">
        <v>5769</v>
      </c>
      <c r="C1035" s="47" t="s">
        <v>5770</v>
      </c>
      <c r="D1035" s="47" t="s">
        <v>5771</v>
      </c>
      <c r="E1035" s="47"/>
      <c r="F1035" s="47" t="s">
        <v>3603</v>
      </c>
      <c r="G1035" s="47" t="s">
        <v>3604</v>
      </c>
      <c r="H1035" s="47" t="s">
        <v>3605</v>
      </c>
      <c r="I1035" s="47" t="s">
        <v>18690</v>
      </c>
    </row>
    <row r="1036" spans="1:9" ht="15">
      <c r="A1036" s="47">
        <v>102210</v>
      </c>
      <c r="B1036" s="47" t="s">
        <v>5772</v>
      </c>
      <c r="C1036" s="47" t="s">
        <v>5773</v>
      </c>
      <c r="D1036" s="47" t="s">
        <v>5774</v>
      </c>
      <c r="E1036" s="47"/>
      <c r="F1036" s="47" t="s">
        <v>3603</v>
      </c>
      <c r="G1036" s="47" t="s">
        <v>3604</v>
      </c>
      <c r="H1036" s="47" t="s">
        <v>3605</v>
      </c>
      <c r="I1036" s="47" t="s">
        <v>18691</v>
      </c>
    </row>
    <row r="1037" spans="1:9" ht="15">
      <c r="A1037" s="47">
        <v>102130</v>
      </c>
      <c r="B1037" s="47" t="s">
        <v>2202</v>
      </c>
      <c r="C1037" s="47" t="s">
        <v>5775</v>
      </c>
      <c r="D1037" s="47" t="s">
        <v>5776</v>
      </c>
      <c r="E1037" s="47"/>
      <c r="F1037" s="47"/>
      <c r="G1037" s="47"/>
      <c r="H1037" s="47" t="s">
        <v>3605</v>
      </c>
      <c r="I1037" s="47" t="s">
        <v>18692</v>
      </c>
    </row>
    <row r="1038" spans="1:9" ht="15">
      <c r="A1038" s="47">
        <v>42579</v>
      </c>
      <c r="B1038" s="47" t="s">
        <v>5777</v>
      </c>
      <c r="C1038" s="47" t="s">
        <v>5778</v>
      </c>
      <c r="D1038" s="47" t="s">
        <v>5779</v>
      </c>
      <c r="E1038" s="47"/>
      <c r="F1038" s="47" t="s">
        <v>3603</v>
      </c>
      <c r="G1038" s="47" t="s">
        <v>3604</v>
      </c>
      <c r="H1038" s="47" t="s">
        <v>3605</v>
      </c>
      <c r="I1038" s="47" t="s">
        <v>18693</v>
      </c>
    </row>
    <row r="1039" spans="1:9" ht="15">
      <c r="A1039" s="47">
        <v>383007</v>
      </c>
      <c r="B1039" s="47" t="s">
        <v>2067</v>
      </c>
      <c r="C1039" s="47" t="s">
        <v>5780</v>
      </c>
      <c r="D1039" s="47" t="s">
        <v>5781</v>
      </c>
      <c r="E1039" s="47"/>
      <c r="F1039" s="47"/>
      <c r="G1039" s="47"/>
      <c r="H1039" s="47" t="s">
        <v>3605</v>
      </c>
      <c r="I1039" s="47" t="s">
        <v>18694</v>
      </c>
    </row>
    <row r="1040" spans="1:9" ht="15">
      <c r="A1040" s="47">
        <v>42645</v>
      </c>
      <c r="B1040" s="47" t="s">
        <v>5782</v>
      </c>
      <c r="C1040" s="47" t="s">
        <v>5783</v>
      </c>
      <c r="D1040" s="47" t="s">
        <v>5784</v>
      </c>
      <c r="E1040" s="47"/>
      <c r="F1040" s="47" t="s">
        <v>3603</v>
      </c>
      <c r="G1040" s="47" t="s">
        <v>3604</v>
      </c>
      <c r="H1040" s="47" t="s">
        <v>3605</v>
      </c>
      <c r="I1040" s="47" t="s">
        <v>18695</v>
      </c>
    </row>
    <row r="1041" spans="1:9" ht="15">
      <c r="A1041" s="47">
        <v>104017</v>
      </c>
      <c r="B1041" s="47" t="s">
        <v>2032</v>
      </c>
      <c r="C1041" s="47" t="s">
        <v>5785</v>
      </c>
      <c r="D1041" s="47" t="s">
        <v>5786</v>
      </c>
      <c r="E1041" s="47"/>
      <c r="F1041" s="47"/>
      <c r="G1041" s="47"/>
      <c r="H1041" s="47" t="s">
        <v>3605</v>
      </c>
      <c r="I1041" s="47" t="s">
        <v>18696</v>
      </c>
    </row>
    <row r="1042" spans="1:9" ht="15">
      <c r="A1042" s="47">
        <v>10301</v>
      </c>
      <c r="B1042" s="47" t="s">
        <v>5787</v>
      </c>
      <c r="C1042" s="47" t="s">
        <v>5788</v>
      </c>
      <c r="D1042" s="47" t="s">
        <v>5789</v>
      </c>
      <c r="E1042" s="47"/>
      <c r="F1042" s="47" t="s">
        <v>3603</v>
      </c>
      <c r="G1042" s="47" t="s">
        <v>3604</v>
      </c>
      <c r="H1042" s="47" t="s">
        <v>3605</v>
      </c>
      <c r="I1042" s="47" t="s">
        <v>18697</v>
      </c>
    </row>
    <row r="1043" spans="1:9" ht="15">
      <c r="A1043" s="47">
        <v>1030300</v>
      </c>
      <c r="B1043" s="47" t="s">
        <v>1173</v>
      </c>
      <c r="C1043" s="47" t="s">
        <v>5790</v>
      </c>
      <c r="D1043" s="47" t="s">
        <v>5791</v>
      </c>
      <c r="E1043" s="47"/>
      <c r="F1043" s="47"/>
      <c r="G1043" s="47"/>
      <c r="H1043" s="47" t="s">
        <v>3605</v>
      </c>
      <c r="I1043" s="47" t="s">
        <v>18698</v>
      </c>
    </row>
    <row r="1044" spans="1:9" ht="15">
      <c r="A1044" s="47">
        <v>42650</v>
      </c>
      <c r="B1044" s="47" t="s">
        <v>5792</v>
      </c>
      <c r="C1044" s="47" t="s">
        <v>5793</v>
      </c>
      <c r="D1044" s="47" t="s">
        <v>5794</v>
      </c>
      <c r="E1044" s="47"/>
      <c r="F1044" s="47"/>
      <c r="G1044" s="47"/>
      <c r="H1044" s="47" t="s">
        <v>3605</v>
      </c>
      <c r="I1044" s="47" t="s">
        <v>18699</v>
      </c>
    </row>
    <row r="1045" spans="1:9" ht="15">
      <c r="A1045" s="47">
        <v>10312</v>
      </c>
      <c r="B1045" s="47" t="s">
        <v>746</v>
      </c>
      <c r="C1045" s="47" t="s">
        <v>5795</v>
      </c>
      <c r="D1045" s="47" t="s">
        <v>5796</v>
      </c>
      <c r="E1045" s="47"/>
      <c r="F1045" s="47"/>
      <c r="G1045" s="47"/>
      <c r="H1045" s="47" t="s">
        <v>3605</v>
      </c>
      <c r="I1045" s="47" t="s">
        <v>18700</v>
      </c>
    </row>
    <row r="1046" spans="1:9" ht="15">
      <c r="A1046" s="47">
        <v>10318</v>
      </c>
      <c r="B1046" s="47" t="s">
        <v>2243</v>
      </c>
      <c r="C1046" s="47" t="s">
        <v>5797</v>
      </c>
      <c r="D1046" s="47" t="s">
        <v>5798</v>
      </c>
      <c r="E1046" s="47"/>
      <c r="F1046" s="47"/>
      <c r="G1046" s="47"/>
      <c r="H1046" s="47" t="s">
        <v>3605</v>
      </c>
      <c r="I1046" s="47" t="s">
        <v>18701</v>
      </c>
    </row>
    <row r="1047" spans="1:9" ht="15">
      <c r="A1047" s="47">
        <v>10322</v>
      </c>
      <c r="B1047" s="47" t="s">
        <v>2249</v>
      </c>
      <c r="C1047" s="47" t="s">
        <v>5799</v>
      </c>
      <c r="D1047" s="47" t="s">
        <v>5800</v>
      </c>
      <c r="E1047" s="47"/>
      <c r="F1047" s="47"/>
      <c r="G1047" s="47"/>
      <c r="H1047" s="47" t="s">
        <v>3605</v>
      </c>
      <c r="I1047" s="47" t="s">
        <v>18702</v>
      </c>
    </row>
    <row r="1048" spans="1:9" ht="15">
      <c r="A1048" s="47">
        <v>42651</v>
      </c>
      <c r="B1048" s="47" t="s">
        <v>5801</v>
      </c>
      <c r="C1048" s="47" t="s">
        <v>5802</v>
      </c>
      <c r="D1048" s="47" t="s">
        <v>5803</v>
      </c>
      <c r="E1048" s="47"/>
      <c r="F1048" s="47" t="s">
        <v>3603</v>
      </c>
      <c r="G1048" s="47" t="s">
        <v>3604</v>
      </c>
      <c r="H1048" s="47" t="s">
        <v>3605</v>
      </c>
      <c r="I1048" s="47" t="s">
        <v>18703</v>
      </c>
    </row>
    <row r="1049" spans="1:9" ht="15">
      <c r="A1049" s="47">
        <v>10326</v>
      </c>
      <c r="B1049" s="47" t="s">
        <v>5804</v>
      </c>
      <c r="C1049" s="47" t="s">
        <v>5805</v>
      </c>
      <c r="D1049" s="47" t="s">
        <v>5806</v>
      </c>
      <c r="E1049" s="47"/>
      <c r="F1049" s="47" t="s">
        <v>3603</v>
      </c>
      <c r="G1049" s="47" t="s">
        <v>3604</v>
      </c>
      <c r="H1049" s="47" t="s">
        <v>3605</v>
      </c>
      <c r="I1049" s="47" t="s">
        <v>18704</v>
      </c>
    </row>
    <row r="1050" spans="1:9" ht="15">
      <c r="A1050" s="47">
        <v>10327</v>
      </c>
      <c r="B1050" s="47" t="s">
        <v>5807</v>
      </c>
      <c r="C1050" s="47" t="s">
        <v>5808</v>
      </c>
      <c r="D1050" s="47" t="s">
        <v>5809</v>
      </c>
      <c r="E1050" s="47"/>
      <c r="F1050" s="47" t="s">
        <v>3603</v>
      </c>
      <c r="G1050" s="47" t="s">
        <v>3604</v>
      </c>
      <c r="H1050" s="47" t="s">
        <v>3605</v>
      </c>
      <c r="I1050" s="47" t="s">
        <v>18705</v>
      </c>
    </row>
    <row r="1051" spans="1:9" ht="15">
      <c r="A1051" s="47">
        <v>10328</v>
      </c>
      <c r="B1051" s="47" t="s">
        <v>5810</v>
      </c>
      <c r="C1051" s="47" t="s">
        <v>5811</v>
      </c>
      <c r="D1051" s="47" t="s">
        <v>5812</v>
      </c>
      <c r="E1051" s="47"/>
      <c r="F1051" s="47" t="s">
        <v>3603</v>
      </c>
      <c r="G1051" s="47" t="s">
        <v>3604</v>
      </c>
      <c r="H1051" s="47" t="s">
        <v>3605</v>
      </c>
      <c r="I1051" s="47" t="s">
        <v>18706</v>
      </c>
    </row>
    <row r="1052" spans="1:9" ht="15">
      <c r="A1052" s="47">
        <v>10329</v>
      </c>
      <c r="B1052" s="47" t="s">
        <v>5813</v>
      </c>
      <c r="C1052" s="47" t="s">
        <v>5814</v>
      </c>
      <c r="D1052" s="47" t="s">
        <v>5815</v>
      </c>
      <c r="E1052" s="47"/>
      <c r="F1052" s="47" t="s">
        <v>3603</v>
      </c>
      <c r="G1052" s="47" t="s">
        <v>3604</v>
      </c>
      <c r="H1052" s="47" t="s">
        <v>3605</v>
      </c>
      <c r="I1052" s="47" t="s">
        <v>18707</v>
      </c>
    </row>
    <row r="1053" spans="1:9" ht="15">
      <c r="A1053" s="47" t="s">
        <v>2174</v>
      </c>
      <c r="B1053" s="47" t="s">
        <v>2175</v>
      </c>
      <c r="C1053" s="47" t="s">
        <v>5816</v>
      </c>
      <c r="D1053" s="47" t="s">
        <v>5817</v>
      </c>
      <c r="E1053" s="47"/>
      <c r="F1053" s="47"/>
      <c r="G1053" s="47"/>
      <c r="H1053" s="47" t="s">
        <v>3605</v>
      </c>
      <c r="I1053" s="47" t="s">
        <v>2174</v>
      </c>
    </row>
    <row r="1054" spans="1:9" ht="15">
      <c r="A1054" s="47" t="s">
        <v>2376</v>
      </c>
      <c r="B1054" s="47" t="s">
        <v>2377</v>
      </c>
      <c r="C1054" s="47" t="s">
        <v>5818</v>
      </c>
      <c r="D1054" s="47" t="s">
        <v>5819</v>
      </c>
      <c r="E1054" s="47"/>
      <c r="F1054" s="47"/>
      <c r="G1054" s="47"/>
      <c r="H1054" s="47" t="s">
        <v>3605</v>
      </c>
      <c r="I1054" s="47" t="s">
        <v>2376</v>
      </c>
    </row>
    <row r="1055" spans="1:9" ht="15">
      <c r="A1055" s="47">
        <v>42652</v>
      </c>
      <c r="B1055" s="47" t="s">
        <v>5820</v>
      </c>
      <c r="C1055" s="47" t="s">
        <v>5821</v>
      </c>
      <c r="D1055" s="47" t="s">
        <v>5822</v>
      </c>
      <c r="E1055" s="47"/>
      <c r="F1055" s="47" t="s">
        <v>3603</v>
      </c>
      <c r="G1055" s="47" t="s">
        <v>3604</v>
      </c>
      <c r="H1055" s="47" t="s">
        <v>3605</v>
      </c>
      <c r="I1055" s="47" t="s">
        <v>18708</v>
      </c>
    </row>
    <row r="1056" spans="1:9" ht="15">
      <c r="A1056" s="47">
        <v>42655</v>
      </c>
      <c r="B1056" s="47" t="s">
        <v>5823</v>
      </c>
      <c r="C1056" s="47" t="s">
        <v>5824</v>
      </c>
      <c r="D1056" s="47" t="s">
        <v>5825</v>
      </c>
      <c r="E1056" s="47"/>
      <c r="F1056" s="47"/>
      <c r="G1056" s="47"/>
      <c r="H1056" s="47" t="s">
        <v>3605</v>
      </c>
      <c r="I1056" s="47" t="s">
        <v>18709</v>
      </c>
    </row>
    <row r="1057" spans="1:9" ht="15">
      <c r="A1057" s="47">
        <v>42657</v>
      </c>
      <c r="B1057" s="47" t="s">
        <v>5826</v>
      </c>
      <c r="C1057" s="47" t="s">
        <v>5827</v>
      </c>
      <c r="D1057" s="47" t="s">
        <v>5828</v>
      </c>
      <c r="E1057" s="47"/>
      <c r="F1057" s="47" t="s">
        <v>3603</v>
      </c>
      <c r="G1057" s="47" t="s">
        <v>3604</v>
      </c>
      <c r="H1057" s="47" t="s">
        <v>3605</v>
      </c>
      <c r="I1057" s="47" t="s">
        <v>18710</v>
      </c>
    </row>
    <row r="1058" spans="1:9" ht="15">
      <c r="A1058" s="47">
        <v>42658</v>
      </c>
      <c r="B1058" s="47" t="s">
        <v>5829</v>
      </c>
      <c r="C1058" s="47" t="s">
        <v>5830</v>
      </c>
      <c r="D1058" s="47" t="s">
        <v>5831</v>
      </c>
      <c r="E1058" s="47"/>
      <c r="F1058" s="47" t="s">
        <v>3603</v>
      </c>
      <c r="G1058" s="47" t="s">
        <v>3604</v>
      </c>
      <c r="H1058" s="47" t="s">
        <v>3605</v>
      </c>
      <c r="I1058" s="47" t="s">
        <v>18711</v>
      </c>
    </row>
    <row r="1059" spans="1:9" ht="15">
      <c r="A1059" s="47">
        <v>42659</v>
      </c>
      <c r="B1059" s="47" t="s">
        <v>5832</v>
      </c>
      <c r="C1059" s="47" t="s">
        <v>5833</v>
      </c>
      <c r="D1059" s="47" t="s">
        <v>5834</v>
      </c>
      <c r="E1059" s="47"/>
      <c r="F1059" s="47" t="s">
        <v>3603</v>
      </c>
      <c r="G1059" s="47" t="s">
        <v>3604</v>
      </c>
      <c r="H1059" s="47" t="s">
        <v>3605</v>
      </c>
      <c r="I1059" s="47" t="s">
        <v>18712</v>
      </c>
    </row>
    <row r="1060" spans="1:9" ht="15">
      <c r="A1060" s="47">
        <v>42945</v>
      </c>
      <c r="B1060" s="47" t="s">
        <v>5835</v>
      </c>
      <c r="C1060" s="47" t="s">
        <v>5836</v>
      </c>
      <c r="D1060" s="47" t="s">
        <v>5837</v>
      </c>
      <c r="E1060" s="47"/>
      <c r="F1060" s="47"/>
      <c r="G1060" s="47"/>
      <c r="H1060" s="47" t="s">
        <v>3605</v>
      </c>
      <c r="I1060" s="47" t="s">
        <v>18713</v>
      </c>
    </row>
    <row r="1061" spans="1:9" ht="15">
      <c r="A1061" s="47">
        <v>45302</v>
      </c>
      <c r="B1061" s="47" t="s">
        <v>5838</v>
      </c>
      <c r="C1061" s="47" t="s">
        <v>5839</v>
      </c>
      <c r="D1061" s="47" t="s">
        <v>5840</v>
      </c>
      <c r="E1061" s="47"/>
      <c r="F1061" s="47" t="s">
        <v>3603</v>
      </c>
      <c r="G1061" s="47" t="s">
        <v>3604</v>
      </c>
      <c r="H1061" s="47" t="s">
        <v>3605</v>
      </c>
      <c r="I1061" s="47" t="s">
        <v>18714</v>
      </c>
    </row>
    <row r="1062" spans="1:9" ht="15">
      <c r="A1062" s="47">
        <v>3100403</v>
      </c>
      <c r="B1062" s="47" t="s">
        <v>5841</v>
      </c>
      <c r="C1062" s="47" t="s">
        <v>5842</v>
      </c>
      <c r="D1062" s="47" t="s">
        <v>5843</v>
      </c>
      <c r="E1062" s="47"/>
      <c r="F1062" s="47" t="s">
        <v>3603</v>
      </c>
      <c r="G1062" s="47" t="s">
        <v>3604</v>
      </c>
      <c r="H1062" s="47" t="s">
        <v>3605</v>
      </c>
      <c r="I1062" s="47" t="s">
        <v>18715</v>
      </c>
    </row>
    <row r="1063" spans="1:9" ht="15">
      <c r="A1063" s="47">
        <v>3100404</v>
      </c>
      <c r="B1063" s="47" t="s">
        <v>2347</v>
      </c>
      <c r="C1063" s="47" t="s">
        <v>5844</v>
      </c>
      <c r="D1063" s="47" t="s">
        <v>5845</v>
      </c>
      <c r="E1063" s="47"/>
      <c r="F1063" s="47"/>
      <c r="G1063" s="47"/>
      <c r="H1063" s="47" t="s">
        <v>3605</v>
      </c>
      <c r="I1063" s="47" t="s">
        <v>18716</v>
      </c>
    </row>
    <row r="1064" spans="1:9" ht="15">
      <c r="A1064" s="47">
        <v>3100408</v>
      </c>
      <c r="B1064" s="47" t="s">
        <v>2317</v>
      </c>
      <c r="C1064" s="47" t="s">
        <v>5846</v>
      </c>
      <c r="D1064" s="47" t="s">
        <v>5847</v>
      </c>
      <c r="E1064" s="47"/>
      <c r="F1064" s="47"/>
      <c r="G1064" s="47"/>
      <c r="H1064" s="47" t="s">
        <v>3605</v>
      </c>
      <c r="I1064" s="47" t="s">
        <v>18717</v>
      </c>
    </row>
    <row r="1065" spans="1:9" ht="15">
      <c r="A1065" s="47">
        <v>3100409</v>
      </c>
      <c r="B1065" s="47" t="s">
        <v>2291</v>
      </c>
      <c r="C1065" s="47" t="s">
        <v>5848</v>
      </c>
      <c r="D1065" s="47" t="s">
        <v>5849</v>
      </c>
      <c r="E1065" s="47"/>
      <c r="F1065" s="47"/>
      <c r="G1065" s="47"/>
      <c r="H1065" s="47" t="s">
        <v>3605</v>
      </c>
      <c r="I1065" s="47" t="s">
        <v>18718</v>
      </c>
    </row>
    <row r="1066" spans="1:9" ht="15">
      <c r="A1066" s="47">
        <v>45303</v>
      </c>
      <c r="B1066" s="47" t="s">
        <v>5850</v>
      </c>
      <c r="C1066" s="47" t="s">
        <v>5851</v>
      </c>
      <c r="D1066" s="47" t="s">
        <v>5852</v>
      </c>
      <c r="E1066" s="47"/>
      <c r="F1066" s="47" t="s">
        <v>3603</v>
      </c>
      <c r="G1066" s="47" t="s">
        <v>3604</v>
      </c>
      <c r="H1066" s="47" t="s">
        <v>3605</v>
      </c>
      <c r="I1066" s="47" t="s">
        <v>18719</v>
      </c>
    </row>
    <row r="1067" spans="1:9" ht="15">
      <c r="A1067" s="47">
        <v>3100426</v>
      </c>
      <c r="B1067" s="47" t="s">
        <v>2374</v>
      </c>
      <c r="C1067" s="47" t="s">
        <v>5853</v>
      </c>
      <c r="D1067" s="47" t="s">
        <v>5854</v>
      </c>
      <c r="E1067" s="47"/>
      <c r="F1067" s="47"/>
      <c r="G1067" s="47"/>
      <c r="H1067" s="47" t="s">
        <v>3605</v>
      </c>
      <c r="I1067" s="47" t="s">
        <v>18720</v>
      </c>
    </row>
    <row r="1068" spans="1:9" ht="15">
      <c r="A1068" s="47">
        <v>3100443</v>
      </c>
      <c r="B1068" s="47" t="s">
        <v>5855</v>
      </c>
      <c r="C1068" s="47" t="s">
        <v>5856</v>
      </c>
      <c r="D1068" s="47" t="s">
        <v>5857</v>
      </c>
      <c r="E1068" s="47"/>
      <c r="F1068" s="47" t="s">
        <v>3603</v>
      </c>
      <c r="G1068" s="47" t="s">
        <v>3604</v>
      </c>
      <c r="H1068" s="47" t="s">
        <v>3605</v>
      </c>
      <c r="I1068" s="47" t="s">
        <v>18721</v>
      </c>
    </row>
    <row r="1069" spans="1:9" ht="15">
      <c r="A1069" s="47">
        <v>45306</v>
      </c>
      <c r="B1069" s="47" t="s">
        <v>5858</v>
      </c>
      <c r="C1069" s="47" t="s">
        <v>5859</v>
      </c>
      <c r="D1069" s="47" t="s">
        <v>5860</v>
      </c>
      <c r="E1069" s="47"/>
      <c r="F1069" s="47" t="s">
        <v>3603</v>
      </c>
      <c r="G1069" s="47" t="s">
        <v>3604</v>
      </c>
      <c r="H1069" s="47" t="s">
        <v>3605</v>
      </c>
      <c r="I1069" s="47" t="s">
        <v>18722</v>
      </c>
    </row>
    <row r="1070" spans="1:9" ht="15">
      <c r="A1070" s="47">
        <v>3100448</v>
      </c>
      <c r="B1070" s="47" t="s">
        <v>1185</v>
      </c>
      <c r="C1070" s="47" t="s">
        <v>5861</v>
      </c>
      <c r="D1070" s="47" t="s">
        <v>5862</v>
      </c>
      <c r="E1070" s="47"/>
      <c r="F1070" s="47"/>
      <c r="G1070" s="47"/>
      <c r="H1070" s="47" t="s">
        <v>3605</v>
      </c>
      <c r="I1070" s="47" t="s">
        <v>18723</v>
      </c>
    </row>
    <row r="1071" spans="1:9" ht="15">
      <c r="A1071" s="47">
        <v>46205</v>
      </c>
      <c r="B1071" s="47" t="s">
        <v>5863</v>
      </c>
      <c r="C1071" s="47" t="s">
        <v>5864</v>
      </c>
      <c r="D1071" s="47" t="s">
        <v>5865</v>
      </c>
      <c r="E1071" s="47"/>
      <c r="F1071" s="47" t="s">
        <v>3603</v>
      </c>
      <c r="G1071" s="47" t="s">
        <v>3604</v>
      </c>
      <c r="H1071" s="47" t="s">
        <v>3605</v>
      </c>
      <c r="I1071" s="47" t="s">
        <v>18724</v>
      </c>
    </row>
    <row r="1072" spans="1:9" ht="15">
      <c r="A1072" s="47">
        <v>46215</v>
      </c>
      <c r="B1072" s="47" t="s">
        <v>5866</v>
      </c>
      <c r="C1072" s="47" t="s">
        <v>5867</v>
      </c>
      <c r="D1072" s="47" t="s">
        <v>5868</v>
      </c>
      <c r="E1072" s="47"/>
      <c r="F1072" s="47"/>
      <c r="G1072" s="47"/>
      <c r="H1072" s="47" t="s">
        <v>3605</v>
      </c>
      <c r="I1072" s="47" t="s">
        <v>18725</v>
      </c>
    </row>
    <row r="1073" spans="1:9" ht="15">
      <c r="A1073" s="47" t="s">
        <v>2348</v>
      </c>
      <c r="B1073" s="47" t="s">
        <v>2349</v>
      </c>
      <c r="C1073" s="47" t="s">
        <v>5869</v>
      </c>
      <c r="D1073" s="47" t="s">
        <v>5870</v>
      </c>
      <c r="E1073" s="47"/>
      <c r="F1073" s="47"/>
      <c r="G1073" s="47"/>
      <c r="H1073" s="47" t="s">
        <v>3605</v>
      </c>
      <c r="I1073" s="47" t="s">
        <v>2348</v>
      </c>
    </row>
    <row r="1074" spans="1:9" ht="15">
      <c r="A1074" s="47">
        <v>46252</v>
      </c>
      <c r="B1074" s="47" t="s">
        <v>5871</v>
      </c>
      <c r="C1074" s="47" t="s">
        <v>5872</v>
      </c>
      <c r="D1074" s="47" t="s">
        <v>5873</v>
      </c>
      <c r="E1074" s="47"/>
      <c r="F1074" s="47"/>
      <c r="G1074" s="47"/>
      <c r="H1074" s="47" t="s">
        <v>3605</v>
      </c>
      <c r="I1074" s="47" t="s">
        <v>18726</v>
      </c>
    </row>
    <row r="1075" spans="1:9" ht="15">
      <c r="A1075" s="47">
        <v>3110371</v>
      </c>
      <c r="B1075" s="47" t="s">
        <v>2250</v>
      </c>
      <c r="C1075" s="47" t="s">
        <v>5874</v>
      </c>
      <c r="D1075" s="47" t="s">
        <v>5875</v>
      </c>
      <c r="E1075" s="47"/>
      <c r="F1075" s="47"/>
      <c r="G1075" s="47"/>
      <c r="H1075" s="47" t="s">
        <v>3605</v>
      </c>
      <c r="I1075" s="47" t="s">
        <v>18727</v>
      </c>
    </row>
    <row r="1076" spans="1:9" ht="15">
      <c r="A1076" s="47">
        <v>3200420</v>
      </c>
      <c r="B1076" s="47" t="s">
        <v>5876</v>
      </c>
      <c r="C1076" s="47" t="s">
        <v>5877</v>
      </c>
      <c r="D1076" s="47" t="s">
        <v>5878</v>
      </c>
      <c r="E1076" s="47"/>
      <c r="F1076" s="47" t="s">
        <v>3603</v>
      </c>
      <c r="G1076" s="47" t="s">
        <v>3604</v>
      </c>
      <c r="H1076" s="47" t="s">
        <v>3605</v>
      </c>
      <c r="I1076" s="47" t="s">
        <v>18728</v>
      </c>
    </row>
    <row r="1077" spans="1:9" ht="15">
      <c r="A1077" s="47">
        <v>46258</v>
      </c>
      <c r="B1077" s="47" t="s">
        <v>5879</v>
      </c>
      <c r="C1077" s="47" t="s">
        <v>5880</v>
      </c>
      <c r="D1077" s="47" t="s">
        <v>5881</v>
      </c>
      <c r="E1077" s="47"/>
      <c r="F1077" s="47"/>
      <c r="G1077" s="47"/>
      <c r="H1077" s="47" t="s">
        <v>3605</v>
      </c>
      <c r="I1077" s="47" t="s">
        <v>18729</v>
      </c>
    </row>
    <row r="1078" spans="1:9" ht="15">
      <c r="A1078" s="47">
        <v>46295</v>
      </c>
      <c r="B1078" s="47" t="s">
        <v>5882</v>
      </c>
      <c r="C1078" s="47" t="s">
        <v>5883</v>
      </c>
      <c r="D1078" s="47" t="s">
        <v>5884</v>
      </c>
      <c r="E1078" s="47"/>
      <c r="F1078" s="47"/>
      <c r="G1078" s="47"/>
      <c r="H1078" s="47" t="s">
        <v>3605</v>
      </c>
      <c r="I1078" s="47" t="s">
        <v>18730</v>
      </c>
    </row>
    <row r="1079" spans="1:9" ht="15">
      <c r="A1079" s="47">
        <v>3200463</v>
      </c>
      <c r="B1079" s="47" t="s">
        <v>5885</v>
      </c>
      <c r="C1079" s="47" t="s">
        <v>5886</v>
      </c>
      <c r="D1079" s="47" t="s">
        <v>5887</v>
      </c>
      <c r="E1079" s="47"/>
      <c r="F1079" s="47" t="s">
        <v>3603</v>
      </c>
      <c r="G1079" s="47" t="s">
        <v>3604</v>
      </c>
      <c r="H1079" s="47" t="s">
        <v>3605</v>
      </c>
      <c r="I1079" s="47" t="s">
        <v>18731</v>
      </c>
    </row>
    <row r="1080" spans="1:9" ht="15">
      <c r="A1080" s="47">
        <v>3200471</v>
      </c>
      <c r="B1080" s="47" t="s">
        <v>5888</v>
      </c>
      <c r="C1080" s="47" t="s">
        <v>5889</v>
      </c>
      <c r="D1080" s="47" t="s">
        <v>5890</v>
      </c>
      <c r="E1080" s="47"/>
      <c r="F1080" s="47" t="s">
        <v>3603</v>
      </c>
      <c r="G1080" s="47" t="s">
        <v>3604</v>
      </c>
      <c r="H1080" s="47" t="s">
        <v>3605</v>
      </c>
      <c r="I1080" s="47" t="s">
        <v>18732</v>
      </c>
    </row>
    <row r="1081" spans="1:9" ht="15">
      <c r="A1081" s="47">
        <v>3200473</v>
      </c>
      <c r="B1081" s="47" t="s">
        <v>5891</v>
      </c>
      <c r="C1081" s="47" t="s">
        <v>5892</v>
      </c>
      <c r="D1081" s="47" t="s">
        <v>5893</v>
      </c>
      <c r="E1081" s="47"/>
      <c r="F1081" s="47"/>
      <c r="G1081" s="47"/>
      <c r="H1081" s="47" t="s">
        <v>3605</v>
      </c>
      <c r="I1081" s="47" t="s">
        <v>18733</v>
      </c>
    </row>
    <row r="1082" spans="1:9" ht="15">
      <c r="A1082" s="47">
        <v>3200481</v>
      </c>
      <c r="B1082" s="47" t="s">
        <v>2318</v>
      </c>
      <c r="C1082" s="47" t="s">
        <v>5894</v>
      </c>
      <c r="D1082" s="47" t="s">
        <v>5895</v>
      </c>
      <c r="E1082" s="47"/>
      <c r="F1082" s="47"/>
      <c r="G1082" s="47"/>
      <c r="H1082" s="47" t="s">
        <v>3605</v>
      </c>
      <c r="I1082" s="47" t="s">
        <v>18734</v>
      </c>
    </row>
    <row r="1083" spans="1:9" ht="15">
      <c r="A1083" s="47">
        <v>38100</v>
      </c>
      <c r="B1083" s="47" t="s">
        <v>5896</v>
      </c>
      <c r="C1083" s="47" t="s">
        <v>5897</v>
      </c>
      <c r="D1083" s="47" t="s">
        <v>5898</v>
      </c>
      <c r="E1083" s="47"/>
      <c r="F1083" s="47" t="s">
        <v>3603</v>
      </c>
      <c r="G1083" s="47" t="s">
        <v>3604</v>
      </c>
      <c r="H1083" s="47" t="s">
        <v>3605</v>
      </c>
      <c r="I1083" s="47" t="s">
        <v>18735</v>
      </c>
    </row>
    <row r="1084" spans="1:9" ht="15">
      <c r="A1084" s="47">
        <v>38101</v>
      </c>
      <c r="B1084" s="47" t="s">
        <v>5899</v>
      </c>
      <c r="C1084" s="47" t="s">
        <v>5900</v>
      </c>
      <c r="D1084" s="47" t="s">
        <v>5901</v>
      </c>
      <c r="E1084" s="47"/>
      <c r="F1084" s="47" t="s">
        <v>3603</v>
      </c>
      <c r="G1084" s="47" t="s">
        <v>3604</v>
      </c>
      <c r="H1084" s="47" t="s">
        <v>3605</v>
      </c>
      <c r="I1084" s="47" t="s">
        <v>18736</v>
      </c>
    </row>
    <row r="1085" spans="1:9" ht="15">
      <c r="A1085" s="47">
        <v>38213</v>
      </c>
      <c r="B1085" s="47" t="s">
        <v>5902</v>
      </c>
      <c r="C1085" s="47" t="s">
        <v>5903</v>
      </c>
      <c r="D1085" s="47" t="s">
        <v>5904</v>
      </c>
      <c r="E1085" s="47"/>
      <c r="F1085" s="47" t="s">
        <v>5905</v>
      </c>
      <c r="G1085" s="47" t="s">
        <v>5906</v>
      </c>
      <c r="H1085" s="47" t="s">
        <v>3605</v>
      </c>
      <c r="I1085" s="47" t="s">
        <v>18737</v>
      </c>
    </row>
    <row r="1086" spans="1:9" ht="15">
      <c r="A1086" s="47">
        <v>38214</v>
      </c>
      <c r="B1086" s="47" t="s">
        <v>5907</v>
      </c>
      <c r="C1086" s="47" t="s">
        <v>5908</v>
      </c>
      <c r="D1086" s="47" t="s">
        <v>5909</v>
      </c>
      <c r="E1086" s="47"/>
      <c r="F1086" s="47" t="s">
        <v>3603</v>
      </c>
      <c r="G1086" s="47" t="s">
        <v>3604</v>
      </c>
      <c r="H1086" s="47" t="s">
        <v>3605</v>
      </c>
      <c r="I1086" s="47" t="s">
        <v>18738</v>
      </c>
    </row>
    <row r="1087" spans="1:9" ht="15">
      <c r="A1087" s="47">
        <v>50031</v>
      </c>
      <c r="B1087" s="47" t="s">
        <v>5910</v>
      </c>
      <c r="C1087" s="47" t="s">
        <v>5911</v>
      </c>
      <c r="D1087" s="47" t="s">
        <v>5912</v>
      </c>
      <c r="E1087" s="47"/>
      <c r="F1087" s="47" t="s">
        <v>3603</v>
      </c>
      <c r="G1087" s="47" t="s">
        <v>3604</v>
      </c>
      <c r="H1087" s="47" t="s">
        <v>3605</v>
      </c>
      <c r="I1087" s="47" t="s">
        <v>18739</v>
      </c>
    </row>
    <row r="1088" spans="1:9" ht="15">
      <c r="A1088" s="47">
        <v>38280</v>
      </c>
      <c r="B1088" s="47" t="s">
        <v>5913</v>
      </c>
      <c r="C1088" s="47" t="s">
        <v>5914</v>
      </c>
      <c r="D1088" s="47" t="s">
        <v>5915</v>
      </c>
      <c r="E1088" s="47"/>
      <c r="F1088" s="47" t="s">
        <v>3603</v>
      </c>
      <c r="G1088" s="47" t="s">
        <v>3604</v>
      </c>
      <c r="H1088" s="47" t="s">
        <v>3605</v>
      </c>
      <c r="I1088" s="47" t="s">
        <v>18740</v>
      </c>
    </row>
    <row r="1089" spans="1:9" ht="15">
      <c r="A1089" s="47">
        <v>6121</v>
      </c>
      <c r="B1089" s="47" t="s">
        <v>2244</v>
      </c>
      <c r="C1089" s="47" t="s">
        <v>5916</v>
      </c>
      <c r="D1089" s="47" t="s">
        <v>5917</v>
      </c>
      <c r="E1089" s="47"/>
      <c r="F1089" s="47"/>
      <c r="G1089" s="47"/>
      <c r="H1089" s="47" t="s">
        <v>3605</v>
      </c>
      <c r="I1089" s="47" t="s">
        <v>18741</v>
      </c>
    </row>
    <row r="1090" spans="1:9" ht="15">
      <c r="A1090" s="47">
        <v>50033</v>
      </c>
      <c r="B1090" s="47" t="s">
        <v>5918</v>
      </c>
      <c r="C1090" s="47" t="s">
        <v>5919</v>
      </c>
      <c r="D1090" s="47" t="s">
        <v>5920</v>
      </c>
      <c r="E1090" s="47"/>
      <c r="F1090" s="47" t="s">
        <v>3603</v>
      </c>
      <c r="G1090" s="47" t="s">
        <v>3604</v>
      </c>
      <c r="H1090" s="47" t="s">
        <v>3605</v>
      </c>
      <c r="I1090" s="47" t="s">
        <v>18742</v>
      </c>
    </row>
    <row r="1091" spans="1:9" ht="15">
      <c r="A1091" s="47">
        <v>50034</v>
      </c>
      <c r="B1091" s="47" t="s">
        <v>5921</v>
      </c>
      <c r="C1091" s="47" t="s">
        <v>5922</v>
      </c>
      <c r="D1091" s="47" t="s">
        <v>5923</v>
      </c>
      <c r="E1091" s="47"/>
      <c r="F1091" s="47" t="s">
        <v>3603</v>
      </c>
      <c r="G1091" s="47" t="s">
        <v>3604</v>
      </c>
      <c r="H1091" s="47" t="s">
        <v>3605</v>
      </c>
      <c r="I1091" s="47" t="s">
        <v>18743</v>
      </c>
    </row>
    <row r="1092" spans="1:9" ht="15">
      <c r="A1092" s="47">
        <v>72767</v>
      </c>
      <c r="B1092" s="47" t="s">
        <v>955</v>
      </c>
      <c r="C1092" s="47" t="s">
        <v>5924</v>
      </c>
      <c r="D1092" s="47" t="s">
        <v>5925</v>
      </c>
      <c r="E1092" s="47"/>
      <c r="F1092" s="47"/>
      <c r="G1092" s="47"/>
      <c r="H1092" s="47" t="s">
        <v>3605</v>
      </c>
      <c r="I1092" s="47" t="s">
        <v>18744</v>
      </c>
    </row>
    <row r="1093" spans="1:9" ht="15">
      <c r="A1093" s="47">
        <v>8000116</v>
      </c>
      <c r="B1093" s="47" t="s">
        <v>2396</v>
      </c>
      <c r="C1093" s="47" t="s">
        <v>5926</v>
      </c>
      <c r="D1093" s="47" t="s">
        <v>5927</v>
      </c>
      <c r="E1093" s="47"/>
      <c r="F1093" s="47"/>
      <c r="G1093" s="47"/>
      <c r="H1093" s="47" t="s">
        <v>3605</v>
      </c>
      <c r="I1093" s="47" t="s">
        <v>18745</v>
      </c>
    </row>
    <row r="1094" spans="1:9" ht="15">
      <c r="A1094" s="47" t="s">
        <v>2251</v>
      </c>
      <c r="B1094" s="47" t="s">
        <v>2252</v>
      </c>
      <c r="C1094" s="47" t="s">
        <v>5928</v>
      </c>
      <c r="D1094" s="47" t="s">
        <v>5929</v>
      </c>
      <c r="E1094" s="47"/>
      <c r="F1094" s="47"/>
      <c r="G1094" s="47"/>
      <c r="H1094" s="47" t="s">
        <v>3605</v>
      </c>
      <c r="I1094" s="47" t="s">
        <v>2251</v>
      </c>
    </row>
    <row r="1095" spans="1:9" ht="15">
      <c r="A1095" s="47">
        <v>8310306</v>
      </c>
      <c r="B1095" s="47" t="s">
        <v>1202</v>
      </c>
      <c r="C1095" s="47" t="s">
        <v>5930</v>
      </c>
      <c r="D1095" s="47" t="s">
        <v>5931</v>
      </c>
      <c r="E1095" s="47"/>
      <c r="F1095" s="47"/>
      <c r="G1095" s="47"/>
      <c r="H1095" s="47" t="s">
        <v>3605</v>
      </c>
      <c r="I1095" s="47" t="s">
        <v>18746</v>
      </c>
    </row>
    <row r="1096" spans="1:9" ht="15">
      <c r="A1096" s="47">
        <v>50035</v>
      </c>
      <c r="B1096" s="47" t="s">
        <v>5932</v>
      </c>
      <c r="C1096" s="47" t="s">
        <v>5933</v>
      </c>
      <c r="D1096" s="47" t="s">
        <v>5934</v>
      </c>
      <c r="E1096" s="47"/>
      <c r="F1096" s="47" t="s">
        <v>3603</v>
      </c>
      <c r="G1096" s="47" t="s">
        <v>3604</v>
      </c>
      <c r="H1096" s="47" t="s">
        <v>3605</v>
      </c>
      <c r="I1096" s="47" t="s">
        <v>18747</v>
      </c>
    </row>
    <row r="1097" spans="1:9" ht="15">
      <c r="A1097" s="47">
        <v>50036</v>
      </c>
      <c r="B1097" s="47" t="s">
        <v>5935</v>
      </c>
      <c r="C1097" s="47" t="s">
        <v>5936</v>
      </c>
      <c r="D1097" s="47" t="s">
        <v>5937</v>
      </c>
      <c r="E1097" s="47"/>
      <c r="F1097" s="47"/>
      <c r="G1097" s="47"/>
      <c r="H1097" s="47" t="s">
        <v>3605</v>
      </c>
      <c r="I1097" s="47" t="s">
        <v>18748</v>
      </c>
    </row>
    <row r="1098" spans="1:9" ht="15">
      <c r="A1098" s="47">
        <v>50037</v>
      </c>
      <c r="B1098" s="47" t="s">
        <v>5938</v>
      </c>
      <c r="C1098" s="47" t="s">
        <v>5939</v>
      </c>
      <c r="D1098" s="47" t="s">
        <v>5940</v>
      </c>
      <c r="E1098" s="47"/>
      <c r="F1098" s="47"/>
      <c r="G1098" s="47"/>
      <c r="H1098" s="47" t="s">
        <v>3605</v>
      </c>
      <c r="I1098" s="47" t="s">
        <v>18749</v>
      </c>
    </row>
    <row r="1099" spans="1:9" ht="15">
      <c r="A1099" s="47">
        <v>50038</v>
      </c>
      <c r="B1099" s="47" t="s">
        <v>5941</v>
      </c>
      <c r="C1099" s="47" t="s">
        <v>5942</v>
      </c>
      <c r="D1099" s="47" t="s">
        <v>5943</v>
      </c>
      <c r="E1099" s="47"/>
      <c r="F1099" s="47" t="s">
        <v>3603</v>
      </c>
      <c r="G1099" s="47" t="s">
        <v>3604</v>
      </c>
      <c r="H1099" s="47" t="s">
        <v>3605</v>
      </c>
      <c r="I1099" s="47" t="s">
        <v>18750</v>
      </c>
    </row>
    <row r="1100" spans="1:9" ht="15">
      <c r="A1100" s="47">
        <v>50100</v>
      </c>
      <c r="B1100" s="47" t="s">
        <v>5944</v>
      </c>
      <c r="C1100" s="47" t="s">
        <v>5945</v>
      </c>
      <c r="D1100" s="47" t="s">
        <v>5946</v>
      </c>
      <c r="E1100" s="47"/>
      <c r="F1100" s="47"/>
      <c r="G1100" s="47"/>
      <c r="H1100" s="47" t="s">
        <v>3605</v>
      </c>
      <c r="I1100" s="47" t="s">
        <v>18751</v>
      </c>
    </row>
    <row r="1101" spans="1:9" ht="15">
      <c r="A1101" s="47">
        <v>50525</v>
      </c>
      <c r="B1101" s="47" t="s">
        <v>5947</v>
      </c>
      <c r="C1101" s="47" t="s">
        <v>5948</v>
      </c>
      <c r="D1101" s="47" t="s">
        <v>5949</v>
      </c>
      <c r="E1101" s="47"/>
      <c r="F1101" s="47"/>
      <c r="G1101" s="47"/>
      <c r="H1101" s="47" t="s">
        <v>3605</v>
      </c>
      <c r="I1101" s="47" t="s">
        <v>18752</v>
      </c>
    </row>
    <row r="1102" spans="1:9" ht="15">
      <c r="A1102" s="47">
        <v>50641</v>
      </c>
      <c r="B1102" s="47" t="s">
        <v>5950</v>
      </c>
      <c r="C1102" s="47" t="s">
        <v>5951</v>
      </c>
      <c r="D1102" s="47" t="s">
        <v>5952</v>
      </c>
      <c r="E1102" s="47"/>
      <c r="F1102" s="47"/>
      <c r="G1102" s="47"/>
      <c r="H1102" s="47" t="s">
        <v>3605</v>
      </c>
      <c r="I1102" s="47" t="s">
        <v>18753</v>
      </c>
    </row>
    <row r="1103" spans="1:9" ht="15">
      <c r="A1103" s="47">
        <v>50951</v>
      </c>
      <c r="B1103" s="47" t="s">
        <v>5953</v>
      </c>
      <c r="C1103" s="47" t="s">
        <v>5954</v>
      </c>
      <c r="D1103" s="47" t="s">
        <v>5955</v>
      </c>
      <c r="E1103" s="47"/>
      <c r="F1103" s="47"/>
      <c r="G1103" s="47"/>
      <c r="H1103" s="47" t="s">
        <v>3605</v>
      </c>
      <c r="I1103" s="47" t="s">
        <v>18754</v>
      </c>
    </row>
    <row r="1104" spans="1:9" ht="15">
      <c r="A1104" s="47">
        <v>50952</v>
      </c>
      <c r="B1104" s="47" t="s">
        <v>5956</v>
      </c>
      <c r="C1104" s="47" t="s">
        <v>5957</v>
      </c>
      <c r="D1104" s="47" t="s">
        <v>5958</v>
      </c>
      <c r="E1104" s="47"/>
      <c r="F1104" s="47"/>
      <c r="G1104" s="47"/>
      <c r="H1104" s="47" t="s">
        <v>3605</v>
      </c>
      <c r="I1104" s="47" t="s">
        <v>18755</v>
      </c>
    </row>
    <row r="1105" spans="1:9" ht="15">
      <c r="A1105" s="47">
        <v>50953</v>
      </c>
      <c r="B1105" s="47" t="s">
        <v>5959</v>
      </c>
      <c r="C1105" s="47" t="s">
        <v>5960</v>
      </c>
      <c r="D1105" s="47" t="s">
        <v>5961</v>
      </c>
      <c r="E1105" s="47"/>
      <c r="F1105" s="47"/>
      <c r="G1105" s="47"/>
      <c r="H1105" s="47" t="s">
        <v>3605</v>
      </c>
      <c r="I1105" s="47" t="s">
        <v>18756</v>
      </c>
    </row>
    <row r="1106" spans="1:9" ht="15">
      <c r="A1106" s="47">
        <v>50954</v>
      </c>
      <c r="B1106" s="47" t="s">
        <v>5962</v>
      </c>
      <c r="C1106" s="47" t="s">
        <v>5963</v>
      </c>
      <c r="D1106" s="47" t="s">
        <v>5964</v>
      </c>
      <c r="E1106" s="47"/>
      <c r="F1106" s="47"/>
      <c r="G1106" s="47"/>
      <c r="H1106" s="47" t="s">
        <v>3605</v>
      </c>
      <c r="I1106" s="47" t="s">
        <v>18757</v>
      </c>
    </row>
    <row r="1107" spans="1:9" ht="15">
      <c r="A1107" s="47">
        <v>51200</v>
      </c>
      <c r="B1107" s="47" t="s">
        <v>5965</v>
      </c>
      <c r="C1107" s="47" t="s">
        <v>5966</v>
      </c>
      <c r="D1107" s="47" t="s">
        <v>5190</v>
      </c>
      <c r="E1107" s="47"/>
      <c r="F1107" s="47" t="s">
        <v>3603</v>
      </c>
      <c r="G1107" s="47" t="s">
        <v>3604</v>
      </c>
      <c r="H1107" s="47" t="s">
        <v>3605</v>
      </c>
      <c r="I1107" s="47" t="s">
        <v>18758</v>
      </c>
    </row>
    <row r="1108" spans="1:9" ht="15">
      <c r="A1108" s="47">
        <v>51502</v>
      </c>
      <c r="B1108" s="47" t="s">
        <v>5967</v>
      </c>
      <c r="C1108" s="47" t="s">
        <v>5968</v>
      </c>
      <c r="D1108" s="47" t="s">
        <v>5969</v>
      </c>
      <c r="E1108" s="47"/>
      <c r="F1108" s="47" t="s">
        <v>3603</v>
      </c>
      <c r="G1108" s="47" t="s">
        <v>3604</v>
      </c>
      <c r="H1108" s="47" t="s">
        <v>3605</v>
      </c>
      <c r="I1108" s="47" t="s">
        <v>18759</v>
      </c>
    </row>
    <row r="1109" spans="1:9" ht="15">
      <c r="A1109" s="47">
        <v>51700</v>
      </c>
      <c r="B1109" s="47" t="s">
        <v>5970</v>
      </c>
      <c r="C1109" s="47" t="s">
        <v>5971</v>
      </c>
      <c r="D1109" s="47" t="s">
        <v>5972</v>
      </c>
      <c r="E1109" s="47"/>
      <c r="F1109" s="47" t="s">
        <v>3603</v>
      </c>
      <c r="G1109" s="47" t="s">
        <v>3604</v>
      </c>
      <c r="H1109" s="47" t="s">
        <v>3605</v>
      </c>
      <c r="I1109" s="47" t="s">
        <v>18760</v>
      </c>
    </row>
    <row r="1110" spans="1:9" ht="15">
      <c r="A1110" s="47">
        <v>51701</v>
      </c>
      <c r="B1110" s="47" t="s">
        <v>5973</v>
      </c>
      <c r="C1110" s="47" t="s">
        <v>5974</v>
      </c>
      <c r="D1110" s="47" t="s">
        <v>5975</v>
      </c>
      <c r="E1110" s="47"/>
      <c r="F1110" s="47"/>
      <c r="G1110" s="47"/>
      <c r="H1110" s="47" t="s">
        <v>3605</v>
      </c>
      <c r="I1110" s="47" t="s">
        <v>18761</v>
      </c>
    </row>
    <row r="1111" spans="1:9" ht="15">
      <c r="A1111" s="47">
        <v>51702</v>
      </c>
      <c r="B1111" s="47" t="s">
        <v>5976</v>
      </c>
      <c r="C1111" s="47" t="s">
        <v>5977</v>
      </c>
      <c r="D1111" s="47" t="s">
        <v>5978</v>
      </c>
      <c r="E1111" s="47"/>
      <c r="F1111" s="47" t="s">
        <v>3603</v>
      </c>
      <c r="G1111" s="47" t="s">
        <v>3604</v>
      </c>
      <c r="H1111" s="47" t="s">
        <v>3605</v>
      </c>
      <c r="I1111" s="47" t="s">
        <v>18762</v>
      </c>
    </row>
    <row r="1112" spans="1:9" ht="15">
      <c r="A1112" s="47">
        <v>51705</v>
      </c>
      <c r="B1112" s="47" t="s">
        <v>5979</v>
      </c>
      <c r="C1112" s="47" t="s">
        <v>5980</v>
      </c>
      <c r="D1112" s="47" t="s">
        <v>5981</v>
      </c>
      <c r="E1112" s="47"/>
      <c r="F1112" s="47" t="s">
        <v>3603</v>
      </c>
      <c r="G1112" s="47" t="s">
        <v>3604</v>
      </c>
      <c r="H1112" s="47" t="s">
        <v>3605</v>
      </c>
      <c r="I1112" s="47" t="s">
        <v>18763</v>
      </c>
    </row>
    <row r="1113" spans="1:9" ht="15">
      <c r="A1113" s="47">
        <v>51708</v>
      </c>
      <c r="B1113" s="47" t="s">
        <v>5982</v>
      </c>
      <c r="C1113" s="47" t="s">
        <v>5983</v>
      </c>
      <c r="D1113" s="47" t="s">
        <v>5984</v>
      </c>
      <c r="E1113" s="47"/>
      <c r="F1113" s="47" t="s">
        <v>3603</v>
      </c>
      <c r="G1113" s="47" t="s">
        <v>3604</v>
      </c>
      <c r="H1113" s="47" t="s">
        <v>3605</v>
      </c>
      <c r="I1113" s="47" t="s">
        <v>18764</v>
      </c>
    </row>
    <row r="1114" spans="1:9" ht="15">
      <c r="A1114" s="47">
        <v>51709</v>
      </c>
      <c r="B1114" s="47" t="s">
        <v>5985</v>
      </c>
      <c r="C1114" s="47" t="s">
        <v>5986</v>
      </c>
      <c r="D1114" s="47" t="s">
        <v>5987</v>
      </c>
      <c r="E1114" s="47"/>
      <c r="F1114" s="47" t="s">
        <v>3603</v>
      </c>
      <c r="G1114" s="47" t="s">
        <v>3604</v>
      </c>
      <c r="H1114" s="47" t="s">
        <v>3605</v>
      </c>
      <c r="I1114" s="47" t="s">
        <v>18765</v>
      </c>
    </row>
    <row r="1115" spans="1:9" ht="15">
      <c r="A1115" s="47">
        <v>51711</v>
      </c>
      <c r="B1115" s="47" t="s">
        <v>5988</v>
      </c>
      <c r="C1115" s="47" t="s">
        <v>5989</v>
      </c>
      <c r="D1115" s="47" t="s">
        <v>5990</v>
      </c>
      <c r="E1115" s="47"/>
      <c r="F1115" s="47" t="s">
        <v>3603</v>
      </c>
      <c r="G1115" s="47" t="s">
        <v>3604</v>
      </c>
      <c r="H1115" s="47" t="s">
        <v>3605</v>
      </c>
      <c r="I1115" s="47" t="s">
        <v>18766</v>
      </c>
    </row>
    <row r="1116" spans="1:9" ht="15">
      <c r="A1116" s="47">
        <v>51723</v>
      </c>
      <c r="B1116" s="47" t="s">
        <v>5991</v>
      </c>
      <c r="C1116" s="47" t="s">
        <v>5992</v>
      </c>
      <c r="D1116" s="47" t="s">
        <v>5993</v>
      </c>
      <c r="E1116" s="47"/>
      <c r="F1116" s="47" t="s">
        <v>3603</v>
      </c>
      <c r="G1116" s="47" t="s">
        <v>3604</v>
      </c>
      <c r="H1116" s="47" t="s">
        <v>3605</v>
      </c>
      <c r="I1116" s="47" t="s">
        <v>18767</v>
      </c>
    </row>
    <row r="1117" spans="1:9" ht="15">
      <c r="A1117" s="47">
        <v>51724</v>
      </c>
      <c r="B1117" s="47" t="s">
        <v>5994</v>
      </c>
      <c r="C1117" s="47" t="s">
        <v>5995</v>
      </c>
      <c r="D1117" s="47" t="s">
        <v>5996</v>
      </c>
      <c r="E1117" s="47"/>
      <c r="F1117" s="47" t="s">
        <v>3603</v>
      </c>
      <c r="G1117" s="47" t="s">
        <v>3604</v>
      </c>
      <c r="H1117" s="47" t="s">
        <v>3605</v>
      </c>
      <c r="I1117" s="47" t="s">
        <v>18768</v>
      </c>
    </row>
    <row r="1118" spans="1:9" ht="15">
      <c r="A1118" s="47">
        <v>51725</v>
      </c>
      <c r="B1118" s="47" t="s">
        <v>5997</v>
      </c>
      <c r="C1118" s="47" t="s">
        <v>5998</v>
      </c>
      <c r="D1118" s="47" t="s">
        <v>5999</v>
      </c>
      <c r="E1118" s="47"/>
      <c r="F1118" s="47"/>
      <c r="G1118" s="47"/>
      <c r="H1118" s="47" t="s">
        <v>3605</v>
      </c>
      <c r="I1118" s="47" t="s">
        <v>18769</v>
      </c>
    </row>
    <row r="1119" spans="1:9" ht="15">
      <c r="A1119" s="47">
        <v>51740</v>
      </c>
      <c r="B1119" s="47" t="s">
        <v>6000</v>
      </c>
      <c r="C1119" s="47" t="s">
        <v>6001</v>
      </c>
      <c r="D1119" s="47" t="s">
        <v>6002</v>
      </c>
      <c r="E1119" s="47"/>
      <c r="F1119" s="47"/>
      <c r="G1119" s="47"/>
      <c r="H1119" s="47" t="s">
        <v>3605</v>
      </c>
      <c r="I1119" s="47" t="s">
        <v>18770</v>
      </c>
    </row>
    <row r="1120" spans="1:9" ht="15">
      <c r="A1120" s="47">
        <v>51775</v>
      </c>
      <c r="B1120" s="47" t="s">
        <v>6003</v>
      </c>
      <c r="C1120" s="47" t="s">
        <v>6004</v>
      </c>
      <c r="D1120" s="47" t="s">
        <v>6005</v>
      </c>
      <c r="E1120" s="47"/>
      <c r="F1120" s="47" t="s">
        <v>3603</v>
      </c>
      <c r="G1120" s="47" t="s">
        <v>3604</v>
      </c>
      <c r="H1120" s="47" t="s">
        <v>3605</v>
      </c>
      <c r="I1120" s="47" t="s">
        <v>18771</v>
      </c>
    </row>
    <row r="1121" spans="1:9" ht="15">
      <c r="A1121" s="47">
        <v>51776</v>
      </c>
      <c r="B1121" s="47" t="s">
        <v>6006</v>
      </c>
      <c r="C1121" s="47" t="s">
        <v>6007</v>
      </c>
      <c r="D1121" s="47" t="s">
        <v>6008</v>
      </c>
      <c r="E1121" s="47"/>
      <c r="F1121" s="47"/>
      <c r="G1121" s="47"/>
      <c r="H1121" s="47" t="s">
        <v>3605</v>
      </c>
      <c r="I1121" s="47" t="s">
        <v>18772</v>
      </c>
    </row>
    <row r="1122" spans="1:9" ht="15">
      <c r="A1122" s="47">
        <v>51800</v>
      </c>
      <c r="B1122" s="47" t="s">
        <v>2009</v>
      </c>
      <c r="C1122" s="47" t="s">
        <v>6009</v>
      </c>
      <c r="D1122" s="47" t="s">
        <v>6010</v>
      </c>
      <c r="E1122" s="47"/>
      <c r="F1122" s="47"/>
      <c r="G1122" s="47"/>
      <c r="H1122" s="47" t="s">
        <v>3605</v>
      </c>
      <c r="I1122" s="47" t="s">
        <v>18773</v>
      </c>
    </row>
    <row r="1123" spans="1:9" ht="15">
      <c r="A1123" s="47">
        <v>51900</v>
      </c>
      <c r="B1123" s="47" t="s">
        <v>6011</v>
      </c>
      <c r="C1123" s="47" t="s">
        <v>6012</v>
      </c>
      <c r="D1123" s="47" t="s">
        <v>6013</v>
      </c>
      <c r="E1123" s="47"/>
      <c r="F1123" s="47" t="s">
        <v>3603</v>
      </c>
      <c r="G1123" s="47" t="s">
        <v>3604</v>
      </c>
      <c r="H1123" s="47" t="s">
        <v>3605</v>
      </c>
      <c r="I1123" s="47" t="s">
        <v>18774</v>
      </c>
    </row>
    <row r="1124" spans="1:9" ht="15">
      <c r="A1124" s="47">
        <v>51903</v>
      </c>
      <c r="B1124" s="47" t="s">
        <v>6014</v>
      </c>
      <c r="C1124" s="47" t="s">
        <v>6015</v>
      </c>
      <c r="D1124" s="47" t="s">
        <v>6016</v>
      </c>
      <c r="E1124" s="47"/>
      <c r="F1124" s="47"/>
      <c r="G1124" s="47"/>
      <c r="H1124" s="47" t="s">
        <v>3605</v>
      </c>
      <c r="I1124" s="47" t="s">
        <v>18775</v>
      </c>
    </row>
    <row r="1125" spans="1:9" ht="15">
      <c r="A1125" s="47">
        <v>51905</v>
      </c>
      <c r="B1125" s="47" t="s">
        <v>6017</v>
      </c>
      <c r="C1125" s="47" t="s">
        <v>6018</v>
      </c>
      <c r="D1125" s="47" t="s">
        <v>6019</v>
      </c>
      <c r="E1125" s="47"/>
      <c r="F1125" s="47" t="s">
        <v>3603</v>
      </c>
      <c r="G1125" s="47" t="s">
        <v>3604</v>
      </c>
      <c r="H1125" s="47" t="s">
        <v>3605</v>
      </c>
      <c r="I1125" s="47" t="s">
        <v>18776</v>
      </c>
    </row>
    <row r="1126" spans="1:9" ht="15">
      <c r="A1126" s="47">
        <v>51906</v>
      </c>
      <c r="B1126" s="47" t="s">
        <v>6020</v>
      </c>
      <c r="C1126" s="47" t="s">
        <v>6021</v>
      </c>
      <c r="D1126" s="47" t="s">
        <v>6022</v>
      </c>
      <c r="E1126" s="47"/>
      <c r="F1126" s="47" t="s">
        <v>3603</v>
      </c>
      <c r="G1126" s="47" t="s">
        <v>3604</v>
      </c>
      <c r="H1126" s="47" t="s">
        <v>3605</v>
      </c>
      <c r="I1126" s="47" t="s">
        <v>18777</v>
      </c>
    </row>
    <row r="1127" spans="1:9" ht="15">
      <c r="A1127" s="47">
        <v>51910</v>
      </c>
      <c r="B1127" s="47" t="s">
        <v>6023</v>
      </c>
      <c r="C1127" s="47" t="s">
        <v>6024</v>
      </c>
      <c r="D1127" s="47" t="s">
        <v>6025</v>
      </c>
      <c r="E1127" s="47"/>
      <c r="F1127" s="47"/>
      <c r="G1127" s="47"/>
      <c r="H1127" s="47" t="s">
        <v>3605</v>
      </c>
      <c r="I1127" s="47" t="s">
        <v>18778</v>
      </c>
    </row>
    <row r="1128" spans="1:9" ht="15">
      <c r="A1128" s="47">
        <v>51911</v>
      </c>
      <c r="B1128" s="47" t="s">
        <v>6026</v>
      </c>
      <c r="C1128" s="47" t="s">
        <v>6027</v>
      </c>
      <c r="D1128" s="47" t="s">
        <v>6028</v>
      </c>
      <c r="E1128" s="47"/>
      <c r="F1128" s="47"/>
      <c r="G1128" s="47"/>
      <c r="H1128" s="47" t="s">
        <v>3605</v>
      </c>
      <c r="I1128" s="47" t="s">
        <v>18779</v>
      </c>
    </row>
    <row r="1129" spans="1:9" ht="15">
      <c r="A1129" s="47">
        <v>22000</v>
      </c>
      <c r="B1129" s="47" t="s">
        <v>2086</v>
      </c>
      <c r="C1129" s="47" t="s">
        <v>6029</v>
      </c>
      <c r="D1129" s="47" t="s">
        <v>6030</v>
      </c>
      <c r="E1129" s="47"/>
      <c r="F1129" s="47"/>
      <c r="G1129" s="47"/>
      <c r="H1129" s="47" t="s">
        <v>3605</v>
      </c>
      <c r="I1129" s="47" t="s">
        <v>18780</v>
      </c>
    </row>
    <row r="1130" spans="1:9" ht="15">
      <c r="A1130" s="47">
        <v>3100401</v>
      </c>
      <c r="B1130" s="47" t="s">
        <v>2378</v>
      </c>
      <c r="C1130" s="47" t="s">
        <v>6031</v>
      </c>
      <c r="D1130" s="47" t="s">
        <v>6032</v>
      </c>
      <c r="E1130" s="47"/>
      <c r="F1130" s="47"/>
      <c r="G1130" s="47"/>
      <c r="H1130" s="47" t="s">
        <v>3605</v>
      </c>
      <c r="I1130" s="47" t="s">
        <v>18781</v>
      </c>
    </row>
    <row r="1131" spans="1:9" ht="15">
      <c r="A1131" s="47">
        <v>51913</v>
      </c>
      <c r="B1131" s="47" t="s">
        <v>6033</v>
      </c>
      <c r="C1131" s="47" t="s">
        <v>6034</v>
      </c>
      <c r="D1131" s="47" t="s">
        <v>6035</v>
      </c>
      <c r="E1131" s="47"/>
      <c r="F1131" s="47"/>
      <c r="G1131" s="47"/>
      <c r="H1131" s="47" t="s">
        <v>3605</v>
      </c>
      <c r="I1131" s="47" t="s">
        <v>18782</v>
      </c>
    </row>
    <row r="1132" spans="1:9" ht="15">
      <c r="A1132" s="47">
        <v>51915</v>
      </c>
      <c r="B1132" s="47" t="s">
        <v>2005</v>
      </c>
      <c r="C1132" s="47" t="s">
        <v>6036</v>
      </c>
      <c r="D1132" s="47" t="s">
        <v>6037</v>
      </c>
      <c r="E1132" s="47"/>
      <c r="F1132" s="47"/>
      <c r="G1132" s="47"/>
      <c r="H1132" s="47" t="s">
        <v>3605</v>
      </c>
      <c r="I1132" s="47" t="s">
        <v>18783</v>
      </c>
    </row>
    <row r="1133" spans="1:9" ht="15">
      <c r="A1133" s="47" t="s">
        <v>5</v>
      </c>
      <c r="B1133" s="47" t="s">
        <v>1751</v>
      </c>
      <c r="C1133" s="47" t="s">
        <v>6038</v>
      </c>
      <c r="D1133" s="47" t="s">
        <v>6039</v>
      </c>
      <c r="E1133" s="47"/>
      <c r="F1133" s="47"/>
      <c r="G1133" s="47"/>
      <c r="H1133" s="47" t="s">
        <v>3605</v>
      </c>
      <c r="I1133" s="47" t="s">
        <v>5</v>
      </c>
    </row>
    <row r="1134" spans="1:9" ht="15">
      <c r="A1134" s="47" t="s">
        <v>2283</v>
      </c>
      <c r="B1134" s="47" t="s">
        <v>2284</v>
      </c>
      <c r="C1134" s="47" t="s">
        <v>6040</v>
      </c>
      <c r="D1134" s="47" t="s">
        <v>6041</v>
      </c>
      <c r="E1134" s="47"/>
      <c r="F1134" s="47"/>
      <c r="G1134" s="47"/>
      <c r="H1134" s="47" t="s">
        <v>3605</v>
      </c>
      <c r="I1134" s="47" t="s">
        <v>2283</v>
      </c>
    </row>
    <row r="1135" spans="1:9" ht="15">
      <c r="A1135" s="47">
        <v>51917</v>
      </c>
      <c r="B1135" s="47" t="s">
        <v>6042</v>
      </c>
      <c r="C1135" s="47" t="s">
        <v>6043</v>
      </c>
      <c r="D1135" s="47" t="s">
        <v>6044</v>
      </c>
      <c r="E1135" s="47"/>
      <c r="F1135" s="47"/>
      <c r="G1135" s="47"/>
      <c r="H1135" s="47" t="s">
        <v>3605</v>
      </c>
      <c r="I1135" s="47" t="s">
        <v>18784</v>
      </c>
    </row>
    <row r="1136" spans="1:9" ht="15">
      <c r="A1136" s="47">
        <v>10307</v>
      </c>
      <c r="B1136" s="47" t="s">
        <v>2235</v>
      </c>
      <c r="C1136" s="47" t="s">
        <v>6045</v>
      </c>
      <c r="D1136" s="47" t="s">
        <v>6046</v>
      </c>
      <c r="E1136" s="47"/>
      <c r="F1136" s="47"/>
      <c r="G1136" s="47"/>
      <c r="H1136" s="47" t="s">
        <v>3605</v>
      </c>
      <c r="I1136" s="47" t="s">
        <v>18785</v>
      </c>
    </row>
    <row r="1137" spans="1:9" ht="15">
      <c r="A1137" s="47">
        <v>10316</v>
      </c>
      <c r="B1137" s="47" t="s">
        <v>2290</v>
      </c>
      <c r="C1137" s="47" t="s">
        <v>6047</v>
      </c>
      <c r="D1137" s="47" t="s">
        <v>6048</v>
      </c>
      <c r="E1137" s="47"/>
      <c r="F1137" s="47"/>
      <c r="G1137" s="47"/>
      <c r="H1137" s="47" t="s">
        <v>3605</v>
      </c>
      <c r="I1137" s="47" t="s">
        <v>18786</v>
      </c>
    </row>
    <row r="1138" spans="1:9" ht="15">
      <c r="A1138" s="47">
        <v>3000406</v>
      </c>
      <c r="B1138" s="47" t="s">
        <v>1178</v>
      </c>
      <c r="C1138" s="47" t="s">
        <v>6049</v>
      </c>
      <c r="D1138" s="47" t="s">
        <v>6050</v>
      </c>
      <c r="E1138" s="47"/>
      <c r="F1138" s="47"/>
      <c r="G1138" s="47"/>
      <c r="H1138" s="47" t="s">
        <v>3605</v>
      </c>
      <c r="I1138" s="47" t="s">
        <v>18787</v>
      </c>
    </row>
    <row r="1139" spans="1:9" ht="15">
      <c r="A1139" s="47">
        <v>51919</v>
      </c>
      <c r="B1139" s="47" t="s">
        <v>6051</v>
      </c>
      <c r="C1139" s="47" t="s">
        <v>6052</v>
      </c>
      <c r="D1139" s="47" t="s">
        <v>6053</v>
      </c>
      <c r="E1139" s="47"/>
      <c r="F1139" s="47"/>
      <c r="G1139" s="47"/>
      <c r="H1139" s="47" t="s">
        <v>3605</v>
      </c>
      <c r="I1139" s="47" t="s">
        <v>18788</v>
      </c>
    </row>
    <row r="1140" spans="1:9" ht="15">
      <c r="A1140" s="47">
        <v>898301</v>
      </c>
      <c r="B1140" s="47" t="s">
        <v>6054</v>
      </c>
      <c r="C1140" s="47" t="s">
        <v>6055</v>
      </c>
      <c r="D1140" s="47" t="s">
        <v>6056</v>
      </c>
      <c r="E1140" s="47"/>
      <c r="F1140" s="47" t="s">
        <v>3603</v>
      </c>
      <c r="G1140" s="47" t="s">
        <v>3604</v>
      </c>
      <c r="H1140" s="47" t="s">
        <v>3605</v>
      </c>
      <c r="I1140" s="47" t="s">
        <v>18789</v>
      </c>
    </row>
    <row r="1141" spans="1:9" ht="15">
      <c r="A1141" s="47">
        <v>383009</v>
      </c>
      <c r="B1141" s="47" t="s">
        <v>2069</v>
      </c>
      <c r="C1141" s="47" t="s">
        <v>6057</v>
      </c>
      <c r="D1141" s="47" t="s">
        <v>6058</v>
      </c>
      <c r="E1141" s="47"/>
      <c r="F1141" s="47"/>
      <c r="G1141" s="47"/>
      <c r="H1141" s="47" t="s">
        <v>3605</v>
      </c>
      <c r="I1141" s="47" t="s">
        <v>18790</v>
      </c>
    </row>
    <row r="1142" spans="1:9" ht="15">
      <c r="A1142" s="47">
        <v>51921</v>
      </c>
      <c r="B1142" s="47" t="s">
        <v>6059</v>
      </c>
      <c r="C1142" s="47" t="s">
        <v>6060</v>
      </c>
      <c r="D1142" s="47" t="s">
        <v>6061</v>
      </c>
      <c r="E1142" s="47"/>
      <c r="F1142" s="47"/>
      <c r="G1142" s="47"/>
      <c r="H1142" s="47" t="s">
        <v>3605</v>
      </c>
      <c r="I1142" s="47" t="s">
        <v>18791</v>
      </c>
    </row>
    <row r="1143" spans="1:9" ht="15">
      <c r="A1143" s="47">
        <v>898300</v>
      </c>
      <c r="B1143" s="47" t="s">
        <v>2054</v>
      </c>
      <c r="C1143" s="47" t="s">
        <v>6062</v>
      </c>
      <c r="D1143" s="47" t="s">
        <v>6063</v>
      </c>
      <c r="E1143" s="47"/>
      <c r="F1143" s="47"/>
      <c r="G1143" s="47"/>
      <c r="H1143" s="47" t="s">
        <v>3605</v>
      </c>
      <c r="I1143" s="47" t="s">
        <v>18792</v>
      </c>
    </row>
    <row r="1144" spans="1:9" ht="15">
      <c r="A1144" s="47">
        <v>383001</v>
      </c>
      <c r="B1144" s="47" t="s">
        <v>6064</v>
      </c>
      <c r="C1144" s="47" t="s">
        <v>6065</v>
      </c>
      <c r="D1144" s="47" t="s">
        <v>6066</v>
      </c>
      <c r="E1144" s="47"/>
      <c r="F1144" s="47" t="s">
        <v>3603</v>
      </c>
      <c r="G1144" s="47" t="s">
        <v>3604</v>
      </c>
      <c r="H1144" s="47" t="s">
        <v>3605</v>
      </c>
      <c r="I1144" s="47" t="s">
        <v>18793</v>
      </c>
    </row>
    <row r="1145" spans="1:9" ht="15">
      <c r="A1145" s="47">
        <v>51923</v>
      </c>
      <c r="B1145" s="47" t="s">
        <v>6067</v>
      </c>
      <c r="C1145" s="47" t="s">
        <v>6068</v>
      </c>
      <c r="D1145" s="47" t="s">
        <v>6069</v>
      </c>
      <c r="E1145" s="47"/>
      <c r="F1145" s="47"/>
      <c r="G1145" s="47"/>
      <c r="H1145" s="47" t="s">
        <v>3605</v>
      </c>
      <c r="I1145" s="47" t="s">
        <v>18794</v>
      </c>
    </row>
    <row r="1146" spans="1:9" ht="15">
      <c r="A1146" s="47">
        <v>51950</v>
      </c>
      <c r="B1146" s="47" t="s">
        <v>6070</v>
      </c>
      <c r="C1146" s="47" t="s">
        <v>6071</v>
      </c>
      <c r="D1146" s="47" t="s">
        <v>6072</v>
      </c>
      <c r="E1146" s="47"/>
      <c r="F1146" s="47" t="s">
        <v>3603</v>
      </c>
      <c r="G1146" s="47" t="s">
        <v>3604</v>
      </c>
      <c r="H1146" s="47" t="s">
        <v>3605</v>
      </c>
      <c r="I1146" s="47" t="s">
        <v>18795</v>
      </c>
    </row>
    <row r="1147" spans="1:9" ht="15">
      <c r="A1147" s="47">
        <v>383000</v>
      </c>
      <c r="B1147" s="47" t="s">
        <v>1113</v>
      </c>
      <c r="C1147" s="47" t="s">
        <v>6073</v>
      </c>
      <c r="D1147" s="47" t="s">
        <v>6074</v>
      </c>
      <c r="E1147" s="47"/>
      <c r="F1147" s="47"/>
      <c r="G1147" s="47"/>
      <c r="H1147" s="47" t="s">
        <v>3605</v>
      </c>
      <c r="I1147" s="47" t="s">
        <v>18796</v>
      </c>
    </row>
    <row r="1148" spans="1:9" ht="15">
      <c r="A1148" s="47">
        <v>429001</v>
      </c>
      <c r="B1148" s="47" t="s">
        <v>2033</v>
      </c>
      <c r="C1148" s="47" t="s">
        <v>6075</v>
      </c>
      <c r="D1148" s="47" t="s">
        <v>6076</v>
      </c>
      <c r="E1148" s="47"/>
      <c r="F1148" s="47"/>
      <c r="G1148" s="47"/>
      <c r="H1148" s="47" t="s">
        <v>3605</v>
      </c>
      <c r="I1148" s="47" t="s">
        <v>18797</v>
      </c>
    </row>
    <row r="1149" spans="1:9" ht="15">
      <c r="A1149" s="47">
        <v>429006</v>
      </c>
      <c r="B1149" s="47" t="s">
        <v>2073</v>
      </c>
      <c r="C1149" s="47" t="s">
        <v>6077</v>
      </c>
      <c r="D1149" s="47" t="s">
        <v>6078</v>
      </c>
      <c r="E1149" s="47"/>
      <c r="F1149" s="47"/>
      <c r="G1149" s="47"/>
      <c r="H1149" s="47" t="s">
        <v>3605</v>
      </c>
      <c r="I1149" s="47" t="s">
        <v>18798</v>
      </c>
    </row>
    <row r="1150" spans="1:9" ht="15">
      <c r="A1150" s="47">
        <v>389002</v>
      </c>
      <c r="B1150" s="47" t="s">
        <v>6079</v>
      </c>
      <c r="C1150" s="47" t="s">
        <v>6080</v>
      </c>
      <c r="D1150" s="47" t="s">
        <v>6081</v>
      </c>
      <c r="E1150" s="47"/>
      <c r="F1150" s="47" t="s">
        <v>3603</v>
      </c>
      <c r="G1150" s="47" t="s">
        <v>3604</v>
      </c>
      <c r="H1150" s="47" t="s">
        <v>3605</v>
      </c>
      <c r="I1150" s="47" t="s">
        <v>18799</v>
      </c>
    </row>
    <row r="1151" spans="1:9" ht="15">
      <c r="A1151" s="47">
        <v>389007</v>
      </c>
      <c r="B1151" s="47" t="s">
        <v>6082</v>
      </c>
      <c r="C1151" s="47" t="s">
        <v>6083</v>
      </c>
      <c r="D1151" s="47" t="s">
        <v>6084</v>
      </c>
      <c r="E1151" s="47"/>
      <c r="F1151" s="47" t="s">
        <v>3603</v>
      </c>
      <c r="G1151" s="47" t="s">
        <v>3604</v>
      </c>
      <c r="H1151" s="47" t="s">
        <v>3605</v>
      </c>
      <c r="I1151" s="47" t="s">
        <v>18800</v>
      </c>
    </row>
    <row r="1152" spans="1:9" ht="15">
      <c r="A1152" s="47">
        <v>389000</v>
      </c>
      <c r="B1152" s="47" t="s">
        <v>6085</v>
      </c>
      <c r="C1152" s="47" t="s">
        <v>6086</v>
      </c>
      <c r="D1152" s="47" t="s">
        <v>6087</v>
      </c>
      <c r="E1152" s="47"/>
      <c r="F1152" s="47" t="s">
        <v>3603</v>
      </c>
      <c r="G1152" s="47" t="s">
        <v>3604</v>
      </c>
      <c r="H1152" s="47" t="s">
        <v>3605</v>
      </c>
      <c r="I1152" s="47" t="s">
        <v>18801</v>
      </c>
    </row>
    <row r="1153" spans="1:9" ht="15">
      <c r="A1153" s="47">
        <v>429003</v>
      </c>
      <c r="B1153" s="47" t="s">
        <v>2071</v>
      </c>
      <c r="C1153" s="47" t="s">
        <v>6088</v>
      </c>
      <c r="D1153" s="47" t="s">
        <v>6089</v>
      </c>
      <c r="E1153" s="47"/>
      <c r="F1153" s="47"/>
      <c r="G1153" s="47"/>
      <c r="H1153" s="47" t="s">
        <v>3605</v>
      </c>
      <c r="I1153" s="47" t="s">
        <v>18802</v>
      </c>
    </row>
    <row r="1154" spans="1:9" ht="15">
      <c r="A1154" s="47">
        <v>51980</v>
      </c>
      <c r="B1154" s="47" t="s">
        <v>6090</v>
      </c>
      <c r="C1154" s="47" t="s">
        <v>6091</v>
      </c>
      <c r="D1154" s="47" t="s">
        <v>6092</v>
      </c>
      <c r="E1154" s="47"/>
      <c r="F1154" s="47"/>
      <c r="G1154" s="47"/>
      <c r="H1154" s="47" t="s">
        <v>3605</v>
      </c>
      <c r="I1154" s="47" t="s">
        <v>18803</v>
      </c>
    </row>
    <row r="1155" spans="1:9" ht="15">
      <c r="A1155" s="47">
        <v>52261</v>
      </c>
      <c r="B1155" s="47" t="s">
        <v>6093</v>
      </c>
      <c r="C1155" s="47" t="s">
        <v>6094</v>
      </c>
      <c r="D1155" s="47" t="s">
        <v>6095</v>
      </c>
      <c r="E1155" s="47"/>
      <c r="F1155" s="47" t="s">
        <v>3603</v>
      </c>
      <c r="G1155" s="47" t="s">
        <v>3604</v>
      </c>
      <c r="H1155" s="47" t="s">
        <v>3605</v>
      </c>
      <c r="I1155" s="47" t="s">
        <v>18804</v>
      </c>
    </row>
    <row r="1156" spans="1:9" ht="15">
      <c r="A1156" s="47">
        <v>389010</v>
      </c>
      <c r="B1156" s="47" t="s">
        <v>6096</v>
      </c>
      <c r="C1156" s="47" t="s">
        <v>6097</v>
      </c>
      <c r="D1156" s="47" t="s">
        <v>6098</v>
      </c>
      <c r="E1156" s="47"/>
      <c r="F1156" s="47" t="s">
        <v>3603</v>
      </c>
      <c r="G1156" s="47" t="s">
        <v>3604</v>
      </c>
      <c r="H1156" s="47" t="s">
        <v>3605</v>
      </c>
      <c r="I1156" s="47" t="s">
        <v>18805</v>
      </c>
    </row>
    <row r="1157" spans="1:9" ht="15">
      <c r="A1157" s="47">
        <v>389009</v>
      </c>
      <c r="B1157" s="47" t="s">
        <v>6099</v>
      </c>
      <c r="C1157" s="47" t="s">
        <v>6100</v>
      </c>
      <c r="D1157" s="47" t="s">
        <v>6101</v>
      </c>
      <c r="E1157" s="47"/>
      <c r="F1157" s="47" t="s">
        <v>3603</v>
      </c>
      <c r="G1157" s="47" t="s">
        <v>3604</v>
      </c>
      <c r="H1157" s="47" t="s">
        <v>3605</v>
      </c>
      <c r="I1157" s="47" t="s">
        <v>18806</v>
      </c>
    </row>
    <row r="1158" spans="1:9" ht="15">
      <c r="A1158" s="47">
        <v>389011</v>
      </c>
      <c r="B1158" s="47" t="s">
        <v>6102</v>
      </c>
      <c r="C1158" s="47" t="s">
        <v>6103</v>
      </c>
      <c r="D1158" s="47" t="s">
        <v>6104</v>
      </c>
      <c r="E1158" s="47"/>
      <c r="F1158" s="47" t="s">
        <v>3603</v>
      </c>
      <c r="G1158" s="47" t="s">
        <v>3604</v>
      </c>
      <c r="H1158" s="47" t="s">
        <v>3605</v>
      </c>
      <c r="I1158" s="47" t="s">
        <v>18807</v>
      </c>
    </row>
    <row r="1159" spans="1:9" ht="15">
      <c r="A1159" s="47">
        <v>204002</v>
      </c>
      <c r="B1159" s="47" t="s">
        <v>6105</v>
      </c>
      <c r="C1159" s="47" t="s">
        <v>6106</v>
      </c>
      <c r="D1159" s="47" t="s">
        <v>6107</v>
      </c>
      <c r="E1159" s="47"/>
      <c r="F1159" s="47" t="s">
        <v>3603</v>
      </c>
      <c r="G1159" s="47" t="s">
        <v>3604</v>
      </c>
      <c r="H1159" s="47" t="s">
        <v>3605</v>
      </c>
      <c r="I1159" s="47" t="s">
        <v>18808</v>
      </c>
    </row>
    <row r="1160" spans="1:9" ht="15">
      <c r="A1160" s="47">
        <v>389013</v>
      </c>
      <c r="B1160" s="47" t="s">
        <v>6108</v>
      </c>
      <c r="C1160" s="47" t="s">
        <v>6109</v>
      </c>
      <c r="D1160" s="47" t="s">
        <v>6110</v>
      </c>
      <c r="E1160" s="47"/>
      <c r="F1160" s="47" t="s">
        <v>3603</v>
      </c>
      <c r="G1160" s="47" t="s">
        <v>3604</v>
      </c>
      <c r="H1160" s="47" t="s">
        <v>3605</v>
      </c>
      <c r="I1160" s="47" t="s">
        <v>18809</v>
      </c>
    </row>
    <row r="1161" spans="1:9" ht="15">
      <c r="A1161" s="47">
        <v>52262</v>
      </c>
      <c r="B1161" s="47" t="s">
        <v>6111</v>
      </c>
      <c r="C1161" s="47" t="s">
        <v>6112</v>
      </c>
      <c r="D1161" s="47" t="s">
        <v>6113</v>
      </c>
      <c r="E1161" s="47"/>
      <c r="F1161" s="47" t="s">
        <v>3603</v>
      </c>
      <c r="G1161" s="47" t="s">
        <v>3604</v>
      </c>
      <c r="H1161" s="47" t="s">
        <v>3605</v>
      </c>
      <c r="I1161" s="47" t="s">
        <v>18810</v>
      </c>
    </row>
    <row r="1162" spans="1:9" ht="15">
      <c r="A1162" s="47">
        <v>389003</v>
      </c>
      <c r="B1162" s="47" t="s">
        <v>6114</v>
      </c>
      <c r="C1162" s="47" t="s">
        <v>6115</v>
      </c>
      <c r="D1162" s="47" t="s">
        <v>6116</v>
      </c>
      <c r="E1162" s="47"/>
      <c r="F1162" s="47" t="s">
        <v>3603</v>
      </c>
      <c r="G1162" s="47" t="s">
        <v>3604</v>
      </c>
      <c r="H1162" s="47" t="s">
        <v>3605</v>
      </c>
      <c r="I1162" s="47" t="s">
        <v>18811</v>
      </c>
    </row>
    <row r="1163" spans="1:9" ht="15">
      <c r="A1163" s="47">
        <v>52263</v>
      </c>
      <c r="B1163" s="47" t="s">
        <v>6117</v>
      </c>
      <c r="C1163" s="47" t="s">
        <v>6118</v>
      </c>
      <c r="D1163" s="47" t="s">
        <v>6119</v>
      </c>
      <c r="E1163" s="47"/>
      <c r="F1163" s="47" t="s">
        <v>3603</v>
      </c>
      <c r="G1163" s="47" t="s">
        <v>3604</v>
      </c>
      <c r="H1163" s="47" t="s">
        <v>3605</v>
      </c>
      <c r="I1163" s="47" t="s">
        <v>18812</v>
      </c>
    </row>
    <row r="1164" spans="1:9" ht="15">
      <c r="A1164" s="47">
        <v>52908</v>
      </c>
      <c r="B1164" s="47" t="s">
        <v>6120</v>
      </c>
      <c r="C1164" s="47" t="s">
        <v>6121</v>
      </c>
      <c r="D1164" s="47" t="s">
        <v>6122</v>
      </c>
      <c r="E1164" s="47"/>
      <c r="F1164" s="47" t="s">
        <v>3603</v>
      </c>
      <c r="G1164" s="47" t="s">
        <v>3604</v>
      </c>
      <c r="H1164" s="47" t="s">
        <v>3605</v>
      </c>
      <c r="I1164" s="47" t="s">
        <v>18813</v>
      </c>
    </row>
    <row r="1165" spans="1:9" ht="15">
      <c r="A1165" s="47">
        <v>389012</v>
      </c>
      <c r="B1165" s="47" t="s">
        <v>6123</v>
      </c>
      <c r="C1165" s="47" t="s">
        <v>6124</v>
      </c>
      <c r="D1165" s="47" t="s">
        <v>6125</v>
      </c>
      <c r="E1165" s="47"/>
      <c r="F1165" s="47" t="s">
        <v>3603</v>
      </c>
      <c r="G1165" s="47" t="s">
        <v>3604</v>
      </c>
      <c r="H1165" s="47" t="s">
        <v>3605</v>
      </c>
      <c r="I1165" s="47" t="s">
        <v>18814</v>
      </c>
    </row>
    <row r="1166" spans="1:9" ht="15">
      <c r="A1166" s="47">
        <v>383003</v>
      </c>
      <c r="B1166" s="47" t="s">
        <v>2077</v>
      </c>
      <c r="C1166" s="47" t="s">
        <v>6126</v>
      </c>
      <c r="D1166" s="47" t="s">
        <v>6127</v>
      </c>
      <c r="E1166" s="47"/>
      <c r="F1166" s="47"/>
      <c r="G1166" s="47"/>
      <c r="H1166" s="47" t="s">
        <v>3605</v>
      </c>
      <c r="I1166" s="47" t="s">
        <v>18815</v>
      </c>
    </row>
    <row r="1167" spans="1:9" ht="15">
      <c r="A1167" s="47">
        <v>204003</v>
      </c>
      <c r="B1167" s="47" t="s">
        <v>2081</v>
      </c>
      <c r="C1167" s="47" t="s">
        <v>6128</v>
      </c>
      <c r="D1167" s="47" t="s">
        <v>6129</v>
      </c>
      <c r="E1167" s="47"/>
      <c r="F1167" s="47"/>
      <c r="G1167" s="47"/>
      <c r="H1167" s="47" t="s">
        <v>3605</v>
      </c>
      <c r="I1167" s="47" t="s">
        <v>18816</v>
      </c>
    </row>
    <row r="1168" spans="1:9" ht="15">
      <c r="A1168" s="47">
        <v>204004</v>
      </c>
      <c r="B1168" s="47" t="s">
        <v>2082</v>
      </c>
      <c r="C1168" s="47" t="s">
        <v>6130</v>
      </c>
      <c r="D1168" s="47" t="s">
        <v>6131</v>
      </c>
      <c r="E1168" s="47"/>
      <c r="F1168" s="47"/>
      <c r="G1168" s="47"/>
      <c r="H1168" s="47" t="s">
        <v>3605</v>
      </c>
      <c r="I1168" s="47" t="s">
        <v>18817</v>
      </c>
    </row>
    <row r="1169" spans="1:9" ht="15">
      <c r="A1169" s="47">
        <v>52950</v>
      </c>
      <c r="B1169" s="47" t="s">
        <v>2502</v>
      </c>
      <c r="C1169" s="47" t="s">
        <v>6132</v>
      </c>
      <c r="D1169" s="47" t="s">
        <v>6133</v>
      </c>
      <c r="E1169" s="47"/>
      <c r="F1169" s="47"/>
      <c r="G1169" s="47"/>
      <c r="H1169" s="47" t="s">
        <v>3605</v>
      </c>
      <c r="I1169" s="47" t="s">
        <v>18818</v>
      </c>
    </row>
    <row r="1170" spans="1:9" ht="15">
      <c r="A1170" s="47">
        <v>53500</v>
      </c>
      <c r="B1170" s="47" t="s">
        <v>6134</v>
      </c>
      <c r="C1170" s="47" t="s">
        <v>6135</v>
      </c>
      <c r="D1170" s="47" t="s">
        <v>6136</v>
      </c>
      <c r="E1170" s="47"/>
      <c r="F1170" s="47" t="s">
        <v>3603</v>
      </c>
      <c r="G1170" s="47" t="s">
        <v>3604</v>
      </c>
      <c r="H1170" s="47" t="s">
        <v>3605</v>
      </c>
      <c r="I1170" s="47" t="s">
        <v>18819</v>
      </c>
    </row>
    <row r="1171" spans="1:9" ht="15">
      <c r="A1171" s="47">
        <v>389008</v>
      </c>
      <c r="B1171" s="47" t="s">
        <v>2087</v>
      </c>
      <c r="C1171" s="47" t="s">
        <v>6137</v>
      </c>
      <c r="D1171" s="47" t="s">
        <v>6138</v>
      </c>
      <c r="E1171" s="47"/>
      <c r="F1171" s="47"/>
      <c r="G1171" s="47"/>
      <c r="H1171" s="47" t="s">
        <v>3605</v>
      </c>
      <c r="I1171" s="47" t="s">
        <v>18820</v>
      </c>
    </row>
    <row r="1172" spans="1:9" ht="15">
      <c r="A1172" s="47">
        <v>383006</v>
      </c>
      <c r="B1172" s="47" t="s">
        <v>6139</v>
      </c>
      <c r="C1172" s="47" t="s">
        <v>6140</v>
      </c>
      <c r="D1172" s="47" t="s">
        <v>6141</v>
      </c>
      <c r="E1172" s="47"/>
      <c r="F1172" s="47" t="s">
        <v>3603</v>
      </c>
      <c r="G1172" s="47" t="s">
        <v>3604</v>
      </c>
      <c r="H1172" s="47" t="s">
        <v>3605</v>
      </c>
      <c r="I1172" s="47" t="s">
        <v>18821</v>
      </c>
    </row>
    <row r="1173" spans="1:9" ht="15">
      <c r="A1173" s="47">
        <v>53501</v>
      </c>
      <c r="B1173" s="47" t="s">
        <v>2013</v>
      </c>
      <c r="C1173" s="47" t="s">
        <v>6142</v>
      </c>
      <c r="D1173" s="47" t="s">
        <v>6143</v>
      </c>
      <c r="E1173" s="47"/>
      <c r="F1173" s="47"/>
      <c r="G1173" s="47"/>
      <c r="H1173" s="47" t="s">
        <v>3605</v>
      </c>
      <c r="I1173" s="47" t="s">
        <v>18822</v>
      </c>
    </row>
    <row r="1174" spans="1:9" ht="15">
      <c r="A1174" s="47">
        <v>53750</v>
      </c>
      <c r="B1174" s="47" t="s">
        <v>6144</v>
      </c>
      <c r="C1174" s="47" t="s">
        <v>6145</v>
      </c>
      <c r="D1174" s="47" t="s">
        <v>6146</v>
      </c>
      <c r="E1174" s="47"/>
      <c r="F1174" s="47"/>
      <c r="G1174" s="47"/>
      <c r="H1174" s="47" t="s">
        <v>3605</v>
      </c>
      <c r="I1174" s="47" t="s">
        <v>18823</v>
      </c>
    </row>
    <row r="1175" spans="1:9" ht="15">
      <c r="A1175" s="47">
        <v>53801</v>
      </c>
      <c r="B1175" s="47" t="s">
        <v>6147</v>
      </c>
      <c r="C1175" s="47" t="s">
        <v>6148</v>
      </c>
      <c r="D1175" s="47" t="s">
        <v>6149</v>
      </c>
      <c r="E1175" s="47"/>
      <c r="F1175" s="47" t="s">
        <v>3603</v>
      </c>
      <c r="G1175" s="47" t="s">
        <v>3604</v>
      </c>
      <c r="H1175" s="47" t="s">
        <v>3605</v>
      </c>
      <c r="I1175" s="47" t="s">
        <v>18824</v>
      </c>
    </row>
    <row r="1176" spans="1:9" ht="15">
      <c r="A1176" s="47">
        <v>600006</v>
      </c>
      <c r="B1176" s="47" t="s">
        <v>2055</v>
      </c>
      <c r="C1176" s="47" t="s">
        <v>6150</v>
      </c>
      <c r="D1176" s="47" t="s">
        <v>6151</v>
      </c>
      <c r="E1176" s="47"/>
      <c r="F1176" s="47"/>
      <c r="G1176" s="47"/>
      <c r="H1176" s="47" t="s">
        <v>3605</v>
      </c>
      <c r="I1176" s="47" t="s">
        <v>18825</v>
      </c>
    </row>
    <row r="1177" spans="1:9" ht="15">
      <c r="A1177" s="47">
        <v>389001</v>
      </c>
      <c r="B1177" s="47" t="s">
        <v>6152</v>
      </c>
      <c r="C1177" s="47" t="s">
        <v>6153</v>
      </c>
      <c r="D1177" s="47" t="s">
        <v>6154</v>
      </c>
      <c r="E1177" s="47"/>
      <c r="F1177" s="47" t="s">
        <v>3603</v>
      </c>
      <c r="G1177" s="47" t="s">
        <v>3604</v>
      </c>
      <c r="H1177" s="47" t="s">
        <v>3605</v>
      </c>
      <c r="I1177" s="47" t="s">
        <v>18826</v>
      </c>
    </row>
    <row r="1178" spans="1:9" ht="15">
      <c r="A1178" s="47">
        <v>429000</v>
      </c>
      <c r="B1178" s="47" t="s">
        <v>2056</v>
      </c>
      <c r="C1178" s="47" t="s">
        <v>6155</v>
      </c>
      <c r="D1178" s="47" t="s">
        <v>6156</v>
      </c>
      <c r="E1178" s="47"/>
      <c r="F1178" s="47"/>
      <c r="G1178" s="47"/>
      <c r="H1178" s="47" t="s">
        <v>3605</v>
      </c>
      <c r="I1178" s="47" t="s">
        <v>18827</v>
      </c>
    </row>
    <row r="1179" spans="1:9" ht="15">
      <c r="A1179" s="47">
        <v>383004</v>
      </c>
      <c r="B1179" s="47" t="s">
        <v>6157</v>
      </c>
      <c r="C1179" s="47" t="s">
        <v>6158</v>
      </c>
      <c r="D1179" s="47" t="s">
        <v>6159</v>
      </c>
      <c r="E1179" s="47"/>
      <c r="F1179" s="47" t="s">
        <v>3603</v>
      </c>
      <c r="G1179" s="47" t="s">
        <v>3604</v>
      </c>
      <c r="H1179" s="47" t="s">
        <v>3605</v>
      </c>
      <c r="I1179" s="47" t="s">
        <v>18828</v>
      </c>
    </row>
    <row r="1180" spans="1:9" ht="15">
      <c r="A1180" s="47">
        <v>204001</v>
      </c>
      <c r="B1180" s="47" t="s">
        <v>6160</v>
      </c>
      <c r="C1180" s="47" t="s">
        <v>6161</v>
      </c>
      <c r="D1180" s="47" t="s">
        <v>6162</v>
      </c>
      <c r="E1180" s="47"/>
      <c r="F1180" s="47" t="s">
        <v>3603</v>
      </c>
      <c r="G1180" s="47" t="s">
        <v>3604</v>
      </c>
      <c r="H1180" s="47" t="s">
        <v>3605</v>
      </c>
      <c r="I1180" s="47" t="s">
        <v>18829</v>
      </c>
    </row>
    <row r="1181" spans="1:9" ht="15">
      <c r="A1181" s="47">
        <v>53802</v>
      </c>
      <c r="B1181" s="47" t="s">
        <v>6163</v>
      </c>
      <c r="C1181" s="47" t="s">
        <v>6164</v>
      </c>
      <c r="D1181" s="47" t="s">
        <v>6165</v>
      </c>
      <c r="E1181" s="47"/>
      <c r="F1181" s="47" t="s">
        <v>3603</v>
      </c>
      <c r="G1181" s="47" t="s">
        <v>3604</v>
      </c>
      <c r="H1181" s="47" t="s">
        <v>3605</v>
      </c>
      <c r="I1181" s="47" t="s">
        <v>18830</v>
      </c>
    </row>
    <row r="1182" spans="1:9" ht="15">
      <c r="A1182" s="47">
        <v>53803</v>
      </c>
      <c r="B1182" s="47" t="s">
        <v>6166</v>
      </c>
      <c r="C1182" s="47" t="s">
        <v>6167</v>
      </c>
      <c r="D1182" s="47" t="s">
        <v>6168</v>
      </c>
      <c r="E1182" s="47"/>
      <c r="F1182" s="47"/>
      <c r="G1182" s="47"/>
      <c r="H1182" s="47" t="s">
        <v>3605</v>
      </c>
      <c r="I1182" s="47" t="s">
        <v>18831</v>
      </c>
    </row>
    <row r="1183" spans="1:9" ht="15">
      <c r="A1183" s="47">
        <v>787010</v>
      </c>
      <c r="B1183" s="47" t="s">
        <v>2113</v>
      </c>
      <c r="C1183" s="47" t="s">
        <v>6169</v>
      </c>
      <c r="D1183" s="47" t="s">
        <v>6170</v>
      </c>
      <c r="E1183" s="47"/>
      <c r="F1183" s="47"/>
      <c r="G1183" s="47"/>
      <c r="H1183" s="47" t="s">
        <v>3605</v>
      </c>
      <c r="I1183" s="47" t="s">
        <v>18832</v>
      </c>
    </row>
    <row r="1184" spans="1:9" ht="15">
      <c r="A1184" s="47">
        <v>787820</v>
      </c>
      <c r="B1184" s="47" t="s">
        <v>1164</v>
      </c>
      <c r="C1184" s="47" t="s">
        <v>6171</v>
      </c>
      <c r="D1184" s="47" t="s">
        <v>6172</v>
      </c>
      <c r="E1184" s="47"/>
      <c r="F1184" s="47"/>
      <c r="G1184" s="47"/>
      <c r="H1184" s="47" t="s">
        <v>3605</v>
      </c>
      <c r="I1184" s="47" t="s">
        <v>18833</v>
      </c>
    </row>
    <row r="1185" spans="1:9" ht="15">
      <c r="A1185" s="47">
        <v>787060</v>
      </c>
      <c r="B1185" s="47" t="s">
        <v>6173</v>
      </c>
      <c r="C1185" s="47" t="s">
        <v>6174</v>
      </c>
      <c r="D1185" s="47" t="s">
        <v>6175</v>
      </c>
      <c r="E1185" s="47"/>
      <c r="F1185" s="47" t="s">
        <v>3603</v>
      </c>
      <c r="G1185" s="47" t="s">
        <v>3604</v>
      </c>
      <c r="H1185" s="47" t="s">
        <v>3605</v>
      </c>
      <c r="I1185" s="47" t="s">
        <v>18834</v>
      </c>
    </row>
    <row r="1186" spans="1:9" ht="15">
      <c r="A1186" s="47">
        <v>787760</v>
      </c>
      <c r="B1186" s="47" t="s">
        <v>2145</v>
      </c>
      <c r="C1186" s="47" t="s">
        <v>6176</v>
      </c>
      <c r="D1186" s="47" t="s">
        <v>6177</v>
      </c>
      <c r="E1186" s="47"/>
      <c r="F1186" s="47"/>
      <c r="G1186" s="47"/>
      <c r="H1186" s="47" t="s">
        <v>3605</v>
      </c>
      <c r="I1186" s="47" t="s">
        <v>18835</v>
      </c>
    </row>
    <row r="1187" spans="1:9" ht="15">
      <c r="A1187" s="47">
        <v>787270</v>
      </c>
      <c r="B1187" s="47" t="s">
        <v>2120</v>
      </c>
      <c r="C1187" s="47" t="s">
        <v>6178</v>
      </c>
      <c r="D1187" s="47" t="s">
        <v>6179</v>
      </c>
      <c r="E1187" s="47"/>
      <c r="F1187" s="47"/>
      <c r="G1187" s="47"/>
      <c r="H1187" s="47" t="s">
        <v>3605</v>
      </c>
      <c r="I1187" s="47" t="s">
        <v>18836</v>
      </c>
    </row>
    <row r="1188" spans="1:9" ht="15">
      <c r="A1188" s="47">
        <v>787180</v>
      </c>
      <c r="B1188" s="47" t="s">
        <v>6180</v>
      </c>
      <c r="C1188" s="47" t="s">
        <v>6181</v>
      </c>
      <c r="D1188" s="47" t="s">
        <v>6182</v>
      </c>
      <c r="E1188" s="47"/>
      <c r="F1188" s="47" t="s">
        <v>3603</v>
      </c>
      <c r="G1188" s="47" t="s">
        <v>3604</v>
      </c>
      <c r="H1188" s="47" t="s">
        <v>3605</v>
      </c>
      <c r="I1188" s="47" t="s">
        <v>18837</v>
      </c>
    </row>
    <row r="1189" spans="1:9" ht="15">
      <c r="A1189" s="47">
        <v>53804</v>
      </c>
      <c r="B1189" s="47" t="s">
        <v>6183</v>
      </c>
      <c r="C1189" s="47" t="s">
        <v>6184</v>
      </c>
      <c r="D1189" s="47" t="s">
        <v>6185</v>
      </c>
      <c r="E1189" s="47"/>
      <c r="F1189" s="47" t="s">
        <v>3603</v>
      </c>
      <c r="G1189" s="47" t="s">
        <v>3604</v>
      </c>
      <c r="H1189" s="47" t="s">
        <v>3605</v>
      </c>
      <c r="I1189" s="47" t="s">
        <v>18838</v>
      </c>
    </row>
    <row r="1190" spans="1:9" ht="15">
      <c r="A1190" s="47">
        <v>104202</v>
      </c>
      <c r="B1190" s="47" t="s">
        <v>2091</v>
      </c>
      <c r="C1190" s="47" t="s">
        <v>6186</v>
      </c>
      <c r="D1190" s="47" t="s">
        <v>6187</v>
      </c>
      <c r="E1190" s="47"/>
      <c r="F1190" s="47"/>
      <c r="G1190" s="47"/>
      <c r="H1190" s="47" t="s">
        <v>3605</v>
      </c>
      <c r="I1190" s="47" t="s">
        <v>18839</v>
      </c>
    </row>
    <row r="1191" spans="1:9" ht="15">
      <c r="A1191" s="47">
        <v>53850</v>
      </c>
      <c r="B1191" s="47" t="s">
        <v>6188</v>
      </c>
      <c r="C1191" s="47" t="s">
        <v>6189</v>
      </c>
      <c r="D1191" s="47" t="s">
        <v>6190</v>
      </c>
      <c r="E1191" s="47"/>
      <c r="F1191" s="47" t="s">
        <v>3603</v>
      </c>
      <c r="G1191" s="47" t="s">
        <v>3604</v>
      </c>
      <c r="H1191" s="47" t="s">
        <v>3605</v>
      </c>
      <c r="I1191" s="47" t="s">
        <v>18840</v>
      </c>
    </row>
    <row r="1192" spans="1:9" ht="15">
      <c r="A1192" s="47">
        <v>104206</v>
      </c>
      <c r="B1192" s="47" t="s">
        <v>6191</v>
      </c>
      <c r="C1192" s="47" t="s">
        <v>6192</v>
      </c>
      <c r="D1192" s="47" t="s">
        <v>6193</v>
      </c>
      <c r="E1192" s="47"/>
      <c r="F1192" s="47" t="s">
        <v>3603</v>
      </c>
      <c r="G1192" s="47" t="s">
        <v>3604</v>
      </c>
      <c r="H1192" s="47" t="s">
        <v>3605</v>
      </c>
      <c r="I1192" s="47" t="s">
        <v>18841</v>
      </c>
    </row>
    <row r="1193" spans="1:9" ht="15">
      <c r="A1193" s="47">
        <v>798040</v>
      </c>
      <c r="B1193" s="47" t="s">
        <v>6194</v>
      </c>
      <c r="C1193" s="47" t="s">
        <v>6195</v>
      </c>
      <c r="D1193" s="47" t="s">
        <v>6196</v>
      </c>
      <c r="E1193" s="47"/>
      <c r="F1193" s="47" t="s">
        <v>3603</v>
      </c>
      <c r="G1193" s="47" t="s">
        <v>3604</v>
      </c>
      <c r="H1193" s="47" t="s">
        <v>3605</v>
      </c>
      <c r="I1193" s="47" t="s">
        <v>18842</v>
      </c>
    </row>
    <row r="1194" spans="1:9" ht="15">
      <c r="A1194" s="47">
        <v>787140</v>
      </c>
      <c r="B1194" s="47" t="s">
        <v>6197</v>
      </c>
      <c r="C1194" s="47" t="s">
        <v>6198</v>
      </c>
      <c r="D1194" s="47" t="s">
        <v>6199</v>
      </c>
      <c r="E1194" s="47"/>
      <c r="F1194" s="47" t="s">
        <v>3603</v>
      </c>
      <c r="G1194" s="47" t="s">
        <v>3604</v>
      </c>
      <c r="H1194" s="47" t="s">
        <v>3605</v>
      </c>
      <c r="I1194" s="47" t="s">
        <v>18843</v>
      </c>
    </row>
    <row r="1195" spans="1:9" ht="15">
      <c r="A1195" s="47">
        <v>53851</v>
      </c>
      <c r="B1195" s="47" t="s">
        <v>6200</v>
      </c>
      <c r="C1195" s="47" t="s">
        <v>6201</v>
      </c>
      <c r="D1195" s="47" t="s">
        <v>6202</v>
      </c>
      <c r="E1195" s="47"/>
      <c r="F1195" s="47"/>
      <c r="G1195" s="47"/>
      <c r="H1195" s="47" t="s">
        <v>3605</v>
      </c>
      <c r="I1195" s="47" t="s">
        <v>18844</v>
      </c>
    </row>
    <row r="1196" spans="1:9" ht="15">
      <c r="A1196" s="47">
        <v>787840</v>
      </c>
      <c r="B1196" s="47" t="s">
        <v>6203</v>
      </c>
      <c r="C1196" s="47" t="s">
        <v>6204</v>
      </c>
      <c r="D1196" s="47" t="s">
        <v>6205</v>
      </c>
      <c r="E1196" s="47"/>
      <c r="F1196" s="47" t="s">
        <v>3603</v>
      </c>
      <c r="G1196" s="47" t="s">
        <v>3604</v>
      </c>
      <c r="H1196" s="47" t="s">
        <v>3605</v>
      </c>
      <c r="I1196" s="47" t="s">
        <v>18845</v>
      </c>
    </row>
    <row r="1197" spans="1:9" ht="15">
      <c r="A1197" s="47">
        <v>787210</v>
      </c>
      <c r="B1197" s="47" t="s">
        <v>2142</v>
      </c>
      <c r="C1197" s="47" t="s">
        <v>6206</v>
      </c>
      <c r="D1197" s="47" t="s">
        <v>6207</v>
      </c>
      <c r="E1197" s="47"/>
      <c r="F1197" s="47"/>
      <c r="G1197" s="47"/>
      <c r="H1197" s="47" t="s">
        <v>3605</v>
      </c>
      <c r="I1197" s="47" t="s">
        <v>18846</v>
      </c>
    </row>
    <row r="1198" spans="1:9" ht="15">
      <c r="A1198" s="47">
        <v>787160</v>
      </c>
      <c r="B1198" s="47" t="s">
        <v>2148</v>
      </c>
      <c r="C1198" s="47" t="s">
        <v>6208</v>
      </c>
      <c r="D1198" s="47" t="s">
        <v>6209</v>
      </c>
      <c r="E1198" s="47"/>
      <c r="F1198" s="47"/>
      <c r="G1198" s="47"/>
      <c r="H1198" s="47" t="s">
        <v>3605</v>
      </c>
      <c r="I1198" s="47" t="s">
        <v>18847</v>
      </c>
    </row>
    <row r="1199" spans="1:9" ht="15">
      <c r="A1199" s="47">
        <v>787280</v>
      </c>
      <c r="B1199" s="47" t="s">
        <v>2121</v>
      </c>
      <c r="C1199" s="47" t="s">
        <v>6210</v>
      </c>
      <c r="D1199" s="47" t="s">
        <v>6211</v>
      </c>
      <c r="E1199" s="47"/>
      <c r="F1199" s="47"/>
      <c r="G1199" s="47"/>
      <c r="H1199" s="47" t="s">
        <v>3605</v>
      </c>
      <c r="I1199" s="47" t="s">
        <v>18848</v>
      </c>
    </row>
    <row r="1200" spans="1:9" ht="15">
      <c r="A1200" s="47">
        <v>787710</v>
      </c>
      <c r="B1200" s="47" t="s">
        <v>6212</v>
      </c>
      <c r="C1200" s="47" t="s">
        <v>6213</v>
      </c>
      <c r="D1200" s="47" t="s">
        <v>6214</v>
      </c>
      <c r="E1200" s="47"/>
      <c r="F1200" s="47" t="s">
        <v>3603</v>
      </c>
      <c r="G1200" s="47" t="s">
        <v>3604</v>
      </c>
      <c r="H1200" s="47" t="s">
        <v>3605</v>
      </c>
      <c r="I1200" s="47" t="s">
        <v>18849</v>
      </c>
    </row>
    <row r="1201" spans="1:9" ht="15">
      <c r="A1201" s="47">
        <v>104204</v>
      </c>
      <c r="B1201" s="47" t="s">
        <v>2092</v>
      </c>
      <c r="C1201" s="47" t="s">
        <v>6215</v>
      </c>
      <c r="D1201" s="47" t="s">
        <v>6216</v>
      </c>
      <c r="E1201" s="47"/>
      <c r="F1201" s="47"/>
      <c r="G1201" s="47"/>
      <c r="H1201" s="47" t="s">
        <v>3605</v>
      </c>
      <c r="I1201" s="47" t="s">
        <v>18850</v>
      </c>
    </row>
    <row r="1202" spans="1:9" ht="15">
      <c r="A1202" s="47">
        <v>104203</v>
      </c>
      <c r="B1202" s="47" t="s">
        <v>2143</v>
      </c>
      <c r="C1202" s="47" t="s">
        <v>6217</v>
      </c>
      <c r="D1202" s="47" t="s">
        <v>6218</v>
      </c>
      <c r="E1202" s="47"/>
      <c r="F1202" s="47"/>
      <c r="G1202" s="47"/>
      <c r="H1202" s="47" t="s">
        <v>3605</v>
      </c>
      <c r="I1202" s="47" t="s">
        <v>18851</v>
      </c>
    </row>
    <row r="1203" spans="1:9" ht="15">
      <c r="A1203" s="47">
        <v>787430</v>
      </c>
      <c r="B1203" s="47" t="s">
        <v>6219</v>
      </c>
      <c r="C1203" s="47" t="s">
        <v>6220</v>
      </c>
      <c r="D1203" s="47" t="s">
        <v>6221</v>
      </c>
      <c r="E1203" s="47"/>
      <c r="F1203" s="47" t="s">
        <v>3603</v>
      </c>
      <c r="G1203" s="47" t="s">
        <v>3604</v>
      </c>
      <c r="H1203" s="47" t="s">
        <v>3605</v>
      </c>
      <c r="I1203" s="47" t="s">
        <v>18852</v>
      </c>
    </row>
    <row r="1204" spans="1:9" ht="15">
      <c r="A1204" s="47">
        <v>53904</v>
      </c>
      <c r="B1204" s="47" t="s">
        <v>6222</v>
      </c>
      <c r="C1204" s="47" t="s">
        <v>6223</v>
      </c>
      <c r="D1204" s="47" t="s">
        <v>6224</v>
      </c>
      <c r="E1204" s="47"/>
      <c r="F1204" s="47"/>
      <c r="G1204" s="47"/>
      <c r="H1204" s="47" t="s">
        <v>3605</v>
      </c>
      <c r="I1204" s="47" t="s">
        <v>18853</v>
      </c>
    </row>
    <row r="1205" spans="1:9" ht="15">
      <c r="A1205" s="47">
        <v>787220</v>
      </c>
      <c r="B1205" s="47" t="s">
        <v>2169</v>
      </c>
      <c r="C1205" s="47" t="s">
        <v>6225</v>
      </c>
      <c r="D1205" s="47" t="s">
        <v>6226</v>
      </c>
      <c r="E1205" s="47"/>
      <c r="F1205" s="47"/>
      <c r="G1205" s="47"/>
      <c r="H1205" s="47" t="s">
        <v>3605</v>
      </c>
      <c r="I1205" s="47" t="s">
        <v>18854</v>
      </c>
    </row>
    <row r="1206" spans="1:9" ht="15">
      <c r="A1206" s="47">
        <v>787830</v>
      </c>
      <c r="B1206" s="47" t="s">
        <v>2171</v>
      </c>
      <c r="C1206" s="47" t="s">
        <v>6227</v>
      </c>
      <c r="D1206" s="47" t="s">
        <v>6228</v>
      </c>
      <c r="E1206" s="47"/>
      <c r="F1206" s="47"/>
      <c r="G1206" s="47"/>
      <c r="H1206" s="47" t="s">
        <v>3605</v>
      </c>
      <c r="I1206" s="47" t="s">
        <v>18855</v>
      </c>
    </row>
    <row r="1207" spans="1:9" ht="15">
      <c r="A1207" s="47">
        <v>787630</v>
      </c>
      <c r="B1207" s="47" t="s">
        <v>2125</v>
      </c>
      <c r="C1207" s="47" t="s">
        <v>6229</v>
      </c>
      <c r="D1207" s="47" t="s">
        <v>6230</v>
      </c>
      <c r="E1207" s="47"/>
      <c r="F1207" s="47"/>
      <c r="G1207" s="47"/>
      <c r="H1207" s="47" t="s">
        <v>3605</v>
      </c>
      <c r="I1207" s="47" t="s">
        <v>18856</v>
      </c>
    </row>
    <row r="1208" spans="1:9" ht="15">
      <c r="A1208" s="47">
        <v>104100</v>
      </c>
      <c r="B1208" s="47" t="s">
        <v>2137</v>
      </c>
      <c r="C1208" s="47" t="s">
        <v>6231</v>
      </c>
      <c r="D1208" s="47" t="s">
        <v>6232</v>
      </c>
      <c r="E1208" s="47"/>
      <c r="F1208" s="47"/>
      <c r="G1208" s="47"/>
      <c r="H1208" s="47" t="s">
        <v>3605</v>
      </c>
      <c r="I1208" s="47" t="s">
        <v>18857</v>
      </c>
    </row>
    <row r="1209" spans="1:9" ht="15">
      <c r="A1209" s="47">
        <v>787090</v>
      </c>
      <c r="B1209" s="47" t="s">
        <v>6233</v>
      </c>
      <c r="C1209" s="47" t="s">
        <v>6234</v>
      </c>
      <c r="D1209" s="47" t="s">
        <v>6235</v>
      </c>
      <c r="E1209" s="47"/>
      <c r="F1209" s="47" t="s">
        <v>3603</v>
      </c>
      <c r="G1209" s="47" t="s">
        <v>3604</v>
      </c>
      <c r="H1209" s="47" t="s">
        <v>3605</v>
      </c>
      <c r="I1209" s="47" t="s">
        <v>18858</v>
      </c>
    </row>
    <row r="1210" spans="1:9" ht="15">
      <c r="A1210" s="47">
        <v>104207</v>
      </c>
      <c r="B1210" s="47" t="s">
        <v>6236</v>
      </c>
      <c r="C1210" s="47" t="s">
        <v>6237</v>
      </c>
      <c r="D1210" s="47" t="s">
        <v>6238</v>
      </c>
      <c r="E1210" s="47"/>
      <c r="F1210" s="47" t="s">
        <v>3603</v>
      </c>
      <c r="G1210" s="47" t="s">
        <v>3604</v>
      </c>
      <c r="H1210" s="47" t="s">
        <v>3605</v>
      </c>
      <c r="I1210" s="47" t="s">
        <v>18859</v>
      </c>
    </row>
    <row r="1211" spans="1:9" ht="15">
      <c r="A1211" s="47">
        <v>53940</v>
      </c>
      <c r="B1211" s="47" t="s">
        <v>6239</v>
      </c>
      <c r="C1211" s="47" t="s">
        <v>6240</v>
      </c>
      <c r="D1211" s="47" t="s">
        <v>6241</v>
      </c>
      <c r="E1211" s="47"/>
      <c r="F1211" s="47" t="s">
        <v>3603</v>
      </c>
      <c r="G1211" s="47" t="s">
        <v>3604</v>
      </c>
      <c r="H1211" s="47" t="s">
        <v>3605</v>
      </c>
      <c r="I1211" s="47" t="s">
        <v>18860</v>
      </c>
    </row>
    <row r="1212" spans="1:9" ht="15">
      <c r="A1212" s="47">
        <v>787730</v>
      </c>
      <c r="B1212" s="47" t="s">
        <v>6242</v>
      </c>
      <c r="C1212" s="47" t="s">
        <v>6243</v>
      </c>
      <c r="D1212" s="47" t="s">
        <v>6244</v>
      </c>
      <c r="E1212" s="47"/>
      <c r="F1212" s="47" t="s">
        <v>3603</v>
      </c>
      <c r="G1212" s="47" t="s">
        <v>3604</v>
      </c>
      <c r="H1212" s="47" t="s">
        <v>3605</v>
      </c>
      <c r="I1212" s="47" t="s">
        <v>18861</v>
      </c>
    </row>
    <row r="1213" spans="1:9" ht="15">
      <c r="A1213" s="47">
        <v>787030</v>
      </c>
      <c r="B1213" s="47" t="s">
        <v>6245</v>
      </c>
      <c r="C1213" s="47" t="s">
        <v>6246</v>
      </c>
      <c r="D1213" s="47" t="s">
        <v>6247</v>
      </c>
      <c r="E1213" s="47"/>
      <c r="F1213" s="47" t="s">
        <v>3603</v>
      </c>
      <c r="G1213" s="47" t="s">
        <v>3604</v>
      </c>
      <c r="H1213" s="47" t="s">
        <v>3605</v>
      </c>
      <c r="I1213" s="47" t="s">
        <v>18862</v>
      </c>
    </row>
    <row r="1214" spans="1:9" ht="15">
      <c r="A1214" s="47" t="s">
        <v>2123</v>
      </c>
      <c r="B1214" s="47" t="s">
        <v>2124</v>
      </c>
      <c r="C1214" s="47" t="s">
        <v>6248</v>
      </c>
      <c r="D1214" s="47" t="s">
        <v>6249</v>
      </c>
      <c r="E1214" s="47"/>
      <c r="F1214" s="47"/>
      <c r="G1214" s="47"/>
      <c r="H1214" s="47" t="s">
        <v>3605</v>
      </c>
      <c r="I1214" s="47" t="s">
        <v>2123</v>
      </c>
    </row>
    <row r="1215" spans="1:9" ht="15">
      <c r="A1215" s="47">
        <v>787310</v>
      </c>
      <c r="B1215" s="47" t="s">
        <v>2122</v>
      </c>
      <c r="C1215" s="47" t="s">
        <v>6250</v>
      </c>
      <c r="D1215" s="47" t="s">
        <v>6251</v>
      </c>
      <c r="E1215" s="47"/>
      <c r="F1215" s="47"/>
      <c r="G1215" s="47"/>
      <c r="H1215" s="47" t="s">
        <v>3605</v>
      </c>
      <c r="I1215" s="47" t="s">
        <v>18863</v>
      </c>
    </row>
    <row r="1216" spans="1:9" ht="15">
      <c r="A1216" s="47">
        <v>53950</v>
      </c>
      <c r="B1216" s="47" t="s">
        <v>6252</v>
      </c>
      <c r="C1216" s="47" t="s">
        <v>6253</v>
      </c>
      <c r="D1216" s="47" t="s">
        <v>6254</v>
      </c>
      <c r="E1216" s="47"/>
      <c r="F1216" s="47"/>
      <c r="G1216" s="47"/>
      <c r="H1216" s="47" t="s">
        <v>3605</v>
      </c>
      <c r="I1216" s="47" t="s">
        <v>18864</v>
      </c>
    </row>
    <row r="1217" spans="1:9" ht="15">
      <c r="A1217" s="47">
        <v>787740</v>
      </c>
      <c r="B1217" s="47" t="s">
        <v>6255</v>
      </c>
      <c r="C1217" s="47" t="s">
        <v>6256</v>
      </c>
      <c r="D1217" s="47" t="s">
        <v>6257</v>
      </c>
      <c r="E1217" s="47"/>
      <c r="F1217" s="47" t="s">
        <v>3603</v>
      </c>
      <c r="G1217" s="47" t="s">
        <v>3604</v>
      </c>
      <c r="H1217" s="47" t="s">
        <v>3605</v>
      </c>
      <c r="I1217" s="47" t="s">
        <v>18865</v>
      </c>
    </row>
    <row r="1218" spans="1:9" ht="15">
      <c r="A1218" s="47">
        <v>787640</v>
      </c>
      <c r="B1218" s="47" t="s">
        <v>6258</v>
      </c>
      <c r="C1218" s="47" t="s">
        <v>6259</v>
      </c>
      <c r="D1218" s="47" t="s">
        <v>6260</v>
      </c>
      <c r="E1218" s="47"/>
      <c r="F1218" s="47" t="s">
        <v>3603</v>
      </c>
      <c r="G1218" s="47" t="s">
        <v>3604</v>
      </c>
      <c r="H1218" s="47" t="s">
        <v>3605</v>
      </c>
      <c r="I1218" s="47" t="s">
        <v>18866</v>
      </c>
    </row>
    <row r="1219" spans="1:9" ht="15">
      <c r="A1219" s="47">
        <v>787641</v>
      </c>
      <c r="B1219" s="47" t="s">
        <v>2140</v>
      </c>
      <c r="C1219" s="47" t="s">
        <v>6261</v>
      </c>
      <c r="D1219" s="47" t="s">
        <v>6262</v>
      </c>
      <c r="E1219" s="47"/>
      <c r="F1219" s="47"/>
      <c r="G1219" s="47"/>
      <c r="H1219" s="47" t="s">
        <v>3605</v>
      </c>
      <c r="I1219" s="47" t="s">
        <v>18867</v>
      </c>
    </row>
    <row r="1220" spans="1:9" ht="15">
      <c r="A1220" s="47">
        <v>787660</v>
      </c>
      <c r="B1220" s="47" t="s">
        <v>6263</v>
      </c>
      <c r="C1220" s="47" t="s">
        <v>6264</v>
      </c>
      <c r="D1220" s="47" t="s">
        <v>6265</v>
      </c>
      <c r="E1220" s="47"/>
      <c r="F1220" s="47" t="s">
        <v>3603</v>
      </c>
      <c r="G1220" s="47" t="s">
        <v>3604</v>
      </c>
      <c r="H1220" s="47" t="s">
        <v>3605</v>
      </c>
      <c r="I1220" s="47" t="s">
        <v>18868</v>
      </c>
    </row>
    <row r="1221" spans="1:9" ht="15">
      <c r="A1221" s="47">
        <v>53951</v>
      </c>
      <c r="B1221" s="47" t="s">
        <v>6266</v>
      </c>
      <c r="C1221" s="47" t="s">
        <v>6267</v>
      </c>
      <c r="D1221" s="47" t="s">
        <v>6268</v>
      </c>
      <c r="E1221" s="47"/>
      <c r="F1221" s="47"/>
      <c r="G1221" s="47"/>
      <c r="H1221" s="47" t="s">
        <v>3605</v>
      </c>
      <c r="I1221" s="47" t="s">
        <v>18869</v>
      </c>
    </row>
    <row r="1222" spans="1:9" ht="15">
      <c r="A1222" s="47">
        <v>787120</v>
      </c>
      <c r="B1222" s="47" t="s">
        <v>6269</v>
      </c>
      <c r="C1222" s="47" t="s">
        <v>6270</v>
      </c>
      <c r="D1222" s="47" t="s">
        <v>6271</v>
      </c>
      <c r="E1222" s="47"/>
      <c r="F1222" s="47" t="s">
        <v>3603</v>
      </c>
      <c r="G1222" s="47" t="s">
        <v>3604</v>
      </c>
      <c r="H1222" s="47" t="s">
        <v>3605</v>
      </c>
      <c r="I1222" s="47" t="s">
        <v>18870</v>
      </c>
    </row>
    <row r="1223" spans="1:9" ht="15">
      <c r="A1223" s="47">
        <v>53970</v>
      </c>
      <c r="B1223" s="47" t="s">
        <v>6272</v>
      </c>
      <c r="C1223" s="47" t="s">
        <v>6273</v>
      </c>
      <c r="D1223" s="47" t="s">
        <v>6274</v>
      </c>
      <c r="E1223" s="47"/>
      <c r="F1223" s="47" t="s">
        <v>3603</v>
      </c>
      <c r="G1223" s="47" t="s">
        <v>3604</v>
      </c>
      <c r="H1223" s="47" t="s">
        <v>3605</v>
      </c>
      <c r="I1223" s="47" t="s">
        <v>18871</v>
      </c>
    </row>
    <row r="1224" spans="1:9" ht="15">
      <c r="A1224" s="47">
        <v>53980</v>
      </c>
      <c r="B1224" s="47" t="s">
        <v>6275</v>
      </c>
      <c r="C1224" s="47" t="s">
        <v>6276</v>
      </c>
      <c r="D1224" s="47" t="s">
        <v>6277</v>
      </c>
      <c r="E1224" s="47"/>
      <c r="F1224" s="47" t="s">
        <v>3603</v>
      </c>
      <c r="G1224" s="47" t="s">
        <v>3604</v>
      </c>
      <c r="H1224" s="47" t="s">
        <v>3605</v>
      </c>
      <c r="I1224" s="47" t="s">
        <v>18872</v>
      </c>
    </row>
    <row r="1225" spans="1:9" ht="15">
      <c r="A1225" s="47">
        <v>53982</v>
      </c>
      <c r="B1225" s="47" t="s">
        <v>6278</v>
      </c>
      <c r="C1225" s="47" t="s">
        <v>6279</v>
      </c>
      <c r="D1225" s="47" t="s">
        <v>6280</v>
      </c>
      <c r="E1225" s="47"/>
      <c r="F1225" s="47" t="s">
        <v>3603</v>
      </c>
      <c r="G1225" s="47" t="s">
        <v>3604</v>
      </c>
      <c r="H1225" s="47" t="s">
        <v>3605</v>
      </c>
      <c r="I1225" s="47" t="s">
        <v>18873</v>
      </c>
    </row>
    <row r="1226" spans="1:9" ht="15">
      <c r="A1226" s="47">
        <v>53983</v>
      </c>
      <c r="B1226" s="47" t="s">
        <v>6281</v>
      </c>
      <c r="C1226" s="47" t="s">
        <v>6282</v>
      </c>
      <c r="D1226" s="47" t="s">
        <v>6283</v>
      </c>
      <c r="E1226" s="47"/>
      <c r="F1226" s="47" t="s">
        <v>3603</v>
      </c>
      <c r="G1226" s="47" t="s">
        <v>3604</v>
      </c>
      <c r="H1226" s="47" t="s">
        <v>3605</v>
      </c>
      <c r="I1226" s="47" t="s">
        <v>18874</v>
      </c>
    </row>
    <row r="1227" spans="1:9" ht="15">
      <c r="A1227" s="47">
        <v>103301</v>
      </c>
      <c r="B1227" s="47" t="s">
        <v>2150</v>
      </c>
      <c r="C1227" s="47" t="s">
        <v>6284</v>
      </c>
      <c r="D1227" s="47" t="s">
        <v>6285</v>
      </c>
      <c r="E1227" s="47"/>
      <c r="F1227" s="47"/>
      <c r="G1227" s="47"/>
      <c r="H1227" s="47" t="s">
        <v>3605</v>
      </c>
      <c r="I1227" s="47" t="s">
        <v>18875</v>
      </c>
    </row>
    <row r="1228" spans="1:9" ht="15">
      <c r="A1228" s="47">
        <v>787130</v>
      </c>
      <c r="B1228" s="47" t="s">
        <v>6286</v>
      </c>
      <c r="C1228" s="47" t="s">
        <v>6287</v>
      </c>
      <c r="D1228" s="47" t="s">
        <v>6288</v>
      </c>
      <c r="E1228" s="47"/>
      <c r="F1228" s="47" t="s">
        <v>3603</v>
      </c>
      <c r="G1228" s="47" t="s">
        <v>3604</v>
      </c>
      <c r="H1228" s="47" t="s">
        <v>3605</v>
      </c>
      <c r="I1228" s="47" t="s">
        <v>18876</v>
      </c>
    </row>
    <row r="1229" spans="1:9" ht="15">
      <c r="A1229" s="47">
        <v>787300</v>
      </c>
      <c r="B1229" s="47" t="s">
        <v>6289</v>
      </c>
      <c r="C1229" s="47" t="s">
        <v>6290</v>
      </c>
      <c r="D1229" s="47" t="s">
        <v>6291</v>
      </c>
      <c r="E1229" s="47"/>
      <c r="F1229" s="47" t="s">
        <v>3603</v>
      </c>
      <c r="G1229" s="47" t="s">
        <v>3604</v>
      </c>
      <c r="H1229" s="47" t="s">
        <v>3605</v>
      </c>
      <c r="I1229" s="47" t="s">
        <v>18877</v>
      </c>
    </row>
    <row r="1230" spans="1:9" ht="15">
      <c r="A1230" s="47">
        <v>104212</v>
      </c>
      <c r="B1230" s="47" t="s">
        <v>2100</v>
      </c>
      <c r="C1230" s="47" t="s">
        <v>6292</v>
      </c>
      <c r="D1230" s="47" t="s">
        <v>6293</v>
      </c>
      <c r="E1230" s="47"/>
      <c r="F1230" s="47"/>
      <c r="G1230" s="47"/>
      <c r="H1230" s="47" t="s">
        <v>3605</v>
      </c>
      <c r="I1230" s="47" t="s">
        <v>18878</v>
      </c>
    </row>
    <row r="1231" spans="1:9" ht="15">
      <c r="A1231" s="47">
        <v>104211</v>
      </c>
      <c r="B1231" s="47" t="s">
        <v>2099</v>
      </c>
      <c r="C1231" s="47" t="s">
        <v>6294</v>
      </c>
      <c r="D1231" s="47" t="s">
        <v>6295</v>
      </c>
      <c r="E1231" s="47"/>
      <c r="F1231" s="47"/>
      <c r="G1231" s="47"/>
      <c r="H1231" s="47" t="s">
        <v>3605</v>
      </c>
      <c r="I1231" s="47" t="s">
        <v>18879</v>
      </c>
    </row>
    <row r="1232" spans="1:9" ht="15">
      <c r="A1232" s="47">
        <v>104208</v>
      </c>
      <c r="B1232" s="47" t="s">
        <v>6296</v>
      </c>
      <c r="C1232" s="47" t="s">
        <v>6297</v>
      </c>
      <c r="D1232" s="47" t="s">
        <v>6298</v>
      </c>
      <c r="E1232" s="47"/>
      <c r="F1232" s="47" t="s">
        <v>3603</v>
      </c>
      <c r="G1232" s="47" t="s">
        <v>3604</v>
      </c>
      <c r="H1232" s="47" t="s">
        <v>3605</v>
      </c>
      <c r="I1232" s="47" t="s">
        <v>18880</v>
      </c>
    </row>
    <row r="1233" spans="1:9" ht="15">
      <c r="A1233" s="47">
        <v>104209</v>
      </c>
      <c r="B1233" s="47" t="s">
        <v>2097</v>
      </c>
      <c r="C1233" s="47" t="s">
        <v>6299</v>
      </c>
      <c r="D1233" s="47" t="s">
        <v>6300</v>
      </c>
      <c r="E1233" s="47"/>
      <c r="F1233" s="47"/>
      <c r="G1233" s="47"/>
      <c r="H1233" s="47" t="s">
        <v>3605</v>
      </c>
      <c r="I1233" s="47" t="s">
        <v>18881</v>
      </c>
    </row>
    <row r="1234" spans="1:9" ht="15">
      <c r="A1234" s="47">
        <v>787380</v>
      </c>
      <c r="B1234" s="47" t="s">
        <v>6301</v>
      </c>
      <c r="C1234" s="47" t="s">
        <v>6302</v>
      </c>
      <c r="D1234" s="47" t="s">
        <v>6303</v>
      </c>
      <c r="E1234" s="47"/>
      <c r="F1234" s="47" t="s">
        <v>3603</v>
      </c>
      <c r="G1234" s="47" t="s">
        <v>3604</v>
      </c>
      <c r="H1234" s="47" t="s">
        <v>3605</v>
      </c>
      <c r="I1234" s="47" t="s">
        <v>18882</v>
      </c>
    </row>
    <row r="1235" spans="1:9" ht="15">
      <c r="A1235" s="47">
        <v>60003</v>
      </c>
      <c r="B1235" s="47" t="s">
        <v>2118</v>
      </c>
      <c r="C1235" s="47" t="s">
        <v>6304</v>
      </c>
      <c r="D1235" s="47" t="s">
        <v>6305</v>
      </c>
      <c r="E1235" s="47"/>
      <c r="F1235" s="47"/>
      <c r="G1235" s="47"/>
      <c r="H1235" s="47" t="s">
        <v>3605</v>
      </c>
      <c r="I1235" s="47" t="s">
        <v>18883</v>
      </c>
    </row>
    <row r="1236" spans="1:9" ht="15">
      <c r="A1236" s="47">
        <v>60004</v>
      </c>
      <c r="B1236" s="47" t="s">
        <v>2119</v>
      </c>
      <c r="C1236" s="47" t="s">
        <v>6306</v>
      </c>
      <c r="D1236" s="47" t="s">
        <v>6307</v>
      </c>
      <c r="E1236" s="47"/>
      <c r="F1236" s="47"/>
      <c r="G1236" s="47"/>
      <c r="H1236" s="47" t="s">
        <v>3605</v>
      </c>
      <c r="I1236" s="47" t="s">
        <v>18884</v>
      </c>
    </row>
    <row r="1237" spans="1:9" ht="15">
      <c r="A1237" s="47">
        <v>60006</v>
      </c>
      <c r="B1237" s="47" t="s">
        <v>6308</v>
      </c>
      <c r="C1237" s="47" t="s">
        <v>6309</v>
      </c>
      <c r="D1237" s="47" t="s">
        <v>6310</v>
      </c>
      <c r="E1237" s="47"/>
      <c r="F1237" s="47" t="s">
        <v>5905</v>
      </c>
      <c r="G1237" s="47" t="s">
        <v>5906</v>
      </c>
      <c r="H1237" s="47" t="s">
        <v>3605</v>
      </c>
      <c r="I1237" s="47" t="s">
        <v>18885</v>
      </c>
    </row>
    <row r="1238" spans="1:9" ht="15">
      <c r="A1238" s="47">
        <v>53984</v>
      </c>
      <c r="B1238" s="47" t="s">
        <v>6311</v>
      </c>
      <c r="C1238" s="47" t="s">
        <v>6312</v>
      </c>
      <c r="D1238" s="47" t="s">
        <v>6313</v>
      </c>
      <c r="E1238" s="47"/>
      <c r="F1238" s="47"/>
      <c r="G1238" s="47"/>
      <c r="H1238" s="47" t="s">
        <v>3605</v>
      </c>
      <c r="I1238" s="47" t="s">
        <v>18886</v>
      </c>
    </row>
    <row r="1239" spans="1:9" ht="15">
      <c r="A1239" s="47">
        <v>60001</v>
      </c>
      <c r="B1239" s="47" t="s">
        <v>6314</v>
      </c>
      <c r="C1239" s="47" t="s">
        <v>6315</v>
      </c>
      <c r="D1239" s="47" t="s">
        <v>6316</v>
      </c>
      <c r="E1239" s="47"/>
      <c r="F1239" s="47" t="s">
        <v>3603</v>
      </c>
      <c r="G1239" s="47" t="s">
        <v>3604</v>
      </c>
      <c r="H1239" s="47" t="s">
        <v>3605</v>
      </c>
      <c r="I1239" s="47" t="s">
        <v>18887</v>
      </c>
    </row>
    <row r="1240" spans="1:9" ht="15">
      <c r="A1240" s="47">
        <v>787610</v>
      </c>
      <c r="B1240" s="47" t="s">
        <v>6317</v>
      </c>
      <c r="C1240" s="47" t="s">
        <v>6318</v>
      </c>
      <c r="D1240" s="47" t="s">
        <v>6319</v>
      </c>
      <c r="E1240" s="47"/>
      <c r="F1240" s="47" t="s">
        <v>3603</v>
      </c>
      <c r="G1240" s="47" t="s">
        <v>3604</v>
      </c>
      <c r="H1240" s="47" t="s">
        <v>3605</v>
      </c>
      <c r="I1240" s="47" t="s">
        <v>18888</v>
      </c>
    </row>
    <row r="1241" spans="1:9" ht="15">
      <c r="A1241" s="47">
        <v>60007</v>
      </c>
      <c r="B1241" s="47" t="s">
        <v>6320</v>
      </c>
      <c r="C1241" s="47" t="s">
        <v>6321</v>
      </c>
      <c r="D1241" s="47" t="s">
        <v>6322</v>
      </c>
      <c r="E1241" s="47"/>
      <c r="F1241" s="47" t="s">
        <v>3603</v>
      </c>
      <c r="G1241" s="47" t="s">
        <v>3604</v>
      </c>
      <c r="H1241" s="47" t="s">
        <v>3605</v>
      </c>
      <c r="I1241" s="47" t="s">
        <v>18889</v>
      </c>
    </row>
    <row r="1242" spans="1:9" ht="15">
      <c r="A1242" s="47">
        <v>787490</v>
      </c>
      <c r="B1242" s="47" t="s">
        <v>6323</v>
      </c>
      <c r="C1242" s="47" t="s">
        <v>6324</v>
      </c>
      <c r="D1242" s="47" t="s">
        <v>6325</v>
      </c>
      <c r="E1242" s="47"/>
      <c r="F1242" s="47" t="s">
        <v>3603</v>
      </c>
      <c r="G1242" s="47" t="s">
        <v>3604</v>
      </c>
      <c r="H1242" s="47" t="s">
        <v>3605</v>
      </c>
      <c r="I1242" s="47" t="s">
        <v>18890</v>
      </c>
    </row>
    <row r="1243" spans="1:9" ht="15">
      <c r="A1243" s="47">
        <v>787810</v>
      </c>
      <c r="B1243" s="47" t="s">
        <v>6326</v>
      </c>
      <c r="C1243" s="47" t="s">
        <v>6327</v>
      </c>
      <c r="D1243" s="47" t="s">
        <v>6328</v>
      </c>
      <c r="E1243" s="47"/>
      <c r="F1243" s="47" t="s">
        <v>3603</v>
      </c>
      <c r="G1243" s="47" t="s">
        <v>3604</v>
      </c>
      <c r="H1243" s="47" t="s">
        <v>3605</v>
      </c>
      <c r="I1243" s="47" t="s">
        <v>18891</v>
      </c>
    </row>
    <row r="1244" spans="1:9" ht="15">
      <c r="A1244" s="47">
        <v>104322</v>
      </c>
      <c r="B1244" s="47" t="s">
        <v>2110</v>
      </c>
      <c r="C1244" s="47" t="s">
        <v>6329</v>
      </c>
      <c r="D1244" s="47" t="s">
        <v>6330</v>
      </c>
      <c r="E1244" s="47"/>
      <c r="F1244" s="47"/>
      <c r="G1244" s="47"/>
      <c r="H1244" s="47" t="s">
        <v>3605</v>
      </c>
      <c r="I1244" s="47" t="s">
        <v>18892</v>
      </c>
    </row>
    <row r="1245" spans="1:9" ht="15">
      <c r="A1245" s="47">
        <v>104323</v>
      </c>
      <c r="B1245" s="47" t="s">
        <v>2111</v>
      </c>
      <c r="C1245" s="47" t="s">
        <v>6331</v>
      </c>
      <c r="D1245" s="47" t="s">
        <v>6332</v>
      </c>
      <c r="E1245" s="47"/>
      <c r="F1245" s="47"/>
      <c r="G1245" s="47"/>
      <c r="H1245" s="47" t="s">
        <v>3605</v>
      </c>
      <c r="I1245" s="47" t="s">
        <v>18893</v>
      </c>
    </row>
    <row r="1246" spans="1:9" ht="15">
      <c r="A1246" s="47">
        <v>787772</v>
      </c>
      <c r="B1246" s="47" t="s">
        <v>6333</v>
      </c>
      <c r="C1246" s="47" t="s">
        <v>6334</v>
      </c>
      <c r="D1246" s="47" t="s">
        <v>6335</v>
      </c>
      <c r="E1246" s="47"/>
      <c r="F1246" s="47"/>
      <c r="G1246" s="47"/>
      <c r="H1246" s="47" t="s">
        <v>3605</v>
      </c>
      <c r="I1246" s="47" t="s">
        <v>18894</v>
      </c>
    </row>
    <row r="1247" spans="1:9" ht="15">
      <c r="A1247" s="47">
        <v>787771</v>
      </c>
      <c r="B1247" s="47" t="s">
        <v>6336</v>
      </c>
      <c r="C1247" s="47" t="s">
        <v>6337</v>
      </c>
      <c r="D1247" s="47" t="s">
        <v>6338</v>
      </c>
      <c r="E1247" s="47"/>
      <c r="F1247" s="47"/>
      <c r="G1247" s="47"/>
      <c r="H1247" s="47" t="s">
        <v>3605</v>
      </c>
      <c r="I1247" s="47" t="s">
        <v>18895</v>
      </c>
    </row>
    <row r="1248" spans="1:9" ht="15">
      <c r="A1248" s="47">
        <v>787773</v>
      </c>
      <c r="B1248" s="47" t="s">
        <v>6339</v>
      </c>
      <c r="C1248" s="47" t="s">
        <v>6340</v>
      </c>
      <c r="D1248" s="47" t="s">
        <v>6341</v>
      </c>
      <c r="E1248" s="47"/>
      <c r="F1248" s="47"/>
      <c r="G1248" s="47"/>
      <c r="H1248" s="47" t="s">
        <v>3605</v>
      </c>
      <c r="I1248" s="47" t="s">
        <v>18896</v>
      </c>
    </row>
    <row r="1249" spans="1:9" ht="15">
      <c r="A1249" s="47">
        <v>53985</v>
      </c>
      <c r="B1249" s="47" t="s">
        <v>6342</v>
      </c>
      <c r="C1249" s="47" t="s">
        <v>6343</v>
      </c>
      <c r="D1249" s="47" t="s">
        <v>6344</v>
      </c>
      <c r="E1249" s="47"/>
      <c r="F1249" s="47" t="s">
        <v>3603</v>
      </c>
      <c r="G1249" s="47" t="s">
        <v>3604</v>
      </c>
      <c r="H1249" s="47" t="s">
        <v>3605</v>
      </c>
      <c r="I1249" s="47" t="s">
        <v>18897</v>
      </c>
    </row>
    <row r="1250" spans="1:9" ht="15">
      <c r="A1250" s="47">
        <v>53986</v>
      </c>
      <c r="B1250" s="47" t="s">
        <v>6345</v>
      </c>
      <c r="C1250" s="47" t="s">
        <v>6346</v>
      </c>
      <c r="D1250" s="47" t="s">
        <v>6347</v>
      </c>
      <c r="E1250" s="47"/>
      <c r="F1250" s="47" t="s">
        <v>3603</v>
      </c>
      <c r="G1250" s="47" t="s">
        <v>3604</v>
      </c>
      <c r="H1250" s="47" t="s">
        <v>3605</v>
      </c>
      <c r="I1250" s="47" t="s">
        <v>18898</v>
      </c>
    </row>
    <row r="1251" spans="1:9" ht="15">
      <c r="A1251" s="47">
        <v>53987</v>
      </c>
      <c r="B1251" s="47" t="s">
        <v>6348</v>
      </c>
      <c r="C1251" s="47" t="s">
        <v>6349</v>
      </c>
      <c r="D1251" s="47" t="s">
        <v>6350</v>
      </c>
      <c r="E1251" s="47"/>
      <c r="F1251" s="47"/>
      <c r="G1251" s="47"/>
      <c r="H1251" s="47" t="s">
        <v>3605</v>
      </c>
      <c r="I1251" s="47" t="s">
        <v>18899</v>
      </c>
    </row>
    <row r="1252" spans="1:9" ht="15">
      <c r="A1252" s="47">
        <v>53988</v>
      </c>
      <c r="B1252" s="47" t="s">
        <v>6351</v>
      </c>
      <c r="C1252" s="47" t="s">
        <v>6352</v>
      </c>
      <c r="D1252" s="47" t="s">
        <v>6353</v>
      </c>
      <c r="E1252" s="47"/>
      <c r="F1252" s="47" t="s">
        <v>3603</v>
      </c>
      <c r="G1252" s="47" t="s">
        <v>3604</v>
      </c>
      <c r="H1252" s="47" t="s">
        <v>3605</v>
      </c>
      <c r="I1252" s="47" t="s">
        <v>18900</v>
      </c>
    </row>
    <row r="1253" spans="1:9" ht="15">
      <c r="A1253" s="47">
        <v>53989</v>
      </c>
      <c r="B1253" s="47" t="s">
        <v>6354</v>
      </c>
      <c r="C1253" s="47" t="s">
        <v>6355</v>
      </c>
      <c r="D1253" s="47" t="s">
        <v>6356</v>
      </c>
      <c r="E1253" s="47"/>
      <c r="F1253" s="47" t="s">
        <v>3603</v>
      </c>
      <c r="G1253" s="47" t="s">
        <v>3604</v>
      </c>
      <c r="H1253" s="47" t="s">
        <v>3605</v>
      </c>
      <c r="I1253" s="47" t="s">
        <v>18901</v>
      </c>
    </row>
    <row r="1254" spans="1:9" ht="15">
      <c r="A1254" s="47">
        <v>53990</v>
      </c>
      <c r="B1254" s="47" t="s">
        <v>6357</v>
      </c>
      <c r="C1254" s="47" t="s">
        <v>6358</v>
      </c>
      <c r="D1254" s="47" t="s">
        <v>6359</v>
      </c>
      <c r="E1254" s="47"/>
      <c r="F1254" s="47" t="s">
        <v>3603</v>
      </c>
      <c r="G1254" s="47" t="s">
        <v>3604</v>
      </c>
      <c r="H1254" s="47" t="s">
        <v>3605</v>
      </c>
      <c r="I1254" s="47" t="s">
        <v>18902</v>
      </c>
    </row>
    <row r="1255" spans="1:9" ht="15">
      <c r="A1255" s="47">
        <v>53993</v>
      </c>
      <c r="B1255" s="47" t="s">
        <v>6360</v>
      </c>
      <c r="C1255" s="47" t="s">
        <v>6361</v>
      </c>
      <c r="D1255" s="47" t="s">
        <v>6362</v>
      </c>
      <c r="E1255" s="47"/>
      <c r="F1255" s="47" t="s">
        <v>3603</v>
      </c>
      <c r="G1255" s="47" t="s">
        <v>3604</v>
      </c>
      <c r="H1255" s="47" t="s">
        <v>3605</v>
      </c>
      <c r="I1255" s="47" t="s">
        <v>18903</v>
      </c>
    </row>
    <row r="1256" spans="1:9" ht="15">
      <c r="A1256" s="47">
        <v>53994</v>
      </c>
      <c r="B1256" s="47" t="s">
        <v>6363</v>
      </c>
      <c r="C1256" s="47" t="s">
        <v>6364</v>
      </c>
      <c r="D1256" s="47" t="s">
        <v>6365</v>
      </c>
      <c r="E1256" s="47"/>
      <c r="F1256" s="47" t="s">
        <v>3603</v>
      </c>
      <c r="G1256" s="47" t="s">
        <v>3604</v>
      </c>
      <c r="H1256" s="47" t="s">
        <v>3605</v>
      </c>
      <c r="I1256" s="47" t="s">
        <v>18904</v>
      </c>
    </row>
    <row r="1257" spans="1:9" ht="15">
      <c r="A1257" s="47">
        <v>53995</v>
      </c>
      <c r="B1257" s="47" t="s">
        <v>6366</v>
      </c>
      <c r="C1257" s="47" t="s">
        <v>6367</v>
      </c>
      <c r="D1257" s="47" t="s">
        <v>6368</v>
      </c>
      <c r="E1257" s="47"/>
      <c r="F1257" s="47"/>
      <c r="G1257" s="47"/>
      <c r="H1257" s="47" t="s">
        <v>3605</v>
      </c>
      <c r="I1257" s="47" t="s">
        <v>18905</v>
      </c>
    </row>
    <row r="1258" spans="1:9" ht="15">
      <c r="A1258" s="47">
        <v>53996</v>
      </c>
      <c r="B1258" s="47" t="s">
        <v>6369</v>
      </c>
      <c r="C1258" s="47" t="s">
        <v>6370</v>
      </c>
      <c r="D1258" s="47" t="s">
        <v>6371</v>
      </c>
      <c r="E1258" s="47"/>
      <c r="F1258" s="47"/>
      <c r="G1258" s="47"/>
      <c r="H1258" s="47" t="s">
        <v>3605</v>
      </c>
      <c r="I1258" s="47" t="s">
        <v>18906</v>
      </c>
    </row>
    <row r="1259" spans="1:9" ht="15">
      <c r="A1259" s="47">
        <v>54001</v>
      </c>
      <c r="B1259" s="47" t="s">
        <v>6372</v>
      </c>
      <c r="C1259" s="47" t="s">
        <v>6373</v>
      </c>
      <c r="D1259" s="47" t="s">
        <v>6374</v>
      </c>
      <c r="E1259" s="47"/>
      <c r="F1259" s="47" t="s">
        <v>3603</v>
      </c>
      <c r="G1259" s="47" t="s">
        <v>3604</v>
      </c>
      <c r="H1259" s="47" t="s">
        <v>3605</v>
      </c>
      <c r="I1259" s="47" t="s">
        <v>18907</v>
      </c>
    </row>
    <row r="1260" spans="1:9" ht="15">
      <c r="A1260" s="47">
        <v>54003</v>
      </c>
      <c r="B1260" s="47" t="s">
        <v>6375</v>
      </c>
      <c r="C1260" s="47" t="s">
        <v>6376</v>
      </c>
      <c r="D1260" s="47" t="s">
        <v>6377</v>
      </c>
      <c r="E1260" s="47"/>
      <c r="F1260" s="47" t="s">
        <v>3603</v>
      </c>
      <c r="G1260" s="47" t="s">
        <v>3604</v>
      </c>
      <c r="H1260" s="47" t="s">
        <v>3605</v>
      </c>
      <c r="I1260" s="47" t="s">
        <v>18908</v>
      </c>
    </row>
    <row r="1261" spans="1:9" ht="15">
      <c r="A1261" s="47">
        <v>54016</v>
      </c>
      <c r="B1261" s="47" t="s">
        <v>6378</v>
      </c>
      <c r="C1261" s="47" t="s">
        <v>6379</v>
      </c>
      <c r="D1261" s="47" t="s">
        <v>6380</v>
      </c>
      <c r="E1261" s="47"/>
      <c r="F1261" s="47"/>
      <c r="G1261" s="47"/>
      <c r="H1261" s="47" t="s">
        <v>3605</v>
      </c>
      <c r="I1261" s="47" t="s">
        <v>18909</v>
      </c>
    </row>
    <row r="1262" spans="1:9" ht="15">
      <c r="A1262" s="47">
        <v>54025</v>
      </c>
      <c r="B1262" s="47" t="s">
        <v>6381</v>
      </c>
      <c r="C1262" s="47" t="s">
        <v>6382</v>
      </c>
      <c r="D1262" s="47" t="s">
        <v>6383</v>
      </c>
      <c r="E1262" s="47"/>
      <c r="F1262" s="47" t="s">
        <v>3603</v>
      </c>
      <c r="G1262" s="47" t="s">
        <v>3604</v>
      </c>
      <c r="H1262" s="47" t="s">
        <v>3605</v>
      </c>
      <c r="I1262" s="47" t="s">
        <v>18910</v>
      </c>
    </row>
    <row r="1263" spans="1:9" ht="15">
      <c r="A1263" s="47">
        <v>54026</v>
      </c>
      <c r="B1263" s="47" t="s">
        <v>6384</v>
      </c>
      <c r="C1263" s="47" t="s">
        <v>6385</v>
      </c>
      <c r="D1263" s="47" t="s">
        <v>6386</v>
      </c>
      <c r="E1263" s="47"/>
      <c r="F1263" s="47"/>
      <c r="G1263" s="47"/>
      <c r="H1263" s="47" t="s">
        <v>3605</v>
      </c>
      <c r="I1263" s="47" t="s">
        <v>18911</v>
      </c>
    </row>
    <row r="1264" spans="1:9" ht="15">
      <c r="A1264" s="47">
        <v>54101</v>
      </c>
      <c r="B1264" s="47" t="s">
        <v>6387</v>
      </c>
      <c r="C1264" s="47" t="s">
        <v>6388</v>
      </c>
      <c r="D1264" s="47" t="s">
        <v>6389</v>
      </c>
      <c r="E1264" s="47"/>
      <c r="F1264" s="47" t="s">
        <v>3603</v>
      </c>
      <c r="G1264" s="47" t="s">
        <v>3604</v>
      </c>
      <c r="H1264" s="47" t="s">
        <v>3605</v>
      </c>
      <c r="I1264" s="47" t="s">
        <v>18912</v>
      </c>
    </row>
    <row r="1265" spans="1:9" ht="15">
      <c r="A1265" s="47">
        <v>54300</v>
      </c>
      <c r="B1265" s="47" t="s">
        <v>6390</v>
      </c>
      <c r="C1265" s="47" t="s">
        <v>6391</v>
      </c>
      <c r="D1265" s="47" t="s">
        <v>6392</v>
      </c>
      <c r="E1265" s="47"/>
      <c r="F1265" s="47"/>
      <c r="G1265" s="47"/>
      <c r="H1265" s="47" t="s">
        <v>3605</v>
      </c>
      <c r="I1265" s="47" t="s">
        <v>18913</v>
      </c>
    </row>
    <row r="1266" spans="1:9" ht="15">
      <c r="A1266" s="47">
        <v>54310</v>
      </c>
      <c r="B1266" s="47" t="s">
        <v>6393</v>
      </c>
      <c r="C1266" s="47" t="s">
        <v>6394</v>
      </c>
      <c r="D1266" s="47" t="s">
        <v>6395</v>
      </c>
      <c r="E1266" s="47"/>
      <c r="F1266" s="47"/>
      <c r="G1266" s="47"/>
      <c r="H1266" s="47" t="s">
        <v>3605</v>
      </c>
      <c r="I1266" s="47" t="s">
        <v>18914</v>
      </c>
    </row>
    <row r="1267" spans="1:9" ht="15">
      <c r="A1267" s="47">
        <v>54320</v>
      </c>
      <c r="B1267" s="47" t="s">
        <v>6396</v>
      </c>
      <c r="C1267" s="47" t="s">
        <v>6397</v>
      </c>
      <c r="D1267" s="47" t="s">
        <v>6398</v>
      </c>
      <c r="E1267" s="47"/>
      <c r="F1267" s="47" t="s">
        <v>3603</v>
      </c>
      <c r="G1267" s="47" t="s">
        <v>3604</v>
      </c>
      <c r="H1267" s="47" t="s">
        <v>3605</v>
      </c>
      <c r="I1267" s="47" t="s">
        <v>18915</v>
      </c>
    </row>
    <row r="1268" spans="1:9" ht="15">
      <c r="A1268" s="47">
        <v>7047</v>
      </c>
      <c r="B1268" s="47" t="s">
        <v>6399</v>
      </c>
      <c r="C1268" s="47" t="s">
        <v>6400</v>
      </c>
      <c r="D1268" s="47" t="s">
        <v>6401</v>
      </c>
      <c r="E1268" s="47"/>
      <c r="F1268" s="47"/>
      <c r="G1268" s="47"/>
      <c r="H1268" s="47" t="s">
        <v>3605</v>
      </c>
      <c r="I1268" s="47" t="s">
        <v>18916</v>
      </c>
    </row>
    <row r="1269" spans="1:9" ht="15">
      <c r="A1269" s="47" t="s">
        <v>6402</v>
      </c>
      <c r="B1269" s="47" t="s">
        <v>6403</v>
      </c>
      <c r="C1269" s="47" t="s">
        <v>6404</v>
      </c>
      <c r="D1269" s="47" t="s">
        <v>6405</v>
      </c>
      <c r="E1269" s="47"/>
      <c r="F1269" s="47"/>
      <c r="G1269" s="47"/>
      <c r="H1269" s="47" t="s">
        <v>3605</v>
      </c>
      <c r="I1269" s="47" t="s">
        <v>6402</v>
      </c>
    </row>
    <row r="1270" spans="1:9" ht="15">
      <c r="A1270" s="47" t="s">
        <v>6406</v>
      </c>
      <c r="B1270" s="47" t="s">
        <v>6407</v>
      </c>
      <c r="C1270" s="47" t="s">
        <v>6408</v>
      </c>
      <c r="D1270" s="47" t="s">
        <v>6409</v>
      </c>
      <c r="E1270" s="47"/>
      <c r="F1270" s="47"/>
      <c r="G1270" s="47"/>
      <c r="H1270" s="47" t="s">
        <v>3605</v>
      </c>
      <c r="I1270" s="47" t="s">
        <v>6406</v>
      </c>
    </row>
    <row r="1271" spans="1:9" ht="15">
      <c r="A1271" s="47" t="s">
        <v>6410</v>
      </c>
      <c r="B1271" s="47" t="s">
        <v>6411</v>
      </c>
      <c r="C1271" s="47" t="s">
        <v>6412</v>
      </c>
      <c r="D1271" s="47" t="s">
        <v>6413</v>
      </c>
      <c r="E1271" s="47"/>
      <c r="F1271" s="47"/>
      <c r="G1271" s="47"/>
      <c r="H1271" s="47" t="s">
        <v>3605</v>
      </c>
      <c r="I1271" s="47" t="s">
        <v>6410</v>
      </c>
    </row>
    <row r="1272" spans="1:9" ht="15">
      <c r="A1272" s="47" t="s">
        <v>6414</v>
      </c>
      <c r="B1272" s="47" t="s">
        <v>6415</v>
      </c>
      <c r="C1272" s="47" t="s">
        <v>6416</v>
      </c>
      <c r="D1272" s="47" t="s">
        <v>6417</v>
      </c>
      <c r="E1272" s="47"/>
      <c r="F1272" s="47"/>
      <c r="G1272" s="47"/>
      <c r="H1272" s="47" t="s">
        <v>3605</v>
      </c>
      <c r="I1272" s="47" t="s">
        <v>6414</v>
      </c>
    </row>
    <row r="1273" spans="1:9" ht="15">
      <c r="A1273" s="47" t="s">
        <v>6418</v>
      </c>
      <c r="B1273" s="47" t="s">
        <v>6419</v>
      </c>
      <c r="C1273" s="47" t="s">
        <v>6420</v>
      </c>
      <c r="D1273" s="47" t="s">
        <v>6421</v>
      </c>
      <c r="E1273" s="47"/>
      <c r="F1273" s="47"/>
      <c r="G1273" s="47"/>
      <c r="H1273" s="47" t="s">
        <v>3605</v>
      </c>
      <c r="I1273" s="47" t="s">
        <v>6418</v>
      </c>
    </row>
    <row r="1274" spans="1:9" ht="15">
      <c r="A1274" s="47" t="s">
        <v>6422</v>
      </c>
      <c r="B1274" s="47" t="s">
        <v>6423</v>
      </c>
      <c r="C1274" s="47" t="s">
        <v>6424</v>
      </c>
      <c r="D1274" s="47" t="s">
        <v>6425</v>
      </c>
      <c r="E1274" s="47"/>
      <c r="F1274" s="47" t="s">
        <v>6426</v>
      </c>
      <c r="G1274" s="47" t="s">
        <v>6427</v>
      </c>
      <c r="H1274" s="47" t="s">
        <v>3605</v>
      </c>
      <c r="I1274" s="47" t="s">
        <v>6422</v>
      </c>
    </row>
    <row r="1275" spans="1:9" ht="15">
      <c r="A1275" s="47" t="s">
        <v>6428</v>
      </c>
      <c r="B1275" s="47" t="s">
        <v>6429</v>
      </c>
      <c r="C1275" s="47" t="s">
        <v>6430</v>
      </c>
      <c r="D1275" s="47" t="s">
        <v>6431</v>
      </c>
      <c r="E1275" s="47"/>
      <c r="F1275" s="47"/>
      <c r="G1275" s="47"/>
      <c r="H1275" s="47" t="s">
        <v>3605</v>
      </c>
      <c r="I1275" s="47" t="s">
        <v>6428</v>
      </c>
    </row>
    <row r="1276" spans="1:9" ht="15">
      <c r="A1276" s="47" t="s">
        <v>6432</v>
      </c>
      <c r="B1276" s="47" t="s">
        <v>6433</v>
      </c>
      <c r="C1276" s="47" t="s">
        <v>6434</v>
      </c>
      <c r="D1276" s="47" t="s">
        <v>6435</v>
      </c>
      <c r="E1276" s="47"/>
      <c r="F1276" s="47"/>
      <c r="G1276" s="47"/>
      <c r="H1276" s="47" t="s">
        <v>3605</v>
      </c>
      <c r="I1276" s="47" t="s">
        <v>6432</v>
      </c>
    </row>
    <row r="1277" spans="1:9" ht="15">
      <c r="A1277" s="47">
        <v>54330</v>
      </c>
      <c r="B1277" s="47" t="s">
        <v>6436</v>
      </c>
      <c r="C1277" s="47" t="s">
        <v>6437</v>
      </c>
      <c r="D1277" s="47" t="s">
        <v>5184</v>
      </c>
      <c r="E1277" s="47"/>
      <c r="F1277" s="47"/>
      <c r="G1277" s="47"/>
      <c r="H1277" s="47" t="s">
        <v>3605</v>
      </c>
      <c r="I1277" s="47" t="s">
        <v>18917</v>
      </c>
    </row>
    <row r="1278" spans="1:9" ht="15">
      <c r="A1278" s="47">
        <v>7203</v>
      </c>
      <c r="B1278" s="47" t="s">
        <v>6438</v>
      </c>
      <c r="C1278" s="47" t="s">
        <v>6439</v>
      </c>
      <c r="D1278" s="47" t="s">
        <v>6440</v>
      </c>
      <c r="E1278" s="47"/>
      <c r="F1278" s="47"/>
      <c r="G1278" s="47"/>
      <c r="H1278" s="47" t="s">
        <v>3605</v>
      </c>
      <c r="I1278" s="47" t="s">
        <v>18918</v>
      </c>
    </row>
    <row r="1279" spans="1:9" ht="15">
      <c r="A1279" s="47" t="s">
        <v>6441</v>
      </c>
      <c r="B1279" s="47" t="s">
        <v>6442</v>
      </c>
      <c r="C1279" s="47" t="s">
        <v>6443</v>
      </c>
      <c r="D1279" s="47" t="s">
        <v>6444</v>
      </c>
      <c r="E1279" s="47"/>
      <c r="F1279" s="47"/>
      <c r="G1279" s="47"/>
      <c r="H1279" s="47" t="s">
        <v>3605</v>
      </c>
      <c r="I1279" s="47" t="s">
        <v>6441</v>
      </c>
    </row>
    <row r="1280" spans="1:9" ht="15">
      <c r="A1280" s="47" t="s">
        <v>6445</v>
      </c>
      <c r="B1280" s="47" t="s">
        <v>6446</v>
      </c>
      <c r="C1280" s="47" t="s">
        <v>6447</v>
      </c>
      <c r="D1280" s="47" t="s">
        <v>6448</v>
      </c>
      <c r="E1280" s="47"/>
      <c r="F1280" s="47"/>
      <c r="G1280" s="47"/>
      <c r="H1280" s="47" t="s">
        <v>3605</v>
      </c>
      <c r="I1280" s="47" t="s">
        <v>6445</v>
      </c>
    </row>
    <row r="1281" spans="1:9" ht="15">
      <c r="A1281" s="47" t="s">
        <v>6449</v>
      </c>
      <c r="B1281" s="47" t="s">
        <v>6450</v>
      </c>
      <c r="C1281" s="47" t="s">
        <v>6451</v>
      </c>
      <c r="D1281" s="47" t="s">
        <v>6452</v>
      </c>
      <c r="E1281" s="47"/>
      <c r="F1281" s="47"/>
      <c r="G1281" s="47"/>
      <c r="H1281" s="47" t="s">
        <v>3605</v>
      </c>
      <c r="I1281" s="47" t="s">
        <v>6449</v>
      </c>
    </row>
    <row r="1282" spans="1:9" ht="15">
      <c r="A1282" s="47" t="s">
        <v>6453</v>
      </c>
      <c r="B1282" s="47" t="s">
        <v>6454</v>
      </c>
      <c r="C1282" s="47" t="s">
        <v>6455</v>
      </c>
      <c r="D1282" s="47" t="s">
        <v>6456</v>
      </c>
      <c r="E1282" s="47"/>
      <c r="F1282" s="47"/>
      <c r="G1282" s="47"/>
      <c r="H1282" s="47" t="s">
        <v>3605</v>
      </c>
      <c r="I1282" s="47" t="s">
        <v>6453</v>
      </c>
    </row>
    <row r="1283" spans="1:9" ht="15">
      <c r="A1283" s="47" t="s">
        <v>6457</v>
      </c>
      <c r="B1283" s="47" t="s">
        <v>6458</v>
      </c>
      <c r="C1283" s="47" t="s">
        <v>6459</v>
      </c>
      <c r="D1283" s="47" t="s">
        <v>6460</v>
      </c>
      <c r="E1283" s="47"/>
      <c r="F1283" s="47"/>
      <c r="G1283" s="47"/>
      <c r="H1283" s="47" t="s">
        <v>3605</v>
      </c>
      <c r="I1283" s="47" t="s">
        <v>6457</v>
      </c>
    </row>
    <row r="1284" spans="1:9" ht="15">
      <c r="A1284" s="47" t="s">
        <v>6461</v>
      </c>
      <c r="B1284" s="47" t="s">
        <v>6462</v>
      </c>
      <c r="C1284" s="47" t="s">
        <v>6463</v>
      </c>
      <c r="D1284" s="47" t="s">
        <v>6464</v>
      </c>
      <c r="E1284" s="47"/>
      <c r="F1284" s="47"/>
      <c r="G1284" s="47"/>
      <c r="H1284" s="47" t="s">
        <v>3605</v>
      </c>
      <c r="I1284" s="47" t="s">
        <v>6461</v>
      </c>
    </row>
    <row r="1285" spans="1:9" ht="15">
      <c r="A1285" s="47" t="s">
        <v>6465</v>
      </c>
      <c r="B1285" s="47" t="s">
        <v>6466</v>
      </c>
      <c r="C1285" s="47" t="s">
        <v>6467</v>
      </c>
      <c r="D1285" s="47" t="s">
        <v>6468</v>
      </c>
      <c r="E1285" s="47"/>
      <c r="F1285" s="47"/>
      <c r="G1285" s="47"/>
      <c r="H1285" s="47" t="s">
        <v>3605</v>
      </c>
      <c r="I1285" s="47" t="s">
        <v>6465</v>
      </c>
    </row>
    <row r="1286" spans="1:9" ht="15">
      <c r="A1286" s="47" t="s">
        <v>6469</v>
      </c>
      <c r="B1286" s="47" t="s">
        <v>6470</v>
      </c>
      <c r="C1286" s="47" t="s">
        <v>6471</v>
      </c>
      <c r="D1286" s="47" t="s">
        <v>6472</v>
      </c>
      <c r="E1286" s="47"/>
      <c r="F1286" s="47"/>
      <c r="G1286" s="47"/>
      <c r="H1286" s="47" t="s">
        <v>3605</v>
      </c>
      <c r="I1286" s="47" t="s">
        <v>6469</v>
      </c>
    </row>
    <row r="1287" spans="1:9" ht="15">
      <c r="A1287" s="47" t="s">
        <v>6473</v>
      </c>
      <c r="B1287" s="47" t="s">
        <v>6474</v>
      </c>
      <c r="C1287" s="47" t="s">
        <v>6475</v>
      </c>
      <c r="D1287" s="47" t="s">
        <v>6476</v>
      </c>
      <c r="E1287" s="47"/>
      <c r="F1287" s="47"/>
      <c r="G1287" s="47"/>
      <c r="H1287" s="47" t="s">
        <v>3605</v>
      </c>
      <c r="I1287" s="47" t="s">
        <v>6473</v>
      </c>
    </row>
    <row r="1288" spans="1:9" ht="15">
      <c r="A1288" s="47" t="s">
        <v>6477</v>
      </c>
      <c r="B1288" s="47" t="s">
        <v>6478</v>
      </c>
      <c r="C1288" s="47" t="s">
        <v>6479</v>
      </c>
      <c r="D1288" s="47" t="s">
        <v>6480</v>
      </c>
      <c r="E1288" s="47"/>
      <c r="F1288" s="47"/>
      <c r="G1288" s="47"/>
      <c r="H1288" s="47" t="s">
        <v>3605</v>
      </c>
      <c r="I1288" s="47" t="s">
        <v>6477</v>
      </c>
    </row>
    <row r="1289" spans="1:9" ht="15">
      <c r="A1289" s="47" t="s">
        <v>6481</v>
      </c>
      <c r="B1289" s="47" t="s">
        <v>6482</v>
      </c>
      <c r="C1289" s="47" t="s">
        <v>6483</v>
      </c>
      <c r="D1289" s="47" t="s">
        <v>6484</v>
      </c>
      <c r="E1289" s="47"/>
      <c r="F1289" s="47"/>
      <c r="G1289" s="47"/>
      <c r="H1289" s="47" t="s">
        <v>3605</v>
      </c>
      <c r="I1289" s="47" t="s">
        <v>6481</v>
      </c>
    </row>
    <row r="1290" spans="1:9" ht="15">
      <c r="A1290" s="47" t="s">
        <v>6485</v>
      </c>
      <c r="B1290" s="47" t="s">
        <v>6486</v>
      </c>
      <c r="C1290" s="47" t="s">
        <v>6487</v>
      </c>
      <c r="D1290" s="47" t="s">
        <v>6488</v>
      </c>
      <c r="E1290" s="47"/>
      <c r="F1290" s="47"/>
      <c r="G1290" s="47"/>
      <c r="H1290" s="47" t="s">
        <v>3605</v>
      </c>
      <c r="I1290" s="47" t="s">
        <v>6485</v>
      </c>
    </row>
    <row r="1291" spans="1:9" ht="15">
      <c r="A1291" s="47" t="s">
        <v>6489</v>
      </c>
      <c r="B1291" s="47" t="s">
        <v>6490</v>
      </c>
      <c r="C1291" s="47" t="s">
        <v>6491</v>
      </c>
      <c r="D1291" s="47" t="s">
        <v>6492</v>
      </c>
      <c r="E1291" s="47"/>
      <c r="F1291" s="47"/>
      <c r="G1291" s="47"/>
      <c r="H1291" s="47" t="s">
        <v>3605</v>
      </c>
      <c r="I1291" s="47" t="s">
        <v>6489</v>
      </c>
    </row>
    <row r="1292" spans="1:9" ht="15">
      <c r="A1292" s="47">
        <v>113901</v>
      </c>
      <c r="B1292" s="47" t="s">
        <v>2228</v>
      </c>
      <c r="C1292" s="47" t="s">
        <v>6493</v>
      </c>
      <c r="D1292" s="47" t="s">
        <v>6494</v>
      </c>
      <c r="E1292" s="47"/>
      <c r="F1292" s="47"/>
      <c r="G1292" s="47"/>
      <c r="H1292" s="47" t="s">
        <v>3605</v>
      </c>
      <c r="I1292" s="47" t="s">
        <v>18919</v>
      </c>
    </row>
    <row r="1293" spans="1:9" ht="15">
      <c r="A1293" s="47">
        <v>787230</v>
      </c>
      <c r="B1293" s="47" t="s">
        <v>6495</v>
      </c>
      <c r="C1293" s="47" t="s">
        <v>6496</v>
      </c>
      <c r="D1293" s="47" t="s">
        <v>6497</v>
      </c>
      <c r="E1293" s="47"/>
      <c r="F1293" s="47" t="s">
        <v>3759</v>
      </c>
      <c r="G1293" s="47" t="s">
        <v>3760</v>
      </c>
      <c r="H1293" s="47" t="s">
        <v>3605</v>
      </c>
      <c r="I1293" s="47" t="s">
        <v>18920</v>
      </c>
    </row>
    <row r="1294" spans="1:9" ht="15">
      <c r="A1294" s="47">
        <v>204006</v>
      </c>
      <c r="B1294" s="47" t="s">
        <v>2155</v>
      </c>
      <c r="C1294" s="47" t="s">
        <v>6498</v>
      </c>
      <c r="D1294" s="47" t="s">
        <v>6499</v>
      </c>
      <c r="E1294" s="47"/>
      <c r="F1294" s="47"/>
      <c r="G1294" s="47"/>
      <c r="H1294" s="47" t="s">
        <v>3605</v>
      </c>
      <c r="I1294" s="47" t="s">
        <v>18921</v>
      </c>
    </row>
    <row r="1295" spans="1:9" ht="15">
      <c r="A1295" s="47">
        <v>8000101</v>
      </c>
      <c r="B1295" s="47" t="s">
        <v>2381</v>
      </c>
      <c r="C1295" s="47" t="s">
        <v>6500</v>
      </c>
      <c r="D1295" s="47" t="s">
        <v>6501</v>
      </c>
      <c r="E1295" s="47"/>
      <c r="F1295" s="47"/>
      <c r="G1295" s="47"/>
      <c r="H1295" s="47" t="s">
        <v>3605</v>
      </c>
      <c r="I1295" s="47" t="s">
        <v>18922</v>
      </c>
    </row>
    <row r="1296" spans="1:9" ht="15">
      <c r="A1296" s="47">
        <v>8000102</v>
      </c>
      <c r="B1296" s="47" t="s">
        <v>2382</v>
      </c>
      <c r="C1296" s="47" t="s">
        <v>6502</v>
      </c>
      <c r="D1296" s="47" t="s">
        <v>6503</v>
      </c>
      <c r="E1296" s="47"/>
      <c r="F1296" s="47"/>
      <c r="G1296" s="47"/>
      <c r="H1296" s="47" t="s">
        <v>3605</v>
      </c>
      <c r="I1296" s="47" t="s">
        <v>18923</v>
      </c>
    </row>
    <row r="1297" spans="1:9" ht="15">
      <c r="A1297" s="47">
        <v>8000103</v>
      </c>
      <c r="B1297" s="47" t="s">
        <v>2383</v>
      </c>
      <c r="C1297" s="47" t="s">
        <v>6504</v>
      </c>
      <c r="D1297" s="47" t="s">
        <v>6505</v>
      </c>
      <c r="E1297" s="47"/>
      <c r="F1297" s="47"/>
      <c r="G1297" s="47"/>
      <c r="H1297" s="47" t="s">
        <v>3605</v>
      </c>
      <c r="I1297" s="47" t="s">
        <v>18924</v>
      </c>
    </row>
    <row r="1298" spans="1:9" ht="15">
      <c r="A1298" s="47">
        <v>8000104</v>
      </c>
      <c r="B1298" s="47" t="s">
        <v>2384</v>
      </c>
      <c r="C1298" s="47" t="s">
        <v>6506</v>
      </c>
      <c r="D1298" s="47" t="s">
        <v>6507</v>
      </c>
      <c r="E1298" s="47"/>
      <c r="F1298" s="47"/>
      <c r="G1298" s="47"/>
      <c r="H1298" s="47" t="s">
        <v>3605</v>
      </c>
      <c r="I1298" s="47" t="s">
        <v>18925</v>
      </c>
    </row>
    <row r="1299" spans="1:9" ht="15">
      <c r="A1299" s="47">
        <v>8000109</v>
      </c>
      <c r="B1299" s="47" t="s">
        <v>2389</v>
      </c>
      <c r="C1299" s="47" t="s">
        <v>6508</v>
      </c>
      <c r="D1299" s="47" t="s">
        <v>6509</v>
      </c>
      <c r="E1299" s="47"/>
      <c r="F1299" s="47"/>
      <c r="G1299" s="47"/>
      <c r="H1299" s="47" t="s">
        <v>3605</v>
      </c>
      <c r="I1299" s="47" t="s">
        <v>18926</v>
      </c>
    </row>
    <row r="1300" spans="1:9" ht="15">
      <c r="A1300" s="47">
        <v>8000110</v>
      </c>
      <c r="B1300" s="47" t="s">
        <v>2390</v>
      </c>
      <c r="C1300" s="47" t="s">
        <v>6510</v>
      </c>
      <c r="D1300" s="47" t="s">
        <v>6511</v>
      </c>
      <c r="E1300" s="47"/>
      <c r="F1300" s="47"/>
      <c r="G1300" s="47"/>
      <c r="H1300" s="47" t="s">
        <v>3605</v>
      </c>
      <c r="I1300" s="47" t="s">
        <v>18927</v>
      </c>
    </row>
    <row r="1301" spans="1:9" ht="15">
      <c r="A1301" s="47">
        <v>8000111</v>
      </c>
      <c r="B1301" s="47" t="s">
        <v>2391</v>
      </c>
      <c r="C1301" s="47" t="s">
        <v>6512</v>
      </c>
      <c r="D1301" s="47" t="s">
        <v>6513</v>
      </c>
      <c r="E1301" s="47"/>
      <c r="F1301" s="47"/>
      <c r="G1301" s="47"/>
      <c r="H1301" s="47" t="s">
        <v>3605</v>
      </c>
      <c r="I1301" s="47" t="s">
        <v>18928</v>
      </c>
    </row>
    <row r="1302" spans="1:9" ht="15">
      <c r="A1302" s="47">
        <v>8000112</v>
      </c>
      <c r="B1302" s="47" t="s">
        <v>2392</v>
      </c>
      <c r="C1302" s="47" t="s">
        <v>6514</v>
      </c>
      <c r="D1302" s="47" t="s">
        <v>6515</v>
      </c>
      <c r="E1302" s="47"/>
      <c r="F1302" s="47"/>
      <c r="G1302" s="47"/>
      <c r="H1302" s="47" t="s">
        <v>3605</v>
      </c>
      <c r="I1302" s="47" t="s">
        <v>18929</v>
      </c>
    </row>
    <row r="1303" spans="1:9" ht="15">
      <c r="A1303" s="47">
        <v>8000113</v>
      </c>
      <c r="B1303" s="47" t="s">
        <v>2393</v>
      </c>
      <c r="C1303" s="47" t="s">
        <v>6516</v>
      </c>
      <c r="D1303" s="47" t="s">
        <v>6517</v>
      </c>
      <c r="E1303" s="47"/>
      <c r="F1303" s="47"/>
      <c r="G1303" s="47"/>
      <c r="H1303" s="47" t="s">
        <v>3605</v>
      </c>
      <c r="I1303" s="47" t="s">
        <v>18930</v>
      </c>
    </row>
    <row r="1304" spans="1:9" ht="15">
      <c r="A1304" s="47">
        <v>8000114</v>
      </c>
      <c r="B1304" s="47" t="s">
        <v>2394</v>
      </c>
      <c r="C1304" s="47" t="s">
        <v>6518</v>
      </c>
      <c r="D1304" s="47" t="s">
        <v>6519</v>
      </c>
      <c r="E1304" s="47"/>
      <c r="F1304" s="47"/>
      <c r="G1304" s="47"/>
      <c r="H1304" s="47" t="s">
        <v>3605</v>
      </c>
      <c r="I1304" s="47" t="s">
        <v>18931</v>
      </c>
    </row>
    <row r="1305" spans="1:9" ht="15">
      <c r="A1305" s="47">
        <v>54333</v>
      </c>
      <c r="B1305" s="47" t="s">
        <v>6520</v>
      </c>
      <c r="C1305" s="47" t="s">
        <v>6521</v>
      </c>
      <c r="D1305" s="47" t="s">
        <v>5884</v>
      </c>
      <c r="E1305" s="47"/>
      <c r="F1305" s="47"/>
      <c r="G1305" s="47"/>
      <c r="H1305" s="47" t="s">
        <v>3605</v>
      </c>
      <c r="I1305" s="47" t="s">
        <v>18932</v>
      </c>
    </row>
    <row r="1306" spans="1:9" ht="15">
      <c r="A1306" s="47">
        <v>54334</v>
      </c>
      <c r="B1306" s="47" t="s">
        <v>6522</v>
      </c>
      <c r="C1306" s="47" t="s">
        <v>6523</v>
      </c>
      <c r="D1306" s="47" t="s">
        <v>6524</v>
      </c>
      <c r="E1306" s="47"/>
      <c r="F1306" s="47" t="s">
        <v>3603</v>
      </c>
      <c r="G1306" s="47" t="s">
        <v>3604</v>
      </c>
      <c r="H1306" s="47" t="s">
        <v>3605</v>
      </c>
      <c r="I1306" s="47" t="s">
        <v>18933</v>
      </c>
    </row>
    <row r="1307" spans="1:9" ht="15">
      <c r="A1307" s="47">
        <v>54871</v>
      </c>
      <c r="B1307" s="47" t="s">
        <v>6525</v>
      </c>
      <c r="C1307" s="47" t="s">
        <v>6526</v>
      </c>
      <c r="D1307" s="47" t="s">
        <v>6527</v>
      </c>
      <c r="E1307" s="47"/>
      <c r="F1307" s="47"/>
      <c r="G1307" s="47"/>
      <c r="H1307" s="47" t="s">
        <v>3605</v>
      </c>
      <c r="I1307" s="47" t="s">
        <v>18934</v>
      </c>
    </row>
    <row r="1308" spans="1:9" ht="15">
      <c r="A1308" s="47" t="s">
        <v>2576</v>
      </c>
      <c r="B1308" s="47" t="s">
        <v>2577</v>
      </c>
      <c r="C1308" s="47" t="s">
        <v>6528</v>
      </c>
      <c r="D1308" s="47" t="s">
        <v>6529</v>
      </c>
      <c r="E1308" s="47"/>
      <c r="F1308" s="47"/>
      <c r="G1308" s="47"/>
      <c r="H1308" s="47" t="s">
        <v>3605</v>
      </c>
      <c r="I1308" s="47" t="s">
        <v>2576</v>
      </c>
    </row>
    <row r="1309" spans="1:9" ht="15">
      <c r="A1309" s="47" t="s">
        <v>2578</v>
      </c>
      <c r="B1309" s="47" t="s">
        <v>2579</v>
      </c>
      <c r="C1309" s="47" t="s">
        <v>6530</v>
      </c>
      <c r="D1309" s="47" t="s">
        <v>6531</v>
      </c>
      <c r="E1309" s="47"/>
      <c r="F1309" s="47"/>
      <c r="G1309" s="47"/>
      <c r="H1309" s="47" t="s">
        <v>3605</v>
      </c>
      <c r="I1309" s="47" t="s">
        <v>2578</v>
      </c>
    </row>
    <row r="1310" spans="1:9" ht="15">
      <c r="A1310" s="47" t="s">
        <v>2564</v>
      </c>
      <c r="B1310" s="47" t="s">
        <v>2565</v>
      </c>
      <c r="C1310" s="47" t="s">
        <v>6532</v>
      </c>
      <c r="D1310" s="47" t="s">
        <v>6533</v>
      </c>
      <c r="E1310" s="47"/>
      <c r="F1310" s="47"/>
      <c r="G1310" s="47"/>
      <c r="H1310" s="47" t="s">
        <v>3605</v>
      </c>
      <c r="I1310" s="47" t="s">
        <v>2564</v>
      </c>
    </row>
    <row r="1311" spans="1:9" ht="15">
      <c r="A1311" s="47" t="s">
        <v>2624</v>
      </c>
      <c r="B1311" s="47" t="s">
        <v>2625</v>
      </c>
      <c r="C1311" s="47" t="s">
        <v>6534</v>
      </c>
      <c r="D1311" s="47" t="s">
        <v>6535</v>
      </c>
      <c r="E1311" s="47"/>
      <c r="F1311" s="47"/>
      <c r="G1311" s="47"/>
      <c r="H1311" s="47" t="s">
        <v>3605</v>
      </c>
      <c r="I1311" s="47" t="s">
        <v>2624</v>
      </c>
    </row>
    <row r="1312" spans="1:9" ht="15">
      <c r="A1312" s="47" t="s">
        <v>2626</v>
      </c>
      <c r="B1312" s="47" t="s">
        <v>2627</v>
      </c>
      <c r="C1312" s="47" t="s">
        <v>6536</v>
      </c>
      <c r="D1312" s="47" t="s">
        <v>6537</v>
      </c>
      <c r="E1312" s="47"/>
      <c r="F1312" s="47"/>
      <c r="G1312" s="47"/>
      <c r="H1312" s="47" t="s">
        <v>3605</v>
      </c>
      <c r="I1312" s="47" t="s">
        <v>2626</v>
      </c>
    </row>
    <row r="1313" spans="1:9" ht="15">
      <c r="A1313" s="47">
        <v>54878</v>
      </c>
      <c r="B1313" s="47" t="s">
        <v>6538</v>
      </c>
      <c r="C1313" s="47" t="s">
        <v>6539</v>
      </c>
      <c r="D1313" s="47" t="s">
        <v>6540</v>
      </c>
      <c r="E1313" s="47"/>
      <c r="F1313" s="47"/>
      <c r="G1313" s="47"/>
      <c r="H1313" s="47" t="s">
        <v>3605</v>
      </c>
      <c r="I1313" s="47" t="s">
        <v>18935</v>
      </c>
    </row>
    <row r="1314" spans="1:9" ht="15">
      <c r="A1314" s="47" t="s">
        <v>3261</v>
      </c>
      <c r="B1314" s="47" t="s">
        <v>3262</v>
      </c>
      <c r="C1314" s="47" t="s">
        <v>6541</v>
      </c>
      <c r="D1314" s="47" t="s">
        <v>6542</v>
      </c>
      <c r="E1314" s="47"/>
      <c r="F1314" s="47"/>
      <c r="G1314" s="47"/>
      <c r="H1314" s="47" t="s">
        <v>3605</v>
      </c>
      <c r="I1314" s="47" t="s">
        <v>3261</v>
      </c>
    </row>
    <row r="1315" spans="1:9" ht="15">
      <c r="A1315" s="47" t="s">
        <v>3378</v>
      </c>
      <c r="B1315" s="47" t="s">
        <v>3379</v>
      </c>
      <c r="C1315" s="47" t="s">
        <v>6543</v>
      </c>
      <c r="D1315" s="47" t="s">
        <v>6544</v>
      </c>
      <c r="E1315" s="47"/>
      <c r="F1315" s="47"/>
      <c r="G1315" s="47"/>
      <c r="H1315" s="47" t="s">
        <v>3605</v>
      </c>
      <c r="I1315" s="47" t="s">
        <v>3378</v>
      </c>
    </row>
    <row r="1316" spans="1:9" ht="15">
      <c r="A1316" s="47" t="s">
        <v>3138</v>
      </c>
      <c r="B1316" s="47" t="s">
        <v>3139</v>
      </c>
      <c r="C1316" s="47" t="s">
        <v>6545</v>
      </c>
      <c r="D1316" s="47" t="s">
        <v>6546</v>
      </c>
      <c r="E1316" s="47"/>
      <c r="F1316" s="47"/>
      <c r="G1316" s="47"/>
      <c r="H1316" s="47" t="s">
        <v>3605</v>
      </c>
      <c r="I1316" s="47" t="s">
        <v>3138</v>
      </c>
    </row>
    <row r="1317" spans="1:9" ht="15">
      <c r="A1317" s="47" t="s">
        <v>3140</v>
      </c>
      <c r="B1317" s="47" t="s">
        <v>3141</v>
      </c>
      <c r="C1317" s="47" t="s">
        <v>6547</v>
      </c>
      <c r="D1317" s="47" t="s">
        <v>6548</v>
      </c>
      <c r="E1317" s="47"/>
      <c r="F1317" s="47"/>
      <c r="G1317" s="47"/>
      <c r="H1317" s="47" t="s">
        <v>3605</v>
      </c>
      <c r="I1317" s="47" t="s">
        <v>3140</v>
      </c>
    </row>
    <row r="1318" spans="1:9" ht="15">
      <c r="A1318" s="47" t="s">
        <v>3217</v>
      </c>
      <c r="B1318" s="47" t="s">
        <v>3218</v>
      </c>
      <c r="C1318" s="47" t="s">
        <v>6549</v>
      </c>
      <c r="D1318" s="47" t="s">
        <v>6550</v>
      </c>
      <c r="E1318" s="47"/>
      <c r="F1318" s="47"/>
      <c r="G1318" s="47"/>
      <c r="H1318" s="47" t="s">
        <v>3605</v>
      </c>
      <c r="I1318" s="47" t="s">
        <v>3217</v>
      </c>
    </row>
    <row r="1319" spans="1:9" ht="15">
      <c r="A1319" s="47">
        <v>54880</v>
      </c>
      <c r="B1319" s="47" t="s">
        <v>6551</v>
      </c>
      <c r="C1319" s="47" t="s">
        <v>6552</v>
      </c>
      <c r="D1319" s="47" t="s">
        <v>6553</v>
      </c>
      <c r="E1319" s="47"/>
      <c r="F1319" s="47" t="s">
        <v>3603</v>
      </c>
      <c r="G1319" s="47" t="s">
        <v>3604</v>
      </c>
      <c r="H1319" s="47" t="s">
        <v>3605</v>
      </c>
      <c r="I1319" s="47" t="s">
        <v>18936</v>
      </c>
    </row>
    <row r="1320" spans="1:9" ht="15">
      <c r="A1320" s="47" t="s">
        <v>5504</v>
      </c>
      <c r="B1320" s="47" t="s">
        <v>6554</v>
      </c>
      <c r="C1320" s="47" t="s">
        <v>6555</v>
      </c>
      <c r="D1320" s="47" t="s">
        <v>6556</v>
      </c>
      <c r="E1320" s="47"/>
      <c r="F1320" s="47"/>
      <c r="G1320" s="47"/>
      <c r="H1320" s="47" t="s">
        <v>3605</v>
      </c>
      <c r="I1320" s="47" t="s">
        <v>5504</v>
      </c>
    </row>
    <row r="1321" spans="1:9" ht="15">
      <c r="A1321" s="47" t="s">
        <v>2915</v>
      </c>
      <c r="B1321" s="47" t="s">
        <v>2916</v>
      </c>
      <c r="C1321" s="47" t="s">
        <v>6557</v>
      </c>
      <c r="D1321" s="47" t="s">
        <v>6558</v>
      </c>
      <c r="E1321" s="47"/>
      <c r="F1321" s="47"/>
      <c r="G1321" s="47"/>
      <c r="H1321" s="47" t="s">
        <v>3605</v>
      </c>
      <c r="I1321" s="47" t="s">
        <v>2915</v>
      </c>
    </row>
    <row r="1322" spans="1:9" ht="15">
      <c r="A1322" s="47" t="s">
        <v>2917</v>
      </c>
      <c r="B1322" s="47" t="s">
        <v>2918</v>
      </c>
      <c r="C1322" s="47" t="s">
        <v>6559</v>
      </c>
      <c r="D1322" s="47" t="s">
        <v>6560</v>
      </c>
      <c r="E1322" s="47"/>
      <c r="F1322" s="47"/>
      <c r="G1322" s="47"/>
      <c r="H1322" s="47" t="s">
        <v>3605</v>
      </c>
      <c r="I1322" s="47" t="s">
        <v>2917</v>
      </c>
    </row>
    <row r="1323" spans="1:9" ht="15">
      <c r="A1323" s="47" t="s">
        <v>2919</v>
      </c>
      <c r="B1323" s="47" t="s">
        <v>2920</v>
      </c>
      <c r="C1323" s="47" t="s">
        <v>6561</v>
      </c>
      <c r="D1323" s="47" t="s">
        <v>6562</v>
      </c>
      <c r="E1323" s="47"/>
      <c r="F1323" s="47"/>
      <c r="G1323" s="47"/>
      <c r="H1323" s="47" t="s">
        <v>3605</v>
      </c>
      <c r="I1323" s="47" t="s">
        <v>2919</v>
      </c>
    </row>
    <row r="1324" spans="1:9" ht="15">
      <c r="A1324" s="47" t="s">
        <v>2921</v>
      </c>
      <c r="B1324" s="47" t="s">
        <v>2922</v>
      </c>
      <c r="C1324" s="47" t="s">
        <v>6563</v>
      </c>
      <c r="D1324" s="47" t="s">
        <v>6564</v>
      </c>
      <c r="E1324" s="47"/>
      <c r="F1324" s="47"/>
      <c r="G1324" s="47"/>
      <c r="H1324" s="47" t="s">
        <v>3605</v>
      </c>
      <c r="I1324" s="47" t="s">
        <v>2921</v>
      </c>
    </row>
    <row r="1325" spans="1:9" ht="15">
      <c r="A1325" s="47" t="s">
        <v>2925</v>
      </c>
      <c r="B1325" s="47" t="s">
        <v>2926</v>
      </c>
      <c r="C1325" s="47" t="s">
        <v>6565</v>
      </c>
      <c r="D1325" s="47" t="s">
        <v>6566</v>
      </c>
      <c r="E1325" s="47"/>
      <c r="F1325" s="47"/>
      <c r="G1325" s="47"/>
      <c r="H1325" s="47" t="s">
        <v>3605</v>
      </c>
      <c r="I1325" s="47" t="s">
        <v>2925</v>
      </c>
    </row>
    <row r="1326" spans="1:9" ht="15">
      <c r="A1326" s="47" t="s">
        <v>3219</v>
      </c>
      <c r="B1326" s="47" t="s">
        <v>3220</v>
      </c>
      <c r="C1326" s="47" t="s">
        <v>6567</v>
      </c>
      <c r="D1326" s="47" t="s">
        <v>6568</v>
      </c>
      <c r="E1326" s="47"/>
      <c r="F1326" s="47"/>
      <c r="G1326" s="47"/>
      <c r="H1326" s="47" t="s">
        <v>3605</v>
      </c>
      <c r="I1326" s="47" t="s">
        <v>3219</v>
      </c>
    </row>
    <row r="1327" spans="1:9" ht="15">
      <c r="A1327" s="47">
        <v>54886</v>
      </c>
      <c r="B1327" s="47" t="s">
        <v>6569</v>
      </c>
      <c r="C1327" s="47" t="s">
        <v>6570</v>
      </c>
      <c r="D1327" s="47" t="s">
        <v>6571</v>
      </c>
      <c r="E1327" s="47"/>
      <c r="F1327" s="47"/>
      <c r="G1327" s="47"/>
      <c r="H1327" s="47" t="s">
        <v>3605</v>
      </c>
      <c r="I1327" s="47" t="s">
        <v>18937</v>
      </c>
    </row>
    <row r="1328" spans="1:9" ht="15">
      <c r="A1328" s="47" t="s">
        <v>3389</v>
      </c>
      <c r="B1328" s="47" t="s">
        <v>3390</v>
      </c>
      <c r="C1328" s="47" t="s">
        <v>6572</v>
      </c>
      <c r="D1328" s="47" t="s">
        <v>6573</v>
      </c>
      <c r="E1328" s="47"/>
      <c r="F1328" s="47"/>
      <c r="G1328" s="47"/>
      <c r="H1328" s="47" t="s">
        <v>3605</v>
      </c>
      <c r="I1328" s="47" t="s">
        <v>3389</v>
      </c>
    </row>
    <row r="1329" spans="1:9" ht="15">
      <c r="A1329" s="47">
        <v>54887</v>
      </c>
      <c r="B1329" s="47" t="s">
        <v>6574</v>
      </c>
      <c r="C1329" s="47" t="s">
        <v>6575</v>
      </c>
      <c r="D1329" s="47" t="s">
        <v>6576</v>
      </c>
      <c r="E1329" s="47"/>
      <c r="F1329" s="47"/>
      <c r="G1329" s="47"/>
      <c r="H1329" s="47" t="s">
        <v>3605</v>
      </c>
      <c r="I1329" s="47" t="s">
        <v>18938</v>
      </c>
    </row>
    <row r="1330" spans="1:9" ht="15">
      <c r="A1330" s="47">
        <v>54890</v>
      </c>
      <c r="B1330" s="47" t="s">
        <v>6577</v>
      </c>
      <c r="C1330" s="47" t="s">
        <v>6578</v>
      </c>
      <c r="D1330" s="47" t="s">
        <v>6579</v>
      </c>
      <c r="E1330" s="47"/>
      <c r="F1330" s="47"/>
      <c r="G1330" s="47"/>
      <c r="H1330" s="47" t="s">
        <v>3605</v>
      </c>
      <c r="I1330" s="47" t="s">
        <v>18939</v>
      </c>
    </row>
    <row r="1331" spans="1:9" ht="15">
      <c r="A1331" s="47">
        <v>54891</v>
      </c>
      <c r="B1331" s="47" t="s">
        <v>6580</v>
      </c>
      <c r="C1331" s="47" t="s">
        <v>6581</v>
      </c>
      <c r="D1331" s="47" t="s">
        <v>6582</v>
      </c>
      <c r="E1331" s="47"/>
      <c r="F1331" s="47"/>
      <c r="G1331" s="47"/>
      <c r="H1331" s="47" t="s">
        <v>3605</v>
      </c>
      <c r="I1331" s="47" t="s">
        <v>18940</v>
      </c>
    </row>
    <row r="1332" spans="1:9" ht="15">
      <c r="A1332" s="47">
        <v>54894</v>
      </c>
      <c r="B1332" s="47" t="s">
        <v>6583</v>
      </c>
      <c r="C1332" s="47" t="s">
        <v>6584</v>
      </c>
      <c r="D1332" s="47" t="s">
        <v>6585</v>
      </c>
      <c r="E1332" s="47"/>
      <c r="F1332" s="47"/>
      <c r="G1332" s="47"/>
      <c r="H1332" s="47" t="s">
        <v>3605</v>
      </c>
      <c r="I1332" s="47" t="s">
        <v>18941</v>
      </c>
    </row>
    <row r="1333" spans="1:9" ht="15">
      <c r="A1333" s="47" t="s">
        <v>6586</v>
      </c>
      <c r="B1333" s="47" t="s">
        <v>6587</v>
      </c>
      <c r="C1333" s="47" t="s">
        <v>6588</v>
      </c>
      <c r="D1333" s="47" t="s">
        <v>6589</v>
      </c>
      <c r="E1333" s="47"/>
      <c r="F1333" s="47"/>
      <c r="G1333" s="47"/>
      <c r="H1333" s="47" t="s">
        <v>3605</v>
      </c>
      <c r="I1333" s="47" t="s">
        <v>6586</v>
      </c>
    </row>
    <row r="1334" spans="1:9" ht="15">
      <c r="A1334" s="47" t="s">
        <v>6590</v>
      </c>
      <c r="B1334" s="47" t="s">
        <v>6591</v>
      </c>
      <c r="C1334" s="47" t="s">
        <v>6592</v>
      </c>
      <c r="D1334" s="47" t="s">
        <v>6593</v>
      </c>
      <c r="E1334" s="47"/>
      <c r="F1334" s="47"/>
      <c r="G1334" s="47"/>
      <c r="H1334" s="47" t="s">
        <v>3605</v>
      </c>
      <c r="I1334" s="47" t="s">
        <v>6590</v>
      </c>
    </row>
    <row r="1335" spans="1:9" ht="15">
      <c r="A1335" s="47">
        <v>46269</v>
      </c>
      <c r="B1335" s="47" t="s">
        <v>6594</v>
      </c>
      <c r="C1335" s="47" t="s">
        <v>6595</v>
      </c>
      <c r="D1335" s="47" t="s">
        <v>6596</v>
      </c>
      <c r="E1335" s="47"/>
      <c r="F1335" s="47" t="s">
        <v>3603</v>
      </c>
      <c r="G1335" s="47" t="s">
        <v>3604</v>
      </c>
      <c r="H1335" s="47" t="s">
        <v>3605</v>
      </c>
      <c r="I1335" s="47" t="s">
        <v>18942</v>
      </c>
    </row>
    <row r="1336" spans="1:9" ht="15">
      <c r="A1336" s="47">
        <v>93241</v>
      </c>
      <c r="B1336" s="47" t="s">
        <v>6597</v>
      </c>
      <c r="C1336" s="47" t="s">
        <v>6598</v>
      </c>
      <c r="D1336" s="47" t="s">
        <v>6599</v>
      </c>
      <c r="E1336" s="47"/>
      <c r="F1336" s="47" t="s">
        <v>3603</v>
      </c>
      <c r="G1336" s="47" t="s">
        <v>3604</v>
      </c>
      <c r="H1336" s="47" t="s">
        <v>3605</v>
      </c>
      <c r="I1336" s="47" t="s">
        <v>18943</v>
      </c>
    </row>
    <row r="1337" spans="1:9" ht="15">
      <c r="A1337" s="47">
        <v>93242</v>
      </c>
      <c r="B1337" s="47" t="s">
        <v>6600</v>
      </c>
      <c r="C1337" s="47" t="s">
        <v>6601</v>
      </c>
      <c r="D1337" s="47" t="s">
        <v>6602</v>
      </c>
      <c r="E1337" s="47"/>
      <c r="F1337" s="47" t="s">
        <v>3603</v>
      </c>
      <c r="G1337" s="47" t="s">
        <v>3604</v>
      </c>
      <c r="H1337" s="47" t="s">
        <v>3605</v>
      </c>
      <c r="I1337" s="47" t="s">
        <v>18944</v>
      </c>
    </row>
    <row r="1338" spans="1:9" ht="15">
      <c r="A1338" s="47">
        <v>93243</v>
      </c>
      <c r="B1338" s="47" t="s">
        <v>6603</v>
      </c>
      <c r="C1338" s="47" t="s">
        <v>6604</v>
      </c>
      <c r="D1338" s="47" t="s">
        <v>6605</v>
      </c>
      <c r="E1338" s="47"/>
      <c r="F1338" s="47" t="s">
        <v>3603</v>
      </c>
      <c r="G1338" s="47" t="s">
        <v>3604</v>
      </c>
      <c r="H1338" s="47" t="s">
        <v>3605</v>
      </c>
      <c r="I1338" s="47" t="s">
        <v>18945</v>
      </c>
    </row>
    <row r="1339" spans="1:9" ht="15">
      <c r="A1339" s="47">
        <v>14100</v>
      </c>
      <c r="B1339" s="47" t="s">
        <v>6606</v>
      </c>
      <c r="C1339" s="47" t="s">
        <v>6607</v>
      </c>
      <c r="D1339" s="47" t="s">
        <v>6608</v>
      </c>
      <c r="E1339" s="47"/>
      <c r="F1339" s="47"/>
      <c r="G1339" s="47"/>
      <c r="H1339" s="47" t="s">
        <v>3605</v>
      </c>
      <c r="I1339" s="47" t="s">
        <v>18946</v>
      </c>
    </row>
    <row r="1340" spans="1:9" ht="15">
      <c r="A1340" s="47">
        <v>12000</v>
      </c>
      <c r="B1340" s="47" t="s">
        <v>6609</v>
      </c>
      <c r="C1340" s="47" t="s">
        <v>6610</v>
      </c>
      <c r="D1340" s="47" t="s">
        <v>6611</v>
      </c>
      <c r="E1340" s="47"/>
      <c r="F1340" s="47"/>
      <c r="G1340" s="47"/>
      <c r="H1340" s="47" t="s">
        <v>3605</v>
      </c>
      <c r="I1340" s="47" t="s">
        <v>18947</v>
      </c>
    </row>
    <row r="1341" spans="1:9" ht="15">
      <c r="A1341" s="47">
        <v>46210</v>
      </c>
      <c r="B1341" s="47" t="s">
        <v>6612</v>
      </c>
      <c r="C1341" s="47" t="s">
        <v>6613</v>
      </c>
      <c r="D1341" s="47" t="s">
        <v>6614</v>
      </c>
      <c r="E1341" s="47"/>
      <c r="F1341" s="47" t="s">
        <v>3603</v>
      </c>
      <c r="G1341" s="47" t="s">
        <v>3604</v>
      </c>
      <c r="H1341" s="47" t="s">
        <v>3605</v>
      </c>
      <c r="I1341" s="47" t="s">
        <v>18948</v>
      </c>
    </row>
    <row r="1342" spans="1:9" ht="15">
      <c r="A1342" s="47">
        <v>46206</v>
      </c>
      <c r="B1342" s="47" t="s">
        <v>6615</v>
      </c>
      <c r="C1342" s="47" t="s">
        <v>6616</v>
      </c>
      <c r="D1342" s="47" t="s">
        <v>6617</v>
      </c>
      <c r="E1342" s="47"/>
      <c r="F1342" s="47"/>
      <c r="G1342" s="47"/>
      <c r="H1342" s="47" t="s">
        <v>3605</v>
      </c>
      <c r="I1342" s="47" t="s">
        <v>18949</v>
      </c>
    </row>
    <row r="1343" spans="1:9" ht="15">
      <c r="A1343" s="47">
        <v>54901</v>
      </c>
      <c r="B1343" s="47" t="s">
        <v>6618</v>
      </c>
      <c r="C1343" s="47" t="s">
        <v>6619</v>
      </c>
      <c r="D1343" s="47" t="s">
        <v>6620</v>
      </c>
      <c r="E1343" s="47"/>
      <c r="F1343" s="47"/>
      <c r="G1343" s="47"/>
      <c r="H1343" s="47" t="s">
        <v>3605</v>
      </c>
      <c r="I1343" s="47" t="s">
        <v>18950</v>
      </c>
    </row>
    <row r="1344" spans="1:9" ht="15">
      <c r="A1344" s="47">
        <v>42634</v>
      </c>
      <c r="B1344" s="47" t="s">
        <v>6621</v>
      </c>
      <c r="C1344" s="47" t="s">
        <v>6622</v>
      </c>
      <c r="D1344" s="47" t="s">
        <v>6623</v>
      </c>
      <c r="E1344" s="47"/>
      <c r="F1344" s="47" t="s">
        <v>3603</v>
      </c>
      <c r="G1344" s="47" t="s">
        <v>3604</v>
      </c>
      <c r="H1344" s="47" t="s">
        <v>3605</v>
      </c>
      <c r="I1344" s="47" t="s">
        <v>18951</v>
      </c>
    </row>
    <row r="1345" spans="1:9" ht="15">
      <c r="A1345" s="47">
        <v>42638</v>
      </c>
      <c r="B1345" s="47" t="s">
        <v>6624</v>
      </c>
      <c r="C1345" s="47" t="s">
        <v>6625</v>
      </c>
      <c r="D1345" s="47" t="s">
        <v>6626</v>
      </c>
      <c r="E1345" s="47"/>
      <c r="F1345" s="47" t="s">
        <v>3603</v>
      </c>
      <c r="G1345" s="47" t="s">
        <v>3604</v>
      </c>
      <c r="H1345" s="47" t="s">
        <v>3605</v>
      </c>
      <c r="I1345" s="47" t="s">
        <v>18952</v>
      </c>
    </row>
    <row r="1346" spans="1:9" ht="15">
      <c r="A1346" s="47">
        <v>72764</v>
      </c>
      <c r="B1346" s="47" t="s">
        <v>6627</v>
      </c>
      <c r="C1346" s="47" t="s">
        <v>6628</v>
      </c>
      <c r="D1346" s="47" t="s">
        <v>6629</v>
      </c>
      <c r="E1346" s="47"/>
      <c r="F1346" s="47" t="s">
        <v>3603</v>
      </c>
      <c r="G1346" s="47" t="s">
        <v>3604</v>
      </c>
      <c r="H1346" s="47" t="s">
        <v>3605</v>
      </c>
      <c r="I1346" s="47" t="s">
        <v>18953</v>
      </c>
    </row>
    <row r="1347" spans="1:9" ht="15">
      <c r="A1347" s="47">
        <v>56000</v>
      </c>
      <c r="B1347" s="47" t="s">
        <v>6630</v>
      </c>
      <c r="C1347" s="47" t="s">
        <v>6631</v>
      </c>
      <c r="D1347" s="47" t="s">
        <v>6632</v>
      </c>
      <c r="E1347" s="47"/>
      <c r="F1347" s="47" t="s">
        <v>3603</v>
      </c>
      <c r="G1347" s="47" t="s">
        <v>3604</v>
      </c>
      <c r="H1347" s="47" t="s">
        <v>3605</v>
      </c>
      <c r="I1347" s="47" t="s">
        <v>18954</v>
      </c>
    </row>
    <row r="1348" spans="1:9" ht="15">
      <c r="A1348" s="47">
        <v>46213</v>
      </c>
      <c r="B1348" s="47" t="s">
        <v>6633</v>
      </c>
      <c r="C1348" s="47" t="s">
        <v>6634</v>
      </c>
      <c r="D1348" s="47" t="s">
        <v>6635</v>
      </c>
      <c r="E1348" s="47"/>
      <c r="F1348" s="47" t="s">
        <v>3603</v>
      </c>
      <c r="G1348" s="47" t="s">
        <v>3604</v>
      </c>
      <c r="H1348" s="47" t="s">
        <v>3605</v>
      </c>
      <c r="I1348" s="47" t="s">
        <v>18955</v>
      </c>
    </row>
    <row r="1349" spans="1:9" ht="15">
      <c r="A1349" s="47">
        <v>46216</v>
      </c>
      <c r="B1349" s="47" t="s">
        <v>6636</v>
      </c>
      <c r="C1349" s="47" t="s">
        <v>6637</v>
      </c>
      <c r="D1349" s="47" t="s">
        <v>6638</v>
      </c>
      <c r="E1349" s="47"/>
      <c r="F1349" s="47" t="s">
        <v>3603</v>
      </c>
      <c r="G1349" s="47" t="s">
        <v>3604</v>
      </c>
      <c r="H1349" s="47" t="s">
        <v>3605</v>
      </c>
      <c r="I1349" s="47" t="s">
        <v>18956</v>
      </c>
    </row>
    <row r="1350" spans="1:9" ht="15">
      <c r="A1350" s="47">
        <v>46290</v>
      </c>
      <c r="B1350" s="47" t="s">
        <v>6639</v>
      </c>
      <c r="C1350" s="47" t="s">
        <v>6640</v>
      </c>
      <c r="D1350" s="47" t="s">
        <v>6641</v>
      </c>
      <c r="E1350" s="47"/>
      <c r="F1350" s="47" t="s">
        <v>3603</v>
      </c>
      <c r="G1350" s="47" t="s">
        <v>3604</v>
      </c>
      <c r="H1350" s="47" t="s">
        <v>3605</v>
      </c>
      <c r="I1350" s="47" t="s">
        <v>18957</v>
      </c>
    </row>
    <row r="1351" spans="1:9" ht="15">
      <c r="A1351" s="47">
        <v>46202</v>
      </c>
      <c r="B1351" s="47" t="s">
        <v>6642</v>
      </c>
      <c r="C1351" s="47" t="s">
        <v>6643</v>
      </c>
      <c r="D1351" s="47" t="s">
        <v>6644</v>
      </c>
      <c r="E1351" s="47"/>
      <c r="F1351" s="47"/>
      <c r="G1351" s="47"/>
      <c r="H1351" s="47" t="s">
        <v>3605</v>
      </c>
      <c r="I1351" s="47" t="s">
        <v>18958</v>
      </c>
    </row>
    <row r="1352" spans="1:9" ht="15">
      <c r="A1352" s="47">
        <v>46214</v>
      </c>
      <c r="B1352" s="47" t="s">
        <v>6645</v>
      </c>
      <c r="C1352" s="47" t="s">
        <v>6646</v>
      </c>
      <c r="D1352" s="47" t="s">
        <v>6647</v>
      </c>
      <c r="E1352" s="47"/>
      <c r="F1352" s="47"/>
      <c r="G1352" s="47"/>
      <c r="H1352" s="47" t="s">
        <v>3605</v>
      </c>
      <c r="I1352" s="47" t="s">
        <v>18959</v>
      </c>
    </row>
    <row r="1353" spans="1:9" ht="15">
      <c r="A1353" s="47">
        <v>46217</v>
      </c>
      <c r="B1353" s="47" t="s">
        <v>6648</v>
      </c>
      <c r="C1353" s="47" t="s">
        <v>6649</v>
      </c>
      <c r="D1353" s="47" t="s">
        <v>6650</v>
      </c>
      <c r="E1353" s="47"/>
      <c r="F1353" s="47"/>
      <c r="G1353" s="47"/>
      <c r="H1353" s="47" t="s">
        <v>3605</v>
      </c>
      <c r="I1353" s="47" t="s">
        <v>18960</v>
      </c>
    </row>
    <row r="1354" spans="1:9" ht="15">
      <c r="A1354" s="47">
        <v>46218</v>
      </c>
      <c r="B1354" s="47" t="s">
        <v>6651</v>
      </c>
      <c r="C1354" s="47" t="s">
        <v>6652</v>
      </c>
      <c r="D1354" s="47" t="s">
        <v>6653</v>
      </c>
      <c r="E1354" s="47"/>
      <c r="F1354" s="47" t="s">
        <v>3603</v>
      </c>
      <c r="G1354" s="47" t="s">
        <v>3604</v>
      </c>
      <c r="H1354" s="47" t="s">
        <v>3605</v>
      </c>
      <c r="I1354" s="47" t="s">
        <v>18961</v>
      </c>
    </row>
    <row r="1355" spans="1:9" ht="15">
      <c r="A1355" s="47">
        <v>72763</v>
      </c>
      <c r="B1355" s="47" t="s">
        <v>6654</v>
      </c>
      <c r="C1355" s="47" t="s">
        <v>6655</v>
      </c>
      <c r="D1355" s="47" t="s">
        <v>6656</v>
      </c>
      <c r="E1355" s="47"/>
      <c r="F1355" s="47"/>
      <c r="G1355" s="47"/>
      <c r="H1355" s="47" t="s">
        <v>3605</v>
      </c>
      <c r="I1355" s="47" t="s">
        <v>18962</v>
      </c>
    </row>
    <row r="1356" spans="1:9" ht="15">
      <c r="A1356" s="47">
        <v>72766</v>
      </c>
      <c r="B1356" s="47" t="s">
        <v>6657</v>
      </c>
      <c r="C1356" s="47" t="s">
        <v>6658</v>
      </c>
      <c r="D1356" s="47" t="s">
        <v>6659</v>
      </c>
      <c r="E1356" s="47"/>
      <c r="F1356" s="47"/>
      <c r="G1356" s="47"/>
      <c r="H1356" s="47" t="s">
        <v>3605</v>
      </c>
      <c r="I1356" s="47" t="s">
        <v>18963</v>
      </c>
    </row>
    <row r="1357" spans="1:9" ht="15">
      <c r="A1357" s="47">
        <v>72773</v>
      </c>
      <c r="B1357" s="47" t="s">
        <v>6660</v>
      </c>
      <c r="C1357" s="47" t="s">
        <v>6661</v>
      </c>
      <c r="D1357" s="47" t="s">
        <v>6662</v>
      </c>
      <c r="E1357" s="47"/>
      <c r="F1357" s="47"/>
      <c r="G1357" s="47"/>
      <c r="H1357" s="47" t="s">
        <v>3605</v>
      </c>
      <c r="I1357" s="47" t="s">
        <v>18964</v>
      </c>
    </row>
    <row r="1358" spans="1:9" ht="15">
      <c r="A1358" s="47">
        <v>72810</v>
      </c>
      <c r="B1358" s="47" t="s">
        <v>6663</v>
      </c>
      <c r="C1358" s="47" t="s">
        <v>6664</v>
      </c>
      <c r="D1358" s="47" t="s">
        <v>6665</v>
      </c>
      <c r="E1358" s="47"/>
      <c r="F1358" s="47"/>
      <c r="G1358" s="47"/>
      <c r="H1358" s="47" t="s">
        <v>3605</v>
      </c>
      <c r="I1358" s="47" t="s">
        <v>18965</v>
      </c>
    </row>
    <row r="1359" spans="1:9" ht="15">
      <c r="A1359" s="47">
        <v>93300</v>
      </c>
      <c r="B1359" s="47" t="s">
        <v>6666</v>
      </c>
      <c r="C1359" s="47" t="s">
        <v>6667</v>
      </c>
      <c r="D1359" s="47" t="s">
        <v>6668</v>
      </c>
      <c r="E1359" s="47"/>
      <c r="F1359" s="47"/>
      <c r="G1359" s="47"/>
      <c r="H1359" s="47" t="s">
        <v>3605</v>
      </c>
      <c r="I1359" s="47" t="s">
        <v>18966</v>
      </c>
    </row>
    <row r="1360" spans="1:9" ht="15">
      <c r="A1360" s="47">
        <v>93309</v>
      </c>
      <c r="B1360" s="47" t="s">
        <v>6669</v>
      </c>
      <c r="C1360" s="47" t="s">
        <v>6670</v>
      </c>
      <c r="D1360" s="47" t="s">
        <v>6671</v>
      </c>
      <c r="E1360" s="47"/>
      <c r="F1360" s="47"/>
      <c r="G1360" s="47"/>
      <c r="H1360" s="47" t="s">
        <v>3605</v>
      </c>
      <c r="I1360" s="47" t="s">
        <v>18967</v>
      </c>
    </row>
    <row r="1361" spans="1:9" ht="15">
      <c r="A1361" s="47">
        <v>93319</v>
      </c>
      <c r="B1361" s="47" t="s">
        <v>6672</v>
      </c>
      <c r="C1361" s="47" t="s">
        <v>6673</v>
      </c>
      <c r="D1361" s="47" t="s">
        <v>6674</v>
      </c>
      <c r="E1361" s="47"/>
      <c r="F1361" s="47"/>
      <c r="G1361" s="47"/>
      <c r="H1361" s="47" t="s">
        <v>3605</v>
      </c>
      <c r="I1361" s="47" t="s">
        <v>18968</v>
      </c>
    </row>
    <row r="1362" spans="1:9" ht="15">
      <c r="A1362" s="47">
        <v>93380</v>
      </c>
      <c r="B1362" s="47" t="s">
        <v>6675</v>
      </c>
      <c r="C1362" s="47" t="s">
        <v>6676</v>
      </c>
      <c r="D1362" s="47" t="s">
        <v>6677</v>
      </c>
      <c r="E1362" s="47"/>
      <c r="F1362" s="47"/>
      <c r="G1362" s="47"/>
      <c r="H1362" s="47" t="s">
        <v>3605</v>
      </c>
      <c r="I1362" s="47" t="s">
        <v>18969</v>
      </c>
    </row>
    <row r="1363" spans="1:9" ht="15">
      <c r="A1363" s="47">
        <v>93240</v>
      </c>
      <c r="B1363" s="47" t="s">
        <v>6678</v>
      </c>
      <c r="C1363" s="47" t="s">
        <v>6679</v>
      </c>
      <c r="D1363" s="47" t="s">
        <v>6680</v>
      </c>
      <c r="E1363" s="47"/>
      <c r="F1363" s="47" t="s">
        <v>3603</v>
      </c>
      <c r="G1363" s="47" t="s">
        <v>3604</v>
      </c>
      <c r="H1363" s="47" t="s">
        <v>3605</v>
      </c>
      <c r="I1363" s="47" t="s">
        <v>18970</v>
      </c>
    </row>
    <row r="1364" spans="1:9" ht="15">
      <c r="A1364" s="47">
        <v>93206</v>
      </c>
      <c r="B1364" s="47" t="s">
        <v>6681</v>
      </c>
      <c r="C1364" s="47" t="s">
        <v>6682</v>
      </c>
      <c r="D1364" s="47" t="s">
        <v>6683</v>
      </c>
      <c r="E1364" s="47"/>
      <c r="F1364" s="47" t="s">
        <v>3603</v>
      </c>
      <c r="G1364" s="47" t="s">
        <v>3604</v>
      </c>
      <c r="H1364" s="47" t="s">
        <v>3605</v>
      </c>
      <c r="I1364" s="47" t="s">
        <v>18971</v>
      </c>
    </row>
    <row r="1365" spans="1:9" ht="15">
      <c r="A1365" s="47">
        <v>56100</v>
      </c>
      <c r="B1365" s="47" t="s">
        <v>6684</v>
      </c>
      <c r="C1365" s="47" t="s">
        <v>6685</v>
      </c>
      <c r="D1365" s="47" t="s">
        <v>6686</v>
      </c>
      <c r="E1365" s="47"/>
      <c r="F1365" s="47"/>
      <c r="G1365" s="47"/>
      <c r="H1365" s="47" t="s">
        <v>3605</v>
      </c>
      <c r="I1365" s="47" t="s">
        <v>18972</v>
      </c>
    </row>
    <row r="1366" spans="1:9" ht="15">
      <c r="A1366" s="47">
        <v>93270</v>
      </c>
      <c r="B1366" s="47" t="s">
        <v>6687</v>
      </c>
      <c r="C1366" s="47" t="s">
        <v>6688</v>
      </c>
      <c r="D1366" s="47" t="s">
        <v>6689</v>
      </c>
      <c r="E1366" s="47"/>
      <c r="F1366" s="47" t="s">
        <v>3603</v>
      </c>
      <c r="G1366" s="47" t="s">
        <v>3604</v>
      </c>
      <c r="H1366" s="47" t="s">
        <v>3605</v>
      </c>
      <c r="I1366" s="47" t="s">
        <v>18973</v>
      </c>
    </row>
    <row r="1367" spans="1:9" ht="15">
      <c r="A1367" s="47">
        <v>93220</v>
      </c>
      <c r="B1367" s="47" t="s">
        <v>6690</v>
      </c>
      <c r="C1367" s="47" t="s">
        <v>6691</v>
      </c>
      <c r="D1367" s="47" t="s">
        <v>6692</v>
      </c>
      <c r="E1367" s="47"/>
      <c r="F1367" s="47" t="s">
        <v>3603</v>
      </c>
      <c r="G1367" s="47" t="s">
        <v>3604</v>
      </c>
      <c r="H1367" s="47" t="s">
        <v>3605</v>
      </c>
      <c r="I1367" s="47" t="s">
        <v>18974</v>
      </c>
    </row>
    <row r="1368" spans="1:9" ht="15">
      <c r="A1368" s="47">
        <v>93221</v>
      </c>
      <c r="B1368" s="47" t="s">
        <v>6693</v>
      </c>
      <c r="C1368" s="47" t="s">
        <v>6694</v>
      </c>
      <c r="D1368" s="47" t="s">
        <v>6695</v>
      </c>
      <c r="E1368" s="47"/>
      <c r="F1368" s="47" t="s">
        <v>3603</v>
      </c>
      <c r="G1368" s="47" t="s">
        <v>3604</v>
      </c>
      <c r="H1368" s="47" t="s">
        <v>3605</v>
      </c>
      <c r="I1368" s="47" t="s">
        <v>18975</v>
      </c>
    </row>
    <row r="1369" spans="1:9" ht="15">
      <c r="A1369" s="47">
        <v>93222</v>
      </c>
      <c r="B1369" s="47" t="s">
        <v>6696</v>
      </c>
      <c r="C1369" s="47" t="s">
        <v>6697</v>
      </c>
      <c r="D1369" s="47" t="s">
        <v>6698</v>
      </c>
      <c r="E1369" s="47"/>
      <c r="F1369" s="47" t="s">
        <v>3603</v>
      </c>
      <c r="G1369" s="47" t="s">
        <v>3604</v>
      </c>
      <c r="H1369" s="47" t="s">
        <v>3605</v>
      </c>
      <c r="I1369" s="47" t="s">
        <v>18976</v>
      </c>
    </row>
    <row r="1370" spans="1:9" ht="15">
      <c r="A1370" s="47">
        <v>93227</v>
      </c>
      <c r="B1370" s="47" t="s">
        <v>6699</v>
      </c>
      <c r="C1370" s="47" t="s">
        <v>6700</v>
      </c>
      <c r="D1370" s="47" t="s">
        <v>6701</v>
      </c>
      <c r="E1370" s="47"/>
      <c r="F1370" s="47" t="s">
        <v>3603</v>
      </c>
      <c r="G1370" s="47" t="s">
        <v>3604</v>
      </c>
      <c r="H1370" s="47" t="s">
        <v>3605</v>
      </c>
      <c r="I1370" s="47" t="s">
        <v>18977</v>
      </c>
    </row>
    <row r="1371" spans="1:9" ht="15">
      <c r="A1371" s="47">
        <v>93231</v>
      </c>
      <c r="B1371" s="47" t="s">
        <v>6702</v>
      </c>
      <c r="C1371" s="47" t="s">
        <v>6703</v>
      </c>
      <c r="D1371" s="47" t="s">
        <v>6704</v>
      </c>
      <c r="E1371" s="47"/>
      <c r="F1371" s="47" t="s">
        <v>3603</v>
      </c>
      <c r="G1371" s="47" t="s">
        <v>3604</v>
      </c>
      <c r="H1371" s="47" t="s">
        <v>3605</v>
      </c>
      <c r="I1371" s="47" t="s">
        <v>18978</v>
      </c>
    </row>
    <row r="1372" spans="1:9" ht="15">
      <c r="A1372" s="47">
        <v>93223</v>
      </c>
      <c r="B1372" s="47" t="s">
        <v>6705</v>
      </c>
      <c r="C1372" s="47" t="s">
        <v>6706</v>
      </c>
      <c r="D1372" s="47" t="s">
        <v>6707</v>
      </c>
      <c r="E1372" s="47"/>
      <c r="F1372" s="47"/>
      <c r="G1372" s="47"/>
      <c r="H1372" s="47" t="s">
        <v>3605</v>
      </c>
      <c r="I1372" s="47" t="s">
        <v>18979</v>
      </c>
    </row>
    <row r="1373" spans="1:9" ht="15">
      <c r="A1373" s="47">
        <v>56101</v>
      </c>
      <c r="B1373" s="47" t="s">
        <v>6708</v>
      </c>
      <c r="C1373" s="47" t="s">
        <v>6709</v>
      </c>
      <c r="D1373" s="47" t="s">
        <v>6710</v>
      </c>
      <c r="E1373" s="47"/>
      <c r="F1373" s="47" t="s">
        <v>3603</v>
      </c>
      <c r="G1373" s="47" t="s">
        <v>3604</v>
      </c>
      <c r="H1373" s="47" t="s">
        <v>3605</v>
      </c>
      <c r="I1373" s="47" t="s">
        <v>18980</v>
      </c>
    </row>
    <row r="1374" spans="1:9" ht="15">
      <c r="A1374" s="47">
        <v>93244</v>
      </c>
      <c r="B1374" s="47" t="s">
        <v>6711</v>
      </c>
      <c r="C1374" s="47" t="s">
        <v>6712</v>
      </c>
      <c r="D1374" s="47" t="s">
        <v>6713</v>
      </c>
      <c r="E1374" s="47"/>
      <c r="F1374" s="47"/>
      <c r="G1374" s="47"/>
      <c r="H1374" s="47" t="s">
        <v>3605</v>
      </c>
      <c r="I1374" s="47" t="s">
        <v>18981</v>
      </c>
    </row>
    <row r="1375" spans="1:9" ht="15">
      <c r="A1375" s="47">
        <v>93271</v>
      </c>
      <c r="B1375" s="47" t="s">
        <v>6714</v>
      </c>
      <c r="C1375" s="47" t="s">
        <v>6715</v>
      </c>
      <c r="D1375" s="47" t="s">
        <v>6716</v>
      </c>
      <c r="E1375" s="47"/>
      <c r="F1375" s="47" t="s">
        <v>3603</v>
      </c>
      <c r="G1375" s="47" t="s">
        <v>3604</v>
      </c>
      <c r="H1375" s="47" t="s">
        <v>3605</v>
      </c>
      <c r="I1375" s="47" t="s">
        <v>18982</v>
      </c>
    </row>
    <row r="1376" spans="1:9" ht="15">
      <c r="A1376" s="47">
        <v>93232</v>
      </c>
      <c r="B1376" s="47" t="s">
        <v>6717</v>
      </c>
      <c r="C1376" s="47" t="s">
        <v>6718</v>
      </c>
      <c r="D1376" s="47" t="s">
        <v>6719</v>
      </c>
      <c r="E1376" s="47"/>
      <c r="F1376" s="47"/>
      <c r="G1376" s="47"/>
      <c r="H1376" s="47" t="s">
        <v>3605</v>
      </c>
      <c r="I1376" s="47" t="s">
        <v>18983</v>
      </c>
    </row>
    <row r="1377" spans="1:9" ht="15">
      <c r="A1377" s="47">
        <v>46203</v>
      </c>
      <c r="B1377" s="47" t="s">
        <v>6720</v>
      </c>
      <c r="C1377" s="47" t="s">
        <v>6721</v>
      </c>
      <c r="D1377" s="47" t="s">
        <v>6722</v>
      </c>
      <c r="E1377" s="47"/>
      <c r="F1377" s="47" t="s">
        <v>3603</v>
      </c>
      <c r="G1377" s="47" t="s">
        <v>3604</v>
      </c>
      <c r="H1377" s="47" t="s">
        <v>3605</v>
      </c>
      <c r="I1377" s="47" t="s">
        <v>18984</v>
      </c>
    </row>
    <row r="1378" spans="1:9" ht="15">
      <c r="A1378" s="47">
        <v>46204</v>
      </c>
      <c r="B1378" s="47" t="s">
        <v>6723</v>
      </c>
      <c r="C1378" s="47" t="s">
        <v>6724</v>
      </c>
      <c r="D1378" s="47" t="s">
        <v>6725</v>
      </c>
      <c r="E1378" s="47"/>
      <c r="F1378" s="47" t="s">
        <v>3603</v>
      </c>
      <c r="G1378" s="47" t="s">
        <v>3604</v>
      </c>
      <c r="H1378" s="47" t="s">
        <v>3605</v>
      </c>
      <c r="I1378" s="47" t="s">
        <v>18985</v>
      </c>
    </row>
    <row r="1379" spans="1:9" ht="15">
      <c r="A1379" s="47">
        <v>56102</v>
      </c>
      <c r="B1379" s="47" t="s">
        <v>6726</v>
      </c>
      <c r="C1379" s="47" t="s">
        <v>6727</v>
      </c>
      <c r="D1379" s="47" t="s">
        <v>6728</v>
      </c>
      <c r="E1379" s="47"/>
      <c r="F1379" s="47" t="s">
        <v>3603</v>
      </c>
      <c r="G1379" s="47" t="s">
        <v>3604</v>
      </c>
      <c r="H1379" s="47" t="s">
        <v>3605</v>
      </c>
      <c r="I1379" s="47" t="s">
        <v>18986</v>
      </c>
    </row>
    <row r="1380" spans="1:9" ht="15">
      <c r="A1380" s="47">
        <v>72793</v>
      </c>
      <c r="B1380" s="47" t="s">
        <v>6729</v>
      </c>
      <c r="C1380" s="47" t="s">
        <v>6730</v>
      </c>
      <c r="D1380" s="47" t="s">
        <v>6731</v>
      </c>
      <c r="E1380" s="47"/>
      <c r="F1380" s="47" t="s">
        <v>3603</v>
      </c>
      <c r="G1380" s="47" t="s">
        <v>3604</v>
      </c>
      <c r="H1380" s="47" t="s">
        <v>3605</v>
      </c>
      <c r="I1380" s="47" t="s">
        <v>18987</v>
      </c>
    </row>
    <row r="1381" spans="1:9" ht="15">
      <c r="A1381" s="47">
        <v>93200</v>
      </c>
      <c r="B1381" s="47" t="s">
        <v>6732</v>
      </c>
      <c r="C1381" s="47" t="s">
        <v>6733</v>
      </c>
      <c r="D1381" s="47" t="s">
        <v>6734</v>
      </c>
      <c r="E1381" s="47"/>
      <c r="F1381" s="47"/>
      <c r="G1381" s="47"/>
      <c r="H1381" s="47" t="s">
        <v>3605</v>
      </c>
      <c r="I1381" s="47" t="s">
        <v>18988</v>
      </c>
    </row>
    <row r="1382" spans="1:9" ht="15">
      <c r="A1382" s="47">
        <v>93202</v>
      </c>
      <c r="B1382" s="47" t="s">
        <v>6735</v>
      </c>
      <c r="C1382" s="47" t="s">
        <v>6736</v>
      </c>
      <c r="D1382" s="47" t="s">
        <v>6737</v>
      </c>
      <c r="E1382" s="47"/>
      <c r="F1382" s="47" t="s">
        <v>3603</v>
      </c>
      <c r="G1382" s="47" t="s">
        <v>3604</v>
      </c>
      <c r="H1382" s="47" t="s">
        <v>3605</v>
      </c>
      <c r="I1382" s="47" t="s">
        <v>18989</v>
      </c>
    </row>
    <row r="1383" spans="1:9" ht="15">
      <c r="A1383" s="47">
        <v>56103</v>
      </c>
      <c r="B1383" s="47" t="s">
        <v>6738</v>
      </c>
      <c r="C1383" s="47" t="s">
        <v>6739</v>
      </c>
      <c r="D1383" s="47" t="s">
        <v>6740</v>
      </c>
      <c r="E1383" s="47"/>
      <c r="F1383" s="47" t="s">
        <v>3603</v>
      </c>
      <c r="G1383" s="47" t="s">
        <v>3604</v>
      </c>
      <c r="H1383" s="47" t="s">
        <v>3605</v>
      </c>
      <c r="I1383" s="47" t="s">
        <v>18990</v>
      </c>
    </row>
    <row r="1384" spans="1:9" ht="15">
      <c r="A1384" s="47">
        <v>56200</v>
      </c>
      <c r="B1384" s="47" t="s">
        <v>6741</v>
      </c>
      <c r="C1384" s="47" t="s">
        <v>6742</v>
      </c>
      <c r="D1384" s="47" t="s">
        <v>6743</v>
      </c>
      <c r="E1384" s="47"/>
      <c r="F1384" s="47" t="s">
        <v>3603</v>
      </c>
      <c r="G1384" s="47" t="s">
        <v>3604</v>
      </c>
      <c r="H1384" s="47" t="s">
        <v>3605</v>
      </c>
      <c r="I1384" s="47" t="s">
        <v>18991</v>
      </c>
    </row>
    <row r="1385" spans="1:9" ht="15">
      <c r="A1385" s="47">
        <v>56201</v>
      </c>
      <c r="B1385" s="47" t="s">
        <v>6744</v>
      </c>
      <c r="C1385" s="47" t="s">
        <v>6745</v>
      </c>
      <c r="D1385" s="47" t="s">
        <v>6746</v>
      </c>
      <c r="E1385" s="47"/>
      <c r="F1385" s="47"/>
      <c r="G1385" s="47"/>
      <c r="H1385" s="47" t="s">
        <v>3605</v>
      </c>
      <c r="I1385" s="47" t="s">
        <v>18992</v>
      </c>
    </row>
    <row r="1386" spans="1:9" ht="15">
      <c r="A1386" s="47">
        <v>93201</v>
      </c>
      <c r="B1386" s="47" t="s">
        <v>6747</v>
      </c>
      <c r="C1386" s="47" t="s">
        <v>6748</v>
      </c>
      <c r="D1386" s="47" t="s">
        <v>6749</v>
      </c>
      <c r="E1386" s="47"/>
      <c r="F1386" s="47"/>
      <c r="G1386" s="47"/>
      <c r="H1386" s="47" t="s">
        <v>3605</v>
      </c>
      <c r="I1386" s="47" t="s">
        <v>18993</v>
      </c>
    </row>
    <row r="1387" spans="1:9" ht="15">
      <c r="A1387" s="47">
        <v>93212</v>
      </c>
      <c r="B1387" s="47" t="s">
        <v>6750</v>
      </c>
      <c r="C1387" s="47" t="s">
        <v>6751</v>
      </c>
      <c r="D1387" s="47" t="s">
        <v>6752</v>
      </c>
      <c r="E1387" s="47"/>
      <c r="F1387" s="47"/>
      <c r="G1387" s="47"/>
      <c r="H1387" s="47" t="s">
        <v>3605</v>
      </c>
      <c r="I1387" s="47" t="s">
        <v>18994</v>
      </c>
    </row>
    <row r="1388" spans="1:9" ht="15">
      <c r="A1388" s="47">
        <v>56500</v>
      </c>
      <c r="B1388" s="47" t="s">
        <v>6753</v>
      </c>
      <c r="C1388" s="47" t="s">
        <v>6754</v>
      </c>
      <c r="D1388" s="47" t="s">
        <v>6755</v>
      </c>
      <c r="E1388" s="47"/>
      <c r="F1388" s="47" t="s">
        <v>3603</v>
      </c>
      <c r="G1388" s="47" t="s">
        <v>3604</v>
      </c>
      <c r="H1388" s="47" t="s">
        <v>3605</v>
      </c>
      <c r="I1388" s="47" t="s">
        <v>18995</v>
      </c>
    </row>
    <row r="1389" spans="1:9" ht="15">
      <c r="A1389" s="47">
        <v>46237</v>
      </c>
      <c r="B1389" s="47" t="s">
        <v>6756</v>
      </c>
      <c r="C1389" s="47" t="s">
        <v>6757</v>
      </c>
      <c r="D1389" s="47" t="s">
        <v>6758</v>
      </c>
      <c r="E1389" s="47"/>
      <c r="F1389" s="47"/>
      <c r="G1389" s="47"/>
      <c r="H1389" s="47" t="s">
        <v>3605</v>
      </c>
      <c r="I1389" s="47" t="s">
        <v>18996</v>
      </c>
    </row>
    <row r="1390" spans="1:9" ht="15">
      <c r="A1390" s="47">
        <v>93209</v>
      </c>
      <c r="B1390" s="47" t="s">
        <v>6759</v>
      </c>
      <c r="C1390" s="47" t="s">
        <v>6760</v>
      </c>
      <c r="D1390" s="47" t="s">
        <v>6761</v>
      </c>
      <c r="E1390" s="47"/>
      <c r="F1390" s="47"/>
      <c r="G1390" s="47"/>
      <c r="H1390" s="47" t="s">
        <v>3605</v>
      </c>
      <c r="I1390" s="47" t="s">
        <v>18997</v>
      </c>
    </row>
    <row r="1391" spans="1:9" ht="15">
      <c r="A1391" s="47" t="s">
        <v>2596</v>
      </c>
      <c r="B1391" s="47" t="s">
        <v>6762</v>
      </c>
      <c r="C1391" s="47" t="s">
        <v>6763</v>
      </c>
      <c r="D1391" s="47" t="s">
        <v>6764</v>
      </c>
      <c r="E1391" s="47"/>
      <c r="F1391" s="47"/>
      <c r="G1391" s="47"/>
      <c r="H1391" s="47" t="s">
        <v>3605</v>
      </c>
      <c r="I1391" s="47" t="s">
        <v>2596</v>
      </c>
    </row>
    <row r="1392" spans="1:9" ht="15">
      <c r="A1392" s="47">
        <v>56501</v>
      </c>
      <c r="B1392" s="47" t="s">
        <v>6765</v>
      </c>
      <c r="C1392" s="47" t="s">
        <v>6766</v>
      </c>
      <c r="D1392" s="47" t="s">
        <v>6767</v>
      </c>
      <c r="E1392" s="47"/>
      <c r="F1392" s="47"/>
      <c r="G1392" s="47"/>
      <c r="H1392" s="47" t="s">
        <v>3605</v>
      </c>
      <c r="I1392" s="47" t="s">
        <v>18998</v>
      </c>
    </row>
    <row r="1393" spans="1:9" ht="15">
      <c r="A1393" s="47">
        <v>56502</v>
      </c>
      <c r="B1393" s="47" t="s">
        <v>6768</v>
      </c>
      <c r="C1393" s="47" t="s">
        <v>6769</v>
      </c>
      <c r="D1393" s="47" t="s">
        <v>6770</v>
      </c>
      <c r="E1393" s="47"/>
      <c r="F1393" s="47"/>
      <c r="G1393" s="47"/>
      <c r="H1393" s="47" t="s">
        <v>3605</v>
      </c>
      <c r="I1393" s="47" t="s">
        <v>18999</v>
      </c>
    </row>
    <row r="1394" spans="1:9" ht="15">
      <c r="A1394" s="47">
        <v>56505</v>
      </c>
      <c r="B1394" s="47" t="s">
        <v>6771</v>
      </c>
      <c r="C1394" s="47" t="s">
        <v>6772</v>
      </c>
      <c r="D1394" s="47" t="s">
        <v>6773</v>
      </c>
      <c r="E1394" s="47"/>
      <c r="F1394" s="47"/>
      <c r="G1394" s="47"/>
      <c r="H1394" s="47" t="s">
        <v>3605</v>
      </c>
      <c r="I1394" s="47" t="s">
        <v>19000</v>
      </c>
    </row>
    <row r="1395" spans="1:9" ht="15">
      <c r="A1395" s="47">
        <v>56506</v>
      </c>
      <c r="B1395" s="47" t="s">
        <v>6774</v>
      </c>
      <c r="C1395" s="47" t="s">
        <v>6775</v>
      </c>
      <c r="D1395" s="47" t="s">
        <v>6776</v>
      </c>
      <c r="E1395" s="47"/>
      <c r="F1395" s="47" t="s">
        <v>3603</v>
      </c>
      <c r="G1395" s="47" t="s">
        <v>3604</v>
      </c>
      <c r="H1395" s="47" t="s">
        <v>3605</v>
      </c>
      <c r="I1395" s="47" t="s">
        <v>19001</v>
      </c>
    </row>
    <row r="1396" spans="1:9" ht="15">
      <c r="A1396" s="47">
        <v>56509</v>
      </c>
      <c r="B1396" s="47" t="s">
        <v>6777</v>
      </c>
      <c r="C1396" s="47" t="s">
        <v>6778</v>
      </c>
      <c r="D1396" s="47" t="s">
        <v>6779</v>
      </c>
      <c r="E1396" s="47"/>
      <c r="F1396" s="47"/>
      <c r="G1396" s="47"/>
      <c r="H1396" s="47" t="s">
        <v>3605</v>
      </c>
      <c r="I1396" s="47" t="s">
        <v>19002</v>
      </c>
    </row>
    <row r="1397" spans="1:9" ht="15">
      <c r="A1397" s="47">
        <v>56510</v>
      </c>
      <c r="B1397" s="47" t="s">
        <v>6780</v>
      </c>
      <c r="C1397" s="47" t="s">
        <v>6781</v>
      </c>
      <c r="D1397" s="47" t="s">
        <v>6782</v>
      </c>
      <c r="E1397" s="47"/>
      <c r="F1397" s="47" t="s">
        <v>3603</v>
      </c>
      <c r="G1397" s="47" t="s">
        <v>3604</v>
      </c>
      <c r="H1397" s="47" t="s">
        <v>3605</v>
      </c>
      <c r="I1397" s="47" t="s">
        <v>19003</v>
      </c>
    </row>
    <row r="1398" spans="1:9" ht="15">
      <c r="A1398" s="47">
        <v>57101</v>
      </c>
      <c r="B1398" s="47" t="s">
        <v>6783</v>
      </c>
      <c r="C1398" s="47" t="s">
        <v>6784</v>
      </c>
      <c r="D1398" s="47" t="s">
        <v>6785</v>
      </c>
      <c r="E1398" s="47"/>
      <c r="F1398" s="47"/>
      <c r="G1398" s="47"/>
      <c r="H1398" s="47" t="s">
        <v>3605</v>
      </c>
      <c r="I1398" s="47" t="s">
        <v>19004</v>
      </c>
    </row>
    <row r="1399" spans="1:9" ht="15">
      <c r="A1399" s="47">
        <v>57313</v>
      </c>
      <c r="B1399" s="47" t="s">
        <v>6786</v>
      </c>
      <c r="C1399" s="47" t="s">
        <v>6787</v>
      </c>
      <c r="D1399" s="47" t="s">
        <v>6788</v>
      </c>
      <c r="E1399" s="47"/>
      <c r="F1399" s="47" t="s">
        <v>3603</v>
      </c>
      <c r="G1399" s="47" t="s">
        <v>3604</v>
      </c>
      <c r="H1399" s="47" t="s">
        <v>3605</v>
      </c>
      <c r="I1399" s="47" t="s">
        <v>19005</v>
      </c>
    </row>
    <row r="1400" spans="1:9" ht="15">
      <c r="A1400" s="47">
        <v>60005</v>
      </c>
      <c r="B1400" s="47" t="s">
        <v>6789</v>
      </c>
      <c r="C1400" s="47" t="s">
        <v>6790</v>
      </c>
      <c r="D1400" s="47" t="s">
        <v>6791</v>
      </c>
      <c r="E1400" s="47"/>
      <c r="F1400" s="47" t="s">
        <v>3759</v>
      </c>
      <c r="G1400" s="47" t="s">
        <v>3760</v>
      </c>
      <c r="H1400" s="47" t="s">
        <v>3605</v>
      </c>
      <c r="I1400" s="47" t="s">
        <v>19006</v>
      </c>
    </row>
    <row r="1401" spans="1:9" ht="15">
      <c r="A1401" s="47">
        <v>46291</v>
      </c>
      <c r="B1401" s="47" t="s">
        <v>6792</v>
      </c>
      <c r="C1401" s="47" t="s">
        <v>6793</v>
      </c>
      <c r="D1401" s="47" t="s">
        <v>6794</v>
      </c>
      <c r="E1401" s="47"/>
      <c r="F1401" s="47"/>
      <c r="G1401" s="47"/>
      <c r="H1401" s="47" t="s">
        <v>3605</v>
      </c>
      <c r="I1401" s="47" t="s">
        <v>19007</v>
      </c>
    </row>
    <row r="1402" spans="1:9" ht="15">
      <c r="A1402" s="47">
        <v>72125</v>
      </c>
      <c r="B1402" s="47" t="s">
        <v>6795</v>
      </c>
      <c r="C1402" s="47" t="s">
        <v>6796</v>
      </c>
      <c r="D1402" s="47" t="s">
        <v>6797</v>
      </c>
      <c r="E1402" s="47"/>
      <c r="F1402" s="47"/>
      <c r="G1402" s="47"/>
      <c r="H1402" s="47" t="s">
        <v>3605</v>
      </c>
      <c r="I1402" s="47" t="s">
        <v>19008</v>
      </c>
    </row>
    <row r="1403" spans="1:9" ht="15">
      <c r="A1403" s="47">
        <v>72250</v>
      </c>
      <c r="B1403" s="47" t="s">
        <v>6798</v>
      </c>
      <c r="C1403" s="47" t="s">
        <v>6799</v>
      </c>
      <c r="D1403" s="47" t="s">
        <v>6800</v>
      </c>
      <c r="E1403" s="47"/>
      <c r="F1403" s="47" t="s">
        <v>5491</v>
      </c>
      <c r="G1403" s="47" t="s">
        <v>5492</v>
      </c>
      <c r="H1403" s="47" t="s">
        <v>3605</v>
      </c>
      <c r="I1403" s="47" t="s">
        <v>19009</v>
      </c>
    </row>
    <row r="1404" spans="1:9" ht="15">
      <c r="A1404" s="47">
        <v>72251</v>
      </c>
      <c r="B1404" s="47" t="s">
        <v>6801</v>
      </c>
      <c r="C1404" s="47" t="s">
        <v>6802</v>
      </c>
      <c r="D1404" s="47" t="s">
        <v>6803</v>
      </c>
      <c r="E1404" s="47"/>
      <c r="F1404" s="47" t="s">
        <v>3603</v>
      </c>
      <c r="G1404" s="47" t="s">
        <v>3604</v>
      </c>
      <c r="H1404" s="47" t="s">
        <v>3605</v>
      </c>
      <c r="I1404" s="47" t="s">
        <v>19010</v>
      </c>
    </row>
    <row r="1405" spans="1:9" ht="15">
      <c r="A1405" s="47">
        <v>72375</v>
      </c>
      <c r="B1405" s="47" t="s">
        <v>6804</v>
      </c>
      <c r="C1405" s="47" t="s">
        <v>6805</v>
      </c>
      <c r="D1405" s="47" t="s">
        <v>6806</v>
      </c>
      <c r="E1405" s="47"/>
      <c r="F1405" s="47"/>
      <c r="G1405" s="47"/>
      <c r="H1405" s="47" t="s">
        <v>3605</v>
      </c>
      <c r="I1405" s="47" t="s">
        <v>19011</v>
      </c>
    </row>
    <row r="1406" spans="1:9" ht="15">
      <c r="A1406" s="47">
        <v>72425</v>
      </c>
      <c r="B1406" s="47" t="s">
        <v>6807</v>
      </c>
      <c r="C1406" s="47" t="s">
        <v>6808</v>
      </c>
      <c r="D1406" s="47" t="s">
        <v>6809</v>
      </c>
      <c r="E1406" s="47"/>
      <c r="F1406" s="47"/>
      <c r="G1406" s="47"/>
      <c r="H1406" s="47" t="s">
        <v>3605</v>
      </c>
      <c r="I1406" s="47" t="s">
        <v>19012</v>
      </c>
    </row>
    <row r="1407" spans="1:9" ht="15">
      <c r="A1407" s="47">
        <v>22362</v>
      </c>
      <c r="B1407" s="47" t="s">
        <v>6810</v>
      </c>
      <c r="C1407" s="47" t="s">
        <v>6811</v>
      </c>
      <c r="D1407" s="47" t="s">
        <v>6812</v>
      </c>
      <c r="E1407" s="47"/>
      <c r="F1407" s="47"/>
      <c r="G1407" s="47"/>
      <c r="H1407" s="47" t="s">
        <v>3605</v>
      </c>
      <c r="I1407" s="47" t="s">
        <v>19013</v>
      </c>
    </row>
    <row r="1408" spans="1:9" ht="15">
      <c r="A1408" s="47">
        <v>72551</v>
      </c>
      <c r="B1408" s="47" t="s">
        <v>6813</v>
      </c>
      <c r="C1408" s="47" t="s">
        <v>6814</v>
      </c>
      <c r="D1408" s="47" t="s">
        <v>6815</v>
      </c>
      <c r="E1408" s="47"/>
      <c r="F1408" s="47" t="s">
        <v>3603</v>
      </c>
      <c r="G1408" s="47" t="s">
        <v>3604</v>
      </c>
      <c r="H1408" s="47" t="s">
        <v>3605</v>
      </c>
      <c r="I1408" s="47" t="s">
        <v>19014</v>
      </c>
    </row>
    <row r="1409" spans="1:9" ht="15">
      <c r="A1409" s="47">
        <v>46230</v>
      </c>
      <c r="B1409" s="47" t="s">
        <v>6816</v>
      </c>
      <c r="C1409" s="47" t="s">
        <v>6817</v>
      </c>
      <c r="D1409" s="47" t="s">
        <v>6818</v>
      </c>
      <c r="E1409" s="47"/>
      <c r="F1409" s="47"/>
      <c r="G1409" s="47"/>
      <c r="H1409" s="47" t="s">
        <v>3605</v>
      </c>
      <c r="I1409" s="47" t="s">
        <v>19015</v>
      </c>
    </row>
    <row r="1410" spans="1:9" ht="15">
      <c r="A1410" s="47">
        <v>72552</v>
      </c>
      <c r="B1410" s="47" t="s">
        <v>6819</v>
      </c>
      <c r="C1410" s="47" t="s">
        <v>6820</v>
      </c>
      <c r="D1410" s="47" t="s">
        <v>6821</v>
      </c>
      <c r="E1410" s="47"/>
      <c r="F1410" s="47" t="s">
        <v>3603</v>
      </c>
      <c r="G1410" s="47" t="s">
        <v>3604</v>
      </c>
      <c r="H1410" s="47" t="s">
        <v>3605</v>
      </c>
      <c r="I1410" s="47" t="s">
        <v>19016</v>
      </c>
    </row>
    <row r="1411" spans="1:9" ht="15">
      <c r="A1411" s="47">
        <v>72775</v>
      </c>
      <c r="B1411" s="47" t="s">
        <v>6822</v>
      </c>
      <c r="C1411" s="47" t="s">
        <v>6823</v>
      </c>
      <c r="D1411" s="47" t="s">
        <v>6824</v>
      </c>
      <c r="E1411" s="47"/>
      <c r="F1411" s="47" t="s">
        <v>3603</v>
      </c>
      <c r="G1411" s="47" t="s">
        <v>3604</v>
      </c>
      <c r="H1411" s="47" t="s">
        <v>3605</v>
      </c>
      <c r="I1411" s="47" t="s">
        <v>19017</v>
      </c>
    </row>
    <row r="1412" spans="1:9" ht="15">
      <c r="A1412" s="47">
        <v>46266</v>
      </c>
      <c r="B1412" s="47" t="s">
        <v>6825</v>
      </c>
      <c r="C1412" s="47" t="s">
        <v>6826</v>
      </c>
      <c r="D1412" s="47" t="s">
        <v>6827</v>
      </c>
      <c r="E1412" s="47"/>
      <c r="F1412" s="47"/>
      <c r="G1412" s="47"/>
      <c r="H1412" s="47" t="s">
        <v>3605</v>
      </c>
      <c r="I1412" s="47" t="s">
        <v>19018</v>
      </c>
    </row>
    <row r="1413" spans="1:9" ht="15">
      <c r="A1413" s="47">
        <v>46317</v>
      </c>
      <c r="B1413" s="47" t="s">
        <v>6828</v>
      </c>
      <c r="C1413" s="47" t="s">
        <v>6829</v>
      </c>
      <c r="D1413" s="47" t="s">
        <v>6830</v>
      </c>
      <c r="E1413" s="47"/>
      <c r="F1413" s="47"/>
      <c r="G1413" s="47"/>
      <c r="H1413" s="47" t="s">
        <v>3605</v>
      </c>
      <c r="I1413" s="47" t="s">
        <v>19019</v>
      </c>
    </row>
    <row r="1414" spans="1:9" ht="15">
      <c r="A1414" s="47">
        <v>11119</v>
      </c>
      <c r="B1414" s="47" t="s">
        <v>6831</v>
      </c>
      <c r="C1414" s="47" t="s">
        <v>6832</v>
      </c>
      <c r="D1414" s="47" t="s">
        <v>6833</v>
      </c>
      <c r="E1414" s="47"/>
      <c r="F1414" s="47" t="s">
        <v>3603</v>
      </c>
      <c r="G1414" s="47" t="s">
        <v>3604</v>
      </c>
      <c r="H1414" s="47" t="s">
        <v>3605</v>
      </c>
      <c r="I1414" s="47" t="s">
        <v>19020</v>
      </c>
    </row>
    <row r="1415" spans="1:9" ht="15">
      <c r="A1415" s="47">
        <v>72825</v>
      </c>
      <c r="B1415" s="47" t="s">
        <v>6834</v>
      </c>
      <c r="C1415" s="47" t="s">
        <v>6835</v>
      </c>
      <c r="D1415" s="47" t="s">
        <v>6836</v>
      </c>
      <c r="E1415" s="47"/>
      <c r="F1415" s="47"/>
      <c r="G1415" s="47"/>
      <c r="H1415" s="47" t="s">
        <v>3605</v>
      </c>
      <c r="I1415" s="47" t="s">
        <v>19021</v>
      </c>
    </row>
    <row r="1416" spans="1:9" ht="15">
      <c r="A1416" s="47">
        <v>72852</v>
      </c>
      <c r="B1416" s="47" t="s">
        <v>6837</v>
      </c>
      <c r="C1416" s="47" t="s">
        <v>6838</v>
      </c>
      <c r="D1416" s="47" t="s">
        <v>6839</v>
      </c>
      <c r="E1416" s="47"/>
      <c r="F1416" s="47" t="s">
        <v>3603</v>
      </c>
      <c r="G1416" s="47" t="s">
        <v>3604</v>
      </c>
      <c r="H1416" s="47" t="s">
        <v>3605</v>
      </c>
      <c r="I1416" s="47" t="s">
        <v>19022</v>
      </c>
    </row>
    <row r="1417" spans="1:9" ht="15">
      <c r="A1417" s="47">
        <v>72995</v>
      </c>
      <c r="B1417" s="47" t="s">
        <v>6840</v>
      </c>
      <c r="C1417" s="47" t="s">
        <v>6841</v>
      </c>
      <c r="D1417" s="47" t="s">
        <v>6842</v>
      </c>
      <c r="E1417" s="47"/>
      <c r="F1417" s="47" t="s">
        <v>3603</v>
      </c>
      <c r="G1417" s="47" t="s">
        <v>3604</v>
      </c>
      <c r="H1417" s="47" t="s">
        <v>3605</v>
      </c>
      <c r="I1417" s="47" t="s">
        <v>19023</v>
      </c>
    </row>
    <row r="1418" spans="1:9" ht="15">
      <c r="A1418" s="47">
        <v>22361</v>
      </c>
      <c r="B1418" s="47" t="s">
        <v>6843</v>
      </c>
      <c r="C1418" s="47" t="s">
        <v>6844</v>
      </c>
      <c r="D1418" s="47" t="s">
        <v>6845</v>
      </c>
      <c r="E1418" s="47"/>
      <c r="F1418" s="47" t="s">
        <v>3603</v>
      </c>
      <c r="G1418" s="47" t="s">
        <v>3604</v>
      </c>
      <c r="H1418" s="47" t="s">
        <v>3605</v>
      </c>
      <c r="I1418" s="47" t="s">
        <v>19024</v>
      </c>
    </row>
    <row r="1419" spans="1:9" ht="15">
      <c r="A1419" s="47">
        <v>85711</v>
      </c>
      <c r="B1419" s="47" t="s">
        <v>6846</v>
      </c>
      <c r="C1419" s="47" t="s">
        <v>6847</v>
      </c>
      <c r="D1419" s="47" t="s">
        <v>6848</v>
      </c>
      <c r="E1419" s="47"/>
      <c r="F1419" s="47" t="s">
        <v>3603</v>
      </c>
      <c r="G1419" s="47" t="s">
        <v>3604</v>
      </c>
      <c r="H1419" s="47" t="s">
        <v>3605</v>
      </c>
      <c r="I1419" s="47" t="s">
        <v>19025</v>
      </c>
    </row>
    <row r="1420" spans="1:9" ht="15">
      <c r="A1420" s="47">
        <v>93005</v>
      </c>
      <c r="B1420" s="47" t="s">
        <v>6849</v>
      </c>
      <c r="C1420" s="47" t="s">
        <v>6850</v>
      </c>
      <c r="D1420" s="47" t="s">
        <v>6851</v>
      </c>
      <c r="E1420" s="47"/>
      <c r="F1420" s="47"/>
      <c r="G1420" s="47"/>
      <c r="H1420" s="47" t="s">
        <v>3605</v>
      </c>
      <c r="I1420" s="47" t="s">
        <v>19026</v>
      </c>
    </row>
    <row r="1421" spans="1:9" ht="15">
      <c r="A1421" s="47">
        <v>93015</v>
      </c>
      <c r="B1421" s="47" t="s">
        <v>6852</v>
      </c>
      <c r="C1421" s="47" t="s">
        <v>6853</v>
      </c>
      <c r="D1421" s="47" t="s">
        <v>6854</v>
      </c>
      <c r="E1421" s="47"/>
      <c r="F1421" s="47"/>
      <c r="G1421" s="47"/>
      <c r="H1421" s="47" t="s">
        <v>3605</v>
      </c>
      <c r="I1421" s="47" t="s">
        <v>19027</v>
      </c>
    </row>
    <row r="1422" spans="1:9" ht="15">
      <c r="A1422" s="47">
        <v>93025</v>
      </c>
      <c r="B1422" s="47" t="s">
        <v>6855</v>
      </c>
      <c r="C1422" s="47" t="s">
        <v>6856</v>
      </c>
      <c r="D1422" s="47" t="s">
        <v>6857</v>
      </c>
      <c r="E1422" s="47"/>
      <c r="F1422" s="47"/>
      <c r="G1422" s="47"/>
      <c r="H1422" s="47" t="s">
        <v>3605</v>
      </c>
      <c r="I1422" s="47" t="s">
        <v>19028</v>
      </c>
    </row>
    <row r="1423" spans="1:9" ht="15">
      <c r="A1423" s="47">
        <v>93035</v>
      </c>
      <c r="B1423" s="47" t="s">
        <v>6858</v>
      </c>
      <c r="C1423" s="47" t="s">
        <v>6859</v>
      </c>
      <c r="D1423" s="47" t="s">
        <v>6860</v>
      </c>
      <c r="E1423" s="47"/>
      <c r="F1423" s="47"/>
      <c r="G1423" s="47"/>
      <c r="H1423" s="47" t="s">
        <v>3605</v>
      </c>
      <c r="I1423" s="47" t="s">
        <v>19029</v>
      </c>
    </row>
    <row r="1424" spans="1:9" ht="15">
      <c r="A1424" s="47">
        <v>93225</v>
      </c>
      <c r="B1424" s="47" t="s">
        <v>6861</v>
      </c>
      <c r="C1424" s="47" t="s">
        <v>6862</v>
      </c>
      <c r="D1424" s="47" t="s">
        <v>6863</v>
      </c>
      <c r="E1424" s="47"/>
      <c r="F1424" s="47"/>
      <c r="G1424" s="47"/>
      <c r="H1424" s="47" t="s">
        <v>3605</v>
      </c>
      <c r="I1424" s="47" t="s">
        <v>19030</v>
      </c>
    </row>
    <row r="1425" spans="1:9" ht="15">
      <c r="A1425" s="47">
        <v>93250</v>
      </c>
      <c r="B1425" s="47" t="s">
        <v>6864</v>
      </c>
      <c r="C1425" s="47" t="s">
        <v>6865</v>
      </c>
      <c r="D1425" s="47" t="s">
        <v>6866</v>
      </c>
      <c r="E1425" s="47"/>
      <c r="F1425" s="47" t="s">
        <v>3603</v>
      </c>
      <c r="G1425" s="47" t="s">
        <v>3604</v>
      </c>
      <c r="H1425" s="47" t="s">
        <v>3605</v>
      </c>
      <c r="I1425" s="47" t="s">
        <v>19031</v>
      </c>
    </row>
    <row r="1426" spans="1:9" ht="15">
      <c r="A1426" s="47">
        <v>93251</v>
      </c>
      <c r="B1426" s="47" t="s">
        <v>6867</v>
      </c>
      <c r="C1426" s="47" t="s">
        <v>6868</v>
      </c>
      <c r="D1426" s="47" t="s">
        <v>6869</v>
      </c>
      <c r="E1426" s="47"/>
      <c r="F1426" s="47" t="s">
        <v>3603</v>
      </c>
      <c r="G1426" s="47" t="s">
        <v>3604</v>
      </c>
      <c r="H1426" s="47" t="s">
        <v>3605</v>
      </c>
      <c r="I1426" s="47" t="s">
        <v>19032</v>
      </c>
    </row>
    <row r="1427" spans="1:9" ht="15">
      <c r="A1427" s="47">
        <v>93500</v>
      </c>
      <c r="B1427" s="47" t="s">
        <v>6870</v>
      </c>
      <c r="C1427" s="47" t="s">
        <v>6871</v>
      </c>
      <c r="D1427" s="47" t="s">
        <v>6872</v>
      </c>
      <c r="E1427" s="47"/>
      <c r="F1427" s="47"/>
      <c r="G1427" s="47"/>
      <c r="H1427" s="47" t="s">
        <v>3605</v>
      </c>
      <c r="I1427" s="47" t="s">
        <v>19033</v>
      </c>
    </row>
    <row r="1428" spans="1:9" ht="15">
      <c r="A1428" s="47">
        <v>93501</v>
      </c>
      <c r="B1428" s="47" t="s">
        <v>6873</v>
      </c>
      <c r="C1428" s="47" t="s">
        <v>6874</v>
      </c>
      <c r="D1428" s="47" t="s">
        <v>6875</v>
      </c>
      <c r="E1428" s="47"/>
      <c r="F1428" s="47"/>
      <c r="G1428" s="47"/>
      <c r="H1428" s="47" t="s">
        <v>3605</v>
      </c>
      <c r="I1428" s="47" t="s">
        <v>19034</v>
      </c>
    </row>
    <row r="1429" spans="1:9" ht="15">
      <c r="A1429" s="47">
        <v>11117</v>
      </c>
      <c r="B1429" s="47" t="s">
        <v>6876</v>
      </c>
      <c r="C1429" s="47" t="s">
        <v>6877</v>
      </c>
      <c r="D1429" s="47" t="s">
        <v>6878</v>
      </c>
      <c r="E1429" s="47"/>
      <c r="F1429" s="47" t="s">
        <v>5491</v>
      </c>
      <c r="G1429" s="47" t="s">
        <v>5492</v>
      </c>
      <c r="H1429" s="47" t="s">
        <v>3605</v>
      </c>
      <c r="I1429" s="47" t="s">
        <v>19035</v>
      </c>
    </row>
    <row r="1430" spans="1:9" ht="15">
      <c r="A1430" s="47">
        <v>93509</v>
      </c>
      <c r="B1430" s="47" t="s">
        <v>6879</v>
      </c>
      <c r="C1430" s="47" t="s">
        <v>6880</v>
      </c>
      <c r="D1430" s="47" t="s">
        <v>6881</v>
      </c>
      <c r="E1430" s="47"/>
      <c r="F1430" s="47"/>
      <c r="G1430" s="47"/>
      <c r="H1430" s="47" t="s">
        <v>3605</v>
      </c>
      <c r="I1430" s="47" t="s">
        <v>19036</v>
      </c>
    </row>
    <row r="1431" spans="1:9" ht="15">
      <c r="A1431" s="47">
        <v>101250</v>
      </c>
      <c r="B1431" s="47" t="s">
        <v>6882</v>
      </c>
      <c r="C1431" s="47" t="s">
        <v>6883</v>
      </c>
      <c r="D1431" s="47" t="s">
        <v>6884</v>
      </c>
      <c r="E1431" s="47"/>
      <c r="F1431" s="47" t="s">
        <v>3603</v>
      </c>
      <c r="G1431" s="47" t="s">
        <v>3604</v>
      </c>
      <c r="H1431" s="47" t="s">
        <v>3605</v>
      </c>
      <c r="I1431" s="47" t="s">
        <v>19037</v>
      </c>
    </row>
    <row r="1432" spans="1:9" ht="15">
      <c r="A1432" s="47">
        <v>42401</v>
      </c>
      <c r="B1432" s="47" t="s">
        <v>6885</v>
      </c>
      <c r="C1432" s="47" t="s">
        <v>6886</v>
      </c>
      <c r="D1432" s="47" t="s">
        <v>6887</v>
      </c>
      <c r="E1432" s="47"/>
      <c r="F1432" s="47" t="s">
        <v>3603</v>
      </c>
      <c r="G1432" s="47" t="s">
        <v>3604</v>
      </c>
      <c r="H1432" s="47" t="s">
        <v>3605</v>
      </c>
      <c r="I1432" s="47" t="s">
        <v>19038</v>
      </c>
    </row>
    <row r="1433" spans="1:9" ht="15">
      <c r="A1433" s="47">
        <v>42403</v>
      </c>
      <c r="B1433" s="47" t="s">
        <v>6888</v>
      </c>
      <c r="C1433" s="47" t="s">
        <v>6889</v>
      </c>
      <c r="D1433" s="47" t="s">
        <v>6890</v>
      </c>
      <c r="E1433" s="47"/>
      <c r="F1433" s="47"/>
      <c r="G1433" s="47"/>
      <c r="H1433" s="47" t="s">
        <v>3605</v>
      </c>
      <c r="I1433" s="47" t="s">
        <v>19039</v>
      </c>
    </row>
    <row r="1434" spans="1:9" ht="15">
      <c r="A1434" s="47">
        <v>102150</v>
      </c>
      <c r="B1434" s="47" t="s">
        <v>6891</v>
      </c>
      <c r="C1434" s="47" t="s">
        <v>6892</v>
      </c>
      <c r="D1434" s="47" t="s">
        <v>6893</v>
      </c>
      <c r="E1434" s="47"/>
      <c r="F1434" s="47" t="s">
        <v>3603</v>
      </c>
      <c r="G1434" s="47" t="s">
        <v>3604</v>
      </c>
      <c r="H1434" s="47" t="s">
        <v>3605</v>
      </c>
      <c r="I1434" s="47" t="s">
        <v>19040</v>
      </c>
    </row>
    <row r="1435" spans="1:9" ht="15">
      <c r="A1435" s="47">
        <v>42421</v>
      </c>
      <c r="B1435" s="47" t="s">
        <v>6894</v>
      </c>
      <c r="C1435" s="47" t="s">
        <v>6895</v>
      </c>
      <c r="D1435" s="47" t="s">
        <v>6896</v>
      </c>
      <c r="E1435" s="47"/>
      <c r="F1435" s="47" t="s">
        <v>3603</v>
      </c>
      <c r="G1435" s="47" t="s">
        <v>3604</v>
      </c>
      <c r="H1435" s="47" t="s">
        <v>3605</v>
      </c>
      <c r="I1435" s="47" t="s">
        <v>19041</v>
      </c>
    </row>
    <row r="1436" spans="1:9" ht="15">
      <c r="A1436" s="47">
        <v>102151</v>
      </c>
      <c r="B1436" s="47" t="s">
        <v>6897</v>
      </c>
      <c r="C1436" s="47" t="s">
        <v>6898</v>
      </c>
      <c r="D1436" s="47" t="s">
        <v>6899</v>
      </c>
      <c r="E1436" s="47"/>
      <c r="F1436" s="47" t="s">
        <v>3603</v>
      </c>
      <c r="G1436" s="47" t="s">
        <v>3604</v>
      </c>
      <c r="H1436" s="47" t="s">
        <v>3605</v>
      </c>
      <c r="I1436" s="47" t="s">
        <v>19042</v>
      </c>
    </row>
    <row r="1437" spans="1:9" ht="15">
      <c r="A1437" s="47">
        <v>42446</v>
      </c>
      <c r="B1437" s="47" t="s">
        <v>6900</v>
      </c>
      <c r="C1437" s="47" t="s">
        <v>6901</v>
      </c>
      <c r="D1437" s="47" t="s">
        <v>6902</v>
      </c>
      <c r="E1437" s="47"/>
      <c r="F1437" s="47" t="s">
        <v>3603</v>
      </c>
      <c r="G1437" s="47" t="s">
        <v>3604</v>
      </c>
      <c r="H1437" s="47" t="s">
        <v>3605</v>
      </c>
      <c r="I1437" s="47" t="s">
        <v>19043</v>
      </c>
    </row>
    <row r="1438" spans="1:9" ht="15">
      <c r="A1438" s="47">
        <v>102152</v>
      </c>
      <c r="B1438" s="47" t="s">
        <v>6903</v>
      </c>
      <c r="C1438" s="47" t="s">
        <v>6904</v>
      </c>
      <c r="D1438" s="47" t="s">
        <v>6905</v>
      </c>
      <c r="E1438" s="47"/>
      <c r="F1438" s="47" t="s">
        <v>3603</v>
      </c>
      <c r="G1438" s="47" t="s">
        <v>3604</v>
      </c>
      <c r="H1438" s="47" t="s">
        <v>3605</v>
      </c>
      <c r="I1438" s="47" t="s">
        <v>19044</v>
      </c>
    </row>
    <row r="1439" spans="1:9" ht="15">
      <c r="A1439" s="47">
        <v>102153</v>
      </c>
      <c r="B1439" s="47" t="s">
        <v>6906</v>
      </c>
      <c r="C1439" s="47" t="s">
        <v>6907</v>
      </c>
      <c r="D1439" s="47" t="s">
        <v>6908</v>
      </c>
      <c r="E1439" s="47"/>
      <c r="F1439" s="47" t="s">
        <v>3603</v>
      </c>
      <c r="G1439" s="47" t="s">
        <v>3604</v>
      </c>
      <c r="H1439" s="47" t="s">
        <v>3605</v>
      </c>
      <c r="I1439" s="47" t="s">
        <v>19045</v>
      </c>
    </row>
    <row r="1440" spans="1:9" ht="15">
      <c r="A1440" s="47">
        <v>42460</v>
      </c>
      <c r="B1440" s="47" t="s">
        <v>6909</v>
      </c>
      <c r="C1440" s="47" t="s">
        <v>6910</v>
      </c>
      <c r="D1440" s="47" t="s">
        <v>6911</v>
      </c>
      <c r="E1440" s="47"/>
      <c r="F1440" s="47" t="s">
        <v>3603</v>
      </c>
      <c r="G1440" s="47" t="s">
        <v>3604</v>
      </c>
      <c r="H1440" s="47" t="s">
        <v>3605</v>
      </c>
      <c r="I1440" s="47" t="s">
        <v>19046</v>
      </c>
    </row>
    <row r="1441" spans="1:9" ht="15">
      <c r="A1441" s="47">
        <v>42471</v>
      </c>
      <c r="B1441" s="47" t="s">
        <v>6912</v>
      </c>
      <c r="C1441" s="47" t="s">
        <v>6913</v>
      </c>
      <c r="D1441" s="47" t="s">
        <v>6914</v>
      </c>
      <c r="E1441" s="47"/>
      <c r="F1441" s="47" t="s">
        <v>3603</v>
      </c>
      <c r="G1441" s="47" t="s">
        <v>3604</v>
      </c>
      <c r="H1441" s="47" t="s">
        <v>3605</v>
      </c>
      <c r="I1441" s="47" t="s">
        <v>19047</v>
      </c>
    </row>
    <row r="1442" spans="1:9" ht="15">
      <c r="A1442" s="47">
        <v>42473</v>
      </c>
      <c r="B1442" s="47" t="s">
        <v>6915</v>
      </c>
      <c r="C1442" s="47" t="s">
        <v>6916</v>
      </c>
      <c r="D1442" s="47" t="s">
        <v>6917</v>
      </c>
      <c r="E1442" s="47"/>
      <c r="F1442" s="47" t="s">
        <v>3603</v>
      </c>
      <c r="G1442" s="47" t="s">
        <v>3604</v>
      </c>
      <c r="H1442" s="47" t="s">
        <v>3605</v>
      </c>
      <c r="I1442" s="47" t="s">
        <v>19048</v>
      </c>
    </row>
    <row r="1443" spans="1:9" ht="15">
      <c r="A1443" s="47">
        <v>42474</v>
      </c>
      <c r="B1443" s="47" t="s">
        <v>6918</v>
      </c>
      <c r="C1443" s="47" t="s">
        <v>6919</v>
      </c>
      <c r="D1443" s="47" t="s">
        <v>6920</v>
      </c>
      <c r="E1443" s="47"/>
      <c r="F1443" s="47" t="s">
        <v>3603</v>
      </c>
      <c r="G1443" s="47" t="s">
        <v>3604</v>
      </c>
      <c r="H1443" s="47" t="s">
        <v>3605</v>
      </c>
      <c r="I1443" s="47" t="s">
        <v>19049</v>
      </c>
    </row>
    <row r="1444" spans="1:9" ht="15">
      <c r="A1444" s="47">
        <v>102154</v>
      </c>
      <c r="B1444" s="47" t="s">
        <v>6921</v>
      </c>
      <c r="C1444" s="47" t="s">
        <v>6922</v>
      </c>
      <c r="D1444" s="47" t="s">
        <v>6923</v>
      </c>
      <c r="E1444" s="47"/>
      <c r="F1444" s="47" t="s">
        <v>3603</v>
      </c>
      <c r="G1444" s="47" t="s">
        <v>3604</v>
      </c>
      <c r="H1444" s="47" t="s">
        <v>3605</v>
      </c>
      <c r="I1444" s="47" t="s">
        <v>19050</v>
      </c>
    </row>
    <row r="1445" spans="1:9" ht="15">
      <c r="A1445" s="47">
        <v>42476</v>
      </c>
      <c r="B1445" s="47" t="s">
        <v>6924</v>
      </c>
      <c r="C1445" s="47" t="s">
        <v>6925</v>
      </c>
      <c r="D1445" s="47" t="s">
        <v>6926</v>
      </c>
      <c r="E1445" s="47"/>
      <c r="F1445" s="47" t="s">
        <v>3603</v>
      </c>
      <c r="G1445" s="47" t="s">
        <v>3604</v>
      </c>
      <c r="H1445" s="47" t="s">
        <v>3605</v>
      </c>
      <c r="I1445" s="47" t="s">
        <v>19051</v>
      </c>
    </row>
    <row r="1446" spans="1:9" ht="15">
      <c r="A1446" s="47">
        <v>42491</v>
      </c>
      <c r="B1446" s="47" t="s">
        <v>6927</v>
      </c>
      <c r="C1446" s="47" t="s">
        <v>6928</v>
      </c>
      <c r="D1446" s="47" t="s">
        <v>6929</v>
      </c>
      <c r="E1446" s="47"/>
      <c r="F1446" s="47" t="s">
        <v>3603</v>
      </c>
      <c r="G1446" s="47" t="s">
        <v>3604</v>
      </c>
      <c r="H1446" s="47" t="s">
        <v>3605</v>
      </c>
      <c r="I1446" s="47" t="s">
        <v>19052</v>
      </c>
    </row>
    <row r="1447" spans="1:9" ht="15">
      <c r="A1447" s="47">
        <v>42498</v>
      </c>
      <c r="B1447" s="47" t="s">
        <v>6930</v>
      </c>
      <c r="C1447" s="47" t="s">
        <v>6931</v>
      </c>
      <c r="D1447" s="47" t="s">
        <v>6932</v>
      </c>
      <c r="E1447" s="47"/>
      <c r="F1447" s="47" t="s">
        <v>3603</v>
      </c>
      <c r="G1447" s="47" t="s">
        <v>3604</v>
      </c>
      <c r="H1447" s="47" t="s">
        <v>3605</v>
      </c>
      <c r="I1447" s="47" t="s">
        <v>19053</v>
      </c>
    </row>
    <row r="1448" spans="1:9" ht="15">
      <c r="A1448" s="47">
        <v>102155</v>
      </c>
      <c r="B1448" s="47" t="s">
        <v>6933</v>
      </c>
      <c r="C1448" s="47" t="s">
        <v>6934</v>
      </c>
      <c r="D1448" s="47" t="s">
        <v>6935</v>
      </c>
      <c r="E1448" s="47"/>
      <c r="F1448" s="47"/>
      <c r="G1448" s="47"/>
      <c r="H1448" s="47" t="s">
        <v>3605</v>
      </c>
      <c r="I1448" s="47" t="s">
        <v>19054</v>
      </c>
    </row>
    <row r="1449" spans="1:9" ht="15">
      <c r="A1449" s="47">
        <v>102156</v>
      </c>
      <c r="B1449" s="47" t="s">
        <v>6936</v>
      </c>
      <c r="C1449" s="47" t="s">
        <v>6937</v>
      </c>
      <c r="D1449" s="47" t="s">
        <v>6938</v>
      </c>
      <c r="E1449" s="47"/>
      <c r="F1449" s="47" t="s">
        <v>3603</v>
      </c>
      <c r="G1449" s="47" t="s">
        <v>3604</v>
      </c>
      <c r="H1449" s="47" t="s">
        <v>3605</v>
      </c>
      <c r="I1449" s="47" t="s">
        <v>19055</v>
      </c>
    </row>
    <row r="1450" spans="1:9" ht="15">
      <c r="A1450" s="47">
        <v>104005</v>
      </c>
      <c r="B1450" s="47" t="s">
        <v>6939</v>
      </c>
      <c r="C1450" s="47" t="s">
        <v>6940</v>
      </c>
      <c r="D1450" s="47" t="s">
        <v>6941</v>
      </c>
      <c r="E1450" s="47"/>
      <c r="F1450" s="47"/>
      <c r="G1450" s="47"/>
      <c r="H1450" s="47" t="s">
        <v>3605</v>
      </c>
      <c r="I1450" s="47" t="s">
        <v>19056</v>
      </c>
    </row>
    <row r="1451" spans="1:9" ht="15">
      <c r="A1451" s="47">
        <v>104035</v>
      </c>
      <c r="B1451" s="47" t="s">
        <v>6942</v>
      </c>
      <c r="C1451" s="47" t="s">
        <v>6943</v>
      </c>
      <c r="D1451" s="47" t="s">
        <v>6944</v>
      </c>
      <c r="E1451" s="47"/>
      <c r="F1451" s="47" t="s">
        <v>3603</v>
      </c>
      <c r="G1451" s="47" t="s">
        <v>3604</v>
      </c>
      <c r="H1451" s="47" t="s">
        <v>3605</v>
      </c>
      <c r="I1451" s="47" t="s">
        <v>19057</v>
      </c>
    </row>
    <row r="1452" spans="1:9" ht="15">
      <c r="A1452" s="47">
        <v>104205</v>
      </c>
      <c r="B1452" s="47" t="s">
        <v>6945</v>
      </c>
      <c r="C1452" s="47" t="s">
        <v>6946</v>
      </c>
      <c r="D1452" s="47" t="s">
        <v>6947</v>
      </c>
      <c r="E1452" s="47"/>
      <c r="F1452" s="47" t="s">
        <v>3603</v>
      </c>
      <c r="G1452" s="47" t="s">
        <v>3604</v>
      </c>
      <c r="H1452" s="47" t="s">
        <v>3605</v>
      </c>
      <c r="I1452" s="47" t="s">
        <v>19058</v>
      </c>
    </row>
    <row r="1453" spans="1:9" ht="15">
      <c r="A1453" s="47">
        <v>104305</v>
      </c>
      <c r="B1453" s="47" t="s">
        <v>6948</v>
      </c>
      <c r="C1453" s="47" t="s">
        <v>6949</v>
      </c>
      <c r="D1453" s="47" t="s">
        <v>6950</v>
      </c>
      <c r="E1453" s="47"/>
      <c r="F1453" s="47" t="s">
        <v>3603</v>
      </c>
      <c r="G1453" s="47" t="s">
        <v>3604</v>
      </c>
      <c r="H1453" s="47" t="s">
        <v>3605</v>
      </c>
      <c r="I1453" s="47" t="s">
        <v>19059</v>
      </c>
    </row>
    <row r="1454" spans="1:9" ht="15">
      <c r="A1454" s="47">
        <v>110015</v>
      </c>
      <c r="B1454" s="47" t="s">
        <v>6951</v>
      </c>
      <c r="C1454" s="47" t="s">
        <v>6952</v>
      </c>
      <c r="D1454" s="47" t="s">
        <v>6953</v>
      </c>
      <c r="E1454" s="47"/>
      <c r="F1454" s="47"/>
      <c r="G1454" s="47"/>
      <c r="H1454" s="47" t="s">
        <v>3605</v>
      </c>
      <c r="I1454" s="47" t="s">
        <v>19060</v>
      </c>
    </row>
    <row r="1455" spans="1:9" ht="15">
      <c r="A1455" s="47">
        <v>111305</v>
      </c>
      <c r="B1455" s="47" t="s">
        <v>6954</v>
      </c>
      <c r="C1455" s="47" t="s">
        <v>6955</v>
      </c>
      <c r="D1455" s="47" t="s">
        <v>6956</v>
      </c>
      <c r="E1455" s="47"/>
      <c r="F1455" s="47"/>
      <c r="G1455" s="47"/>
      <c r="H1455" s="47" t="s">
        <v>3605</v>
      </c>
      <c r="I1455" s="47" t="s">
        <v>19061</v>
      </c>
    </row>
    <row r="1456" spans="1:9" ht="15">
      <c r="A1456" s="47">
        <v>111315</v>
      </c>
      <c r="B1456" s="47" t="s">
        <v>6957</v>
      </c>
      <c r="C1456" s="47" t="s">
        <v>6958</v>
      </c>
      <c r="D1456" s="47" t="s">
        <v>6959</v>
      </c>
      <c r="E1456" s="47"/>
      <c r="F1456" s="47"/>
      <c r="G1456" s="47"/>
      <c r="H1456" s="47" t="s">
        <v>3605</v>
      </c>
      <c r="I1456" s="47" t="s">
        <v>19062</v>
      </c>
    </row>
    <row r="1457" spans="1:9" ht="15">
      <c r="A1457" s="47">
        <v>113005</v>
      </c>
      <c r="B1457" s="47" t="s">
        <v>6960</v>
      </c>
      <c r="C1457" s="47" t="s">
        <v>6961</v>
      </c>
      <c r="D1457" s="47" t="s">
        <v>6962</v>
      </c>
      <c r="E1457" s="47"/>
      <c r="F1457" s="47"/>
      <c r="G1457" s="47"/>
      <c r="H1457" s="47" t="s">
        <v>3605</v>
      </c>
      <c r="I1457" s="47" t="s">
        <v>19063</v>
      </c>
    </row>
    <row r="1458" spans="1:9" ht="15">
      <c r="A1458" s="47">
        <v>113015</v>
      </c>
      <c r="B1458" s="47" t="s">
        <v>6963</v>
      </c>
      <c r="C1458" s="47" t="s">
        <v>6964</v>
      </c>
      <c r="D1458" s="47" t="s">
        <v>6965</v>
      </c>
      <c r="E1458" s="47"/>
      <c r="F1458" s="47"/>
      <c r="G1458" s="47"/>
      <c r="H1458" s="47" t="s">
        <v>3605</v>
      </c>
      <c r="I1458" s="47" t="s">
        <v>19064</v>
      </c>
    </row>
    <row r="1459" spans="1:9" ht="15">
      <c r="A1459" s="47">
        <v>42616</v>
      </c>
      <c r="B1459" s="47" t="s">
        <v>6966</v>
      </c>
      <c r="C1459" s="47" t="s">
        <v>6967</v>
      </c>
      <c r="D1459" s="47" t="s">
        <v>6968</v>
      </c>
      <c r="E1459" s="47"/>
      <c r="F1459" s="47" t="s">
        <v>3603</v>
      </c>
      <c r="G1459" s="47" t="s">
        <v>3604</v>
      </c>
      <c r="H1459" s="47" t="s">
        <v>3605</v>
      </c>
      <c r="I1459" s="47" t="s">
        <v>19065</v>
      </c>
    </row>
    <row r="1460" spans="1:9" ht="15">
      <c r="A1460" s="47">
        <v>42618</v>
      </c>
      <c r="B1460" s="47" t="s">
        <v>6969</v>
      </c>
      <c r="C1460" s="47" t="s">
        <v>6970</v>
      </c>
      <c r="D1460" s="47" t="s">
        <v>6971</v>
      </c>
      <c r="E1460" s="47"/>
      <c r="F1460" s="47" t="s">
        <v>3603</v>
      </c>
      <c r="G1460" s="47" t="s">
        <v>3604</v>
      </c>
      <c r="H1460" s="47" t="s">
        <v>3605</v>
      </c>
      <c r="I1460" s="47" t="s">
        <v>19066</v>
      </c>
    </row>
    <row r="1461" spans="1:9" ht="15">
      <c r="A1461" s="47">
        <v>42621</v>
      </c>
      <c r="B1461" s="47" t="s">
        <v>6972</v>
      </c>
      <c r="C1461" s="47" t="s">
        <v>6973</v>
      </c>
      <c r="D1461" s="47" t="s">
        <v>6974</v>
      </c>
      <c r="E1461" s="47"/>
      <c r="F1461" s="47" t="s">
        <v>3603</v>
      </c>
      <c r="G1461" s="47" t="s">
        <v>3604</v>
      </c>
      <c r="H1461" s="47" t="s">
        <v>3605</v>
      </c>
      <c r="I1461" s="47" t="s">
        <v>19067</v>
      </c>
    </row>
    <row r="1462" spans="1:9" ht="15">
      <c r="A1462" s="47">
        <v>42623</v>
      </c>
      <c r="B1462" s="47" t="s">
        <v>6975</v>
      </c>
      <c r="C1462" s="47" t="s">
        <v>6976</v>
      </c>
      <c r="D1462" s="47" t="s">
        <v>6977</v>
      </c>
      <c r="E1462" s="47"/>
      <c r="F1462" s="47" t="s">
        <v>3603</v>
      </c>
      <c r="G1462" s="47" t="s">
        <v>3604</v>
      </c>
      <c r="H1462" s="47" t="s">
        <v>3605</v>
      </c>
      <c r="I1462" s="47" t="s">
        <v>19068</v>
      </c>
    </row>
    <row r="1463" spans="1:9" ht="15">
      <c r="A1463" s="47">
        <v>42626</v>
      </c>
      <c r="B1463" s="47" t="s">
        <v>6978</v>
      </c>
      <c r="C1463" s="47" t="s">
        <v>6979</v>
      </c>
      <c r="D1463" s="47" t="s">
        <v>6980</v>
      </c>
      <c r="E1463" s="47"/>
      <c r="F1463" s="47"/>
      <c r="G1463" s="47"/>
      <c r="H1463" s="47" t="s">
        <v>3605</v>
      </c>
      <c r="I1463" s="47" t="s">
        <v>19069</v>
      </c>
    </row>
    <row r="1464" spans="1:9" ht="15">
      <c r="A1464" s="47">
        <v>42628</v>
      </c>
      <c r="B1464" s="47" t="s">
        <v>6981</v>
      </c>
      <c r="C1464" s="47" t="s">
        <v>6982</v>
      </c>
      <c r="D1464" s="47" t="s">
        <v>6983</v>
      </c>
      <c r="E1464" s="47"/>
      <c r="F1464" s="47" t="s">
        <v>3603</v>
      </c>
      <c r="G1464" s="47" t="s">
        <v>3604</v>
      </c>
      <c r="H1464" s="47" t="s">
        <v>3605</v>
      </c>
      <c r="I1464" s="47" t="s">
        <v>19070</v>
      </c>
    </row>
    <row r="1465" spans="1:9" ht="15">
      <c r="A1465" s="47">
        <v>42631</v>
      </c>
      <c r="B1465" s="47" t="s">
        <v>6984</v>
      </c>
      <c r="C1465" s="47" t="s">
        <v>6985</v>
      </c>
      <c r="D1465" s="47" t="s">
        <v>6986</v>
      </c>
      <c r="E1465" s="47"/>
      <c r="F1465" s="47" t="s">
        <v>3603</v>
      </c>
      <c r="G1465" s="47" t="s">
        <v>3604</v>
      </c>
      <c r="H1465" s="47" t="s">
        <v>3605</v>
      </c>
      <c r="I1465" s="47" t="s">
        <v>19071</v>
      </c>
    </row>
    <row r="1466" spans="1:9" ht="15">
      <c r="A1466" s="47">
        <v>42637</v>
      </c>
      <c r="B1466" s="47" t="s">
        <v>6987</v>
      </c>
      <c r="C1466" s="47" t="s">
        <v>6988</v>
      </c>
      <c r="D1466" s="47" t="s">
        <v>6989</v>
      </c>
      <c r="E1466" s="47"/>
      <c r="F1466" s="47" t="s">
        <v>3603</v>
      </c>
      <c r="G1466" s="47" t="s">
        <v>3604</v>
      </c>
      <c r="H1466" s="47" t="s">
        <v>3605</v>
      </c>
      <c r="I1466" s="47" t="s">
        <v>19072</v>
      </c>
    </row>
    <row r="1467" spans="1:9" ht="15">
      <c r="A1467" s="47">
        <v>42642</v>
      </c>
      <c r="B1467" s="47" t="s">
        <v>6990</v>
      </c>
      <c r="C1467" s="47" t="s">
        <v>6991</v>
      </c>
      <c r="D1467" s="47" t="s">
        <v>6992</v>
      </c>
      <c r="E1467" s="47"/>
      <c r="F1467" s="47" t="s">
        <v>3603</v>
      </c>
      <c r="G1467" s="47" t="s">
        <v>3604</v>
      </c>
      <c r="H1467" s="47" t="s">
        <v>3605</v>
      </c>
      <c r="I1467" s="47" t="s">
        <v>19073</v>
      </c>
    </row>
    <row r="1468" spans="1:9" ht="15">
      <c r="A1468" s="47">
        <v>42644</v>
      </c>
      <c r="B1468" s="47" t="s">
        <v>6993</v>
      </c>
      <c r="C1468" s="47" t="s">
        <v>6994</v>
      </c>
      <c r="D1468" s="47" t="s">
        <v>6995</v>
      </c>
      <c r="E1468" s="47"/>
      <c r="F1468" s="47" t="s">
        <v>5491</v>
      </c>
      <c r="G1468" s="47" t="s">
        <v>5492</v>
      </c>
      <c r="H1468" s="47" t="s">
        <v>3605</v>
      </c>
      <c r="I1468" s="47" t="s">
        <v>19074</v>
      </c>
    </row>
    <row r="1469" spans="1:9" ht="15">
      <c r="A1469" s="47">
        <v>113035</v>
      </c>
      <c r="B1469" s="47" t="s">
        <v>1959</v>
      </c>
      <c r="C1469" s="47" t="s">
        <v>6996</v>
      </c>
      <c r="D1469" s="47" t="s">
        <v>6997</v>
      </c>
      <c r="E1469" s="47"/>
      <c r="F1469" s="47"/>
      <c r="G1469" s="47"/>
      <c r="H1469" s="47" t="s">
        <v>3605</v>
      </c>
      <c r="I1469" s="47" t="s">
        <v>19075</v>
      </c>
    </row>
    <row r="1470" spans="1:9" ht="15">
      <c r="A1470" s="47">
        <v>42646</v>
      </c>
      <c r="B1470" s="47" t="s">
        <v>6998</v>
      </c>
      <c r="C1470" s="47" t="s">
        <v>6999</v>
      </c>
      <c r="D1470" s="47" t="s">
        <v>7000</v>
      </c>
      <c r="E1470" s="47"/>
      <c r="F1470" s="47" t="s">
        <v>3603</v>
      </c>
      <c r="G1470" s="47" t="s">
        <v>3604</v>
      </c>
      <c r="H1470" s="47" t="s">
        <v>3605</v>
      </c>
      <c r="I1470" s="47" t="s">
        <v>19076</v>
      </c>
    </row>
    <row r="1471" spans="1:9" ht="15">
      <c r="A1471" s="47">
        <v>42647</v>
      </c>
      <c r="B1471" s="47" t="s">
        <v>7001</v>
      </c>
      <c r="C1471" s="47" t="s">
        <v>7002</v>
      </c>
      <c r="D1471" s="47" t="s">
        <v>7003</v>
      </c>
      <c r="E1471" s="47"/>
      <c r="F1471" s="47" t="s">
        <v>3603</v>
      </c>
      <c r="G1471" s="47" t="s">
        <v>3604</v>
      </c>
      <c r="H1471" s="47" t="s">
        <v>3605</v>
      </c>
      <c r="I1471" s="47" t="s">
        <v>19077</v>
      </c>
    </row>
    <row r="1472" spans="1:9" ht="15">
      <c r="A1472" s="47">
        <v>42648</v>
      </c>
      <c r="B1472" s="47" t="s">
        <v>7004</v>
      </c>
      <c r="C1472" s="47" t="s">
        <v>7005</v>
      </c>
      <c r="D1472" s="47" t="s">
        <v>6986</v>
      </c>
      <c r="E1472" s="47"/>
      <c r="F1472" s="47" t="s">
        <v>3603</v>
      </c>
      <c r="G1472" s="47" t="s">
        <v>3604</v>
      </c>
      <c r="H1472" s="47" t="s">
        <v>3605</v>
      </c>
      <c r="I1472" s="47" t="s">
        <v>19078</v>
      </c>
    </row>
    <row r="1473" spans="1:9" ht="15">
      <c r="A1473" s="47">
        <v>113045</v>
      </c>
      <c r="B1473" s="47" t="s">
        <v>7006</v>
      </c>
      <c r="C1473" s="47" t="s">
        <v>7007</v>
      </c>
      <c r="D1473" s="47" t="s">
        <v>7008</v>
      </c>
      <c r="E1473" s="47"/>
      <c r="F1473" s="47" t="s">
        <v>3603</v>
      </c>
      <c r="G1473" s="47" t="s">
        <v>3604</v>
      </c>
      <c r="H1473" s="47" t="s">
        <v>3605</v>
      </c>
      <c r="I1473" s="47" t="s">
        <v>19079</v>
      </c>
    </row>
    <row r="1474" spans="1:9" ht="15">
      <c r="A1474" s="47">
        <v>113051</v>
      </c>
      <c r="B1474" s="47" t="s">
        <v>1985</v>
      </c>
      <c r="C1474" s="47" t="s">
        <v>7009</v>
      </c>
      <c r="D1474" s="47" t="s">
        <v>7010</v>
      </c>
      <c r="E1474" s="47"/>
      <c r="F1474" s="47"/>
      <c r="G1474" s="47"/>
      <c r="H1474" s="47" t="s">
        <v>3605</v>
      </c>
      <c r="I1474" s="47" t="s">
        <v>19080</v>
      </c>
    </row>
    <row r="1475" spans="1:9" ht="15">
      <c r="A1475" s="47">
        <v>113052</v>
      </c>
      <c r="B1475" s="47" t="s">
        <v>7011</v>
      </c>
      <c r="C1475" s="47" t="s">
        <v>7012</v>
      </c>
      <c r="D1475" s="47" t="s">
        <v>7013</v>
      </c>
      <c r="E1475" s="47"/>
      <c r="F1475" s="47" t="s">
        <v>3603</v>
      </c>
      <c r="G1475" s="47" t="s">
        <v>3604</v>
      </c>
      <c r="H1475" s="47" t="s">
        <v>3605</v>
      </c>
      <c r="I1475" s="47" t="s">
        <v>19081</v>
      </c>
    </row>
    <row r="1476" spans="1:9" ht="15">
      <c r="A1476" s="47">
        <v>113053</v>
      </c>
      <c r="B1476" s="47" t="s">
        <v>7014</v>
      </c>
      <c r="C1476" s="47" t="s">
        <v>7015</v>
      </c>
      <c r="D1476" s="47" t="s">
        <v>7016</v>
      </c>
      <c r="E1476" s="47"/>
      <c r="F1476" s="47" t="s">
        <v>3603</v>
      </c>
      <c r="G1476" s="47" t="s">
        <v>3604</v>
      </c>
      <c r="H1476" s="47" t="s">
        <v>3605</v>
      </c>
      <c r="I1476" s="47" t="s">
        <v>19082</v>
      </c>
    </row>
    <row r="1477" spans="1:9" ht="15">
      <c r="A1477" s="47">
        <v>113054</v>
      </c>
      <c r="B1477" s="47" t="s">
        <v>7017</v>
      </c>
      <c r="C1477" s="47" t="s">
        <v>7018</v>
      </c>
      <c r="D1477" s="47" t="s">
        <v>7019</v>
      </c>
      <c r="E1477" s="47"/>
      <c r="F1477" s="47" t="s">
        <v>3603</v>
      </c>
      <c r="G1477" s="47" t="s">
        <v>3604</v>
      </c>
      <c r="H1477" s="47" t="s">
        <v>3605</v>
      </c>
      <c r="I1477" s="47" t="s">
        <v>19083</v>
      </c>
    </row>
    <row r="1478" spans="1:9" ht="15">
      <c r="A1478" s="47">
        <v>42660</v>
      </c>
      <c r="B1478" s="47" t="s">
        <v>7020</v>
      </c>
      <c r="C1478" s="47" t="s">
        <v>7021</v>
      </c>
      <c r="D1478" s="47" t="s">
        <v>7022</v>
      </c>
      <c r="E1478" s="47"/>
      <c r="F1478" s="47" t="s">
        <v>3603</v>
      </c>
      <c r="G1478" s="47" t="s">
        <v>3604</v>
      </c>
      <c r="H1478" s="47" t="s">
        <v>3605</v>
      </c>
      <c r="I1478" s="47" t="s">
        <v>19084</v>
      </c>
    </row>
    <row r="1479" spans="1:9" ht="15">
      <c r="A1479" s="47">
        <v>42661</v>
      </c>
      <c r="B1479" s="47" t="s">
        <v>7023</v>
      </c>
      <c r="C1479" s="47" t="s">
        <v>7024</v>
      </c>
      <c r="D1479" s="47" t="s">
        <v>7025</v>
      </c>
      <c r="E1479" s="47"/>
      <c r="F1479" s="47" t="s">
        <v>3603</v>
      </c>
      <c r="G1479" s="47" t="s">
        <v>3604</v>
      </c>
      <c r="H1479" s="47" t="s">
        <v>3605</v>
      </c>
      <c r="I1479" s="47" t="s">
        <v>19085</v>
      </c>
    </row>
    <row r="1480" spans="1:9" ht="15">
      <c r="A1480" s="47">
        <v>42662</v>
      </c>
      <c r="B1480" s="47" t="s">
        <v>7026</v>
      </c>
      <c r="C1480" s="47" t="s">
        <v>7027</v>
      </c>
      <c r="D1480" s="47" t="s">
        <v>7028</v>
      </c>
      <c r="E1480" s="47"/>
      <c r="F1480" s="47" t="s">
        <v>3603</v>
      </c>
      <c r="G1480" s="47" t="s">
        <v>3604</v>
      </c>
      <c r="H1480" s="47" t="s">
        <v>3605</v>
      </c>
      <c r="I1480" s="47" t="s">
        <v>19086</v>
      </c>
    </row>
    <row r="1481" spans="1:9" ht="15">
      <c r="A1481" s="47">
        <v>42663</v>
      </c>
      <c r="B1481" s="47" t="s">
        <v>7029</v>
      </c>
      <c r="C1481" s="47" t="s">
        <v>7030</v>
      </c>
      <c r="D1481" s="47" t="s">
        <v>7031</v>
      </c>
      <c r="E1481" s="47"/>
      <c r="F1481" s="47" t="s">
        <v>3603</v>
      </c>
      <c r="G1481" s="47" t="s">
        <v>3604</v>
      </c>
      <c r="H1481" s="47" t="s">
        <v>3605</v>
      </c>
      <c r="I1481" s="47" t="s">
        <v>19087</v>
      </c>
    </row>
    <row r="1482" spans="1:9" ht="15">
      <c r="A1482" s="47">
        <v>42791</v>
      </c>
      <c r="B1482" s="47" t="s">
        <v>7032</v>
      </c>
      <c r="C1482" s="47" t="s">
        <v>7033</v>
      </c>
      <c r="D1482" s="47" t="s">
        <v>7034</v>
      </c>
      <c r="E1482" s="47"/>
      <c r="F1482" s="47" t="s">
        <v>3603</v>
      </c>
      <c r="G1482" s="47" t="s">
        <v>3604</v>
      </c>
      <c r="H1482" s="47" t="s">
        <v>3605</v>
      </c>
      <c r="I1482" s="47" t="s">
        <v>19088</v>
      </c>
    </row>
    <row r="1483" spans="1:9" ht="15">
      <c r="A1483" s="47">
        <v>43000</v>
      </c>
      <c r="B1483" s="47" t="s">
        <v>7035</v>
      </c>
      <c r="C1483" s="47" t="s">
        <v>7036</v>
      </c>
      <c r="D1483" s="47" t="s">
        <v>7037</v>
      </c>
      <c r="E1483" s="47"/>
      <c r="F1483" s="47" t="s">
        <v>3603</v>
      </c>
      <c r="G1483" s="47" t="s">
        <v>3604</v>
      </c>
      <c r="H1483" s="47" t="s">
        <v>3605</v>
      </c>
      <c r="I1483" s="47" t="s">
        <v>19089</v>
      </c>
    </row>
    <row r="1484" spans="1:9" ht="15">
      <c r="A1484" s="47">
        <v>113055</v>
      </c>
      <c r="B1484" s="47" t="s">
        <v>7038</v>
      </c>
      <c r="C1484" s="47" t="s">
        <v>7039</v>
      </c>
      <c r="D1484" s="47" t="s">
        <v>7040</v>
      </c>
      <c r="E1484" s="47"/>
      <c r="F1484" s="47" t="s">
        <v>3603</v>
      </c>
      <c r="G1484" s="47" t="s">
        <v>3604</v>
      </c>
      <c r="H1484" s="47" t="s">
        <v>3605</v>
      </c>
      <c r="I1484" s="47" t="s">
        <v>19090</v>
      </c>
    </row>
    <row r="1485" spans="1:9" ht="15">
      <c r="A1485" s="47">
        <v>113056</v>
      </c>
      <c r="B1485" s="47" t="s">
        <v>1986</v>
      </c>
      <c r="C1485" s="47" t="s">
        <v>7041</v>
      </c>
      <c r="D1485" s="47" t="s">
        <v>7042</v>
      </c>
      <c r="E1485" s="47"/>
      <c r="F1485" s="47"/>
      <c r="G1485" s="47"/>
      <c r="H1485" s="47" t="s">
        <v>3605</v>
      </c>
      <c r="I1485" s="47" t="s">
        <v>19091</v>
      </c>
    </row>
    <row r="1486" spans="1:9" ht="15">
      <c r="A1486" s="47">
        <v>46211</v>
      </c>
      <c r="B1486" s="47" t="s">
        <v>7043</v>
      </c>
      <c r="C1486" s="47" t="s">
        <v>7044</v>
      </c>
      <c r="D1486" s="47" t="s">
        <v>7045</v>
      </c>
      <c r="E1486" s="47"/>
      <c r="F1486" s="47" t="s">
        <v>3603</v>
      </c>
      <c r="G1486" s="47" t="s">
        <v>3604</v>
      </c>
      <c r="H1486" s="47" t="s">
        <v>3605</v>
      </c>
      <c r="I1486" s="47" t="s">
        <v>19092</v>
      </c>
    </row>
    <row r="1487" spans="1:9" ht="15">
      <c r="A1487" s="47">
        <v>46340</v>
      </c>
      <c r="B1487" s="47" t="s">
        <v>7046</v>
      </c>
      <c r="C1487" s="47" t="s">
        <v>7047</v>
      </c>
      <c r="D1487" s="47" t="s">
        <v>7048</v>
      </c>
      <c r="E1487" s="47"/>
      <c r="F1487" s="47" t="s">
        <v>3603</v>
      </c>
      <c r="G1487" s="47" t="s">
        <v>3604</v>
      </c>
      <c r="H1487" s="47" t="s">
        <v>3605</v>
      </c>
      <c r="I1487" s="47" t="s">
        <v>19093</v>
      </c>
    </row>
    <row r="1488" spans="1:9" ht="15">
      <c r="A1488" s="47">
        <v>113057</v>
      </c>
      <c r="B1488" s="47" t="s">
        <v>7049</v>
      </c>
      <c r="C1488" s="47" t="s">
        <v>7050</v>
      </c>
      <c r="D1488" s="47" t="s">
        <v>7051</v>
      </c>
      <c r="E1488" s="47"/>
      <c r="F1488" s="47" t="s">
        <v>3603</v>
      </c>
      <c r="G1488" s="47" t="s">
        <v>3604</v>
      </c>
      <c r="H1488" s="47" t="s">
        <v>3605</v>
      </c>
      <c r="I1488" s="47" t="s">
        <v>19094</v>
      </c>
    </row>
    <row r="1489" spans="1:9" ht="15">
      <c r="A1489" s="47">
        <v>113058</v>
      </c>
      <c r="B1489" s="47" t="s">
        <v>1987</v>
      </c>
      <c r="C1489" s="47" t="s">
        <v>7052</v>
      </c>
      <c r="D1489" s="47" t="s">
        <v>7053</v>
      </c>
      <c r="E1489" s="47"/>
      <c r="F1489" s="47"/>
      <c r="G1489" s="47"/>
      <c r="H1489" s="47" t="s">
        <v>3605</v>
      </c>
      <c r="I1489" s="47" t="s">
        <v>19095</v>
      </c>
    </row>
    <row r="1490" spans="1:9" ht="15">
      <c r="A1490" s="47">
        <v>113215</v>
      </c>
      <c r="B1490" s="47" t="s">
        <v>7054</v>
      </c>
      <c r="C1490" s="47" t="s">
        <v>7055</v>
      </c>
      <c r="D1490" s="47" t="s">
        <v>7056</v>
      </c>
      <c r="E1490" s="47"/>
      <c r="F1490" s="47" t="s">
        <v>3603</v>
      </c>
      <c r="G1490" s="47" t="s">
        <v>3604</v>
      </c>
      <c r="H1490" s="47" t="s">
        <v>3605</v>
      </c>
      <c r="I1490" s="47" t="s">
        <v>19096</v>
      </c>
    </row>
    <row r="1491" spans="1:9" ht="15">
      <c r="A1491" s="47">
        <v>113250</v>
      </c>
      <c r="B1491" s="47" t="s">
        <v>7057</v>
      </c>
      <c r="C1491" s="47" t="s">
        <v>7058</v>
      </c>
      <c r="D1491" s="47" t="s">
        <v>7059</v>
      </c>
      <c r="E1491" s="47"/>
      <c r="F1491" s="47" t="s">
        <v>3603</v>
      </c>
      <c r="G1491" s="47" t="s">
        <v>3604</v>
      </c>
      <c r="H1491" s="47" t="s">
        <v>3605</v>
      </c>
      <c r="I1491" s="47" t="s">
        <v>19097</v>
      </c>
    </row>
    <row r="1492" spans="1:9" ht="15">
      <c r="A1492" s="47">
        <v>113255</v>
      </c>
      <c r="B1492" s="47" t="s">
        <v>7060</v>
      </c>
      <c r="C1492" s="47" t="s">
        <v>7061</v>
      </c>
      <c r="D1492" s="47" t="s">
        <v>7062</v>
      </c>
      <c r="E1492" s="47"/>
      <c r="F1492" s="47" t="s">
        <v>3603</v>
      </c>
      <c r="G1492" s="47" t="s">
        <v>3604</v>
      </c>
      <c r="H1492" s="47" t="s">
        <v>3605</v>
      </c>
      <c r="I1492" s="47" t="s">
        <v>19098</v>
      </c>
    </row>
    <row r="1493" spans="1:9" ht="15">
      <c r="A1493" s="47">
        <v>113285</v>
      </c>
      <c r="B1493" s="47" t="s">
        <v>7063</v>
      </c>
      <c r="C1493" s="47" t="s">
        <v>7064</v>
      </c>
      <c r="D1493" s="47" t="s">
        <v>7065</v>
      </c>
      <c r="E1493" s="47"/>
      <c r="F1493" s="47" t="s">
        <v>3603</v>
      </c>
      <c r="G1493" s="47" t="s">
        <v>3604</v>
      </c>
      <c r="H1493" s="47" t="s">
        <v>3605</v>
      </c>
      <c r="I1493" s="47" t="s">
        <v>19099</v>
      </c>
    </row>
    <row r="1494" spans="1:9" ht="15">
      <c r="A1494" s="47">
        <v>113295</v>
      </c>
      <c r="B1494" s="47" t="s">
        <v>7066</v>
      </c>
      <c r="C1494" s="47" t="s">
        <v>7067</v>
      </c>
      <c r="D1494" s="47" t="s">
        <v>7068</v>
      </c>
      <c r="E1494" s="47"/>
      <c r="F1494" s="47" t="s">
        <v>3603</v>
      </c>
      <c r="G1494" s="47" t="s">
        <v>3604</v>
      </c>
      <c r="H1494" s="47" t="s">
        <v>3605</v>
      </c>
      <c r="I1494" s="47" t="s">
        <v>19100</v>
      </c>
    </row>
    <row r="1495" spans="1:9" ht="15">
      <c r="A1495" s="47">
        <v>113325</v>
      </c>
      <c r="B1495" s="47" t="s">
        <v>7069</v>
      </c>
      <c r="C1495" s="47" t="s">
        <v>7070</v>
      </c>
      <c r="D1495" s="47" t="s">
        <v>7071</v>
      </c>
      <c r="E1495" s="47"/>
      <c r="F1495" s="47"/>
      <c r="G1495" s="47"/>
      <c r="H1495" s="47"/>
      <c r="I1495" s="47" t="s">
        <v>19101</v>
      </c>
    </row>
    <row r="1496" spans="1:9" ht="15">
      <c r="A1496" s="47">
        <v>113355</v>
      </c>
      <c r="B1496" s="47" t="s">
        <v>1071</v>
      </c>
      <c r="C1496" s="47" t="s">
        <v>7039</v>
      </c>
      <c r="D1496" s="47" t="s">
        <v>7040</v>
      </c>
      <c r="E1496" s="47"/>
      <c r="F1496" s="47" t="s">
        <v>3603</v>
      </c>
      <c r="G1496" s="47" t="s">
        <v>3604</v>
      </c>
      <c r="H1496" s="47" t="s">
        <v>3605</v>
      </c>
      <c r="I1496" s="47" t="s">
        <v>19102</v>
      </c>
    </row>
    <row r="1497" spans="1:9" ht="15">
      <c r="A1497" s="47">
        <v>113500</v>
      </c>
      <c r="B1497" s="47" t="s">
        <v>7072</v>
      </c>
      <c r="C1497" s="47" t="s">
        <v>7073</v>
      </c>
      <c r="D1497" s="47" t="s">
        <v>7074</v>
      </c>
      <c r="E1497" s="47"/>
      <c r="F1497" s="47" t="s">
        <v>3603</v>
      </c>
      <c r="G1497" s="47" t="s">
        <v>3604</v>
      </c>
      <c r="H1497" s="47" t="s">
        <v>3605</v>
      </c>
      <c r="I1497" s="47" t="s">
        <v>19103</v>
      </c>
    </row>
    <row r="1498" spans="1:9" ht="15">
      <c r="A1498" s="47">
        <v>113510</v>
      </c>
      <c r="B1498" s="47" t="s">
        <v>7075</v>
      </c>
      <c r="C1498" s="47" t="s">
        <v>7076</v>
      </c>
      <c r="D1498" s="47" t="s">
        <v>7077</v>
      </c>
      <c r="E1498" s="47"/>
      <c r="F1498" s="47" t="s">
        <v>3603</v>
      </c>
      <c r="G1498" s="47" t="s">
        <v>3604</v>
      </c>
      <c r="H1498" s="47" t="s">
        <v>3605</v>
      </c>
      <c r="I1498" s="47" t="s">
        <v>19104</v>
      </c>
    </row>
    <row r="1499" spans="1:9" ht="15">
      <c r="A1499" s="47">
        <v>113520</v>
      </c>
      <c r="B1499" s="47" t="s">
        <v>7078</v>
      </c>
      <c r="C1499" s="47" t="s">
        <v>7079</v>
      </c>
      <c r="D1499" s="47" t="s">
        <v>7080</v>
      </c>
      <c r="E1499" s="47"/>
      <c r="F1499" s="47" t="s">
        <v>3603</v>
      </c>
      <c r="G1499" s="47" t="s">
        <v>3604</v>
      </c>
      <c r="H1499" s="47" t="s">
        <v>3605</v>
      </c>
      <c r="I1499" s="47" t="s">
        <v>19105</v>
      </c>
    </row>
    <row r="1500" spans="1:9" ht="15">
      <c r="A1500" s="47">
        <v>113605</v>
      </c>
      <c r="B1500" s="47" t="s">
        <v>7081</v>
      </c>
      <c r="C1500" s="47" t="s">
        <v>7082</v>
      </c>
      <c r="D1500" s="47" t="s">
        <v>7083</v>
      </c>
      <c r="E1500" s="47"/>
      <c r="F1500" s="47" t="s">
        <v>3603</v>
      </c>
      <c r="G1500" s="47" t="s">
        <v>3604</v>
      </c>
      <c r="H1500" s="47" t="s">
        <v>3605</v>
      </c>
      <c r="I1500" s="47" t="s">
        <v>19106</v>
      </c>
    </row>
    <row r="1501" spans="1:9" ht="15">
      <c r="A1501" s="47">
        <v>113850</v>
      </c>
      <c r="B1501" s="47" t="s">
        <v>7084</v>
      </c>
      <c r="C1501" s="47" t="s">
        <v>7085</v>
      </c>
      <c r="D1501" s="47" t="s">
        <v>7086</v>
      </c>
      <c r="E1501" s="47"/>
      <c r="F1501" s="47" t="s">
        <v>3603</v>
      </c>
      <c r="G1501" s="47" t="s">
        <v>3604</v>
      </c>
      <c r="H1501" s="47" t="s">
        <v>3605</v>
      </c>
      <c r="I1501" s="47" t="s">
        <v>19107</v>
      </c>
    </row>
    <row r="1502" spans="1:9" ht="15">
      <c r="A1502" s="47">
        <v>114005</v>
      </c>
      <c r="B1502" s="47" t="s">
        <v>7087</v>
      </c>
      <c r="C1502" s="47" t="s">
        <v>7088</v>
      </c>
      <c r="D1502" s="47" t="s">
        <v>7089</v>
      </c>
      <c r="E1502" s="47"/>
      <c r="F1502" s="47" t="s">
        <v>3603</v>
      </c>
      <c r="G1502" s="47" t="s">
        <v>3604</v>
      </c>
      <c r="H1502" s="47" t="s">
        <v>3605</v>
      </c>
      <c r="I1502" s="47" t="s">
        <v>19108</v>
      </c>
    </row>
    <row r="1503" spans="1:9" ht="15">
      <c r="A1503" s="47">
        <v>114015</v>
      </c>
      <c r="B1503" s="47" t="s">
        <v>7090</v>
      </c>
      <c r="C1503" s="47" t="s">
        <v>7091</v>
      </c>
      <c r="D1503" s="47" t="s">
        <v>7092</v>
      </c>
      <c r="E1503" s="47"/>
      <c r="F1503" s="47" t="s">
        <v>3603</v>
      </c>
      <c r="G1503" s="47" t="s">
        <v>3604</v>
      </c>
      <c r="H1503" s="47" t="s">
        <v>3605</v>
      </c>
      <c r="I1503" s="47" t="s">
        <v>19109</v>
      </c>
    </row>
    <row r="1504" spans="1:9" ht="15">
      <c r="A1504" s="47">
        <v>114045</v>
      </c>
      <c r="B1504" s="47" t="s">
        <v>7093</v>
      </c>
      <c r="C1504" s="47" t="s">
        <v>7094</v>
      </c>
      <c r="D1504" s="47" t="s">
        <v>7095</v>
      </c>
      <c r="E1504" s="47"/>
      <c r="F1504" s="47" t="s">
        <v>3603</v>
      </c>
      <c r="G1504" s="47" t="s">
        <v>3604</v>
      </c>
      <c r="H1504" s="47" t="s">
        <v>3605</v>
      </c>
      <c r="I1504" s="47" t="s">
        <v>19110</v>
      </c>
    </row>
    <row r="1505" spans="1:9" ht="15">
      <c r="A1505" s="47">
        <v>114065</v>
      </c>
      <c r="B1505" s="47" t="s">
        <v>7096</v>
      </c>
      <c r="C1505" s="47" t="s">
        <v>7097</v>
      </c>
      <c r="D1505" s="47" t="s">
        <v>7098</v>
      </c>
      <c r="E1505" s="47"/>
      <c r="F1505" s="47" t="s">
        <v>3603</v>
      </c>
      <c r="G1505" s="47" t="s">
        <v>3604</v>
      </c>
      <c r="H1505" s="47" t="s">
        <v>3605</v>
      </c>
      <c r="I1505" s="47" t="s">
        <v>19111</v>
      </c>
    </row>
    <row r="1506" spans="1:9" ht="15">
      <c r="A1506" s="47">
        <v>114225</v>
      </c>
      <c r="B1506" s="47" t="s">
        <v>7099</v>
      </c>
      <c r="C1506" s="47" t="s">
        <v>7100</v>
      </c>
      <c r="D1506" s="47" t="s">
        <v>7101</v>
      </c>
      <c r="E1506" s="47"/>
      <c r="F1506" s="47" t="s">
        <v>3603</v>
      </c>
      <c r="G1506" s="47" t="s">
        <v>3604</v>
      </c>
      <c r="H1506" s="47" t="s">
        <v>3605</v>
      </c>
      <c r="I1506" s="47" t="s">
        <v>19112</v>
      </c>
    </row>
    <row r="1507" spans="1:9" ht="15">
      <c r="A1507" s="47">
        <v>114425</v>
      </c>
      <c r="B1507" s="47" t="s">
        <v>1958</v>
      </c>
      <c r="C1507" s="47" t="s">
        <v>7102</v>
      </c>
      <c r="D1507" s="47" t="s">
        <v>7103</v>
      </c>
      <c r="E1507" s="47"/>
      <c r="F1507" s="47"/>
      <c r="G1507" s="47"/>
      <c r="H1507" s="47" t="s">
        <v>3605</v>
      </c>
      <c r="I1507" s="47" t="s">
        <v>19113</v>
      </c>
    </row>
    <row r="1508" spans="1:9" ht="15">
      <c r="A1508" s="47">
        <v>114450</v>
      </c>
      <c r="B1508" s="47" t="s">
        <v>1956</v>
      </c>
      <c r="C1508" s="47" t="s">
        <v>7104</v>
      </c>
      <c r="D1508" s="47" t="s">
        <v>7105</v>
      </c>
      <c r="E1508" s="47"/>
      <c r="F1508" s="47"/>
      <c r="G1508" s="47"/>
      <c r="H1508" s="47" t="s">
        <v>3605</v>
      </c>
      <c r="I1508" s="47" t="s">
        <v>19114</v>
      </c>
    </row>
    <row r="1509" spans="1:9" ht="15">
      <c r="A1509" s="47">
        <v>115000</v>
      </c>
      <c r="B1509" s="47" t="s">
        <v>7106</v>
      </c>
      <c r="C1509" s="47" t="s">
        <v>7107</v>
      </c>
      <c r="D1509" s="47" t="s">
        <v>7108</v>
      </c>
      <c r="E1509" s="47"/>
      <c r="F1509" s="47" t="s">
        <v>3603</v>
      </c>
      <c r="G1509" s="47" t="s">
        <v>3604</v>
      </c>
      <c r="H1509" s="47" t="s">
        <v>3605</v>
      </c>
      <c r="I1509" s="47" t="s">
        <v>19115</v>
      </c>
    </row>
    <row r="1510" spans="1:9" ht="15">
      <c r="A1510" s="47">
        <v>115001</v>
      </c>
      <c r="B1510" s="47" t="s">
        <v>7109</v>
      </c>
      <c r="C1510" s="47" t="s">
        <v>7110</v>
      </c>
      <c r="D1510" s="47" t="s">
        <v>7111</v>
      </c>
      <c r="E1510" s="47"/>
      <c r="F1510" s="47" t="s">
        <v>3603</v>
      </c>
      <c r="G1510" s="47" t="s">
        <v>3604</v>
      </c>
      <c r="H1510" s="47" t="s">
        <v>3605</v>
      </c>
      <c r="I1510" s="47" t="s">
        <v>19116</v>
      </c>
    </row>
    <row r="1511" spans="1:9" ht="15">
      <c r="A1511" s="47">
        <v>115002</v>
      </c>
      <c r="B1511" s="47" t="s">
        <v>7112</v>
      </c>
      <c r="C1511" s="47" t="s">
        <v>7113</v>
      </c>
      <c r="D1511" s="47" t="s">
        <v>7114</v>
      </c>
      <c r="E1511" s="47"/>
      <c r="F1511" s="47" t="s">
        <v>3603</v>
      </c>
      <c r="G1511" s="47" t="s">
        <v>3604</v>
      </c>
      <c r="H1511" s="47" t="s">
        <v>3605</v>
      </c>
      <c r="I1511" s="47" t="s">
        <v>19117</v>
      </c>
    </row>
    <row r="1512" spans="1:9" ht="15">
      <c r="A1512" s="47">
        <v>115005</v>
      </c>
      <c r="B1512" s="47" t="s">
        <v>1998</v>
      </c>
      <c r="C1512" s="47" t="s">
        <v>7115</v>
      </c>
      <c r="D1512" s="47" t="s">
        <v>7116</v>
      </c>
      <c r="E1512" s="47"/>
      <c r="F1512" s="47"/>
      <c r="G1512" s="47"/>
      <c r="H1512" s="47" t="s">
        <v>3605</v>
      </c>
      <c r="I1512" s="47" t="s">
        <v>19118</v>
      </c>
    </row>
    <row r="1513" spans="1:9" ht="15">
      <c r="A1513" s="47">
        <v>69320</v>
      </c>
      <c r="B1513" s="47" t="s">
        <v>7117</v>
      </c>
      <c r="C1513" s="47" t="s">
        <v>7118</v>
      </c>
      <c r="D1513" s="47" t="s">
        <v>7119</v>
      </c>
      <c r="E1513" s="47"/>
      <c r="F1513" s="47" t="s">
        <v>3603</v>
      </c>
      <c r="G1513" s="47" t="s">
        <v>3604</v>
      </c>
      <c r="H1513" s="47" t="s">
        <v>3605</v>
      </c>
      <c r="I1513" s="47" t="s">
        <v>19119</v>
      </c>
    </row>
    <row r="1514" spans="1:9" ht="15">
      <c r="A1514" s="47">
        <v>72006</v>
      </c>
      <c r="B1514" s="47" t="s">
        <v>7120</v>
      </c>
      <c r="C1514" s="47" t="s">
        <v>7121</v>
      </c>
      <c r="D1514" s="47" t="s">
        <v>7122</v>
      </c>
      <c r="E1514" s="47"/>
      <c r="F1514" s="47" t="s">
        <v>3603</v>
      </c>
      <c r="G1514" s="47" t="s">
        <v>3604</v>
      </c>
      <c r="H1514" s="47" t="s">
        <v>3605</v>
      </c>
      <c r="I1514" s="47" t="s">
        <v>19120</v>
      </c>
    </row>
    <row r="1515" spans="1:9" ht="15">
      <c r="A1515" s="47">
        <v>72018</v>
      </c>
      <c r="B1515" s="47" t="s">
        <v>7123</v>
      </c>
      <c r="C1515" s="47" t="s">
        <v>7124</v>
      </c>
      <c r="D1515" s="47" t="s">
        <v>7125</v>
      </c>
      <c r="E1515" s="47"/>
      <c r="F1515" s="47" t="s">
        <v>3603</v>
      </c>
      <c r="G1515" s="47" t="s">
        <v>3604</v>
      </c>
      <c r="H1515" s="47" t="s">
        <v>3605</v>
      </c>
      <c r="I1515" s="47" t="s">
        <v>19121</v>
      </c>
    </row>
    <row r="1516" spans="1:9" ht="15">
      <c r="A1516" s="47">
        <v>72020</v>
      </c>
      <c r="B1516" s="47" t="s">
        <v>7126</v>
      </c>
      <c r="C1516" s="47" t="s">
        <v>7127</v>
      </c>
      <c r="D1516" s="47" t="s">
        <v>7128</v>
      </c>
      <c r="E1516" s="47"/>
      <c r="F1516" s="47" t="s">
        <v>3603</v>
      </c>
      <c r="G1516" s="47" t="s">
        <v>3604</v>
      </c>
      <c r="H1516" s="47" t="s">
        <v>3605</v>
      </c>
      <c r="I1516" s="47" t="s">
        <v>19122</v>
      </c>
    </row>
    <row r="1517" spans="1:9" ht="15">
      <c r="A1517" s="47">
        <v>72110</v>
      </c>
      <c r="B1517" s="47" t="s">
        <v>7129</v>
      </c>
      <c r="C1517" s="47" t="s">
        <v>7130</v>
      </c>
      <c r="D1517" s="47" t="s">
        <v>7131</v>
      </c>
      <c r="E1517" s="47"/>
      <c r="F1517" s="47" t="s">
        <v>3603</v>
      </c>
      <c r="G1517" s="47" t="s">
        <v>3604</v>
      </c>
      <c r="H1517" s="47" t="s">
        <v>3605</v>
      </c>
      <c r="I1517" s="47" t="s">
        <v>19123</v>
      </c>
    </row>
    <row r="1518" spans="1:9" ht="15">
      <c r="A1518" s="47">
        <v>72374</v>
      </c>
      <c r="B1518" s="47" t="s">
        <v>7132</v>
      </c>
      <c r="C1518" s="47" t="s">
        <v>7133</v>
      </c>
      <c r="D1518" s="47" t="s">
        <v>7134</v>
      </c>
      <c r="E1518" s="47"/>
      <c r="F1518" s="47" t="s">
        <v>3603</v>
      </c>
      <c r="G1518" s="47" t="s">
        <v>3604</v>
      </c>
      <c r="H1518" s="47" t="s">
        <v>3605</v>
      </c>
      <c r="I1518" s="47" t="s">
        <v>19124</v>
      </c>
    </row>
    <row r="1519" spans="1:9" ht="15">
      <c r="A1519" s="47">
        <v>72376</v>
      </c>
      <c r="B1519" s="47" t="s">
        <v>7135</v>
      </c>
      <c r="C1519" s="47" t="s">
        <v>7136</v>
      </c>
      <c r="D1519" s="47" t="s">
        <v>7137</v>
      </c>
      <c r="E1519" s="47"/>
      <c r="F1519" s="47" t="s">
        <v>3603</v>
      </c>
      <c r="G1519" s="47" t="s">
        <v>3604</v>
      </c>
      <c r="H1519" s="47" t="s">
        <v>3605</v>
      </c>
      <c r="I1519" s="47" t="s">
        <v>19125</v>
      </c>
    </row>
    <row r="1520" spans="1:9" ht="15">
      <c r="A1520" s="47">
        <v>72377</v>
      </c>
      <c r="B1520" s="47" t="s">
        <v>7138</v>
      </c>
      <c r="C1520" s="47" t="s">
        <v>7139</v>
      </c>
      <c r="D1520" s="47" t="s">
        <v>7140</v>
      </c>
      <c r="E1520" s="47"/>
      <c r="F1520" s="47" t="s">
        <v>3603</v>
      </c>
      <c r="G1520" s="47" t="s">
        <v>3604</v>
      </c>
      <c r="H1520" s="47" t="s">
        <v>3605</v>
      </c>
      <c r="I1520" s="47" t="s">
        <v>19126</v>
      </c>
    </row>
    <row r="1521" spans="1:9" ht="15">
      <c r="A1521" s="47">
        <v>72379</v>
      </c>
      <c r="B1521" s="47" t="s">
        <v>7141</v>
      </c>
      <c r="C1521" s="47" t="s">
        <v>7142</v>
      </c>
      <c r="D1521" s="47" t="s">
        <v>7143</v>
      </c>
      <c r="E1521" s="47"/>
      <c r="F1521" s="47" t="s">
        <v>3603</v>
      </c>
      <c r="G1521" s="47" t="s">
        <v>3604</v>
      </c>
      <c r="H1521" s="47" t="s">
        <v>3605</v>
      </c>
      <c r="I1521" s="47" t="s">
        <v>19127</v>
      </c>
    </row>
    <row r="1522" spans="1:9" ht="15">
      <c r="A1522" s="47">
        <v>72380</v>
      </c>
      <c r="B1522" s="47" t="s">
        <v>7144</v>
      </c>
      <c r="C1522" s="47" t="s">
        <v>7145</v>
      </c>
      <c r="D1522" s="47" t="s">
        <v>7146</v>
      </c>
      <c r="E1522" s="47"/>
      <c r="F1522" s="47" t="s">
        <v>3603</v>
      </c>
      <c r="G1522" s="47" t="s">
        <v>3604</v>
      </c>
      <c r="H1522" s="47" t="s">
        <v>3605</v>
      </c>
      <c r="I1522" s="47" t="s">
        <v>19128</v>
      </c>
    </row>
    <row r="1523" spans="1:9" ht="15">
      <c r="A1523" s="47">
        <v>72382</v>
      </c>
      <c r="B1523" s="47" t="s">
        <v>7147</v>
      </c>
      <c r="C1523" s="47" t="s">
        <v>7148</v>
      </c>
      <c r="D1523" s="47" t="s">
        <v>7149</v>
      </c>
      <c r="E1523" s="47"/>
      <c r="F1523" s="47" t="s">
        <v>3603</v>
      </c>
      <c r="G1523" s="47" t="s">
        <v>3604</v>
      </c>
      <c r="H1523" s="47" t="s">
        <v>3605</v>
      </c>
      <c r="I1523" s="47" t="s">
        <v>19129</v>
      </c>
    </row>
    <row r="1524" spans="1:9" ht="15">
      <c r="A1524" s="47">
        <v>72401</v>
      </c>
      <c r="B1524" s="47" t="s">
        <v>7150</v>
      </c>
      <c r="C1524" s="47" t="s">
        <v>7151</v>
      </c>
      <c r="D1524" s="47" t="s">
        <v>7152</v>
      </c>
      <c r="E1524" s="47"/>
      <c r="F1524" s="47" t="s">
        <v>3603</v>
      </c>
      <c r="G1524" s="47" t="s">
        <v>3604</v>
      </c>
      <c r="H1524" s="47" t="s">
        <v>3605</v>
      </c>
      <c r="I1524" s="47" t="s">
        <v>19130</v>
      </c>
    </row>
    <row r="1525" spans="1:9" ht="15">
      <c r="A1525" s="47">
        <v>72403</v>
      </c>
      <c r="B1525" s="47" t="s">
        <v>7153</v>
      </c>
      <c r="C1525" s="47" t="s">
        <v>7154</v>
      </c>
      <c r="D1525" s="47" t="s">
        <v>7155</v>
      </c>
      <c r="E1525" s="47"/>
      <c r="F1525" s="47" t="s">
        <v>3603</v>
      </c>
      <c r="G1525" s="47" t="s">
        <v>3604</v>
      </c>
      <c r="H1525" s="47" t="s">
        <v>3605</v>
      </c>
      <c r="I1525" s="47" t="s">
        <v>19131</v>
      </c>
    </row>
    <row r="1526" spans="1:9" ht="15">
      <c r="A1526" s="47">
        <v>72404</v>
      </c>
      <c r="B1526" s="47" t="s">
        <v>7156</v>
      </c>
      <c r="C1526" s="47" t="s">
        <v>7157</v>
      </c>
      <c r="D1526" s="47" t="s">
        <v>7158</v>
      </c>
      <c r="E1526" s="47"/>
      <c r="F1526" s="47" t="s">
        <v>3603</v>
      </c>
      <c r="G1526" s="47" t="s">
        <v>3604</v>
      </c>
      <c r="H1526" s="47" t="s">
        <v>3605</v>
      </c>
      <c r="I1526" s="47" t="s">
        <v>19132</v>
      </c>
    </row>
    <row r="1527" spans="1:9" ht="15">
      <c r="A1527" s="47">
        <v>72416</v>
      </c>
      <c r="B1527" s="47" t="s">
        <v>7159</v>
      </c>
      <c r="C1527" s="47" t="s">
        <v>7160</v>
      </c>
      <c r="D1527" s="47" t="s">
        <v>7161</v>
      </c>
      <c r="E1527" s="47"/>
      <c r="F1527" s="47" t="s">
        <v>5491</v>
      </c>
      <c r="G1527" s="47" t="s">
        <v>5492</v>
      </c>
      <c r="H1527" s="47" t="s">
        <v>3605</v>
      </c>
      <c r="I1527" s="47" t="s">
        <v>19133</v>
      </c>
    </row>
    <row r="1528" spans="1:9" ht="15">
      <c r="A1528" s="47">
        <v>72429</v>
      </c>
      <c r="B1528" s="47" t="s">
        <v>7162</v>
      </c>
      <c r="C1528" s="47" t="s">
        <v>7163</v>
      </c>
      <c r="D1528" s="47" t="s">
        <v>7164</v>
      </c>
      <c r="E1528" s="47"/>
      <c r="F1528" s="47" t="s">
        <v>3603</v>
      </c>
      <c r="G1528" s="47" t="s">
        <v>3604</v>
      </c>
      <c r="H1528" s="47" t="s">
        <v>3605</v>
      </c>
      <c r="I1528" s="47" t="s">
        <v>19134</v>
      </c>
    </row>
    <row r="1529" spans="1:9" ht="15">
      <c r="A1529" s="47">
        <v>118500</v>
      </c>
      <c r="B1529" s="47" t="s">
        <v>2007</v>
      </c>
      <c r="C1529" s="47" t="s">
        <v>7165</v>
      </c>
      <c r="D1529" s="47" t="s">
        <v>7166</v>
      </c>
      <c r="E1529" s="47"/>
      <c r="F1529" s="47"/>
      <c r="G1529" s="47"/>
      <c r="H1529" s="47" t="s">
        <v>3605</v>
      </c>
      <c r="I1529" s="47" t="s">
        <v>19135</v>
      </c>
    </row>
    <row r="1530" spans="1:9" ht="15">
      <c r="A1530" s="47">
        <v>118530</v>
      </c>
      <c r="B1530" s="47" t="s">
        <v>7167</v>
      </c>
      <c r="C1530" s="47" t="s">
        <v>3610</v>
      </c>
      <c r="D1530" s="47" t="s">
        <v>3611</v>
      </c>
      <c r="E1530" s="47"/>
      <c r="F1530" s="47" t="s">
        <v>3603</v>
      </c>
      <c r="G1530" s="47" t="s">
        <v>3604</v>
      </c>
      <c r="H1530" s="47" t="s">
        <v>3605</v>
      </c>
      <c r="I1530" s="47" t="s">
        <v>19136</v>
      </c>
    </row>
    <row r="1531" spans="1:9" ht="15">
      <c r="A1531" s="47">
        <v>72737</v>
      </c>
      <c r="B1531" s="47" t="s">
        <v>7168</v>
      </c>
      <c r="C1531" s="47" t="s">
        <v>7169</v>
      </c>
      <c r="D1531" s="47" t="s">
        <v>7170</v>
      </c>
      <c r="E1531" s="47"/>
      <c r="F1531" s="47" t="s">
        <v>3603</v>
      </c>
      <c r="G1531" s="47" t="s">
        <v>3604</v>
      </c>
      <c r="H1531" s="47" t="s">
        <v>3605</v>
      </c>
      <c r="I1531" s="47" t="s">
        <v>19137</v>
      </c>
    </row>
    <row r="1532" spans="1:9" ht="15">
      <c r="A1532" s="47">
        <v>72784</v>
      </c>
      <c r="B1532" s="47" t="s">
        <v>7171</v>
      </c>
      <c r="C1532" s="47" t="s">
        <v>7172</v>
      </c>
      <c r="D1532" s="47" t="s">
        <v>7173</v>
      </c>
      <c r="E1532" s="47"/>
      <c r="F1532" s="47" t="s">
        <v>3603</v>
      </c>
      <c r="G1532" s="47" t="s">
        <v>3604</v>
      </c>
      <c r="H1532" s="47" t="s">
        <v>3605</v>
      </c>
      <c r="I1532" s="47" t="s">
        <v>19138</v>
      </c>
    </row>
    <row r="1533" spans="1:9" ht="15">
      <c r="A1533" s="47">
        <v>72806</v>
      </c>
      <c r="B1533" s="47" t="s">
        <v>7174</v>
      </c>
      <c r="C1533" s="47" t="s">
        <v>7175</v>
      </c>
      <c r="D1533" s="47" t="s">
        <v>7176</v>
      </c>
      <c r="E1533" s="47"/>
      <c r="F1533" s="47" t="s">
        <v>3603</v>
      </c>
      <c r="G1533" s="47" t="s">
        <v>3604</v>
      </c>
      <c r="H1533" s="47" t="s">
        <v>3605</v>
      </c>
      <c r="I1533" s="47" t="s">
        <v>19139</v>
      </c>
    </row>
    <row r="1534" spans="1:9" ht="15">
      <c r="A1534" s="47">
        <v>72841</v>
      </c>
      <c r="B1534" s="47" t="s">
        <v>7177</v>
      </c>
      <c r="C1534" s="47" t="s">
        <v>7178</v>
      </c>
      <c r="D1534" s="47" t="s">
        <v>7179</v>
      </c>
      <c r="E1534" s="47"/>
      <c r="F1534" s="47" t="s">
        <v>3603</v>
      </c>
      <c r="G1534" s="47" t="s">
        <v>3604</v>
      </c>
      <c r="H1534" s="47" t="s">
        <v>3605</v>
      </c>
      <c r="I1534" s="47" t="s">
        <v>19140</v>
      </c>
    </row>
    <row r="1535" spans="1:9" ht="15">
      <c r="A1535" s="47">
        <v>72846</v>
      </c>
      <c r="B1535" s="47" t="s">
        <v>7180</v>
      </c>
      <c r="C1535" s="47" t="s">
        <v>7181</v>
      </c>
      <c r="D1535" s="47" t="s">
        <v>7182</v>
      </c>
      <c r="E1535" s="47"/>
      <c r="F1535" s="47" t="s">
        <v>3603</v>
      </c>
      <c r="G1535" s="47" t="s">
        <v>3604</v>
      </c>
      <c r="H1535" s="47" t="s">
        <v>3605</v>
      </c>
      <c r="I1535" s="47" t="s">
        <v>19141</v>
      </c>
    </row>
    <row r="1536" spans="1:9" ht="15">
      <c r="A1536" s="47">
        <v>118535</v>
      </c>
      <c r="B1536" s="47" t="s">
        <v>7183</v>
      </c>
      <c r="C1536" s="47" t="s">
        <v>7184</v>
      </c>
      <c r="D1536" s="47" t="s">
        <v>7185</v>
      </c>
      <c r="E1536" s="47"/>
      <c r="F1536" s="47" t="s">
        <v>3603</v>
      </c>
      <c r="G1536" s="47" t="s">
        <v>3604</v>
      </c>
      <c r="H1536" s="47" t="s">
        <v>3605</v>
      </c>
      <c r="I1536" s="47" t="s">
        <v>19142</v>
      </c>
    </row>
    <row r="1537" spans="1:9" ht="15">
      <c r="A1537" s="47">
        <v>72901</v>
      </c>
      <c r="B1537" s="47" t="s">
        <v>7186</v>
      </c>
      <c r="C1537" s="47" t="s">
        <v>7187</v>
      </c>
      <c r="D1537" s="47" t="s">
        <v>7188</v>
      </c>
      <c r="E1537" s="47"/>
      <c r="F1537" s="47" t="s">
        <v>5491</v>
      </c>
      <c r="G1537" s="47" t="s">
        <v>5492</v>
      </c>
      <c r="H1537" s="47" t="s">
        <v>3605</v>
      </c>
      <c r="I1537" s="47" t="s">
        <v>19143</v>
      </c>
    </row>
    <row r="1538" spans="1:9" ht="15">
      <c r="A1538" s="47">
        <v>72907</v>
      </c>
      <c r="B1538" s="47" t="s">
        <v>7189</v>
      </c>
      <c r="C1538" s="47" t="s">
        <v>7190</v>
      </c>
      <c r="D1538" s="47" t="s">
        <v>7191</v>
      </c>
      <c r="E1538" s="47"/>
      <c r="F1538" s="47" t="s">
        <v>3603</v>
      </c>
      <c r="G1538" s="47" t="s">
        <v>3604</v>
      </c>
      <c r="H1538" s="47" t="s">
        <v>3605</v>
      </c>
      <c r="I1538" s="47" t="s">
        <v>19144</v>
      </c>
    </row>
    <row r="1539" spans="1:9" ht="15">
      <c r="A1539" s="47">
        <v>72911</v>
      </c>
      <c r="B1539" s="47" t="s">
        <v>7192</v>
      </c>
      <c r="C1539" s="47" t="s">
        <v>7193</v>
      </c>
      <c r="D1539" s="47" t="s">
        <v>7194</v>
      </c>
      <c r="E1539" s="47"/>
      <c r="F1539" s="47" t="s">
        <v>5491</v>
      </c>
      <c r="G1539" s="47" t="s">
        <v>5492</v>
      </c>
      <c r="H1539" s="47" t="s">
        <v>3605</v>
      </c>
      <c r="I1539" s="47" t="s">
        <v>19145</v>
      </c>
    </row>
    <row r="1540" spans="1:9" ht="15">
      <c r="A1540" s="47">
        <v>72912</v>
      </c>
      <c r="B1540" s="47" t="s">
        <v>7195</v>
      </c>
      <c r="C1540" s="47" t="s">
        <v>7196</v>
      </c>
      <c r="D1540" s="47" t="s">
        <v>7197</v>
      </c>
      <c r="E1540" s="47"/>
      <c r="F1540" s="47" t="s">
        <v>3603</v>
      </c>
      <c r="G1540" s="47" t="s">
        <v>3604</v>
      </c>
      <c r="H1540" s="47" t="s">
        <v>3605</v>
      </c>
      <c r="I1540" s="47" t="s">
        <v>19146</v>
      </c>
    </row>
    <row r="1541" spans="1:9" ht="15">
      <c r="A1541" s="47">
        <v>72916</v>
      </c>
      <c r="B1541" s="47" t="s">
        <v>7198</v>
      </c>
      <c r="C1541" s="47" t="s">
        <v>7199</v>
      </c>
      <c r="D1541" s="47" t="s">
        <v>7200</v>
      </c>
      <c r="E1541" s="47"/>
      <c r="F1541" s="47" t="s">
        <v>3603</v>
      </c>
      <c r="G1541" s="47" t="s">
        <v>3604</v>
      </c>
      <c r="H1541" s="47" t="s">
        <v>3605</v>
      </c>
      <c r="I1541" s="47" t="s">
        <v>19147</v>
      </c>
    </row>
    <row r="1542" spans="1:9" ht="15">
      <c r="A1542" s="47">
        <v>72931</v>
      </c>
      <c r="B1542" s="47" t="s">
        <v>7201</v>
      </c>
      <c r="C1542" s="47" t="s">
        <v>7202</v>
      </c>
      <c r="D1542" s="47" t="s">
        <v>7203</v>
      </c>
      <c r="E1542" s="47"/>
      <c r="F1542" s="47" t="s">
        <v>5491</v>
      </c>
      <c r="G1542" s="47" t="s">
        <v>5492</v>
      </c>
      <c r="H1542" s="47" t="s">
        <v>3605</v>
      </c>
      <c r="I1542" s="47" t="s">
        <v>19148</v>
      </c>
    </row>
    <row r="1543" spans="1:9" ht="15">
      <c r="A1543" s="47">
        <v>72932</v>
      </c>
      <c r="B1543" s="47" t="s">
        <v>7204</v>
      </c>
      <c r="C1543" s="47" t="s">
        <v>7205</v>
      </c>
      <c r="D1543" s="47" t="s">
        <v>7206</v>
      </c>
      <c r="E1543" s="47"/>
      <c r="F1543" s="47" t="s">
        <v>5491</v>
      </c>
      <c r="G1543" s="47" t="s">
        <v>5492</v>
      </c>
      <c r="H1543" s="47" t="s">
        <v>3605</v>
      </c>
      <c r="I1543" s="47" t="s">
        <v>19149</v>
      </c>
    </row>
    <row r="1544" spans="1:9" ht="15">
      <c r="A1544" s="47">
        <v>72940</v>
      </c>
      <c r="B1544" s="47" t="s">
        <v>7207</v>
      </c>
      <c r="C1544" s="47" t="s">
        <v>7208</v>
      </c>
      <c r="D1544" s="47" t="s">
        <v>7209</v>
      </c>
      <c r="E1544" s="47"/>
      <c r="F1544" s="47"/>
      <c r="G1544" s="47"/>
      <c r="H1544" s="47" t="s">
        <v>3605</v>
      </c>
      <c r="I1544" s="47" t="s">
        <v>19150</v>
      </c>
    </row>
    <row r="1545" spans="1:9" ht="15">
      <c r="A1545" s="47">
        <v>72943</v>
      </c>
      <c r="B1545" s="47" t="s">
        <v>7210</v>
      </c>
      <c r="C1545" s="47" t="s">
        <v>7211</v>
      </c>
      <c r="D1545" s="47" t="s">
        <v>7212</v>
      </c>
      <c r="E1545" s="47"/>
      <c r="F1545" s="47" t="s">
        <v>5491</v>
      </c>
      <c r="G1545" s="47" t="s">
        <v>5492</v>
      </c>
      <c r="H1545" s="47" t="s">
        <v>3605</v>
      </c>
      <c r="I1545" s="47" t="s">
        <v>19151</v>
      </c>
    </row>
    <row r="1546" spans="1:9" ht="15">
      <c r="A1546" s="47">
        <v>72972</v>
      </c>
      <c r="B1546" s="47" t="s">
        <v>7213</v>
      </c>
      <c r="C1546" s="47" t="s">
        <v>7214</v>
      </c>
      <c r="D1546" s="47" t="s">
        <v>7215</v>
      </c>
      <c r="E1546" s="47"/>
      <c r="F1546" s="47"/>
      <c r="G1546" s="47"/>
      <c r="H1546" s="47" t="s">
        <v>3605</v>
      </c>
      <c r="I1546" s="47" t="s">
        <v>19152</v>
      </c>
    </row>
    <row r="1547" spans="1:9" ht="15">
      <c r="A1547" s="47">
        <v>72973</v>
      </c>
      <c r="B1547" s="47" t="s">
        <v>7216</v>
      </c>
      <c r="C1547" s="47" t="s">
        <v>7217</v>
      </c>
      <c r="D1547" s="47" t="s">
        <v>7218</v>
      </c>
      <c r="E1547" s="47"/>
      <c r="F1547" s="47" t="s">
        <v>5491</v>
      </c>
      <c r="G1547" s="47" t="s">
        <v>5492</v>
      </c>
      <c r="H1547" s="47" t="s">
        <v>3605</v>
      </c>
      <c r="I1547" s="47" t="s">
        <v>19153</v>
      </c>
    </row>
    <row r="1548" spans="1:9" ht="15">
      <c r="A1548" s="47">
        <v>72974</v>
      </c>
      <c r="B1548" s="47" t="s">
        <v>7219</v>
      </c>
      <c r="C1548" s="47" t="s">
        <v>7220</v>
      </c>
      <c r="D1548" s="47" t="s">
        <v>7221</v>
      </c>
      <c r="E1548" s="47"/>
      <c r="F1548" s="47" t="s">
        <v>5491</v>
      </c>
      <c r="G1548" s="47" t="s">
        <v>5492</v>
      </c>
      <c r="H1548" s="47" t="s">
        <v>3605</v>
      </c>
      <c r="I1548" s="47" t="s">
        <v>19154</v>
      </c>
    </row>
    <row r="1549" spans="1:9" ht="15">
      <c r="A1549" s="47">
        <v>72979</v>
      </c>
      <c r="B1549" s="47" t="s">
        <v>7222</v>
      </c>
      <c r="C1549" s="47" t="s">
        <v>7223</v>
      </c>
      <c r="D1549" s="47" t="s">
        <v>7224</v>
      </c>
      <c r="E1549" s="47"/>
      <c r="F1549" s="47" t="s">
        <v>3603</v>
      </c>
      <c r="G1549" s="47" t="s">
        <v>3604</v>
      </c>
      <c r="H1549" s="47" t="s">
        <v>3605</v>
      </c>
      <c r="I1549" s="47" t="s">
        <v>19155</v>
      </c>
    </row>
    <row r="1550" spans="1:9" ht="15">
      <c r="A1550" s="47">
        <v>72984</v>
      </c>
      <c r="B1550" s="47" t="s">
        <v>7225</v>
      </c>
      <c r="C1550" s="47" t="s">
        <v>7226</v>
      </c>
      <c r="D1550" s="47" t="s">
        <v>7227</v>
      </c>
      <c r="E1550" s="47"/>
      <c r="F1550" s="47" t="s">
        <v>3603</v>
      </c>
      <c r="G1550" s="47" t="s">
        <v>3604</v>
      </c>
      <c r="H1550" s="47" t="s">
        <v>3605</v>
      </c>
      <c r="I1550" s="47" t="s">
        <v>19156</v>
      </c>
    </row>
    <row r="1551" spans="1:9" ht="15">
      <c r="A1551" s="47">
        <v>72986</v>
      </c>
      <c r="B1551" s="47" t="s">
        <v>7228</v>
      </c>
      <c r="C1551" s="47" t="s">
        <v>7229</v>
      </c>
      <c r="D1551" s="47" t="s">
        <v>7230</v>
      </c>
      <c r="E1551" s="47"/>
      <c r="F1551" s="47" t="s">
        <v>3603</v>
      </c>
      <c r="G1551" s="47" t="s">
        <v>3604</v>
      </c>
      <c r="H1551" s="47" t="s">
        <v>3605</v>
      </c>
      <c r="I1551" s="47" t="s">
        <v>19157</v>
      </c>
    </row>
    <row r="1552" spans="1:9" ht="15">
      <c r="A1552" s="47">
        <v>72987</v>
      </c>
      <c r="B1552" s="47" t="s">
        <v>7231</v>
      </c>
      <c r="C1552" s="47" t="s">
        <v>7232</v>
      </c>
      <c r="D1552" s="47" t="s">
        <v>7233</v>
      </c>
      <c r="E1552" s="47"/>
      <c r="F1552" s="47" t="s">
        <v>3603</v>
      </c>
      <c r="G1552" s="47" t="s">
        <v>3604</v>
      </c>
      <c r="H1552" s="47" t="s">
        <v>3605</v>
      </c>
      <c r="I1552" s="47" t="s">
        <v>19158</v>
      </c>
    </row>
    <row r="1553" spans="1:9" ht="15">
      <c r="A1553" s="47">
        <v>72988</v>
      </c>
      <c r="B1553" s="47" t="s">
        <v>7234</v>
      </c>
      <c r="C1553" s="47" t="s">
        <v>7235</v>
      </c>
      <c r="D1553" s="47" t="s">
        <v>7236</v>
      </c>
      <c r="E1553" s="47"/>
      <c r="F1553" s="47" t="s">
        <v>3603</v>
      </c>
      <c r="G1553" s="47" t="s">
        <v>3604</v>
      </c>
      <c r="H1553" s="47" t="s">
        <v>3605</v>
      </c>
      <c r="I1553" s="47" t="s">
        <v>19159</v>
      </c>
    </row>
    <row r="1554" spans="1:9" ht="15">
      <c r="A1554" s="47">
        <v>72989</v>
      </c>
      <c r="B1554" s="47" t="s">
        <v>7237</v>
      </c>
      <c r="C1554" s="47" t="s">
        <v>7238</v>
      </c>
      <c r="D1554" s="47" t="s">
        <v>7239</v>
      </c>
      <c r="E1554" s="47"/>
      <c r="F1554" s="47" t="s">
        <v>3603</v>
      </c>
      <c r="G1554" s="47" t="s">
        <v>3604</v>
      </c>
      <c r="H1554" s="47" t="s">
        <v>3605</v>
      </c>
      <c r="I1554" s="47" t="s">
        <v>19160</v>
      </c>
    </row>
    <row r="1555" spans="1:9" ht="15">
      <c r="A1555" s="47">
        <v>72990</v>
      </c>
      <c r="B1555" s="47" t="s">
        <v>7240</v>
      </c>
      <c r="C1555" s="47" t="s">
        <v>7241</v>
      </c>
      <c r="D1555" s="47" t="s">
        <v>7242</v>
      </c>
      <c r="E1555" s="47"/>
      <c r="F1555" s="47" t="s">
        <v>3603</v>
      </c>
      <c r="G1555" s="47" t="s">
        <v>3604</v>
      </c>
      <c r="H1555" s="47" t="s">
        <v>3605</v>
      </c>
      <c r="I1555" s="47" t="s">
        <v>19161</v>
      </c>
    </row>
    <row r="1556" spans="1:9" ht="15">
      <c r="A1556" s="47">
        <v>72991</v>
      </c>
      <c r="B1556" s="47" t="s">
        <v>7243</v>
      </c>
      <c r="C1556" s="47" t="s">
        <v>7244</v>
      </c>
      <c r="D1556" s="47" t="s">
        <v>7245</v>
      </c>
      <c r="E1556" s="47"/>
      <c r="F1556" s="47" t="s">
        <v>3603</v>
      </c>
      <c r="G1556" s="47" t="s">
        <v>3604</v>
      </c>
      <c r="H1556" s="47" t="s">
        <v>3605</v>
      </c>
      <c r="I1556" s="47" t="s">
        <v>19162</v>
      </c>
    </row>
    <row r="1557" spans="1:9" ht="15">
      <c r="A1557" s="47">
        <v>72992</v>
      </c>
      <c r="B1557" s="47" t="s">
        <v>7246</v>
      </c>
      <c r="C1557" s="47" t="s">
        <v>7247</v>
      </c>
      <c r="D1557" s="47" t="s">
        <v>7248</v>
      </c>
      <c r="E1557" s="47"/>
      <c r="F1557" s="47" t="s">
        <v>3603</v>
      </c>
      <c r="G1557" s="47" t="s">
        <v>3604</v>
      </c>
      <c r="H1557" s="47" t="s">
        <v>3605</v>
      </c>
      <c r="I1557" s="47" t="s">
        <v>19163</v>
      </c>
    </row>
    <row r="1558" spans="1:9" ht="15">
      <c r="A1558" s="47">
        <v>72993</v>
      </c>
      <c r="B1558" s="47" t="s">
        <v>7249</v>
      </c>
      <c r="C1558" s="47" t="s">
        <v>7250</v>
      </c>
      <c r="D1558" s="47" t="s">
        <v>7251</v>
      </c>
      <c r="E1558" s="47"/>
      <c r="F1558" s="47" t="s">
        <v>3603</v>
      </c>
      <c r="G1558" s="47" t="s">
        <v>3604</v>
      </c>
      <c r="H1558" s="47" t="s">
        <v>3605</v>
      </c>
      <c r="I1558" s="47" t="s">
        <v>19164</v>
      </c>
    </row>
    <row r="1559" spans="1:9" ht="15">
      <c r="A1559" s="47">
        <v>72994</v>
      </c>
      <c r="B1559" s="47" t="s">
        <v>7252</v>
      </c>
      <c r="C1559" s="47" t="s">
        <v>7253</v>
      </c>
      <c r="D1559" s="47" t="s">
        <v>7254</v>
      </c>
      <c r="E1559" s="47"/>
      <c r="F1559" s="47"/>
      <c r="G1559" s="47"/>
      <c r="H1559" s="47" t="s">
        <v>3605</v>
      </c>
      <c r="I1559" s="47" t="s">
        <v>19165</v>
      </c>
    </row>
    <row r="1560" spans="1:9" ht="15">
      <c r="A1560" s="47">
        <v>140535</v>
      </c>
      <c r="B1560" s="47" t="s">
        <v>7255</v>
      </c>
      <c r="C1560" s="47" t="s">
        <v>7256</v>
      </c>
      <c r="D1560" s="47" t="s">
        <v>7257</v>
      </c>
      <c r="E1560" s="47"/>
      <c r="F1560" s="47"/>
      <c r="G1560" s="47"/>
      <c r="H1560" s="47" t="s">
        <v>3605</v>
      </c>
      <c r="I1560" s="47" t="s">
        <v>19166</v>
      </c>
    </row>
    <row r="1561" spans="1:9" ht="15">
      <c r="A1561" s="47">
        <v>72997</v>
      </c>
      <c r="B1561" s="47" t="s">
        <v>7258</v>
      </c>
      <c r="C1561" s="47" t="s">
        <v>7259</v>
      </c>
      <c r="D1561" s="47" t="s">
        <v>7260</v>
      </c>
      <c r="E1561" s="47"/>
      <c r="F1561" s="47" t="s">
        <v>3603</v>
      </c>
      <c r="G1561" s="47" t="s">
        <v>3604</v>
      </c>
      <c r="H1561" s="47" t="s">
        <v>3605</v>
      </c>
      <c r="I1561" s="47" t="s">
        <v>19167</v>
      </c>
    </row>
    <row r="1562" spans="1:9" ht="15">
      <c r="A1562" s="47">
        <v>73001</v>
      </c>
      <c r="B1562" s="47" t="s">
        <v>7261</v>
      </c>
      <c r="C1562" s="47" t="s">
        <v>7262</v>
      </c>
      <c r="D1562" s="47" t="s">
        <v>7263</v>
      </c>
      <c r="E1562" s="47"/>
      <c r="F1562" s="47" t="s">
        <v>3603</v>
      </c>
      <c r="G1562" s="47" t="s">
        <v>3604</v>
      </c>
      <c r="H1562" s="47" t="s">
        <v>3605</v>
      </c>
      <c r="I1562" s="47" t="s">
        <v>19168</v>
      </c>
    </row>
    <row r="1563" spans="1:9" ht="15">
      <c r="A1563" s="47">
        <v>73010</v>
      </c>
      <c r="B1563" s="47" t="s">
        <v>7264</v>
      </c>
      <c r="C1563" s="47" t="s">
        <v>7265</v>
      </c>
      <c r="D1563" s="47" t="s">
        <v>7266</v>
      </c>
      <c r="E1563" s="47"/>
      <c r="F1563" s="47" t="s">
        <v>3603</v>
      </c>
      <c r="G1563" s="47" t="s">
        <v>3604</v>
      </c>
      <c r="H1563" s="47" t="s">
        <v>3605</v>
      </c>
      <c r="I1563" s="47" t="s">
        <v>19169</v>
      </c>
    </row>
    <row r="1564" spans="1:9" ht="15">
      <c r="A1564" s="47">
        <v>84429</v>
      </c>
      <c r="B1564" s="47" t="s">
        <v>7267</v>
      </c>
      <c r="C1564" s="47" t="s">
        <v>7268</v>
      </c>
      <c r="D1564" s="47" t="s">
        <v>7269</v>
      </c>
      <c r="E1564" s="47"/>
      <c r="F1564" s="47"/>
      <c r="G1564" s="47"/>
      <c r="H1564" s="47" t="s">
        <v>3605</v>
      </c>
      <c r="I1564" s="47" t="s">
        <v>19170</v>
      </c>
    </row>
    <row r="1565" spans="1:9" ht="15">
      <c r="A1565" s="47">
        <v>140536</v>
      </c>
      <c r="B1565" s="47" t="s">
        <v>7270</v>
      </c>
      <c r="C1565" s="47" t="s">
        <v>7271</v>
      </c>
      <c r="D1565" s="47" t="s">
        <v>7272</v>
      </c>
      <c r="E1565" s="47"/>
      <c r="F1565" s="47"/>
      <c r="G1565" s="47"/>
      <c r="H1565" s="47" t="s">
        <v>3605</v>
      </c>
      <c r="I1565" s="47" t="s">
        <v>19171</v>
      </c>
    </row>
    <row r="1566" spans="1:9" ht="15">
      <c r="A1566" s="47">
        <v>93207</v>
      </c>
      <c r="B1566" s="47" t="s">
        <v>7273</v>
      </c>
      <c r="C1566" s="47" t="s">
        <v>7274</v>
      </c>
      <c r="D1566" s="47" t="s">
        <v>7275</v>
      </c>
      <c r="E1566" s="47"/>
      <c r="F1566" s="47" t="s">
        <v>3603</v>
      </c>
      <c r="G1566" s="47" t="s">
        <v>3604</v>
      </c>
      <c r="H1566" s="47" t="s">
        <v>3605</v>
      </c>
      <c r="I1566" s="47" t="s">
        <v>19172</v>
      </c>
    </row>
    <row r="1567" spans="1:9" ht="15">
      <c r="A1567" s="47">
        <v>93260</v>
      </c>
      <c r="B1567" s="47" t="s">
        <v>7276</v>
      </c>
      <c r="C1567" s="47" t="s">
        <v>7277</v>
      </c>
      <c r="D1567" s="47" t="s">
        <v>7278</v>
      </c>
      <c r="E1567" s="47"/>
      <c r="F1567" s="47"/>
      <c r="G1567" s="47"/>
      <c r="H1567" s="47" t="s">
        <v>3605</v>
      </c>
      <c r="I1567" s="47" t="s">
        <v>19173</v>
      </c>
    </row>
    <row r="1568" spans="1:9" ht="15">
      <c r="A1568" s="47">
        <v>140537</v>
      </c>
      <c r="B1568" s="47" t="s">
        <v>7279</v>
      </c>
      <c r="C1568" s="47" t="s">
        <v>7280</v>
      </c>
      <c r="D1568" s="47" t="s">
        <v>7281</v>
      </c>
      <c r="E1568" s="47"/>
      <c r="F1568" s="47"/>
      <c r="G1568" s="47"/>
      <c r="H1568" s="47" t="s">
        <v>3605</v>
      </c>
      <c r="I1568" s="47" t="s">
        <v>19174</v>
      </c>
    </row>
    <row r="1569" spans="1:9" ht="15">
      <c r="A1569" s="47">
        <v>150300</v>
      </c>
      <c r="B1569" s="47" t="s">
        <v>7282</v>
      </c>
      <c r="C1569" s="47" t="s">
        <v>7283</v>
      </c>
      <c r="D1569" s="47" t="s">
        <v>7284</v>
      </c>
      <c r="E1569" s="47"/>
      <c r="F1569" s="47"/>
      <c r="G1569" s="47"/>
      <c r="H1569" s="47" t="s">
        <v>3605</v>
      </c>
      <c r="I1569" s="47" t="s">
        <v>19175</v>
      </c>
    </row>
    <row r="1570" spans="1:9" ht="15">
      <c r="A1570" s="47">
        <v>10031</v>
      </c>
      <c r="B1570" s="47" t="s">
        <v>7285</v>
      </c>
      <c r="C1570" s="47" t="s">
        <v>7286</v>
      </c>
      <c r="D1570" s="47" t="s">
        <v>7287</v>
      </c>
      <c r="E1570" s="47"/>
      <c r="F1570" s="47"/>
      <c r="G1570" s="47"/>
      <c r="H1570" s="47" t="s">
        <v>3605</v>
      </c>
      <c r="I1570" s="47" t="s">
        <v>19176</v>
      </c>
    </row>
    <row r="1571" spans="1:9" ht="15">
      <c r="A1571" s="47">
        <v>41928</v>
      </c>
      <c r="B1571" s="47" t="s">
        <v>7288</v>
      </c>
      <c r="C1571" s="47" t="s">
        <v>7289</v>
      </c>
      <c r="D1571" s="47" t="s">
        <v>7290</v>
      </c>
      <c r="E1571" s="47"/>
      <c r="F1571" s="47"/>
      <c r="G1571" s="47"/>
      <c r="H1571" s="47" t="s">
        <v>3605</v>
      </c>
      <c r="I1571" s="47" t="s">
        <v>19177</v>
      </c>
    </row>
    <row r="1572" spans="1:9" ht="15">
      <c r="A1572" s="47">
        <v>42422</v>
      </c>
      <c r="B1572" s="47" t="s">
        <v>7291</v>
      </c>
      <c r="C1572" s="47" t="s">
        <v>7292</v>
      </c>
      <c r="D1572" s="47" t="s">
        <v>7293</v>
      </c>
      <c r="E1572" s="47"/>
      <c r="F1572" s="47"/>
      <c r="G1572" s="47"/>
      <c r="H1572" s="47" t="s">
        <v>3605</v>
      </c>
      <c r="I1572" s="47" t="s">
        <v>19178</v>
      </c>
    </row>
    <row r="1573" spans="1:9" ht="15">
      <c r="A1573" s="47">
        <v>42426</v>
      </c>
      <c r="B1573" s="47" t="s">
        <v>7294</v>
      </c>
      <c r="C1573" s="47" t="s">
        <v>7295</v>
      </c>
      <c r="D1573" s="47" t="s">
        <v>7296</v>
      </c>
      <c r="E1573" s="47"/>
      <c r="F1573" s="47"/>
      <c r="G1573" s="47"/>
      <c r="H1573" s="47" t="s">
        <v>3605</v>
      </c>
      <c r="I1573" s="47" t="s">
        <v>19179</v>
      </c>
    </row>
    <row r="1574" spans="1:9" ht="15">
      <c r="A1574" s="47">
        <v>42447</v>
      </c>
      <c r="B1574" s="47" t="s">
        <v>7297</v>
      </c>
      <c r="C1574" s="47" t="s">
        <v>7298</v>
      </c>
      <c r="D1574" s="47" t="s">
        <v>7299</v>
      </c>
      <c r="E1574" s="47"/>
      <c r="F1574" s="47"/>
      <c r="G1574" s="47"/>
      <c r="H1574" s="47" t="s">
        <v>3605</v>
      </c>
      <c r="I1574" s="47" t="s">
        <v>19180</v>
      </c>
    </row>
    <row r="1575" spans="1:9" ht="15">
      <c r="A1575" s="47">
        <v>150350</v>
      </c>
      <c r="B1575" s="47" t="s">
        <v>7300</v>
      </c>
      <c r="C1575" s="47" t="s">
        <v>7301</v>
      </c>
      <c r="D1575" s="47" t="s">
        <v>7302</v>
      </c>
      <c r="E1575" s="47"/>
      <c r="F1575" s="47"/>
      <c r="G1575" s="47"/>
      <c r="H1575" s="47" t="s">
        <v>3605</v>
      </c>
      <c r="I1575" s="47" t="s">
        <v>19181</v>
      </c>
    </row>
    <row r="1576" spans="1:9" ht="15">
      <c r="A1576" s="47">
        <v>42463</v>
      </c>
      <c r="B1576" s="47" t="s">
        <v>7303</v>
      </c>
      <c r="C1576" s="47" t="s">
        <v>7304</v>
      </c>
      <c r="D1576" s="47" t="s">
        <v>7305</v>
      </c>
      <c r="E1576" s="47"/>
      <c r="F1576" s="47"/>
      <c r="G1576" s="47"/>
      <c r="H1576" s="47" t="s">
        <v>3605</v>
      </c>
      <c r="I1576" s="47" t="s">
        <v>19182</v>
      </c>
    </row>
    <row r="1577" spans="1:9" ht="15">
      <c r="A1577" s="47">
        <v>42466</v>
      </c>
      <c r="B1577" s="47" t="s">
        <v>7306</v>
      </c>
      <c r="C1577" s="47" t="s">
        <v>7307</v>
      </c>
      <c r="D1577" s="47" t="s">
        <v>7308</v>
      </c>
      <c r="E1577" s="47"/>
      <c r="F1577" s="47"/>
      <c r="G1577" s="47"/>
      <c r="H1577" s="47" t="s">
        <v>3605</v>
      </c>
      <c r="I1577" s="47" t="s">
        <v>19183</v>
      </c>
    </row>
    <row r="1578" spans="1:9" ht="15">
      <c r="A1578" s="47">
        <v>42472</v>
      </c>
      <c r="B1578" s="47" t="s">
        <v>7309</v>
      </c>
      <c r="C1578" s="47" t="s">
        <v>7310</v>
      </c>
      <c r="D1578" s="47" t="s">
        <v>7311</v>
      </c>
      <c r="E1578" s="47"/>
      <c r="F1578" s="47"/>
      <c r="G1578" s="47"/>
      <c r="H1578" s="47" t="s">
        <v>3605</v>
      </c>
      <c r="I1578" s="47" t="s">
        <v>19184</v>
      </c>
    </row>
    <row r="1579" spans="1:9" ht="15">
      <c r="A1579" s="47">
        <v>42641</v>
      </c>
      <c r="B1579" s="47" t="s">
        <v>7312</v>
      </c>
      <c r="C1579" s="47" t="s">
        <v>7313</v>
      </c>
      <c r="D1579" s="47" t="s">
        <v>7314</v>
      </c>
      <c r="E1579" s="47"/>
      <c r="F1579" s="47"/>
      <c r="G1579" s="47"/>
      <c r="H1579" s="47" t="s">
        <v>3605</v>
      </c>
      <c r="I1579" s="47" t="s">
        <v>19185</v>
      </c>
    </row>
    <row r="1580" spans="1:9" ht="15">
      <c r="A1580" s="47">
        <v>42649</v>
      </c>
      <c r="B1580" s="47" t="s">
        <v>7315</v>
      </c>
      <c r="C1580" s="47" t="s">
        <v>7316</v>
      </c>
      <c r="D1580" s="47" t="s">
        <v>7317</v>
      </c>
      <c r="E1580" s="47"/>
      <c r="F1580" s="47"/>
      <c r="G1580" s="47"/>
      <c r="H1580" s="47" t="s">
        <v>3605</v>
      </c>
      <c r="I1580" s="47" t="s">
        <v>19186</v>
      </c>
    </row>
    <row r="1581" spans="1:9" ht="15">
      <c r="A1581" s="47">
        <v>42700</v>
      </c>
      <c r="B1581" s="47" t="s">
        <v>7318</v>
      </c>
      <c r="C1581" s="47" t="s">
        <v>7319</v>
      </c>
      <c r="D1581" s="47" t="s">
        <v>7320</v>
      </c>
      <c r="E1581" s="47"/>
      <c r="F1581" s="47"/>
      <c r="G1581" s="47"/>
      <c r="H1581" s="47" t="s">
        <v>3605</v>
      </c>
      <c r="I1581" s="47" t="s">
        <v>19187</v>
      </c>
    </row>
    <row r="1582" spans="1:9" ht="15">
      <c r="A1582" s="47">
        <v>42722</v>
      </c>
      <c r="B1582" s="47" t="s">
        <v>7321</v>
      </c>
      <c r="C1582" s="47" t="s">
        <v>7322</v>
      </c>
      <c r="D1582" s="47" t="s">
        <v>7323</v>
      </c>
      <c r="E1582" s="47"/>
      <c r="F1582" s="47"/>
      <c r="G1582" s="47"/>
      <c r="H1582" s="47" t="s">
        <v>3605</v>
      </c>
      <c r="I1582" s="47" t="s">
        <v>19188</v>
      </c>
    </row>
    <row r="1583" spans="1:9" ht="15">
      <c r="A1583" s="47">
        <v>42723</v>
      </c>
      <c r="B1583" s="47" t="s">
        <v>7324</v>
      </c>
      <c r="C1583" s="47" t="s">
        <v>7325</v>
      </c>
      <c r="D1583" s="47" t="s">
        <v>7326</v>
      </c>
      <c r="E1583" s="47"/>
      <c r="F1583" s="47"/>
      <c r="G1583" s="47"/>
      <c r="H1583" s="47" t="s">
        <v>3605</v>
      </c>
      <c r="I1583" s="47" t="s">
        <v>19189</v>
      </c>
    </row>
    <row r="1584" spans="1:9" ht="15">
      <c r="A1584" s="47">
        <v>42724</v>
      </c>
      <c r="B1584" s="47" t="s">
        <v>7327</v>
      </c>
      <c r="C1584" s="47" t="s">
        <v>7328</v>
      </c>
      <c r="D1584" s="47" t="s">
        <v>7329</v>
      </c>
      <c r="E1584" s="47"/>
      <c r="F1584" s="47"/>
      <c r="G1584" s="47"/>
      <c r="H1584" s="47" t="s">
        <v>3605</v>
      </c>
      <c r="I1584" s="47" t="s">
        <v>19190</v>
      </c>
    </row>
    <row r="1585" spans="1:9" ht="15">
      <c r="A1585" s="47">
        <v>42726</v>
      </c>
      <c r="B1585" s="47" t="s">
        <v>7330</v>
      </c>
      <c r="C1585" s="47" t="s">
        <v>7331</v>
      </c>
      <c r="D1585" s="47" t="s">
        <v>7332</v>
      </c>
      <c r="E1585" s="47"/>
      <c r="F1585" s="47"/>
      <c r="G1585" s="47"/>
      <c r="H1585" s="47" t="s">
        <v>3605</v>
      </c>
      <c r="I1585" s="47" t="s">
        <v>19191</v>
      </c>
    </row>
    <row r="1586" spans="1:9" ht="15">
      <c r="A1586" s="47">
        <v>46294</v>
      </c>
      <c r="B1586" s="47" t="s">
        <v>7333</v>
      </c>
      <c r="C1586" s="47" t="s">
        <v>7334</v>
      </c>
      <c r="D1586" s="47" t="s">
        <v>7335</v>
      </c>
      <c r="E1586" s="47"/>
      <c r="F1586" s="47"/>
      <c r="G1586" s="47"/>
      <c r="H1586" s="47" t="s">
        <v>3605</v>
      </c>
      <c r="I1586" s="47" t="s">
        <v>19192</v>
      </c>
    </row>
    <row r="1587" spans="1:9" ht="15">
      <c r="A1587" s="47">
        <v>150356</v>
      </c>
      <c r="B1587" s="47" t="s">
        <v>7336</v>
      </c>
      <c r="C1587" s="47" t="s">
        <v>7337</v>
      </c>
      <c r="D1587" s="47" t="s">
        <v>7338</v>
      </c>
      <c r="E1587" s="47"/>
      <c r="F1587" s="47"/>
      <c r="G1587" s="47"/>
      <c r="H1587" s="47" t="s">
        <v>3605</v>
      </c>
      <c r="I1587" s="47" t="s">
        <v>19193</v>
      </c>
    </row>
    <row r="1588" spans="1:9" ht="15">
      <c r="A1588" s="47">
        <v>150357</v>
      </c>
      <c r="B1588" s="47" t="s">
        <v>7339</v>
      </c>
      <c r="C1588" s="47" t="s">
        <v>7340</v>
      </c>
      <c r="D1588" s="47" t="s">
        <v>7341</v>
      </c>
      <c r="E1588" s="47"/>
      <c r="F1588" s="47"/>
      <c r="G1588" s="47"/>
      <c r="H1588" s="47" t="s">
        <v>3605</v>
      </c>
      <c r="I1588" s="47" t="s">
        <v>19194</v>
      </c>
    </row>
    <row r="1589" spans="1:9" ht="15">
      <c r="A1589" s="47">
        <v>150358</v>
      </c>
      <c r="B1589" s="47" t="s">
        <v>7342</v>
      </c>
      <c r="C1589" s="47" t="s">
        <v>7343</v>
      </c>
      <c r="D1589" s="47" t="s">
        <v>7344</v>
      </c>
      <c r="E1589" s="47"/>
      <c r="F1589" s="47"/>
      <c r="G1589" s="47"/>
      <c r="H1589" s="47" t="s">
        <v>3605</v>
      </c>
      <c r="I1589" s="47" t="s">
        <v>19195</v>
      </c>
    </row>
    <row r="1590" spans="1:9" ht="15">
      <c r="A1590" s="47">
        <v>150361</v>
      </c>
      <c r="B1590" s="47" t="s">
        <v>7345</v>
      </c>
      <c r="C1590" s="47" t="s">
        <v>7346</v>
      </c>
      <c r="D1590" s="47" t="s">
        <v>7347</v>
      </c>
      <c r="E1590" s="47"/>
      <c r="F1590" s="47"/>
      <c r="G1590" s="47"/>
      <c r="H1590" s="47" t="s">
        <v>3605</v>
      </c>
      <c r="I1590" s="47" t="s">
        <v>19196</v>
      </c>
    </row>
    <row r="1591" spans="1:9" ht="15">
      <c r="A1591" s="47">
        <v>72001</v>
      </c>
      <c r="B1591" s="47" t="s">
        <v>7348</v>
      </c>
      <c r="C1591" s="47" t="s">
        <v>7349</v>
      </c>
      <c r="D1591" s="47" t="s">
        <v>7350</v>
      </c>
      <c r="E1591" s="47"/>
      <c r="F1591" s="47"/>
      <c r="G1591" s="47"/>
      <c r="H1591" s="47" t="s">
        <v>3605</v>
      </c>
      <c r="I1591" s="47" t="s">
        <v>19197</v>
      </c>
    </row>
    <row r="1592" spans="1:9" ht="15">
      <c r="A1592" s="47">
        <v>150362</v>
      </c>
      <c r="B1592" s="47" t="s">
        <v>7351</v>
      </c>
      <c r="C1592" s="47" t="s">
        <v>7352</v>
      </c>
      <c r="D1592" s="47" t="s">
        <v>7353</v>
      </c>
      <c r="E1592" s="47"/>
      <c r="F1592" s="47"/>
      <c r="G1592" s="47"/>
      <c r="H1592" s="47" t="s">
        <v>3605</v>
      </c>
      <c r="I1592" s="47" t="s">
        <v>19198</v>
      </c>
    </row>
    <row r="1593" spans="1:9" ht="15">
      <c r="A1593" s="47">
        <v>150363</v>
      </c>
      <c r="B1593" s="47" t="s">
        <v>7354</v>
      </c>
      <c r="C1593" s="47" t="s">
        <v>7355</v>
      </c>
      <c r="D1593" s="47" t="s">
        <v>7356</v>
      </c>
      <c r="E1593" s="47"/>
      <c r="F1593" s="47"/>
      <c r="G1593" s="47"/>
      <c r="H1593" s="47" t="s">
        <v>3605</v>
      </c>
      <c r="I1593" s="47" t="s">
        <v>19199</v>
      </c>
    </row>
    <row r="1594" spans="1:9" ht="15">
      <c r="A1594" s="47">
        <v>72378</v>
      </c>
      <c r="B1594" s="47" t="s">
        <v>7357</v>
      </c>
      <c r="C1594" s="47" t="s">
        <v>7358</v>
      </c>
      <c r="D1594" s="47" t="s">
        <v>7359</v>
      </c>
      <c r="E1594" s="47"/>
      <c r="F1594" s="47"/>
      <c r="G1594" s="47"/>
      <c r="H1594" s="47" t="s">
        <v>3605</v>
      </c>
      <c r="I1594" s="47" t="s">
        <v>19200</v>
      </c>
    </row>
    <row r="1595" spans="1:9" ht="15">
      <c r="A1595" s="47">
        <v>72843</v>
      </c>
      <c r="B1595" s="47" t="s">
        <v>7360</v>
      </c>
      <c r="C1595" s="47" t="s">
        <v>7361</v>
      </c>
      <c r="D1595" s="47" t="s">
        <v>7362</v>
      </c>
      <c r="E1595" s="47"/>
      <c r="F1595" s="47"/>
      <c r="G1595" s="47"/>
      <c r="H1595" s="47" t="s">
        <v>3605</v>
      </c>
      <c r="I1595" s="47" t="s">
        <v>19201</v>
      </c>
    </row>
    <row r="1596" spans="1:9" ht="15">
      <c r="A1596" s="47">
        <v>72874</v>
      </c>
      <c r="B1596" s="47" t="s">
        <v>7363</v>
      </c>
      <c r="C1596" s="47" t="s">
        <v>7364</v>
      </c>
      <c r="D1596" s="47" t="s">
        <v>7365</v>
      </c>
      <c r="E1596" s="47"/>
      <c r="F1596" s="47"/>
      <c r="G1596" s="47"/>
      <c r="H1596" s="47" t="s">
        <v>3605</v>
      </c>
      <c r="I1596" s="47" t="s">
        <v>19202</v>
      </c>
    </row>
    <row r="1597" spans="1:9" ht="15">
      <c r="A1597" s="47">
        <v>72996</v>
      </c>
      <c r="B1597" s="47" t="s">
        <v>7366</v>
      </c>
      <c r="C1597" s="47" t="s">
        <v>7367</v>
      </c>
      <c r="D1597" s="47" t="s">
        <v>7368</v>
      </c>
      <c r="E1597" s="47"/>
      <c r="F1597" s="47"/>
      <c r="G1597" s="47"/>
      <c r="H1597" s="47" t="s">
        <v>3605</v>
      </c>
      <c r="I1597" s="47" t="s">
        <v>19203</v>
      </c>
    </row>
    <row r="1598" spans="1:9" ht="15">
      <c r="A1598" s="47">
        <v>72998</v>
      </c>
      <c r="B1598" s="47" t="s">
        <v>7369</v>
      </c>
      <c r="C1598" s="47" t="s">
        <v>7370</v>
      </c>
      <c r="D1598" s="47" t="s">
        <v>7371</v>
      </c>
      <c r="E1598" s="47"/>
      <c r="F1598" s="47"/>
      <c r="G1598" s="47"/>
      <c r="H1598" s="47" t="s">
        <v>3605</v>
      </c>
      <c r="I1598" s="47" t="s">
        <v>19204</v>
      </c>
    </row>
    <row r="1599" spans="1:9" ht="15">
      <c r="A1599" s="47">
        <v>73000</v>
      </c>
      <c r="B1599" s="47" t="s">
        <v>7372</v>
      </c>
      <c r="C1599" s="47" t="s">
        <v>7373</v>
      </c>
      <c r="D1599" s="47" t="s">
        <v>7374</v>
      </c>
      <c r="E1599" s="47"/>
      <c r="F1599" s="47"/>
      <c r="G1599" s="47"/>
      <c r="H1599" s="47" t="s">
        <v>3605</v>
      </c>
      <c r="I1599" s="47" t="s">
        <v>19205</v>
      </c>
    </row>
    <row r="1600" spans="1:9" ht="15">
      <c r="A1600" s="47">
        <v>150364</v>
      </c>
      <c r="B1600" s="47" t="s">
        <v>7375</v>
      </c>
      <c r="C1600" s="47" t="s">
        <v>7376</v>
      </c>
      <c r="D1600" s="47" t="s">
        <v>7377</v>
      </c>
      <c r="E1600" s="47"/>
      <c r="F1600" s="47"/>
      <c r="G1600" s="47"/>
      <c r="H1600" s="47" t="s">
        <v>3605</v>
      </c>
      <c r="I1600" s="47" t="s">
        <v>19206</v>
      </c>
    </row>
    <row r="1601" spans="1:9" ht="15">
      <c r="A1601" s="47">
        <v>150365</v>
      </c>
      <c r="B1601" s="47" t="s">
        <v>7378</v>
      </c>
      <c r="C1601" s="47" t="s">
        <v>7379</v>
      </c>
      <c r="D1601" s="47" t="s">
        <v>7380</v>
      </c>
      <c r="E1601" s="47"/>
      <c r="F1601" s="47"/>
      <c r="G1601" s="47"/>
      <c r="H1601" s="47" t="s">
        <v>3605</v>
      </c>
      <c r="I1601" s="47" t="s">
        <v>19207</v>
      </c>
    </row>
    <row r="1602" spans="1:9" ht="15">
      <c r="A1602" s="47">
        <v>150366</v>
      </c>
      <c r="B1602" s="47" t="s">
        <v>7381</v>
      </c>
      <c r="C1602" s="47" t="s">
        <v>7382</v>
      </c>
      <c r="D1602" s="47" t="s">
        <v>7383</v>
      </c>
      <c r="E1602" s="47"/>
      <c r="F1602" s="47"/>
      <c r="G1602" s="47"/>
      <c r="H1602" s="47" t="s">
        <v>3605</v>
      </c>
      <c r="I1602" s="47" t="s">
        <v>19208</v>
      </c>
    </row>
    <row r="1603" spans="1:9" ht="15">
      <c r="A1603" s="47">
        <v>150367</v>
      </c>
      <c r="B1603" s="47" t="s">
        <v>7384</v>
      </c>
      <c r="C1603" s="47" t="s">
        <v>7385</v>
      </c>
      <c r="D1603" s="47" t="s">
        <v>7386</v>
      </c>
      <c r="E1603" s="47"/>
      <c r="F1603" s="47"/>
      <c r="G1603" s="47"/>
      <c r="H1603" s="47" t="s">
        <v>3605</v>
      </c>
      <c r="I1603" s="47" t="s">
        <v>19209</v>
      </c>
    </row>
    <row r="1604" spans="1:9" ht="15">
      <c r="A1604" s="47">
        <v>17910</v>
      </c>
      <c r="B1604" s="47" t="s">
        <v>7387</v>
      </c>
      <c r="C1604" s="47" t="s">
        <v>7388</v>
      </c>
      <c r="D1604" s="47" t="s">
        <v>7389</v>
      </c>
      <c r="E1604" s="47"/>
      <c r="F1604" s="47" t="s">
        <v>3603</v>
      </c>
      <c r="G1604" s="47" t="s">
        <v>3604</v>
      </c>
      <c r="H1604" s="47" t="s">
        <v>3605</v>
      </c>
      <c r="I1604" s="47" t="s">
        <v>19210</v>
      </c>
    </row>
    <row r="1605" spans="1:9" ht="15">
      <c r="A1605" s="47">
        <v>2000</v>
      </c>
      <c r="B1605" s="47" t="s">
        <v>7390</v>
      </c>
      <c r="C1605" s="47" t="s">
        <v>7391</v>
      </c>
      <c r="D1605" s="47" t="s">
        <v>7392</v>
      </c>
      <c r="E1605" s="47"/>
      <c r="F1605" s="47" t="s">
        <v>3603</v>
      </c>
      <c r="G1605" s="47" t="s">
        <v>3604</v>
      </c>
      <c r="H1605" s="47" t="s">
        <v>3605</v>
      </c>
      <c r="I1605" s="47" t="s">
        <v>19211</v>
      </c>
    </row>
    <row r="1606" spans="1:9" ht="15">
      <c r="A1606" s="47">
        <v>2001</v>
      </c>
      <c r="B1606" s="47" t="s">
        <v>7393</v>
      </c>
      <c r="C1606" s="47" t="s">
        <v>7394</v>
      </c>
      <c r="D1606" s="47" t="s">
        <v>7395</v>
      </c>
      <c r="E1606" s="47"/>
      <c r="F1606" s="47" t="s">
        <v>3603</v>
      </c>
      <c r="G1606" s="47" t="s">
        <v>3604</v>
      </c>
      <c r="H1606" s="47" t="s">
        <v>3605</v>
      </c>
      <c r="I1606" s="47" t="s">
        <v>19212</v>
      </c>
    </row>
    <row r="1607" spans="1:9" ht="15">
      <c r="A1607" s="47">
        <v>2002</v>
      </c>
      <c r="B1607" s="47" t="s">
        <v>7396</v>
      </c>
      <c r="C1607" s="47" t="s">
        <v>7397</v>
      </c>
      <c r="D1607" s="47" t="s">
        <v>7398</v>
      </c>
      <c r="E1607" s="47"/>
      <c r="F1607" s="47" t="s">
        <v>3603</v>
      </c>
      <c r="G1607" s="47" t="s">
        <v>3604</v>
      </c>
      <c r="H1607" s="47" t="s">
        <v>3605</v>
      </c>
      <c r="I1607" s="47" t="s">
        <v>19213</v>
      </c>
    </row>
    <row r="1608" spans="1:9" ht="15">
      <c r="A1608" s="47">
        <v>2004</v>
      </c>
      <c r="B1608" s="47" t="s">
        <v>7399</v>
      </c>
      <c r="C1608" s="47" t="s">
        <v>7400</v>
      </c>
      <c r="D1608" s="47" t="s">
        <v>7401</v>
      </c>
      <c r="E1608" s="47"/>
      <c r="F1608" s="47" t="s">
        <v>3603</v>
      </c>
      <c r="G1608" s="47" t="s">
        <v>3604</v>
      </c>
      <c r="H1608" s="47" t="s">
        <v>3605</v>
      </c>
      <c r="I1608" s="47" t="s">
        <v>19214</v>
      </c>
    </row>
    <row r="1609" spans="1:9" ht="15">
      <c r="A1609" s="47">
        <v>2008</v>
      </c>
      <c r="B1609" s="47" t="s">
        <v>7402</v>
      </c>
      <c r="C1609" s="47" t="s">
        <v>7403</v>
      </c>
      <c r="D1609" s="47" t="s">
        <v>7404</v>
      </c>
      <c r="E1609" s="47"/>
      <c r="F1609" s="47" t="s">
        <v>3603</v>
      </c>
      <c r="G1609" s="47" t="s">
        <v>3604</v>
      </c>
      <c r="H1609" s="47" t="s">
        <v>3605</v>
      </c>
      <c r="I1609" s="47" t="s">
        <v>19215</v>
      </c>
    </row>
    <row r="1610" spans="1:9" ht="15">
      <c r="A1610" s="47">
        <v>150368</v>
      </c>
      <c r="B1610" s="47" t="s">
        <v>7405</v>
      </c>
      <c r="C1610" s="47" t="s">
        <v>7406</v>
      </c>
      <c r="D1610" s="47" t="s">
        <v>5065</v>
      </c>
      <c r="E1610" s="47"/>
      <c r="F1610" s="47" t="s">
        <v>3603</v>
      </c>
      <c r="G1610" s="47" t="s">
        <v>3604</v>
      </c>
      <c r="H1610" s="47" t="s">
        <v>3605</v>
      </c>
      <c r="I1610" s="47" t="s">
        <v>19216</v>
      </c>
    </row>
    <row r="1611" spans="1:9" ht="15">
      <c r="A1611" s="47">
        <v>150369</v>
      </c>
      <c r="B1611" s="47" t="s">
        <v>7407</v>
      </c>
      <c r="C1611" s="47" t="s">
        <v>7408</v>
      </c>
      <c r="D1611" s="47" t="s">
        <v>7409</v>
      </c>
      <c r="E1611" s="47"/>
      <c r="F1611" s="47"/>
      <c r="G1611" s="47"/>
      <c r="H1611" s="47" t="s">
        <v>3605</v>
      </c>
      <c r="I1611" s="47" t="s">
        <v>19217</v>
      </c>
    </row>
    <row r="1612" spans="1:9" ht="15">
      <c r="A1612" s="47">
        <v>150370</v>
      </c>
      <c r="B1612" s="47" t="s">
        <v>7410</v>
      </c>
      <c r="C1612" s="47" t="s">
        <v>7411</v>
      </c>
      <c r="D1612" s="47" t="s">
        <v>7412</v>
      </c>
      <c r="E1612" s="47"/>
      <c r="F1612" s="47"/>
      <c r="G1612" s="47"/>
      <c r="H1612" s="47" t="s">
        <v>3605</v>
      </c>
      <c r="I1612" s="47" t="s">
        <v>19218</v>
      </c>
    </row>
    <row r="1613" spans="1:9" ht="15">
      <c r="A1613" s="47">
        <v>150400</v>
      </c>
      <c r="B1613" s="47" t="s">
        <v>1991</v>
      </c>
      <c r="C1613" s="47" t="s">
        <v>7413</v>
      </c>
      <c r="D1613" s="47" t="s">
        <v>7414</v>
      </c>
      <c r="E1613" s="47"/>
      <c r="F1613" s="47"/>
      <c r="G1613" s="47"/>
      <c r="H1613" s="47" t="s">
        <v>3605</v>
      </c>
      <c r="I1613" s="47" t="s">
        <v>19219</v>
      </c>
    </row>
    <row r="1614" spans="1:9" ht="15">
      <c r="A1614" s="47">
        <v>150700</v>
      </c>
      <c r="B1614" s="47" t="s">
        <v>7415</v>
      </c>
      <c r="C1614" s="47" t="s">
        <v>7416</v>
      </c>
      <c r="D1614" s="47" t="s">
        <v>7417</v>
      </c>
      <c r="E1614" s="47"/>
      <c r="F1614" s="47"/>
      <c r="G1614" s="47"/>
      <c r="H1614" s="47" t="s">
        <v>3605</v>
      </c>
      <c r="I1614" s="47" t="s">
        <v>19220</v>
      </c>
    </row>
    <row r="1615" spans="1:9" ht="15">
      <c r="A1615" s="47">
        <v>150800</v>
      </c>
      <c r="B1615" s="47" t="s">
        <v>7418</v>
      </c>
      <c r="C1615" s="47" t="s">
        <v>7419</v>
      </c>
      <c r="D1615" s="47" t="s">
        <v>7420</v>
      </c>
      <c r="E1615" s="47"/>
      <c r="F1615" s="47" t="s">
        <v>3603</v>
      </c>
      <c r="G1615" s="47" t="s">
        <v>3604</v>
      </c>
      <c r="H1615" s="47" t="s">
        <v>3605</v>
      </c>
      <c r="I1615" s="47" t="s">
        <v>19221</v>
      </c>
    </row>
    <row r="1616" spans="1:9" ht="15">
      <c r="A1616" s="47">
        <v>150950</v>
      </c>
      <c r="B1616" s="47" t="s">
        <v>7421</v>
      </c>
      <c r="C1616" s="47" t="s">
        <v>7422</v>
      </c>
      <c r="D1616" s="47" t="s">
        <v>7423</v>
      </c>
      <c r="E1616" s="47"/>
      <c r="F1616" s="47"/>
      <c r="G1616" s="47"/>
      <c r="H1616" s="47" t="s">
        <v>3605</v>
      </c>
      <c r="I1616" s="47" t="s">
        <v>19222</v>
      </c>
    </row>
    <row r="1617" spans="1:9" ht="15">
      <c r="A1617" s="47">
        <v>190500</v>
      </c>
      <c r="B1617" s="47" t="s">
        <v>2028</v>
      </c>
      <c r="C1617" s="47" t="s">
        <v>7424</v>
      </c>
      <c r="D1617" s="47" t="s">
        <v>7425</v>
      </c>
      <c r="E1617" s="47"/>
      <c r="F1617" s="47"/>
      <c r="G1617" s="47"/>
      <c r="H1617" s="47" t="s">
        <v>3605</v>
      </c>
      <c r="I1617" s="47" t="s">
        <v>19223</v>
      </c>
    </row>
    <row r="1618" spans="1:9" ht="15">
      <c r="A1618" s="47">
        <v>204005</v>
      </c>
      <c r="B1618" s="47" t="s">
        <v>2154</v>
      </c>
      <c r="C1618" s="47" t="s">
        <v>7426</v>
      </c>
      <c r="D1618" s="47" t="s">
        <v>7427</v>
      </c>
      <c r="E1618" s="47"/>
      <c r="F1618" s="47"/>
      <c r="G1618" s="47"/>
      <c r="H1618" s="47" t="s">
        <v>3605</v>
      </c>
      <c r="I1618" s="47" t="s">
        <v>19224</v>
      </c>
    </row>
    <row r="1619" spans="1:9" ht="15">
      <c r="A1619" s="47" t="s">
        <v>605</v>
      </c>
      <c r="B1619" s="47" t="s">
        <v>7428</v>
      </c>
      <c r="C1619" s="47" t="s">
        <v>7429</v>
      </c>
      <c r="D1619" s="47" t="s">
        <v>7430</v>
      </c>
      <c r="E1619" s="47"/>
      <c r="F1619" s="47"/>
      <c r="G1619" s="47"/>
      <c r="H1619" s="47" t="s">
        <v>3605</v>
      </c>
      <c r="I1619" s="47" t="s">
        <v>605</v>
      </c>
    </row>
    <row r="1620" spans="1:9" ht="15">
      <c r="A1620" s="47">
        <v>8101</v>
      </c>
      <c r="B1620" s="47" t="s">
        <v>7431</v>
      </c>
      <c r="C1620" s="47" t="s">
        <v>7432</v>
      </c>
      <c r="D1620" s="47" t="s">
        <v>7433</v>
      </c>
      <c r="E1620" s="47"/>
      <c r="F1620" s="47" t="s">
        <v>3603</v>
      </c>
      <c r="G1620" s="47" t="s">
        <v>3604</v>
      </c>
      <c r="H1620" s="47" t="s">
        <v>3605</v>
      </c>
      <c r="I1620" s="47" t="s">
        <v>19225</v>
      </c>
    </row>
    <row r="1621" spans="1:9" ht="15">
      <c r="A1621" s="47" t="s">
        <v>569</v>
      </c>
      <c r="B1621" s="47" t="s">
        <v>7434</v>
      </c>
      <c r="C1621" s="47" t="s">
        <v>7435</v>
      </c>
      <c r="D1621" s="47" t="s">
        <v>7436</v>
      </c>
      <c r="E1621" s="47"/>
      <c r="F1621" s="47" t="s">
        <v>3603</v>
      </c>
      <c r="G1621" s="47" t="s">
        <v>3604</v>
      </c>
      <c r="H1621" s="47" t="s">
        <v>3605</v>
      </c>
      <c r="I1621" s="47" t="s">
        <v>569</v>
      </c>
    </row>
    <row r="1622" spans="1:9" ht="15">
      <c r="A1622" s="47" t="s">
        <v>571</v>
      </c>
      <c r="B1622" s="47" t="s">
        <v>7437</v>
      </c>
      <c r="C1622" s="47" t="s">
        <v>7438</v>
      </c>
      <c r="D1622" s="47" t="s">
        <v>7439</v>
      </c>
      <c r="E1622" s="47"/>
      <c r="F1622" s="47" t="s">
        <v>3603</v>
      </c>
      <c r="G1622" s="47" t="s">
        <v>3604</v>
      </c>
      <c r="H1622" s="47" t="s">
        <v>3605</v>
      </c>
      <c r="I1622" s="47" t="s">
        <v>571</v>
      </c>
    </row>
    <row r="1623" spans="1:9" ht="15">
      <c r="A1623" s="47" t="s">
        <v>572</v>
      </c>
      <c r="B1623" s="47" t="s">
        <v>7440</v>
      </c>
      <c r="C1623" s="47" t="s">
        <v>7441</v>
      </c>
      <c r="D1623" s="47" t="s">
        <v>7442</v>
      </c>
      <c r="E1623" s="47"/>
      <c r="F1623" s="47" t="s">
        <v>3603</v>
      </c>
      <c r="G1623" s="47" t="s">
        <v>3604</v>
      </c>
      <c r="H1623" s="47" t="s">
        <v>3605</v>
      </c>
      <c r="I1623" s="47" t="s">
        <v>572</v>
      </c>
    </row>
    <row r="1624" spans="1:9" ht="15">
      <c r="A1624" s="47" t="s">
        <v>573</v>
      </c>
      <c r="B1624" s="47" t="s">
        <v>7443</v>
      </c>
      <c r="C1624" s="47" t="s">
        <v>7444</v>
      </c>
      <c r="D1624" s="47" t="s">
        <v>7445</v>
      </c>
      <c r="E1624" s="47"/>
      <c r="F1624" s="47" t="s">
        <v>3603</v>
      </c>
      <c r="G1624" s="47" t="s">
        <v>3604</v>
      </c>
      <c r="H1624" s="47" t="s">
        <v>3605</v>
      </c>
      <c r="I1624" s="47" t="s">
        <v>573</v>
      </c>
    </row>
    <row r="1625" spans="1:9" ht="15">
      <c r="A1625" s="47" t="s">
        <v>574</v>
      </c>
      <c r="B1625" s="47" t="s">
        <v>7446</v>
      </c>
      <c r="C1625" s="47" t="s">
        <v>7447</v>
      </c>
      <c r="D1625" s="47" t="s">
        <v>7448</v>
      </c>
      <c r="E1625" s="47"/>
      <c r="F1625" s="47" t="s">
        <v>3603</v>
      </c>
      <c r="G1625" s="47" t="s">
        <v>3604</v>
      </c>
      <c r="H1625" s="47" t="s">
        <v>3605</v>
      </c>
      <c r="I1625" s="47" t="s">
        <v>574</v>
      </c>
    </row>
    <row r="1626" spans="1:9" ht="15">
      <c r="A1626" s="47">
        <v>389005</v>
      </c>
      <c r="B1626" s="47" t="s">
        <v>7449</v>
      </c>
      <c r="C1626" s="47" t="s">
        <v>7450</v>
      </c>
      <c r="D1626" s="47" t="s">
        <v>7451</v>
      </c>
      <c r="E1626" s="47"/>
      <c r="F1626" s="47" t="s">
        <v>3603</v>
      </c>
      <c r="G1626" s="47" t="s">
        <v>3604</v>
      </c>
      <c r="H1626" s="47" t="s">
        <v>3605</v>
      </c>
      <c r="I1626" s="47" t="s">
        <v>19226</v>
      </c>
    </row>
    <row r="1627" spans="1:9" ht="15">
      <c r="A1627" s="47" t="s">
        <v>7452</v>
      </c>
      <c r="B1627" s="47" t="s">
        <v>7453</v>
      </c>
      <c r="C1627" s="47" t="s">
        <v>7454</v>
      </c>
      <c r="D1627" s="47" t="s">
        <v>3749</v>
      </c>
      <c r="E1627" s="47"/>
      <c r="F1627" s="47"/>
      <c r="G1627" s="47"/>
      <c r="H1627" s="47" t="s">
        <v>3605</v>
      </c>
      <c r="I1627" s="47" t="s">
        <v>7452</v>
      </c>
    </row>
    <row r="1628" spans="1:9" ht="15">
      <c r="A1628" s="47" t="s">
        <v>599</v>
      </c>
      <c r="B1628" s="47" t="s">
        <v>7455</v>
      </c>
      <c r="C1628" s="47" t="s">
        <v>7456</v>
      </c>
      <c r="D1628" s="47" t="s">
        <v>7457</v>
      </c>
      <c r="E1628" s="47"/>
      <c r="F1628" s="47" t="s">
        <v>3603</v>
      </c>
      <c r="G1628" s="47" t="s">
        <v>3604</v>
      </c>
      <c r="H1628" s="47" t="s">
        <v>3605</v>
      </c>
      <c r="I1628" s="47" t="s">
        <v>599</v>
      </c>
    </row>
    <row r="1629" spans="1:9" ht="15">
      <c r="A1629" s="47" t="s">
        <v>1927</v>
      </c>
      <c r="B1629" s="47" t="s">
        <v>7458</v>
      </c>
      <c r="C1629" s="47" t="s">
        <v>7459</v>
      </c>
      <c r="D1629" s="47" t="s">
        <v>7460</v>
      </c>
      <c r="E1629" s="47"/>
      <c r="F1629" s="47" t="s">
        <v>3603</v>
      </c>
      <c r="G1629" s="47" t="s">
        <v>3604</v>
      </c>
      <c r="H1629" s="47" t="s">
        <v>3605</v>
      </c>
      <c r="I1629" s="47" t="s">
        <v>1927</v>
      </c>
    </row>
    <row r="1630" spans="1:9" ht="15">
      <c r="A1630" s="47" t="s">
        <v>1926</v>
      </c>
      <c r="B1630" s="47" t="s">
        <v>7461</v>
      </c>
      <c r="C1630" s="47" t="s">
        <v>7462</v>
      </c>
      <c r="D1630" s="47" t="s">
        <v>7463</v>
      </c>
      <c r="E1630" s="47"/>
      <c r="F1630" s="47" t="s">
        <v>3603</v>
      </c>
      <c r="G1630" s="47" t="s">
        <v>3604</v>
      </c>
      <c r="H1630" s="47" t="s">
        <v>3605</v>
      </c>
      <c r="I1630" s="47" t="s">
        <v>1926</v>
      </c>
    </row>
    <row r="1631" spans="1:9" ht="15">
      <c r="A1631" s="47">
        <v>528901</v>
      </c>
      <c r="B1631" s="47" t="s">
        <v>7464</v>
      </c>
      <c r="C1631" s="47" t="s">
        <v>7465</v>
      </c>
      <c r="D1631" s="47" t="s">
        <v>7466</v>
      </c>
      <c r="E1631" s="47"/>
      <c r="F1631" s="47" t="s">
        <v>3603</v>
      </c>
      <c r="G1631" s="47" t="s">
        <v>3604</v>
      </c>
      <c r="H1631" s="47" t="s">
        <v>3605</v>
      </c>
      <c r="I1631" s="47" t="s">
        <v>19227</v>
      </c>
    </row>
    <row r="1632" spans="1:9" ht="15">
      <c r="A1632" s="47">
        <v>10178</v>
      </c>
      <c r="B1632" s="47" t="s">
        <v>7467</v>
      </c>
      <c r="C1632" s="47" t="s">
        <v>7468</v>
      </c>
      <c r="D1632" s="47" t="s">
        <v>7469</v>
      </c>
      <c r="E1632" s="47"/>
      <c r="F1632" s="47"/>
      <c r="G1632" s="47"/>
      <c r="H1632" s="47" t="s">
        <v>3605</v>
      </c>
      <c r="I1632" s="47" t="s">
        <v>19228</v>
      </c>
    </row>
    <row r="1633" spans="1:9" ht="15">
      <c r="A1633" s="47">
        <v>10742</v>
      </c>
      <c r="B1633" s="47" t="s">
        <v>7470</v>
      </c>
      <c r="C1633" s="47" t="s">
        <v>7471</v>
      </c>
      <c r="D1633" s="47" t="s">
        <v>7472</v>
      </c>
      <c r="E1633" s="47"/>
      <c r="F1633" s="47"/>
      <c r="G1633" s="47"/>
      <c r="H1633" s="47" t="s">
        <v>3605</v>
      </c>
      <c r="I1633" s="47" t="s">
        <v>19229</v>
      </c>
    </row>
    <row r="1634" spans="1:9" ht="15">
      <c r="A1634" s="47">
        <v>10148</v>
      </c>
      <c r="B1634" s="47" t="s">
        <v>7473</v>
      </c>
      <c r="C1634" s="47" t="s">
        <v>7474</v>
      </c>
      <c r="D1634" s="47" t="s">
        <v>7475</v>
      </c>
      <c r="E1634" s="47"/>
      <c r="F1634" s="47"/>
      <c r="G1634" s="47"/>
      <c r="H1634" s="47" t="s">
        <v>3605</v>
      </c>
      <c r="I1634" s="47" t="s">
        <v>19230</v>
      </c>
    </row>
    <row r="1635" spans="1:9" ht="15">
      <c r="A1635" s="47">
        <v>10821</v>
      </c>
      <c r="B1635" s="47" t="s">
        <v>7476</v>
      </c>
      <c r="C1635" s="47" t="s">
        <v>7477</v>
      </c>
      <c r="D1635" s="47" t="s">
        <v>7478</v>
      </c>
      <c r="E1635" s="47"/>
      <c r="F1635" s="47"/>
      <c r="G1635" s="47"/>
      <c r="H1635" s="47" t="s">
        <v>3605</v>
      </c>
      <c r="I1635" s="47" t="s">
        <v>19231</v>
      </c>
    </row>
    <row r="1636" spans="1:9" ht="15">
      <c r="A1636" s="47">
        <v>11900</v>
      </c>
      <c r="B1636" s="47" t="s">
        <v>7479</v>
      </c>
      <c r="C1636" s="47" t="s">
        <v>7480</v>
      </c>
      <c r="D1636" s="47" t="s">
        <v>7481</v>
      </c>
      <c r="E1636" s="47"/>
      <c r="F1636" s="47"/>
      <c r="G1636" s="47"/>
      <c r="H1636" s="47" t="s">
        <v>3605</v>
      </c>
      <c r="I1636" s="47" t="s">
        <v>19232</v>
      </c>
    </row>
    <row r="1637" spans="1:9" ht="15">
      <c r="A1637" s="47">
        <v>11980</v>
      </c>
      <c r="B1637" s="47" t="s">
        <v>7482</v>
      </c>
      <c r="C1637" s="47" t="s">
        <v>7483</v>
      </c>
      <c r="D1637" s="47" t="s">
        <v>7484</v>
      </c>
      <c r="E1637" s="47"/>
      <c r="F1637" s="47"/>
      <c r="G1637" s="47"/>
      <c r="H1637" s="47" t="s">
        <v>3605</v>
      </c>
      <c r="I1637" s="47" t="s">
        <v>19233</v>
      </c>
    </row>
    <row r="1638" spans="1:9" ht="15">
      <c r="A1638" s="47">
        <v>3021</v>
      </c>
      <c r="B1638" s="47" t="s">
        <v>7485</v>
      </c>
      <c r="C1638" s="47" t="s">
        <v>7486</v>
      </c>
      <c r="D1638" s="47" t="s">
        <v>7487</v>
      </c>
      <c r="E1638" s="47"/>
      <c r="F1638" s="47"/>
      <c r="G1638" s="47"/>
      <c r="H1638" s="47" t="s">
        <v>3605</v>
      </c>
      <c r="I1638" s="47" t="s">
        <v>19234</v>
      </c>
    </row>
    <row r="1639" spans="1:9" ht="15">
      <c r="A1639" s="47">
        <v>3028</v>
      </c>
      <c r="B1639" s="47" t="s">
        <v>7488</v>
      </c>
      <c r="C1639" s="47" t="s">
        <v>7489</v>
      </c>
      <c r="D1639" s="47" t="s">
        <v>7490</v>
      </c>
      <c r="E1639" s="47"/>
      <c r="F1639" s="47"/>
      <c r="G1639" s="47"/>
      <c r="H1639" s="47" t="s">
        <v>3605</v>
      </c>
      <c r="I1639" s="47" t="s">
        <v>19235</v>
      </c>
    </row>
    <row r="1640" spans="1:9" ht="15">
      <c r="A1640" s="47">
        <v>529000</v>
      </c>
      <c r="B1640" s="47" t="s">
        <v>7491</v>
      </c>
      <c r="C1640" s="47" t="s">
        <v>7492</v>
      </c>
      <c r="D1640" s="47" t="s">
        <v>7493</v>
      </c>
      <c r="E1640" s="47"/>
      <c r="F1640" s="47" t="s">
        <v>3603</v>
      </c>
      <c r="G1640" s="47" t="s">
        <v>3604</v>
      </c>
      <c r="H1640" s="47" t="s">
        <v>3605</v>
      </c>
      <c r="I1640" s="47" t="s">
        <v>19236</v>
      </c>
    </row>
    <row r="1641" spans="1:9" ht="15">
      <c r="A1641" s="47">
        <v>529001</v>
      </c>
      <c r="B1641" s="47" t="s">
        <v>7494</v>
      </c>
      <c r="C1641" s="47" t="s">
        <v>7495</v>
      </c>
      <c r="D1641" s="47" t="s">
        <v>7496</v>
      </c>
      <c r="E1641" s="47"/>
      <c r="F1641" s="47" t="s">
        <v>3603</v>
      </c>
      <c r="G1641" s="47" t="s">
        <v>3604</v>
      </c>
      <c r="H1641" s="47" t="s">
        <v>3605</v>
      </c>
      <c r="I1641" s="47" t="s">
        <v>19237</v>
      </c>
    </row>
    <row r="1642" spans="1:9" ht="15">
      <c r="A1642" s="47">
        <v>529002</v>
      </c>
      <c r="B1642" s="47" t="s">
        <v>2034</v>
      </c>
      <c r="C1642" s="47" t="s">
        <v>7497</v>
      </c>
      <c r="D1642" s="47" t="s">
        <v>7498</v>
      </c>
      <c r="E1642" s="47"/>
      <c r="F1642" s="47"/>
      <c r="G1642" s="47"/>
      <c r="H1642" s="47" t="s">
        <v>3605</v>
      </c>
      <c r="I1642" s="47" t="s">
        <v>19238</v>
      </c>
    </row>
    <row r="1643" spans="1:9" ht="15">
      <c r="A1643" s="47">
        <v>529003</v>
      </c>
      <c r="B1643" s="47" t="s">
        <v>7499</v>
      </c>
      <c r="C1643" s="47" t="s">
        <v>7500</v>
      </c>
      <c r="D1643" s="47" t="s">
        <v>7501</v>
      </c>
      <c r="E1643" s="47"/>
      <c r="F1643" s="47" t="s">
        <v>3603</v>
      </c>
      <c r="G1643" s="47" t="s">
        <v>3604</v>
      </c>
      <c r="H1643" s="47" t="s">
        <v>3605</v>
      </c>
      <c r="I1643" s="47" t="s">
        <v>19239</v>
      </c>
    </row>
    <row r="1644" spans="1:9" ht="15">
      <c r="A1644" s="47">
        <v>6000</v>
      </c>
      <c r="B1644" s="47" t="s">
        <v>7502</v>
      </c>
      <c r="C1644" s="47" t="s">
        <v>7503</v>
      </c>
      <c r="D1644" s="47" t="s">
        <v>7504</v>
      </c>
      <c r="E1644" s="47"/>
      <c r="F1644" s="47"/>
      <c r="G1644" s="47"/>
      <c r="H1644" s="47" t="s">
        <v>3605</v>
      </c>
      <c r="I1644" s="47" t="s">
        <v>19240</v>
      </c>
    </row>
    <row r="1645" spans="1:9" ht="15">
      <c r="A1645" s="47">
        <v>6001</v>
      </c>
      <c r="B1645" s="47" t="s">
        <v>7505</v>
      </c>
      <c r="C1645" s="47" t="s">
        <v>7506</v>
      </c>
      <c r="D1645" s="47" t="s">
        <v>7507</v>
      </c>
      <c r="E1645" s="47"/>
      <c r="F1645" s="47"/>
      <c r="G1645" s="47"/>
      <c r="H1645" s="47" t="s">
        <v>3605</v>
      </c>
      <c r="I1645" s="47" t="s">
        <v>19241</v>
      </c>
    </row>
    <row r="1646" spans="1:9" ht="15">
      <c r="A1646" s="47">
        <v>6004</v>
      </c>
      <c r="B1646" s="47" t="s">
        <v>7508</v>
      </c>
      <c r="C1646" s="47" t="s">
        <v>7509</v>
      </c>
      <c r="D1646" s="47" t="s">
        <v>7510</v>
      </c>
      <c r="E1646" s="47"/>
      <c r="F1646" s="47"/>
      <c r="G1646" s="47"/>
      <c r="H1646" s="47" t="s">
        <v>3605</v>
      </c>
      <c r="I1646" s="47" t="s">
        <v>19242</v>
      </c>
    </row>
    <row r="1647" spans="1:9" ht="15">
      <c r="A1647" s="47">
        <v>529004</v>
      </c>
      <c r="B1647" s="47" t="s">
        <v>7511</v>
      </c>
      <c r="C1647" s="47" t="s">
        <v>7512</v>
      </c>
      <c r="D1647" s="47" t="s">
        <v>7513</v>
      </c>
      <c r="E1647" s="47"/>
      <c r="F1647" s="47" t="s">
        <v>3603</v>
      </c>
      <c r="G1647" s="47" t="s">
        <v>3604</v>
      </c>
      <c r="H1647" s="47" t="s">
        <v>3605</v>
      </c>
      <c r="I1647" s="47" t="s">
        <v>19243</v>
      </c>
    </row>
    <row r="1648" spans="1:9" ht="15">
      <c r="A1648" s="47">
        <v>6006</v>
      </c>
      <c r="B1648" s="47" t="s">
        <v>7514</v>
      </c>
      <c r="C1648" s="47" t="s">
        <v>7515</v>
      </c>
      <c r="D1648" s="47" t="s">
        <v>7516</v>
      </c>
      <c r="E1648" s="47"/>
      <c r="F1648" s="47"/>
      <c r="G1648" s="47"/>
      <c r="H1648" s="47" t="s">
        <v>3605</v>
      </c>
      <c r="I1648" s="47" t="s">
        <v>19244</v>
      </c>
    </row>
    <row r="1649" spans="1:9" ht="15">
      <c r="A1649" s="47">
        <v>6007</v>
      </c>
      <c r="B1649" s="47" t="s">
        <v>7517</v>
      </c>
      <c r="C1649" s="47" t="s">
        <v>7518</v>
      </c>
      <c r="D1649" s="47" t="s">
        <v>7519</v>
      </c>
      <c r="E1649" s="47"/>
      <c r="F1649" s="47"/>
      <c r="G1649" s="47"/>
      <c r="H1649" s="47" t="s">
        <v>3605</v>
      </c>
      <c r="I1649" s="47" t="s">
        <v>19245</v>
      </c>
    </row>
    <row r="1650" spans="1:9" ht="15">
      <c r="A1650" s="47">
        <v>6008</v>
      </c>
      <c r="B1650" s="47" t="s">
        <v>7520</v>
      </c>
      <c r="C1650" s="47" t="s">
        <v>7521</v>
      </c>
      <c r="D1650" s="47" t="s">
        <v>7522</v>
      </c>
      <c r="E1650" s="47"/>
      <c r="F1650" s="47"/>
      <c r="G1650" s="47"/>
      <c r="H1650" s="47" t="s">
        <v>3605</v>
      </c>
      <c r="I1650" s="47" t="s">
        <v>19246</v>
      </c>
    </row>
    <row r="1651" spans="1:9" ht="15">
      <c r="A1651" s="47">
        <v>6011</v>
      </c>
      <c r="B1651" s="47" t="s">
        <v>7523</v>
      </c>
      <c r="C1651" s="47" t="s">
        <v>7524</v>
      </c>
      <c r="D1651" s="47" t="s">
        <v>7525</v>
      </c>
      <c r="E1651" s="47"/>
      <c r="F1651" s="47"/>
      <c r="G1651" s="47"/>
      <c r="H1651" s="47" t="s">
        <v>3605</v>
      </c>
      <c r="I1651" s="47" t="s">
        <v>19247</v>
      </c>
    </row>
    <row r="1652" spans="1:9" ht="15">
      <c r="A1652" s="47">
        <v>6014</v>
      </c>
      <c r="B1652" s="47" t="s">
        <v>7526</v>
      </c>
      <c r="C1652" s="47" t="s">
        <v>7527</v>
      </c>
      <c r="D1652" s="47" t="s">
        <v>7528</v>
      </c>
      <c r="E1652" s="47"/>
      <c r="F1652" s="47"/>
      <c r="G1652" s="47"/>
      <c r="H1652" s="47" t="s">
        <v>3605</v>
      </c>
      <c r="I1652" s="47" t="s">
        <v>19248</v>
      </c>
    </row>
    <row r="1653" spans="1:9" ht="15">
      <c r="A1653" s="47">
        <v>529005</v>
      </c>
      <c r="B1653" s="47" t="s">
        <v>7529</v>
      </c>
      <c r="C1653" s="47" t="s">
        <v>7530</v>
      </c>
      <c r="D1653" s="47" t="s">
        <v>7531</v>
      </c>
      <c r="E1653" s="47"/>
      <c r="F1653" s="47" t="s">
        <v>3603</v>
      </c>
      <c r="G1653" s="47" t="s">
        <v>3604</v>
      </c>
      <c r="H1653" s="47" t="s">
        <v>3605</v>
      </c>
      <c r="I1653" s="47" t="s">
        <v>19249</v>
      </c>
    </row>
    <row r="1654" spans="1:9" ht="15">
      <c r="A1654" s="47">
        <v>6016</v>
      </c>
      <c r="B1654" s="47" t="s">
        <v>7532</v>
      </c>
      <c r="C1654" s="47" t="s">
        <v>7533</v>
      </c>
      <c r="D1654" s="47" t="s">
        <v>7534</v>
      </c>
      <c r="E1654" s="47"/>
      <c r="F1654" s="47"/>
      <c r="G1654" s="47"/>
      <c r="H1654" s="47" t="s">
        <v>3605</v>
      </c>
      <c r="I1654" s="47" t="s">
        <v>19250</v>
      </c>
    </row>
    <row r="1655" spans="1:9" ht="15">
      <c r="A1655" s="47">
        <v>6017</v>
      </c>
      <c r="B1655" s="47" t="s">
        <v>7535</v>
      </c>
      <c r="C1655" s="47" t="s">
        <v>7536</v>
      </c>
      <c r="D1655" s="47" t="s">
        <v>7537</v>
      </c>
      <c r="E1655" s="47"/>
      <c r="F1655" s="47"/>
      <c r="G1655" s="47"/>
      <c r="H1655" s="47" t="s">
        <v>3605</v>
      </c>
      <c r="I1655" s="47" t="s">
        <v>19251</v>
      </c>
    </row>
    <row r="1656" spans="1:9" ht="15">
      <c r="A1656" s="47">
        <v>6018</v>
      </c>
      <c r="B1656" s="47" t="s">
        <v>7538</v>
      </c>
      <c r="C1656" s="47" t="s">
        <v>7539</v>
      </c>
      <c r="D1656" s="47" t="s">
        <v>7540</v>
      </c>
      <c r="E1656" s="47"/>
      <c r="F1656" s="47"/>
      <c r="G1656" s="47"/>
      <c r="H1656" s="47" t="s">
        <v>3605</v>
      </c>
      <c r="I1656" s="47" t="s">
        <v>19252</v>
      </c>
    </row>
    <row r="1657" spans="1:9" ht="15">
      <c r="A1657" s="47">
        <v>6020</v>
      </c>
      <c r="B1657" s="47" t="s">
        <v>7541</v>
      </c>
      <c r="C1657" s="47" t="s">
        <v>7542</v>
      </c>
      <c r="D1657" s="47" t="s">
        <v>7543</v>
      </c>
      <c r="E1657" s="47"/>
      <c r="F1657" s="47"/>
      <c r="G1657" s="47"/>
      <c r="H1657" s="47" t="s">
        <v>3605</v>
      </c>
      <c r="I1657" s="47" t="s">
        <v>19253</v>
      </c>
    </row>
    <row r="1658" spans="1:9" ht="15">
      <c r="A1658" s="47">
        <v>6021</v>
      </c>
      <c r="B1658" s="47" t="s">
        <v>7544</v>
      </c>
      <c r="C1658" s="47" t="s">
        <v>7545</v>
      </c>
      <c r="D1658" s="47" t="s">
        <v>7546</v>
      </c>
      <c r="E1658" s="47"/>
      <c r="F1658" s="47"/>
      <c r="G1658" s="47"/>
      <c r="H1658" s="47" t="s">
        <v>3605</v>
      </c>
      <c r="I1658" s="47" t="s">
        <v>19254</v>
      </c>
    </row>
    <row r="1659" spans="1:9" ht="15">
      <c r="A1659" s="47">
        <v>6022</v>
      </c>
      <c r="B1659" s="47" t="s">
        <v>7547</v>
      </c>
      <c r="C1659" s="47" t="s">
        <v>7548</v>
      </c>
      <c r="D1659" s="47" t="s">
        <v>7549</v>
      </c>
      <c r="E1659" s="47"/>
      <c r="F1659" s="47"/>
      <c r="G1659" s="47"/>
      <c r="H1659" s="47" t="s">
        <v>3605</v>
      </c>
      <c r="I1659" s="47" t="s">
        <v>19255</v>
      </c>
    </row>
    <row r="1660" spans="1:9" ht="15">
      <c r="A1660" s="47">
        <v>6024</v>
      </c>
      <c r="B1660" s="47" t="s">
        <v>7550</v>
      </c>
      <c r="C1660" s="47" t="s">
        <v>7551</v>
      </c>
      <c r="D1660" s="47" t="s">
        <v>7552</v>
      </c>
      <c r="E1660" s="47"/>
      <c r="F1660" s="47"/>
      <c r="G1660" s="47"/>
      <c r="H1660" s="47" t="s">
        <v>3605</v>
      </c>
      <c r="I1660" s="47" t="s">
        <v>19256</v>
      </c>
    </row>
    <row r="1661" spans="1:9" ht="15">
      <c r="A1661" s="47">
        <v>6026</v>
      </c>
      <c r="B1661" s="47" t="s">
        <v>7553</v>
      </c>
      <c r="C1661" s="47" t="s">
        <v>7554</v>
      </c>
      <c r="D1661" s="47" t="s">
        <v>7555</v>
      </c>
      <c r="E1661" s="47"/>
      <c r="F1661" s="47"/>
      <c r="G1661" s="47"/>
      <c r="H1661" s="47" t="s">
        <v>3605</v>
      </c>
      <c r="I1661" s="47" t="s">
        <v>19257</v>
      </c>
    </row>
    <row r="1662" spans="1:9" ht="15">
      <c r="A1662" s="47">
        <v>529006</v>
      </c>
      <c r="B1662" s="47" t="s">
        <v>7556</v>
      </c>
      <c r="C1662" s="47" t="s">
        <v>7557</v>
      </c>
      <c r="D1662" s="47" t="s">
        <v>7558</v>
      </c>
      <c r="E1662" s="47"/>
      <c r="F1662" s="47" t="s">
        <v>3603</v>
      </c>
      <c r="G1662" s="47" t="s">
        <v>3604</v>
      </c>
      <c r="H1662" s="47" t="s">
        <v>3605</v>
      </c>
      <c r="I1662" s="47" t="s">
        <v>19258</v>
      </c>
    </row>
    <row r="1663" spans="1:9" ht="15">
      <c r="A1663" s="47">
        <v>529007</v>
      </c>
      <c r="B1663" s="47" t="s">
        <v>2035</v>
      </c>
      <c r="C1663" s="47" t="s">
        <v>7559</v>
      </c>
      <c r="D1663" s="47" t="s">
        <v>7560</v>
      </c>
      <c r="E1663" s="47"/>
      <c r="F1663" s="47"/>
      <c r="G1663" s="47"/>
      <c r="H1663" s="47" t="s">
        <v>3605</v>
      </c>
      <c r="I1663" s="47" t="s">
        <v>19259</v>
      </c>
    </row>
    <row r="1664" spans="1:9" ht="15">
      <c r="A1664" s="47">
        <v>529008</v>
      </c>
      <c r="B1664" s="47" t="s">
        <v>7561</v>
      </c>
      <c r="C1664" s="47" t="s">
        <v>7562</v>
      </c>
      <c r="D1664" s="47" t="s">
        <v>7563</v>
      </c>
      <c r="E1664" s="47"/>
      <c r="F1664" s="47" t="s">
        <v>3603</v>
      </c>
      <c r="G1664" s="47" t="s">
        <v>3604</v>
      </c>
      <c r="H1664" s="47" t="s">
        <v>3605</v>
      </c>
      <c r="I1664" s="47" t="s">
        <v>19260</v>
      </c>
    </row>
    <row r="1665" spans="1:9" ht="15">
      <c r="A1665" s="47">
        <v>529027</v>
      </c>
      <c r="B1665" s="47" t="s">
        <v>7564</v>
      </c>
      <c r="C1665" s="47" t="s">
        <v>7565</v>
      </c>
      <c r="D1665" s="47" t="s">
        <v>7566</v>
      </c>
      <c r="E1665" s="47"/>
      <c r="F1665" s="47" t="s">
        <v>3603</v>
      </c>
      <c r="G1665" s="47" t="s">
        <v>3604</v>
      </c>
      <c r="H1665" s="47" t="s">
        <v>3605</v>
      </c>
      <c r="I1665" s="47" t="s">
        <v>19261</v>
      </c>
    </row>
    <row r="1666" spans="1:9" ht="15">
      <c r="A1666" s="47">
        <v>6200</v>
      </c>
      <c r="B1666" s="47" t="s">
        <v>7567</v>
      </c>
      <c r="C1666" s="47" t="s">
        <v>7568</v>
      </c>
      <c r="D1666" s="47" t="s">
        <v>7569</v>
      </c>
      <c r="E1666" s="47"/>
      <c r="F1666" s="47"/>
      <c r="G1666" s="47"/>
      <c r="H1666" s="47" t="s">
        <v>3605</v>
      </c>
      <c r="I1666" s="47" t="s">
        <v>19262</v>
      </c>
    </row>
    <row r="1667" spans="1:9" ht="15">
      <c r="A1667" s="47">
        <v>6400</v>
      </c>
      <c r="B1667" s="47" t="s">
        <v>7570</v>
      </c>
      <c r="C1667" s="47" t="s">
        <v>7571</v>
      </c>
      <c r="D1667" s="47" t="s">
        <v>7572</v>
      </c>
      <c r="E1667" s="47"/>
      <c r="F1667" s="47"/>
      <c r="G1667" s="47"/>
      <c r="H1667" s="47" t="s">
        <v>3605</v>
      </c>
      <c r="I1667" s="47" t="s">
        <v>19263</v>
      </c>
    </row>
    <row r="1668" spans="1:9" ht="15">
      <c r="A1668" s="47">
        <v>6600</v>
      </c>
      <c r="B1668" s="47" t="s">
        <v>7573</v>
      </c>
      <c r="C1668" s="47" t="s">
        <v>7574</v>
      </c>
      <c r="D1668" s="47" t="s">
        <v>7575</v>
      </c>
      <c r="E1668" s="47"/>
      <c r="F1668" s="47"/>
      <c r="G1668" s="47"/>
      <c r="H1668" s="47" t="s">
        <v>3605</v>
      </c>
      <c r="I1668" s="47" t="s">
        <v>19264</v>
      </c>
    </row>
    <row r="1669" spans="1:9" ht="15">
      <c r="A1669" s="47">
        <v>8107</v>
      </c>
      <c r="B1669" s="47" t="s">
        <v>7576</v>
      </c>
      <c r="C1669" s="47" t="s">
        <v>7577</v>
      </c>
      <c r="D1669" s="47" t="s">
        <v>7578</v>
      </c>
      <c r="E1669" s="47"/>
      <c r="F1669" s="47"/>
      <c r="G1669" s="47"/>
      <c r="H1669" s="47" t="s">
        <v>3605</v>
      </c>
      <c r="I1669" s="47" t="s">
        <v>19265</v>
      </c>
    </row>
    <row r="1670" spans="1:9" ht="15">
      <c r="A1670" s="47">
        <v>9001</v>
      </c>
      <c r="B1670" s="47" t="s">
        <v>7579</v>
      </c>
      <c r="C1670" s="47" t="s">
        <v>7580</v>
      </c>
      <c r="D1670" s="47" t="s">
        <v>7581</v>
      </c>
      <c r="E1670" s="47"/>
      <c r="F1670" s="47"/>
      <c r="G1670" s="47"/>
      <c r="H1670" s="47" t="s">
        <v>3605</v>
      </c>
      <c r="I1670" s="47" t="s">
        <v>19266</v>
      </c>
    </row>
    <row r="1671" spans="1:9" ht="15">
      <c r="A1671" s="47">
        <v>9100</v>
      </c>
      <c r="B1671" s="47" t="s">
        <v>7582</v>
      </c>
      <c r="C1671" s="47" t="s">
        <v>7583</v>
      </c>
      <c r="D1671" s="47" t="s">
        <v>7584</v>
      </c>
      <c r="E1671" s="47"/>
      <c r="F1671" s="47"/>
      <c r="G1671" s="47"/>
      <c r="H1671" s="47" t="s">
        <v>3605</v>
      </c>
      <c r="I1671" s="47" t="s">
        <v>19267</v>
      </c>
    </row>
    <row r="1672" spans="1:9" ht="15">
      <c r="A1672" s="47">
        <v>529028</v>
      </c>
      <c r="B1672" s="47" t="s">
        <v>7585</v>
      </c>
      <c r="C1672" s="47" t="s">
        <v>7586</v>
      </c>
      <c r="D1672" s="47" t="s">
        <v>7587</v>
      </c>
      <c r="E1672" s="47"/>
      <c r="F1672" s="47" t="s">
        <v>3603</v>
      </c>
      <c r="G1672" s="47" t="s">
        <v>3604</v>
      </c>
      <c r="H1672" s="47" t="s">
        <v>3605</v>
      </c>
      <c r="I1672" s="47" t="s">
        <v>19268</v>
      </c>
    </row>
    <row r="1673" spans="1:9" ht="15">
      <c r="A1673" s="47">
        <v>9110</v>
      </c>
      <c r="B1673" s="47" t="s">
        <v>7588</v>
      </c>
      <c r="C1673" s="47" t="s">
        <v>7589</v>
      </c>
      <c r="D1673" s="47" t="s">
        <v>7590</v>
      </c>
      <c r="E1673" s="47"/>
      <c r="F1673" s="47"/>
      <c r="G1673" s="47"/>
      <c r="H1673" s="47" t="s">
        <v>3605</v>
      </c>
      <c r="I1673" s="47" t="s">
        <v>19269</v>
      </c>
    </row>
    <row r="1674" spans="1:9" ht="15">
      <c r="A1674" s="47">
        <v>93019</v>
      </c>
      <c r="B1674" s="47" t="s">
        <v>7591</v>
      </c>
      <c r="C1674" s="47" t="s">
        <v>7592</v>
      </c>
      <c r="D1674" s="47" t="s">
        <v>7593</v>
      </c>
      <c r="E1674" s="47"/>
      <c r="F1674" s="47"/>
      <c r="G1674" s="47"/>
      <c r="H1674" s="47" t="s">
        <v>3605</v>
      </c>
      <c r="I1674" s="47" t="s">
        <v>19270</v>
      </c>
    </row>
    <row r="1675" spans="1:9" ht="15">
      <c r="A1675" s="47">
        <v>93020</v>
      </c>
      <c r="B1675" s="47" t="s">
        <v>7594</v>
      </c>
      <c r="C1675" s="47" t="s">
        <v>7595</v>
      </c>
      <c r="D1675" s="47" t="s">
        <v>7596</v>
      </c>
      <c r="E1675" s="47"/>
      <c r="F1675" s="47"/>
      <c r="G1675" s="47"/>
      <c r="H1675" s="47" t="s">
        <v>3605</v>
      </c>
      <c r="I1675" s="47" t="s">
        <v>19271</v>
      </c>
    </row>
    <row r="1676" spans="1:9" ht="15">
      <c r="A1676" s="47">
        <v>93021</v>
      </c>
      <c r="B1676" s="47" t="s">
        <v>7597</v>
      </c>
      <c r="C1676" s="47" t="s">
        <v>7598</v>
      </c>
      <c r="D1676" s="47" t="s">
        <v>7599</v>
      </c>
      <c r="E1676" s="47"/>
      <c r="F1676" s="47"/>
      <c r="G1676" s="47"/>
      <c r="H1676" s="47" t="s">
        <v>3605</v>
      </c>
      <c r="I1676" s="47" t="s">
        <v>19272</v>
      </c>
    </row>
    <row r="1677" spans="1:9" ht="15">
      <c r="A1677" s="47">
        <v>9989</v>
      </c>
      <c r="B1677" s="47" t="s">
        <v>7600</v>
      </c>
      <c r="C1677" s="47" t="s">
        <v>7601</v>
      </c>
      <c r="D1677" s="47" t="s">
        <v>7602</v>
      </c>
      <c r="E1677" s="47"/>
      <c r="F1677" s="47"/>
      <c r="G1677" s="47"/>
      <c r="H1677" s="47" t="s">
        <v>3605</v>
      </c>
      <c r="I1677" s="47" t="s">
        <v>19273</v>
      </c>
    </row>
    <row r="1678" spans="1:9" ht="15">
      <c r="A1678" s="47">
        <v>9999</v>
      </c>
      <c r="B1678" s="47" t="s">
        <v>7603</v>
      </c>
      <c r="C1678" s="47" t="s">
        <v>7604</v>
      </c>
      <c r="D1678" s="47" t="s">
        <v>7605</v>
      </c>
      <c r="E1678" s="47"/>
      <c r="F1678" s="47"/>
      <c r="G1678" s="47"/>
      <c r="H1678" s="47" t="s">
        <v>3605</v>
      </c>
      <c r="I1678" s="47" t="s">
        <v>19274</v>
      </c>
    </row>
    <row r="1679" spans="1:9" ht="15">
      <c r="A1679" s="47">
        <v>529042</v>
      </c>
      <c r="B1679" s="47" t="s">
        <v>2045</v>
      </c>
      <c r="C1679" s="47" t="s">
        <v>7606</v>
      </c>
      <c r="D1679" s="47" t="s">
        <v>7558</v>
      </c>
      <c r="E1679" s="47"/>
      <c r="F1679" s="47"/>
      <c r="G1679" s="47"/>
      <c r="H1679" s="47" t="s">
        <v>3605</v>
      </c>
      <c r="I1679" s="47" t="s">
        <v>19275</v>
      </c>
    </row>
    <row r="1680" spans="1:9" ht="15">
      <c r="A1680" s="47">
        <v>93312</v>
      </c>
      <c r="B1680" s="47" t="s">
        <v>7607</v>
      </c>
      <c r="C1680" s="47" t="s">
        <v>7608</v>
      </c>
      <c r="D1680" s="47" t="s">
        <v>7609</v>
      </c>
      <c r="E1680" s="47"/>
      <c r="F1680" s="47"/>
      <c r="G1680" s="47"/>
      <c r="H1680" s="47" t="s">
        <v>3605</v>
      </c>
      <c r="I1680" s="47" t="s">
        <v>19276</v>
      </c>
    </row>
    <row r="1681" spans="1:9" ht="15">
      <c r="A1681" s="47">
        <v>529043</v>
      </c>
      <c r="B1681" s="47" t="s">
        <v>7610</v>
      </c>
      <c r="C1681" s="47" t="s">
        <v>7611</v>
      </c>
      <c r="D1681" s="47" t="s">
        <v>7612</v>
      </c>
      <c r="E1681" s="47"/>
      <c r="F1681" s="47"/>
      <c r="G1681" s="47"/>
      <c r="H1681" s="47" t="s">
        <v>3605</v>
      </c>
      <c r="I1681" s="47" t="s">
        <v>19277</v>
      </c>
    </row>
    <row r="1682" spans="1:9" ht="15">
      <c r="A1682" s="47" t="s">
        <v>7613</v>
      </c>
      <c r="B1682" s="47" t="s">
        <v>7614</v>
      </c>
      <c r="C1682" s="47" t="s">
        <v>7615</v>
      </c>
      <c r="D1682" s="47" t="s">
        <v>7616</v>
      </c>
      <c r="E1682" s="47"/>
      <c r="F1682" s="47"/>
      <c r="G1682" s="47"/>
      <c r="H1682" s="47" t="s">
        <v>3605</v>
      </c>
      <c r="I1682" s="47" t="s">
        <v>7613</v>
      </c>
    </row>
    <row r="1683" spans="1:9" ht="15">
      <c r="A1683" s="47">
        <v>529044</v>
      </c>
      <c r="B1683" s="47" t="s">
        <v>7617</v>
      </c>
      <c r="C1683" s="47" t="s">
        <v>7618</v>
      </c>
      <c r="D1683" s="47" t="s">
        <v>7619</v>
      </c>
      <c r="E1683" s="47"/>
      <c r="F1683" s="47" t="s">
        <v>3603</v>
      </c>
      <c r="G1683" s="47" t="s">
        <v>3604</v>
      </c>
      <c r="H1683" s="47" t="s">
        <v>3605</v>
      </c>
      <c r="I1683" s="47" t="s">
        <v>19278</v>
      </c>
    </row>
    <row r="1684" spans="1:9" ht="15">
      <c r="A1684" s="47" t="s">
        <v>603</v>
      </c>
      <c r="B1684" s="47" t="s">
        <v>7620</v>
      </c>
      <c r="C1684" s="47" t="s">
        <v>7621</v>
      </c>
      <c r="D1684" s="47" t="s">
        <v>7622</v>
      </c>
      <c r="E1684" s="47"/>
      <c r="F1684" s="47" t="s">
        <v>3603</v>
      </c>
      <c r="G1684" s="47" t="s">
        <v>3604</v>
      </c>
      <c r="H1684" s="47" t="s">
        <v>3605</v>
      </c>
      <c r="I1684" s="47" t="s">
        <v>603</v>
      </c>
    </row>
    <row r="1685" spans="1:9" ht="15">
      <c r="A1685" s="47" t="s">
        <v>600</v>
      </c>
      <c r="B1685" s="47" t="s">
        <v>7623</v>
      </c>
      <c r="C1685" s="47" t="s">
        <v>7624</v>
      </c>
      <c r="D1685" s="47" t="s">
        <v>7625</v>
      </c>
      <c r="E1685" s="47"/>
      <c r="F1685" s="47" t="s">
        <v>3603</v>
      </c>
      <c r="G1685" s="47" t="s">
        <v>3604</v>
      </c>
      <c r="H1685" s="47" t="s">
        <v>3605</v>
      </c>
      <c r="I1685" s="47" t="s">
        <v>600</v>
      </c>
    </row>
    <row r="1686" spans="1:9" ht="15">
      <c r="A1686" s="47">
        <v>11981</v>
      </c>
      <c r="B1686" s="47" t="s">
        <v>7626</v>
      </c>
      <c r="C1686" s="47" t="s">
        <v>7627</v>
      </c>
      <c r="D1686" s="47" t="s">
        <v>7628</v>
      </c>
      <c r="E1686" s="47"/>
      <c r="F1686" s="47" t="s">
        <v>3603</v>
      </c>
      <c r="G1686" s="47" t="s">
        <v>3604</v>
      </c>
      <c r="H1686" s="47" t="s">
        <v>3605</v>
      </c>
      <c r="I1686" s="47" t="s">
        <v>19279</v>
      </c>
    </row>
    <row r="1687" spans="1:9" ht="15">
      <c r="A1687" s="47">
        <v>10214</v>
      </c>
      <c r="B1687" s="47" t="s">
        <v>7629</v>
      </c>
      <c r="C1687" s="47" t="s">
        <v>7630</v>
      </c>
      <c r="D1687" s="47" t="s">
        <v>7631</v>
      </c>
      <c r="E1687" s="47"/>
      <c r="F1687" s="47"/>
      <c r="G1687" s="47"/>
      <c r="H1687" s="47" t="s">
        <v>3605</v>
      </c>
      <c r="I1687" s="47" t="s">
        <v>19280</v>
      </c>
    </row>
    <row r="1688" spans="1:9" ht="15">
      <c r="A1688" s="47">
        <v>17903</v>
      </c>
      <c r="B1688" s="47" t="s">
        <v>7632</v>
      </c>
      <c r="C1688" s="47" t="s">
        <v>7633</v>
      </c>
      <c r="D1688" s="47" t="s">
        <v>7634</v>
      </c>
      <c r="E1688" s="47"/>
      <c r="F1688" s="47"/>
      <c r="G1688" s="47"/>
      <c r="H1688" s="47" t="s">
        <v>3605</v>
      </c>
      <c r="I1688" s="47" t="s">
        <v>19281</v>
      </c>
    </row>
    <row r="1689" spans="1:9" ht="15">
      <c r="A1689" s="47">
        <v>17916</v>
      </c>
      <c r="B1689" s="47" t="s">
        <v>7635</v>
      </c>
      <c r="C1689" s="47" t="s">
        <v>7636</v>
      </c>
      <c r="D1689" s="47" t="s">
        <v>7637</v>
      </c>
      <c r="E1689" s="47"/>
      <c r="F1689" s="47"/>
      <c r="G1689" s="47"/>
      <c r="H1689" s="47" t="s">
        <v>3605</v>
      </c>
      <c r="I1689" s="47" t="s">
        <v>19282</v>
      </c>
    </row>
    <row r="1690" spans="1:9" ht="15">
      <c r="A1690" s="47">
        <v>2011</v>
      </c>
      <c r="B1690" s="47" t="s">
        <v>7638</v>
      </c>
      <c r="C1690" s="47" t="s">
        <v>7639</v>
      </c>
      <c r="D1690" s="47" t="s">
        <v>7640</v>
      </c>
      <c r="E1690" s="47"/>
      <c r="F1690" s="47"/>
      <c r="G1690" s="47"/>
      <c r="H1690" s="47" t="s">
        <v>3605</v>
      </c>
      <c r="I1690" s="47" t="s">
        <v>19283</v>
      </c>
    </row>
    <row r="1691" spans="1:9" ht="15">
      <c r="A1691" s="47">
        <v>787050</v>
      </c>
      <c r="B1691" s="47" t="s">
        <v>7641</v>
      </c>
      <c r="C1691" s="47" t="s">
        <v>7642</v>
      </c>
      <c r="D1691" s="47" t="s">
        <v>7643</v>
      </c>
      <c r="E1691" s="47"/>
      <c r="F1691" s="47" t="s">
        <v>3603</v>
      </c>
      <c r="G1691" s="47" t="s">
        <v>3604</v>
      </c>
      <c r="H1691" s="47" t="s">
        <v>3605</v>
      </c>
      <c r="I1691" s="47" t="s">
        <v>19284</v>
      </c>
    </row>
    <row r="1692" spans="1:9" ht="15">
      <c r="A1692" s="47">
        <v>2016</v>
      </c>
      <c r="B1692" s="47" t="s">
        <v>7644</v>
      </c>
      <c r="C1692" s="47" t="s">
        <v>7645</v>
      </c>
      <c r="D1692" s="47" t="s">
        <v>7646</v>
      </c>
      <c r="E1692" s="47"/>
      <c r="F1692" s="47"/>
      <c r="G1692" s="47"/>
      <c r="H1692" s="47" t="s">
        <v>3605</v>
      </c>
      <c r="I1692" s="47" t="s">
        <v>19285</v>
      </c>
    </row>
    <row r="1693" spans="1:9" ht="15">
      <c r="A1693" s="47">
        <v>2020</v>
      </c>
      <c r="B1693" s="47" t="s">
        <v>7647</v>
      </c>
      <c r="C1693" s="47" t="s">
        <v>7648</v>
      </c>
      <c r="D1693" s="47" t="s">
        <v>7649</v>
      </c>
      <c r="E1693" s="47"/>
      <c r="F1693" s="47"/>
      <c r="G1693" s="47"/>
      <c r="H1693" s="47" t="s">
        <v>3605</v>
      </c>
      <c r="I1693" s="47" t="s">
        <v>19286</v>
      </c>
    </row>
    <row r="1694" spans="1:9" ht="15">
      <c r="A1694" s="47">
        <v>2080</v>
      </c>
      <c r="B1694" s="47" t="s">
        <v>7650</v>
      </c>
      <c r="C1694" s="47" t="s">
        <v>7651</v>
      </c>
      <c r="D1694" s="47" t="s">
        <v>7652</v>
      </c>
      <c r="E1694" s="47"/>
      <c r="F1694" s="47"/>
      <c r="G1694" s="47"/>
      <c r="H1694" s="47" t="s">
        <v>3605</v>
      </c>
      <c r="I1694" s="47" t="s">
        <v>19287</v>
      </c>
    </row>
    <row r="1695" spans="1:9" ht="15">
      <c r="A1695" s="47">
        <v>2100</v>
      </c>
      <c r="B1695" s="47" t="s">
        <v>7653</v>
      </c>
      <c r="C1695" s="47" t="s">
        <v>7654</v>
      </c>
      <c r="D1695" s="47" t="s">
        <v>7655</v>
      </c>
      <c r="E1695" s="47"/>
      <c r="F1695" s="47"/>
      <c r="G1695" s="47"/>
      <c r="H1695" s="47" t="s">
        <v>3605</v>
      </c>
      <c r="I1695" s="47" t="s">
        <v>19288</v>
      </c>
    </row>
    <row r="1696" spans="1:9" ht="15">
      <c r="A1696" s="47">
        <v>787450</v>
      </c>
      <c r="B1696" s="47" t="s">
        <v>7656</v>
      </c>
      <c r="C1696" s="47" t="s">
        <v>7657</v>
      </c>
      <c r="D1696" s="47" t="s">
        <v>7658</v>
      </c>
      <c r="E1696" s="47"/>
      <c r="F1696" s="47" t="s">
        <v>3603</v>
      </c>
      <c r="G1696" s="47" t="s">
        <v>3604</v>
      </c>
      <c r="H1696" s="47" t="s">
        <v>3605</v>
      </c>
      <c r="I1696" s="47" t="s">
        <v>19289</v>
      </c>
    </row>
    <row r="1697" spans="1:9" ht="15">
      <c r="A1697" s="47">
        <v>787510</v>
      </c>
      <c r="B1697" s="47" t="s">
        <v>2130</v>
      </c>
      <c r="C1697" s="47" t="s">
        <v>7659</v>
      </c>
      <c r="D1697" s="47" t="s">
        <v>7660</v>
      </c>
      <c r="E1697" s="47"/>
      <c r="F1697" s="47"/>
      <c r="G1697" s="47"/>
      <c r="H1697" s="47" t="s">
        <v>3605</v>
      </c>
      <c r="I1697" s="47" t="s">
        <v>19290</v>
      </c>
    </row>
    <row r="1698" spans="1:9" ht="15">
      <c r="A1698" s="47">
        <v>8000</v>
      </c>
      <c r="B1698" s="47" t="s">
        <v>7661</v>
      </c>
      <c r="C1698" s="47" t="s">
        <v>7662</v>
      </c>
      <c r="D1698" s="47" t="s">
        <v>7663</v>
      </c>
      <c r="E1698" s="47"/>
      <c r="F1698" s="47"/>
      <c r="G1698" s="47"/>
      <c r="H1698" s="47" t="s">
        <v>3605</v>
      </c>
      <c r="I1698" s="47" t="s">
        <v>19291</v>
      </c>
    </row>
    <row r="1699" spans="1:9" ht="15">
      <c r="A1699" s="47">
        <v>8100</v>
      </c>
      <c r="B1699" s="47" t="s">
        <v>7664</v>
      </c>
      <c r="C1699" s="47" t="s">
        <v>7665</v>
      </c>
      <c r="D1699" s="47" t="s">
        <v>7666</v>
      </c>
      <c r="E1699" s="47"/>
      <c r="F1699" s="47"/>
      <c r="G1699" s="47"/>
      <c r="H1699" s="47" t="s">
        <v>3605</v>
      </c>
      <c r="I1699" s="47" t="s">
        <v>19292</v>
      </c>
    </row>
    <row r="1700" spans="1:9" ht="15">
      <c r="A1700" s="47">
        <v>787550</v>
      </c>
      <c r="B1700" s="47" t="s">
        <v>2170</v>
      </c>
      <c r="C1700" s="47" t="s">
        <v>7667</v>
      </c>
      <c r="D1700" s="47" t="s">
        <v>7668</v>
      </c>
      <c r="E1700" s="47"/>
      <c r="F1700" s="47"/>
      <c r="G1700" s="47"/>
      <c r="H1700" s="47" t="s">
        <v>3605</v>
      </c>
      <c r="I1700" s="47" t="s">
        <v>19293</v>
      </c>
    </row>
    <row r="1701" spans="1:9" ht="15">
      <c r="A1701" s="47">
        <v>8123</v>
      </c>
      <c r="B1701" s="47" t="s">
        <v>7669</v>
      </c>
      <c r="C1701" s="47" t="s">
        <v>7670</v>
      </c>
      <c r="D1701" s="47" t="s">
        <v>7671</v>
      </c>
      <c r="E1701" s="47"/>
      <c r="F1701" s="47"/>
      <c r="G1701" s="47"/>
      <c r="H1701" s="47" t="s">
        <v>3605</v>
      </c>
      <c r="I1701" s="47" t="s">
        <v>19294</v>
      </c>
    </row>
    <row r="1702" spans="1:9" ht="15">
      <c r="A1702" s="47" t="s">
        <v>602</v>
      </c>
      <c r="B1702" s="47" t="s">
        <v>7672</v>
      </c>
      <c r="C1702" s="47" t="s">
        <v>7673</v>
      </c>
      <c r="D1702" s="47" t="s">
        <v>7674</v>
      </c>
      <c r="E1702" s="47"/>
      <c r="F1702" s="47"/>
      <c r="G1702" s="47"/>
      <c r="H1702" s="47" t="s">
        <v>3605</v>
      </c>
      <c r="I1702" s="47" t="s">
        <v>602</v>
      </c>
    </row>
    <row r="1703" spans="1:9" ht="15">
      <c r="A1703" s="47">
        <v>787560</v>
      </c>
      <c r="B1703" s="47" t="s">
        <v>7675</v>
      </c>
      <c r="C1703" s="47" t="s">
        <v>7676</v>
      </c>
      <c r="D1703" s="47" t="s">
        <v>7677</v>
      </c>
      <c r="E1703" s="47"/>
      <c r="F1703" s="47"/>
      <c r="G1703" s="47"/>
      <c r="H1703" s="47" t="s">
        <v>3605</v>
      </c>
      <c r="I1703" s="47" t="s">
        <v>19295</v>
      </c>
    </row>
    <row r="1704" spans="1:9" ht="15">
      <c r="A1704" s="47">
        <v>2006</v>
      </c>
      <c r="B1704" s="47" t="s">
        <v>7678</v>
      </c>
      <c r="C1704" s="47" t="s">
        <v>7679</v>
      </c>
      <c r="D1704" s="47" t="s">
        <v>7680</v>
      </c>
      <c r="E1704" s="47"/>
      <c r="F1704" s="47"/>
      <c r="G1704" s="47"/>
      <c r="H1704" s="47" t="s">
        <v>3605</v>
      </c>
      <c r="I1704" s="47" t="s">
        <v>19296</v>
      </c>
    </row>
    <row r="1705" spans="1:9" ht="15">
      <c r="A1705" s="47">
        <v>2009</v>
      </c>
      <c r="B1705" s="47" t="s">
        <v>7681</v>
      </c>
      <c r="C1705" s="47" t="s">
        <v>7682</v>
      </c>
      <c r="D1705" s="47" t="s">
        <v>7683</v>
      </c>
      <c r="E1705" s="47"/>
      <c r="F1705" s="47" t="s">
        <v>3603</v>
      </c>
      <c r="G1705" s="47" t="s">
        <v>3604</v>
      </c>
      <c r="H1705" s="47" t="s">
        <v>3605</v>
      </c>
      <c r="I1705" s="47" t="s">
        <v>19297</v>
      </c>
    </row>
    <row r="1706" spans="1:9" ht="15">
      <c r="A1706" s="47">
        <v>2010</v>
      </c>
      <c r="B1706" s="47" t="s">
        <v>7684</v>
      </c>
      <c r="C1706" s="47" t="s">
        <v>7685</v>
      </c>
      <c r="D1706" s="47" t="s">
        <v>7686</v>
      </c>
      <c r="E1706" s="47"/>
      <c r="F1706" s="47" t="s">
        <v>3603</v>
      </c>
      <c r="G1706" s="47" t="s">
        <v>3604</v>
      </c>
      <c r="H1706" s="47" t="s">
        <v>3605</v>
      </c>
      <c r="I1706" s="47" t="s">
        <v>19298</v>
      </c>
    </row>
    <row r="1707" spans="1:9" ht="15">
      <c r="A1707" s="47">
        <v>2033</v>
      </c>
      <c r="B1707" s="47" t="s">
        <v>7687</v>
      </c>
      <c r="C1707" s="47" t="s">
        <v>7688</v>
      </c>
      <c r="D1707" s="47" t="s">
        <v>7689</v>
      </c>
      <c r="E1707" s="47"/>
      <c r="F1707" s="47"/>
      <c r="G1707" s="47"/>
      <c r="H1707" s="47" t="s">
        <v>3605</v>
      </c>
      <c r="I1707" s="47" t="s">
        <v>19299</v>
      </c>
    </row>
    <row r="1708" spans="1:9" ht="15">
      <c r="A1708" s="47">
        <v>6003</v>
      </c>
      <c r="B1708" s="47" t="s">
        <v>7690</v>
      </c>
      <c r="C1708" s="47" t="s">
        <v>7691</v>
      </c>
      <c r="D1708" s="47" t="s">
        <v>7692</v>
      </c>
      <c r="E1708" s="47"/>
      <c r="F1708" s="47" t="s">
        <v>3603</v>
      </c>
      <c r="G1708" s="47" t="s">
        <v>3604</v>
      </c>
      <c r="H1708" s="47" t="s">
        <v>3605</v>
      </c>
      <c r="I1708" s="47" t="s">
        <v>19300</v>
      </c>
    </row>
    <row r="1709" spans="1:9" ht="15">
      <c r="A1709" s="47">
        <v>8117</v>
      </c>
      <c r="B1709" s="47" t="s">
        <v>7693</v>
      </c>
      <c r="C1709" s="47" t="s">
        <v>7694</v>
      </c>
      <c r="D1709" s="47" t="s">
        <v>7695</v>
      </c>
      <c r="E1709" s="47"/>
      <c r="F1709" s="47" t="s">
        <v>3603</v>
      </c>
      <c r="G1709" s="47" t="s">
        <v>3604</v>
      </c>
      <c r="H1709" s="47" t="s">
        <v>3605</v>
      </c>
      <c r="I1709" s="47" t="s">
        <v>19301</v>
      </c>
    </row>
    <row r="1710" spans="1:9" ht="15">
      <c r="A1710" s="47">
        <v>93203</v>
      </c>
      <c r="B1710" s="47" t="s">
        <v>7696</v>
      </c>
      <c r="C1710" s="47" t="s">
        <v>7697</v>
      </c>
      <c r="D1710" s="47" t="s">
        <v>7698</v>
      </c>
      <c r="E1710" s="47"/>
      <c r="F1710" s="47" t="s">
        <v>3603</v>
      </c>
      <c r="G1710" s="47" t="s">
        <v>3604</v>
      </c>
      <c r="H1710" s="47" t="s">
        <v>3605</v>
      </c>
      <c r="I1710" s="47" t="s">
        <v>19302</v>
      </c>
    </row>
    <row r="1711" spans="1:9" ht="15">
      <c r="A1711" s="47">
        <v>2007</v>
      </c>
      <c r="B1711" s="47" t="s">
        <v>7699</v>
      </c>
      <c r="C1711" s="47" t="s">
        <v>7700</v>
      </c>
      <c r="D1711" s="47" t="s">
        <v>7701</v>
      </c>
      <c r="E1711" s="47"/>
      <c r="F1711" s="47"/>
      <c r="G1711" s="47"/>
      <c r="H1711" s="47" t="s">
        <v>3605</v>
      </c>
      <c r="I1711" s="47" t="s">
        <v>19303</v>
      </c>
    </row>
    <row r="1712" spans="1:9" ht="15">
      <c r="A1712" s="47">
        <v>93602</v>
      </c>
      <c r="B1712" s="47" t="s">
        <v>7702</v>
      </c>
      <c r="C1712" s="47" t="s">
        <v>7703</v>
      </c>
      <c r="D1712" s="47" t="s">
        <v>7702</v>
      </c>
      <c r="E1712" s="47"/>
      <c r="F1712" s="47"/>
      <c r="G1712" s="47"/>
      <c r="H1712" s="47" t="s">
        <v>3605</v>
      </c>
      <c r="I1712" s="47" t="s">
        <v>19304</v>
      </c>
    </row>
    <row r="1713" spans="1:9" ht="15">
      <c r="A1713" s="47" t="s">
        <v>2</v>
      </c>
      <c r="B1713" s="47" t="s">
        <v>7704</v>
      </c>
      <c r="C1713" s="47" t="s">
        <v>7705</v>
      </c>
      <c r="D1713" s="47" t="s">
        <v>7706</v>
      </c>
      <c r="E1713" s="47"/>
      <c r="F1713" s="47" t="s">
        <v>3603</v>
      </c>
      <c r="G1713" s="47" t="s">
        <v>3604</v>
      </c>
      <c r="H1713" s="47" t="s">
        <v>3605</v>
      </c>
      <c r="I1713" s="47" t="s">
        <v>2</v>
      </c>
    </row>
    <row r="1714" spans="1:9" ht="15">
      <c r="A1714" s="47" t="s">
        <v>1906</v>
      </c>
      <c r="B1714" s="47" t="s">
        <v>7707</v>
      </c>
      <c r="C1714" s="47" t="s">
        <v>7708</v>
      </c>
      <c r="D1714" s="47" t="s">
        <v>7709</v>
      </c>
      <c r="E1714" s="47"/>
      <c r="F1714" s="47" t="s">
        <v>3603</v>
      </c>
      <c r="G1714" s="47" t="s">
        <v>3604</v>
      </c>
      <c r="H1714" s="47" t="s">
        <v>3605</v>
      </c>
      <c r="I1714" s="47" t="s">
        <v>1906</v>
      </c>
    </row>
    <row r="1715" spans="1:9" ht="15">
      <c r="A1715" s="47" t="s">
        <v>1907</v>
      </c>
      <c r="B1715" s="47" t="s">
        <v>7710</v>
      </c>
      <c r="C1715" s="47" t="s">
        <v>7711</v>
      </c>
      <c r="D1715" s="47" t="s">
        <v>7712</v>
      </c>
      <c r="E1715" s="47"/>
      <c r="F1715" s="47" t="s">
        <v>3603</v>
      </c>
      <c r="G1715" s="47" t="s">
        <v>3604</v>
      </c>
      <c r="H1715" s="47" t="s">
        <v>3605</v>
      </c>
      <c r="I1715" s="47" t="s">
        <v>1907</v>
      </c>
    </row>
    <row r="1716" spans="1:9" ht="15">
      <c r="A1716" s="47" t="s">
        <v>1908</v>
      </c>
      <c r="B1716" s="47" t="s">
        <v>7713</v>
      </c>
      <c r="C1716" s="47" t="s">
        <v>7714</v>
      </c>
      <c r="D1716" s="47" t="s">
        <v>7715</v>
      </c>
      <c r="E1716" s="47"/>
      <c r="F1716" s="47" t="s">
        <v>3603</v>
      </c>
      <c r="G1716" s="47" t="s">
        <v>3604</v>
      </c>
      <c r="H1716" s="47" t="s">
        <v>3605</v>
      </c>
      <c r="I1716" s="47" t="s">
        <v>1908</v>
      </c>
    </row>
    <row r="1717" spans="1:9" ht="15">
      <c r="A1717" s="47" t="s">
        <v>1909</v>
      </c>
      <c r="B1717" s="47" t="s">
        <v>7716</v>
      </c>
      <c r="C1717" s="47" t="s">
        <v>7717</v>
      </c>
      <c r="D1717" s="47" t="s">
        <v>7718</v>
      </c>
      <c r="E1717" s="47"/>
      <c r="F1717" s="47" t="s">
        <v>3603</v>
      </c>
      <c r="G1717" s="47" t="s">
        <v>3604</v>
      </c>
      <c r="H1717" s="47" t="s">
        <v>3605</v>
      </c>
      <c r="I1717" s="47" t="s">
        <v>1909</v>
      </c>
    </row>
    <row r="1718" spans="1:9" ht="15">
      <c r="A1718" s="47">
        <v>787570</v>
      </c>
      <c r="B1718" s="47" t="s">
        <v>7719</v>
      </c>
      <c r="C1718" s="47" t="s">
        <v>7720</v>
      </c>
      <c r="D1718" s="47" t="s">
        <v>7721</v>
      </c>
      <c r="E1718" s="47"/>
      <c r="F1718" s="47"/>
      <c r="G1718" s="47"/>
      <c r="H1718" s="47" t="s">
        <v>3605</v>
      </c>
      <c r="I1718" s="47" t="s">
        <v>19305</v>
      </c>
    </row>
    <row r="1719" spans="1:9" ht="15">
      <c r="A1719" s="47" t="s">
        <v>1911</v>
      </c>
      <c r="B1719" s="47" t="s">
        <v>7722</v>
      </c>
      <c r="C1719" s="47" t="s">
        <v>7723</v>
      </c>
      <c r="D1719" s="47" t="s">
        <v>7724</v>
      </c>
      <c r="E1719" s="47"/>
      <c r="F1719" s="47" t="s">
        <v>3603</v>
      </c>
      <c r="G1719" s="47" t="s">
        <v>3604</v>
      </c>
      <c r="H1719" s="47" t="s">
        <v>3605</v>
      </c>
      <c r="I1719" s="47" t="s">
        <v>1911</v>
      </c>
    </row>
    <row r="1720" spans="1:9" ht="15">
      <c r="A1720" s="47">
        <v>2014</v>
      </c>
      <c r="B1720" s="47" t="s">
        <v>7725</v>
      </c>
      <c r="C1720" s="47" t="s">
        <v>7726</v>
      </c>
      <c r="D1720" s="47" t="s">
        <v>7727</v>
      </c>
      <c r="E1720" s="47"/>
      <c r="F1720" s="47"/>
      <c r="G1720" s="47"/>
      <c r="H1720" s="47" t="s">
        <v>3605</v>
      </c>
      <c r="I1720" s="47" t="s">
        <v>19306</v>
      </c>
    </row>
    <row r="1721" spans="1:9" ht="15">
      <c r="A1721" s="47" t="s">
        <v>1913</v>
      </c>
      <c r="B1721" s="47" t="s">
        <v>7728</v>
      </c>
      <c r="C1721" s="47" t="s">
        <v>7729</v>
      </c>
      <c r="D1721" s="47" t="s">
        <v>7730</v>
      </c>
      <c r="E1721" s="47"/>
      <c r="F1721" s="47" t="s">
        <v>3603</v>
      </c>
      <c r="G1721" s="47" t="s">
        <v>3604</v>
      </c>
      <c r="H1721" s="47" t="s">
        <v>3605</v>
      </c>
      <c r="I1721" s="47" t="s">
        <v>1913</v>
      </c>
    </row>
    <row r="1722" spans="1:9" ht="15">
      <c r="A1722" s="47" t="s">
        <v>1914</v>
      </c>
      <c r="B1722" s="47" t="s">
        <v>7731</v>
      </c>
      <c r="C1722" s="47" t="s">
        <v>7732</v>
      </c>
      <c r="D1722" s="47" t="s">
        <v>7733</v>
      </c>
      <c r="E1722" s="47"/>
      <c r="F1722" s="47" t="s">
        <v>3603</v>
      </c>
      <c r="G1722" s="47" t="s">
        <v>3604</v>
      </c>
      <c r="H1722" s="47" t="s">
        <v>3605</v>
      </c>
      <c r="I1722" s="47" t="s">
        <v>1914</v>
      </c>
    </row>
    <row r="1723" spans="1:9" ht="15">
      <c r="A1723" s="47" t="s">
        <v>3228</v>
      </c>
      <c r="B1723" s="47" t="s">
        <v>7734</v>
      </c>
      <c r="C1723" s="47" t="s">
        <v>7735</v>
      </c>
      <c r="D1723" s="47" t="s">
        <v>7736</v>
      </c>
      <c r="E1723" s="47"/>
      <c r="F1723" s="47"/>
      <c r="G1723" s="47"/>
      <c r="H1723" s="47" t="s">
        <v>3605</v>
      </c>
      <c r="I1723" s="47" t="s">
        <v>3228</v>
      </c>
    </row>
    <row r="1724" spans="1:9" ht="15">
      <c r="A1724" s="47">
        <v>2003</v>
      </c>
      <c r="B1724" s="47" t="s">
        <v>7737</v>
      </c>
      <c r="C1724" s="47" t="s">
        <v>7738</v>
      </c>
      <c r="D1724" s="47" t="s">
        <v>7739</v>
      </c>
      <c r="E1724" s="47"/>
      <c r="F1724" s="47"/>
      <c r="G1724" s="47"/>
      <c r="H1724" s="47" t="s">
        <v>3605</v>
      </c>
      <c r="I1724" s="47" t="s">
        <v>19307</v>
      </c>
    </row>
    <row r="1725" spans="1:9" ht="15">
      <c r="A1725" s="47">
        <v>2012</v>
      </c>
      <c r="B1725" s="47" t="s">
        <v>7740</v>
      </c>
      <c r="C1725" s="47" t="s">
        <v>7741</v>
      </c>
      <c r="D1725" s="47" t="s">
        <v>7742</v>
      </c>
      <c r="E1725" s="47"/>
      <c r="F1725" s="47"/>
      <c r="G1725" s="47"/>
      <c r="H1725" s="47" t="s">
        <v>3605</v>
      </c>
      <c r="I1725" s="47" t="s">
        <v>19308</v>
      </c>
    </row>
    <row r="1726" spans="1:9" ht="15">
      <c r="A1726" s="47">
        <v>2013</v>
      </c>
      <c r="B1726" s="47" t="s">
        <v>7743</v>
      </c>
      <c r="C1726" s="47" t="s">
        <v>7744</v>
      </c>
      <c r="D1726" s="47" t="s">
        <v>7745</v>
      </c>
      <c r="E1726" s="47"/>
      <c r="F1726" s="47"/>
      <c r="G1726" s="47"/>
      <c r="H1726" s="47" t="s">
        <v>3605</v>
      </c>
      <c r="I1726" s="47" t="s">
        <v>19309</v>
      </c>
    </row>
    <row r="1727" spans="1:9" ht="15">
      <c r="A1727" s="47">
        <v>2032</v>
      </c>
      <c r="B1727" s="47" t="s">
        <v>7746</v>
      </c>
      <c r="C1727" s="47" t="s">
        <v>7747</v>
      </c>
      <c r="D1727" s="47" t="s">
        <v>7709</v>
      </c>
      <c r="E1727" s="47"/>
      <c r="F1727" s="47" t="s">
        <v>3603</v>
      </c>
      <c r="G1727" s="47" t="s">
        <v>3604</v>
      </c>
      <c r="H1727" s="47" t="s">
        <v>3605</v>
      </c>
      <c r="I1727" s="47" t="s">
        <v>19310</v>
      </c>
    </row>
    <row r="1728" spans="1:9" ht="15">
      <c r="A1728" s="47">
        <v>787650</v>
      </c>
      <c r="B1728" s="47" t="s">
        <v>7748</v>
      </c>
      <c r="C1728" s="47" t="s">
        <v>7749</v>
      </c>
      <c r="D1728" s="47" t="s">
        <v>7750</v>
      </c>
      <c r="E1728" s="47"/>
      <c r="F1728" s="47" t="s">
        <v>3603</v>
      </c>
      <c r="G1728" s="47" t="s">
        <v>3604</v>
      </c>
      <c r="H1728" s="47" t="s">
        <v>3605</v>
      </c>
      <c r="I1728" s="47" t="s">
        <v>19311</v>
      </c>
    </row>
    <row r="1729" spans="1:9" ht="15">
      <c r="A1729" s="47">
        <v>2036</v>
      </c>
      <c r="B1729" s="47" t="s">
        <v>7751</v>
      </c>
      <c r="C1729" s="47" t="s">
        <v>7752</v>
      </c>
      <c r="D1729" s="47" t="s">
        <v>7753</v>
      </c>
      <c r="E1729" s="47"/>
      <c r="F1729" s="47"/>
      <c r="G1729" s="47"/>
      <c r="H1729" s="47" t="s">
        <v>3605</v>
      </c>
      <c r="I1729" s="47" t="s">
        <v>19312</v>
      </c>
    </row>
    <row r="1730" spans="1:9" ht="15">
      <c r="A1730" s="47">
        <v>2037</v>
      </c>
      <c r="B1730" s="47" t="s">
        <v>7754</v>
      </c>
      <c r="C1730" s="47" t="s">
        <v>7755</v>
      </c>
      <c r="D1730" s="47" t="s">
        <v>7756</v>
      </c>
      <c r="E1730" s="47"/>
      <c r="F1730" s="47"/>
      <c r="G1730" s="47"/>
      <c r="H1730" s="47" t="s">
        <v>3605</v>
      </c>
      <c r="I1730" s="47" t="s">
        <v>19313</v>
      </c>
    </row>
    <row r="1731" spans="1:9" ht="15">
      <c r="A1731" s="47">
        <v>2038</v>
      </c>
      <c r="B1731" s="47" t="s">
        <v>7757</v>
      </c>
      <c r="C1731" s="47" t="s">
        <v>7758</v>
      </c>
      <c r="D1731" s="47" t="s">
        <v>7712</v>
      </c>
      <c r="E1731" s="47"/>
      <c r="F1731" s="47"/>
      <c r="G1731" s="47"/>
      <c r="H1731" s="47" t="s">
        <v>3605</v>
      </c>
      <c r="I1731" s="47" t="s">
        <v>19314</v>
      </c>
    </row>
    <row r="1732" spans="1:9" ht="15">
      <c r="A1732" s="47">
        <v>2039</v>
      </c>
      <c r="B1732" s="47" t="s">
        <v>7759</v>
      </c>
      <c r="C1732" s="47" t="s">
        <v>7760</v>
      </c>
      <c r="D1732" s="47" t="s">
        <v>7724</v>
      </c>
      <c r="E1732" s="47"/>
      <c r="F1732" s="47"/>
      <c r="G1732" s="47"/>
      <c r="H1732" s="47" t="s">
        <v>3605</v>
      </c>
      <c r="I1732" s="47" t="s">
        <v>19315</v>
      </c>
    </row>
    <row r="1733" spans="1:9" ht="15">
      <c r="A1733" s="47">
        <v>2040</v>
      </c>
      <c r="B1733" s="47" t="s">
        <v>7761</v>
      </c>
      <c r="C1733" s="47" t="s">
        <v>7762</v>
      </c>
      <c r="D1733" s="47" t="s">
        <v>7763</v>
      </c>
      <c r="E1733" s="47"/>
      <c r="F1733" s="47"/>
      <c r="G1733" s="47"/>
      <c r="H1733" s="47" t="s">
        <v>3605</v>
      </c>
      <c r="I1733" s="47" t="s">
        <v>19316</v>
      </c>
    </row>
    <row r="1734" spans="1:9" ht="15">
      <c r="A1734" s="47">
        <v>2042</v>
      </c>
      <c r="B1734" s="47" t="s">
        <v>7764</v>
      </c>
      <c r="C1734" s="47" t="s">
        <v>7765</v>
      </c>
      <c r="D1734" s="47" t="s">
        <v>7766</v>
      </c>
      <c r="E1734" s="47"/>
      <c r="F1734" s="47"/>
      <c r="G1734" s="47"/>
      <c r="H1734" s="47" t="s">
        <v>3605</v>
      </c>
      <c r="I1734" s="47" t="s">
        <v>19317</v>
      </c>
    </row>
    <row r="1735" spans="1:9" ht="15">
      <c r="A1735" s="47">
        <v>2070</v>
      </c>
      <c r="B1735" s="47" t="s">
        <v>7767</v>
      </c>
      <c r="C1735" s="47" t="s">
        <v>7768</v>
      </c>
      <c r="D1735" s="47" t="s">
        <v>7769</v>
      </c>
      <c r="E1735" s="47"/>
      <c r="F1735" s="47"/>
      <c r="G1735" s="47"/>
      <c r="H1735" s="47" t="s">
        <v>3605</v>
      </c>
      <c r="I1735" s="47" t="s">
        <v>19318</v>
      </c>
    </row>
    <row r="1736" spans="1:9" ht="15">
      <c r="A1736" s="47">
        <v>2071</v>
      </c>
      <c r="B1736" s="47" t="s">
        <v>7770</v>
      </c>
      <c r="C1736" s="47" t="s">
        <v>7771</v>
      </c>
      <c r="D1736" s="47" t="s">
        <v>7772</v>
      </c>
      <c r="E1736" s="47"/>
      <c r="F1736" s="47"/>
      <c r="G1736" s="47"/>
      <c r="H1736" s="47" t="s">
        <v>3605</v>
      </c>
      <c r="I1736" s="47" t="s">
        <v>19319</v>
      </c>
    </row>
    <row r="1737" spans="1:9" ht="15">
      <c r="A1737" s="47">
        <v>2034</v>
      </c>
      <c r="B1737" s="47" t="s">
        <v>7773</v>
      </c>
      <c r="C1737" s="47" t="s">
        <v>7774</v>
      </c>
      <c r="D1737" s="47" t="s">
        <v>7775</v>
      </c>
      <c r="E1737" s="47"/>
      <c r="F1737" s="47"/>
      <c r="G1737" s="47"/>
      <c r="H1737" s="47" t="s">
        <v>3605</v>
      </c>
      <c r="I1737" s="47" t="s">
        <v>19320</v>
      </c>
    </row>
    <row r="1738" spans="1:9" ht="15">
      <c r="A1738" s="47" t="s">
        <v>562</v>
      </c>
      <c r="B1738" s="47" t="s">
        <v>7776</v>
      </c>
      <c r="C1738" s="47" t="s">
        <v>7777</v>
      </c>
      <c r="D1738" s="47" t="s">
        <v>7778</v>
      </c>
      <c r="E1738" s="47"/>
      <c r="F1738" s="47" t="s">
        <v>3603</v>
      </c>
      <c r="G1738" s="47" t="s">
        <v>3604</v>
      </c>
      <c r="H1738" s="47" t="s">
        <v>3605</v>
      </c>
      <c r="I1738" s="47" t="s">
        <v>562</v>
      </c>
    </row>
    <row r="1739" spans="1:9" ht="15">
      <c r="A1739" s="47" t="s">
        <v>566</v>
      </c>
      <c r="B1739" s="47" t="s">
        <v>7779</v>
      </c>
      <c r="C1739" s="47" t="s">
        <v>7780</v>
      </c>
      <c r="D1739" s="47" t="s">
        <v>7781</v>
      </c>
      <c r="E1739" s="47"/>
      <c r="F1739" s="47"/>
      <c r="G1739" s="47"/>
      <c r="H1739" s="47" t="s">
        <v>3605</v>
      </c>
      <c r="I1739" s="47" t="s">
        <v>566</v>
      </c>
    </row>
    <row r="1740" spans="1:9" ht="15">
      <c r="A1740" s="47" t="s">
        <v>570</v>
      </c>
      <c r="B1740" s="47" t="s">
        <v>7782</v>
      </c>
      <c r="C1740" s="47" t="s">
        <v>7783</v>
      </c>
      <c r="D1740" s="47" t="s">
        <v>7784</v>
      </c>
      <c r="E1740" s="47"/>
      <c r="F1740" s="47"/>
      <c r="G1740" s="47"/>
      <c r="H1740" s="47" t="s">
        <v>3605</v>
      </c>
      <c r="I1740" s="47" t="s">
        <v>570</v>
      </c>
    </row>
    <row r="1741" spans="1:9" ht="15">
      <c r="A1741" s="47" t="s">
        <v>538</v>
      </c>
      <c r="B1741" s="47" t="s">
        <v>7785</v>
      </c>
      <c r="C1741" s="47" t="s">
        <v>7786</v>
      </c>
      <c r="D1741" s="47" t="s">
        <v>7787</v>
      </c>
      <c r="E1741" s="47"/>
      <c r="F1741" s="47"/>
      <c r="G1741" s="47"/>
      <c r="H1741" s="47" t="s">
        <v>3605</v>
      </c>
      <c r="I1741" s="47" t="s">
        <v>538</v>
      </c>
    </row>
    <row r="1742" spans="1:9" ht="15">
      <c r="A1742" s="47">
        <v>787750</v>
      </c>
      <c r="B1742" s="47" t="s">
        <v>7788</v>
      </c>
      <c r="C1742" s="47" t="s">
        <v>7789</v>
      </c>
      <c r="D1742" s="47" t="s">
        <v>7790</v>
      </c>
      <c r="E1742" s="47"/>
      <c r="F1742" s="47" t="s">
        <v>3603</v>
      </c>
      <c r="G1742" s="47" t="s">
        <v>3604</v>
      </c>
      <c r="H1742" s="47" t="s">
        <v>3605</v>
      </c>
      <c r="I1742" s="47" t="s">
        <v>19321</v>
      </c>
    </row>
    <row r="1743" spans="1:9" ht="15">
      <c r="A1743" s="47" t="s">
        <v>541</v>
      </c>
      <c r="B1743" s="47" t="s">
        <v>7791</v>
      </c>
      <c r="C1743" s="47" t="s">
        <v>7792</v>
      </c>
      <c r="D1743" s="47" t="s">
        <v>7793</v>
      </c>
      <c r="E1743" s="47"/>
      <c r="F1743" s="47"/>
      <c r="G1743" s="47"/>
      <c r="H1743" s="47" t="s">
        <v>3605</v>
      </c>
      <c r="I1743" s="47" t="s">
        <v>541</v>
      </c>
    </row>
    <row r="1744" spans="1:9" ht="15">
      <c r="A1744" s="47" t="s">
        <v>542</v>
      </c>
      <c r="B1744" s="47" t="s">
        <v>7794</v>
      </c>
      <c r="C1744" s="47" t="s">
        <v>7795</v>
      </c>
      <c r="D1744" s="47" t="s">
        <v>7796</v>
      </c>
      <c r="E1744" s="47"/>
      <c r="F1744" s="47"/>
      <c r="G1744" s="47"/>
      <c r="H1744" s="47" t="s">
        <v>3605</v>
      </c>
      <c r="I1744" s="47" t="s">
        <v>542</v>
      </c>
    </row>
    <row r="1745" spans="1:9" ht="15">
      <c r="A1745" s="47" t="s">
        <v>543</v>
      </c>
      <c r="B1745" s="47" t="s">
        <v>7797</v>
      </c>
      <c r="C1745" s="47" t="s">
        <v>7798</v>
      </c>
      <c r="D1745" s="47" t="s">
        <v>7799</v>
      </c>
      <c r="E1745" s="47"/>
      <c r="F1745" s="47"/>
      <c r="G1745" s="47"/>
      <c r="H1745" s="47" t="s">
        <v>3605</v>
      </c>
      <c r="I1745" s="47" t="s">
        <v>543</v>
      </c>
    </row>
    <row r="1746" spans="1:9" ht="15">
      <c r="A1746" s="47" t="s">
        <v>544</v>
      </c>
      <c r="B1746" s="47" t="s">
        <v>7800</v>
      </c>
      <c r="C1746" s="47" t="s">
        <v>7801</v>
      </c>
      <c r="D1746" s="47" t="s">
        <v>7802</v>
      </c>
      <c r="E1746" s="47"/>
      <c r="F1746" s="47"/>
      <c r="G1746" s="47"/>
      <c r="H1746" s="47" t="s">
        <v>3605</v>
      </c>
      <c r="I1746" s="47" t="s">
        <v>544</v>
      </c>
    </row>
    <row r="1747" spans="1:9" ht="15">
      <c r="A1747" s="47" t="s">
        <v>545</v>
      </c>
      <c r="B1747" s="47" t="s">
        <v>7803</v>
      </c>
      <c r="C1747" s="47" t="s">
        <v>7804</v>
      </c>
      <c r="D1747" s="47" t="s">
        <v>7805</v>
      </c>
      <c r="E1747" s="47"/>
      <c r="F1747" s="47"/>
      <c r="G1747" s="47"/>
      <c r="H1747" s="47" t="s">
        <v>3605</v>
      </c>
      <c r="I1747" s="47" t="s">
        <v>545</v>
      </c>
    </row>
    <row r="1748" spans="1:9" ht="15">
      <c r="A1748" s="47" t="s">
        <v>546</v>
      </c>
      <c r="B1748" s="47" t="s">
        <v>7806</v>
      </c>
      <c r="C1748" s="47" t="s">
        <v>7807</v>
      </c>
      <c r="D1748" s="47" t="s">
        <v>7808</v>
      </c>
      <c r="E1748" s="47"/>
      <c r="F1748" s="47"/>
      <c r="G1748" s="47"/>
      <c r="H1748" s="47" t="s">
        <v>3605</v>
      </c>
      <c r="I1748" s="47" t="s">
        <v>546</v>
      </c>
    </row>
    <row r="1749" spans="1:9" ht="15">
      <c r="A1749" s="47" t="s">
        <v>547</v>
      </c>
      <c r="B1749" s="47" t="s">
        <v>7809</v>
      </c>
      <c r="C1749" s="47" t="s">
        <v>7810</v>
      </c>
      <c r="D1749" s="47" t="s">
        <v>7811</v>
      </c>
      <c r="E1749" s="47"/>
      <c r="F1749" s="47"/>
      <c r="G1749" s="47"/>
      <c r="H1749" s="47" t="s">
        <v>3605</v>
      </c>
      <c r="I1749" s="47" t="s">
        <v>547</v>
      </c>
    </row>
    <row r="1750" spans="1:9" ht="15">
      <c r="A1750" s="47" t="s">
        <v>548</v>
      </c>
      <c r="B1750" s="47" t="s">
        <v>7812</v>
      </c>
      <c r="C1750" s="47" t="s">
        <v>7813</v>
      </c>
      <c r="D1750" s="47" t="s">
        <v>7814</v>
      </c>
      <c r="E1750" s="47"/>
      <c r="F1750" s="47"/>
      <c r="G1750" s="47"/>
      <c r="H1750" s="47" t="s">
        <v>3605</v>
      </c>
      <c r="I1750" s="47" t="s">
        <v>548</v>
      </c>
    </row>
    <row r="1751" spans="1:9" ht="15">
      <c r="A1751" s="47" t="s">
        <v>549</v>
      </c>
      <c r="B1751" s="47" t="s">
        <v>7815</v>
      </c>
      <c r="C1751" s="47" t="s">
        <v>7816</v>
      </c>
      <c r="D1751" s="47" t="s">
        <v>7817</v>
      </c>
      <c r="E1751" s="47"/>
      <c r="F1751" s="47"/>
      <c r="G1751" s="47"/>
      <c r="H1751" s="47" t="s">
        <v>3605</v>
      </c>
      <c r="I1751" s="47" t="s">
        <v>549</v>
      </c>
    </row>
    <row r="1752" spans="1:9" ht="15">
      <c r="A1752" s="47" t="s">
        <v>550</v>
      </c>
      <c r="B1752" s="47" t="s">
        <v>7818</v>
      </c>
      <c r="C1752" s="47" t="s">
        <v>7819</v>
      </c>
      <c r="D1752" s="47" t="s">
        <v>7820</v>
      </c>
      <c r="E1752" s="47"/>
      <c r="F1752" s="47"/>
      <c r="G1752" s="47"/>
      <c r="H1752" s="47" t="s">
        <v>3605</v>
      </c>
      <c r="I1752" s="47" t="s">
        <v>550</v>
      </c>
    </row>
    <row r="1753" spans="1:9" ht="15">
      <c r="A1753" s="47">
        <v>1013415</v>
      </c>
      <c r="B1753" s="47" t="s">
        <v>7821</v>
      </c>
      <c r="C1753" s="47" t="s">
        <v>7822</v>
      </c>
      <c r="D1753" s="47" t="s">
        <v>7823</v>
      </c>
      <c r="E1753" s="47"/>
      <c r="F1753" s="47" t="s">
        <v>3603</v>
      </c>
      <c r="G1753" s="47" t="s">
        <v>3604</v>
      </c>
      <c r="H1753" s="47" t="s">
        <v>3605</v>
      </c>
      <c r="I1753" s="47" t="s">
        <v>19322</v>
      </c>
    </row>
    <row r="1754" spans="1:9" ht="15">
      <c r="A1754" s="47" t="s">
        <v>552</v>
      </c>
      <c r="B1754" s="47" t="s">
        <v>7824</v>
      </c>
      <c r="C1754" s="47" t="s">
        <v>7825</v>
      </c>
      <c r="D1754" s="47" t="s">
        <v>7826</v>
      </c>
      <c r="E1754" s="47"/>
      <c r="F1754" s="47"/>
      <c r="G1754" s="47"/>
      <c r="H1754" s="47" t="s">
        <v>3605</v>
      </c>
      <c r="I1754" s="47" t="s">
        <v>552</v>
      </c>
    </row>
    <row r="1755" spans="1:9" ht="15">
      <c r="A1755" s="47" t="s">
        <v>553</v>
      </c>
      <c r="B1755" s="47" t="s">
        <v>7827</v>
      </c>
      <c r="C1755" s="47" t="s">
        <v>7828</v>
      </c>
      <c r="D1755" s="47" t="s">
        <v>7829</v>
      </c>
      <c r="E1755" s="47"/>
      <c r="F1755" s="47"/>
      <c r="G1755" s="47"/>
      <c r="H1755" s="47" t="s">
        <v>3605</v>
      </c>
      <c r="I1755" s="47" t="s">
        <v>553</v>
      </c>
    </row>
    <row r="1756" spans="1:9" ht="15">
      <c r="A1756" s="47" t="s">
        <v>554</v>
      </c>
      <c r="B1756" s="47" t="s">
        <v>7830</v>
      </c>
      <c r="C1756" s="47" t="s">
        <v>7831</v>
      </c>
      <c r="D1756" s="47" t="s">
        <v>7832</v>
      </c>
      <c r="E1756" s="47"/>
      <c r="F1756" s="47"/>
      <c r="G1756" s="47"/>
      <c r="H1756" s="47" t="s">
        <v>3605</v>
      </c>
      <c r="I1756" s="47" t="s">
        <v>554</v>
      </c>
    </row>
    <row r="1757" spans="1:9" ht="15">
      <c r="A1757" s="47" t="s">
        <v>555</v>
      </c>
      <c r="B1757" s="47" t="s">
        <v>7833</v>
      </c>
      <c r="C1757" s="47" t="s">
        <v>7834</v>
      </c>
      <c r="D1757" s="47" t="s">
        <v>7835</v>
      </c>
      <c r="E1757" s="47"/>
      <c r="F1757" s="47"/>
      <c r="G1757" s="47"/>
      <c r="H1757" s="47" t="s">
        <v>3605</v>
      </c>
      <c r="I1757" s="47" t="s">
        <v>555</v>
      </c>
    </row>
    <row r="1758" spans="1:9" ht="15">
      <c r="A1758" s="47" t="s">
        <v>556</v>
      </c>
      <c r="B1758" s="47" t="s">
        <v>7836</v>
      </c>
      <c r="C1758" s="47" t="s">
        <v>7837</v>
      </c>
      <c r="D1758" s="47" t="s">
        <v>7838</v>
      </c>
      <c r="E1758" s="47"/>
      <c r="F1758" s="47"/>
      <c r="G1758" s="47"/>
      <c r="H1758" s="47" t="s">
        <v>3605</v>
      </c>
      <c r="I1758" s="47" t="s">
        <v>556</v>
      </c>
    </row>
    <row r="1759" spans="1:9" ht="15">
      <c r="A1759" s="47" t="s">
        <v>557</v>
      </c>
      <c r="B1759" s="47" t="s">
        <v>7839</v>
      </c>
      <c r="C1759" s="47" t="s">
        <v>7840</v>
      </c>
      <c r="D1759" s="47" t="s">
        <v>7826</v>
      </c>
      <c r="E1759" s="47"/>
      <c r="F1759" s="47"/>
      <c r="G1759" s="47"/>
      <c r="H1759" s="47" t="s">
        <v>3605</v>
      </c>
      <c r="I1759" s="47" t="s">
        <v>557</v>
      </c>
    </row>
    <row r="1760" spans="1:9" ht="15">
      <c r="A1760" s="47" t="s">
        <v>558</v>
      </c>
      <c r="B1760" s="47" t="s">
        <v>7841</v>
      </c>
      <c r="C1760" s="47" t="s">
        <v>7842</v>
      </c>
      <c r="D1760" s="47" t="s">
        <v>7843</v>
      </c>
      <c r="E1760" s="47"/>
      <c r="F1760" s="47"/>
      <c r="G1760" s="47"/>
      <c r="H1760" s="47" t="s">
        <v>3605</v>
      </c>
      <c r="I1760" s="47" t="s">
        <v>558</v>
      </c>
    </row>
    <row r="1761" spans="1:9" ht="15">
      <c r="A1761" s="47">
        <v>1013435</v>
      </c>
      <c r="B1761" s="47" t="s">
        <v>7844</v>
      </c>
      <c r="C1761" s="47" t="s">
        <v>7845</v>
      </c>
      <c r="D1761" s="47" t="s">
        <v>7846</v>
      </c>
      <c r="E1761" s="47"/>
      <c r="F1761" s="47" t="s">
        <v>3603</v>
      </c>
      <c r="G1761" s="47" t="s">
        <v>3604</v>
      </c>
      <c r="H1761" s="47" t="s">
        <v>3605</v>
      </c>
      <c r="I1761" s="47" t="s">
        <v>19323</v>
      </c>
    </row>
    <row r="1762" spans="1:9" ht="15">
      <c r="A1762" s="47" t="s">
        <v>561</v>
      </c>
      <c r="B1762" s="47" t="s">
        <v>7847</v>
      </c>
      <c r="C1762" s="47" t="s">
        <v>7848</v>
      </c>
      <c r="D1762" s="47" t="s">
        <v>7849</v>
      </c>
      <c r="E1762" s="47"/>
      <c r="F1762" s="47"/>
      <c r="G1762" s="47"/>
      <c r="H1762" s="47" t="s">
        <v>3605</v>
      </c>
      <c r="I1762" s="47" t="s">
        <v>561</v>
      </c>
    </row>
    <row r="1763" spans="1:9" ht="15">
      <c r="A1763" s="47" t="s">
        <v>563</v>
      </c>
      <c r="B1763" s="47" t="s">
        <v>7850</v>
      </c>
      <c r="C1763" s="47" t="s">
        <v>7851</v>
      </c>
      <c r="D1763" s="47" t="s">
        <v>7852</v>
      </c>
      <c r="E1763" s="47"/>
      <c r="F1763" s="47"/>
      <c r="G1763" s="47"/>
      <c r="H1763" s="47" t="s">
        <v>3605</v>
      </c>
      <c r="I1763" s="47" t="s">
        <v>563</v>
      </c>
    </row>
    <row r="1764" spans="1:9" ht="15">
      <c r="A1764" s="47" t="s">
        <v>564</v>
      </c>
      <c r="B1764" s="47" t="s">
        <v>7853</v>
      </c>
      <c r="C1764" s="47" t="s">
        <v>7854</v>
      </c>
      <c r="D1764" s="47" t="s">
        <v>7855</v>
      </c>
      <c r="E1764" s="47"/>
      <c r="F1764" s="47"/>
      <c r="G1764" s="47"/>
      <c r="H1764" s="47" t="s">
        <v>3605</v>
      </c>
      <c r="I1764" s="47" t="s">
        <v>564</v>
      </c>
    </row>
    <row r="1765" spans="1:9" ht="15">
      <c r="A1765" s="47" t="s">
        <v>565</v>
      </c>
      <c r="B1765" s="47" t="s">
        <v>7856</v>
      </c>
      <c r="C1765" s="47" t="s">
        <v>7857</v>
      </c>
      <c r="D1765" s="47" t="s">
        <v>7858</v>
      </c>
      <c r="E1765" s="47"/>
      <c r="F1765" s="47"/>
      <c r="G1765" s="47"/>
      <c r="H1765" s="47" t="s">
        <v>3605</v>
      </c>
      <c r="I1765" s="47" t="s">
        <v>565</v>
      </c>
    </row>
    <row r="1766" spans="1:9" ht="15">
      <c r="A1766" s="47" t="s">
        <v>567</v>
      </c>
      <c r="B1766" s="47" t="s">
        <v>7859</v>
      </c>
      <c r="C1766" s="47" t="s">
        <v>7860</v>
      </c>
      <c r="D1766" s="47" t="s">
        <v>7861</v>
      </c>
      <c r="E1766" s="47"/>
      <c r="F1766" s="47"/>
      <c r="G1766" s="47"/>
      <c r="H1766" s="47" t="s">
        <v>3605</v>
      </c>
      <c r="I1766" s="47" t="s">
        <v>567</v>
      </c>
    </row>
    <row r="1767" spans="1:9" ht="15">
      <c r="A1767" s="47" t="s">
        <v>568</v>
      </c>
      <c r="B1767" s="47" t="s">
        <v>7862</v>
      </c>
      <c r="C1767" s="47" t="s">
        <v>7863</v>
      </c>
      <c r="D1767" s="47" t="s">
        <v>7864</v>
      </c>
      <c r="E1767" s="47"/>
      <c r="F1767" s="47"/>
      <c r="G1767" s="47"/>
      <c r="H1767" s="47" t="s">
        <v>3605</v>
      </c>
      <c r="I1767" s="47" t="s">
        <v>568</v>
      </c>
    </row>
    <row r="1768" spans="1:9" ht="15">
      <c r="A1768" s="47" t="s">
        <v>3302</v>
      </c>
      <c r="B1768" s="47" t="s">
        <v>7865</v>
      </c>
      <c r="C1768" s="47" t="s">
        <v>7866</v>
      </c>
      <c r="D1768" s="47" t="s">
        <v>7867</v>
      </c>
      <c r="E1768" s="47"/>
      <c r="F1768" s="47"/>
      <c r="G1768" s="47"/>
      <c r="H1768" s="47" t="s">
        <v>3605</v>
      </c>
      <c r="I1768" s="47" t="s">
        <v>3302</v>
      </c>
    </row>
    <row r="1769" spans="1:9" ht="15">
      <c r="A1769" s="47" t="s">
        <v>3300</v>
      </c>
      <c r="B1769" s="47" t="s">
        <v>7868</v>
      </c>
      <c r="C1769" s="47" t="s">
        <v>7869</v>
      </c>
      <c r="D1769" s="47" t="s">
        <v>7870</v>
      </c>
      <c r="E1769" s="47"/>
      <c r="F1769" s="47"/>
      <c r="G1769" s="47"/>
      <c r="H1769" s="47" t="s">
        <v>3605</v>
      </c>
      <c r="I1769" s="47" t="s">
        <v>3300</v>
      </c>
    </row>
    <row r="1770" spans="1:9" ht="15">
      <c r="A1770" s="47" t="s">
        <v>3304</v>
      </c>
      <c r="B1770" s="47" t="s">
        <v>7871</v>
      </c>
      <c r="C1770" s="47" t="s">
        <v>7872</v>
      </c>
      <c r="D1770" s="47" t="s">
        <v>7873</v>
      </c>
      <c r="E1770" s="47"/>
      <c r="F1770" s="47"/>
      <c r="G1770" s="47"/>
      <c r="H1770" s="47" t="s">
        <v>3605</v>
      </c>
      <c r="I1770" s="47" t="s">
        <v>3304</v>
      </c>
    </row>
    <row r="1771" spans="1:9" ht="15">
      <c r="A1771" s="47" t="s">
        <v>3310</v>
      </c>
      <c r="B1771" s="47" t="s">
        <v>7874</v>
      </c>
      <c r="C1771" s="47" t="s">
        <v>7875</v>
      </c>
      <c r="D1771" s="47" t="s">
        <v>7876</v>
      </c>
      <c r="E1771" s="47"/>
      <c r="F1771" s="47"/>
      <c r="G1771" s="47"/>
      <c r="H1771" s="47" t="s">
        <v>3605</v>
      </c>
      <c r="I1771" s="47" t="s">
        <v>3310</v>
      </c>
    </row>
    <row r="1772" spans="1:9" ht="15">
      <c r="A1772" s="47">
        <v>1013500</v>
      </c>
      <c r="B1772" s="47" t="s">
        <v>1954</v>
      </c>
      <c r="C1772" s="47" t="s">
        <v>7877</v>
      </c>
      <c r="D1772" s="47" t="s">
        <v>7878</v>
      </c>
      <c r="E1772" s="47"/>
      <c r="F1772" s="47"/>
      <c r="G1772" s="47"/>
      <c r="H1772" s="47" t="s">
        <v>3605</v>
      </c>
      <c r="I1772" s="47" t="s">
        <v>19324</v>
      </c>
    </row>
    <row r="1773" spans="1:9" ht="15">
      <c r="A1773" s="47">
        <v>1052700</v>
      </c>
      <c r="B1773" s="47" t="s">
        <v>7879</v>
      </c>
      <c r="C1773" s="47" t="s">
        <v>7880</v>
      </c>
      <c r="D1773" s="47" t="s">
        <v>7881</v>
      </c>
      <c r="E1773" s="47"/>
      <c r="F1773" s="47" t="s">
        <v>3603</v>
      </c>
      <c r="G1773" s="47" t="s">
        <v>3604</v>
      </c>
      <c r="H1773" s="47" t="s">
        <v>3605</v>
      </c>
      <c r="I1773" s="47" t="s">
        <v>19325</v>
      </c>
    </row>
    <row r="1774" spans="1:9" ht="15">
      <c r="A1774" s="47" t="s">
        <v>1948</v>
      </c>
      <c r="B1774" s="47" t="s">
        <v>7882</v>
      </c>
      <c r="C1774" s="47" t="s">
        <v>7883</v>
      </c>
      <c r="D1774" s="47" t="s">
        <v>7884</v>
      </c>
      <c r="E1774" s="47"/>
      <c r="F1774" s="47" t="s">
        <v>7885</v>
      </c>
      <c r="G1774" s="47" t="s">
        <v>7886</v>
      </c>
      <c r="H1774" s="47" t="s">
        <v>3605</v>
      </c>
      <c r="I1774" s="47" t="s">
        <v>1948</v>
      </c>
    </row>
    <row r="1775" spans="1:9" ht="15">
      <c r="A1775" s="47">
        <v>73011</v>
      </c>
      <c r="B1775" s="47" t="s">
        <v>7887</v>
      </c>
      <c r="C1775" s="47" t="s">
        <v>7888</v>
      </c>
      <c r="D1775" s="47" t="s">
        <v>7889</v>
      </c>
      <c r="E1775" s="47"/>
      <c r="F1775" s="47" t="s">
        <v>3603</v>
      </c>
      <c r="G1775" s="47" t="s">
        <v>3604</v>
      </c>
      <c r="H1775" s="47" t="s">
        <v>3605</v>
      </c>
      <c r="I1775" s="47" t="s">
        <v>19326</v>
      </c>
    </row>
    <row r="1776" spans="1:9" ht="15">
      <c r="A1776" s="47" t="s">
        <v>53</v>
      </c>
      <c r="B1776" s="47" t="s">
        <v>7890</v>
      </c>
      <c r="C1776" s="47" t="s">
        <v>7891</v>
      </c>
      <c r="D1776" s="47" t="s">
        <v>7892</v>
      </c>
      <c r="E1776" s="47"/>
      <c r="F1776" s="47" t="s">
        <v>7885</v>
      </c>
      <c r="G1776" s="47" t="s">
        <v>7886</v>
      </c>
      <c r="H1776" s="47" t="s">
        <v>3605</v>
      </c>
      <c r="I1776" s="47" t="s">
        <v>53</v>
      </c>
    </row>
    <row r="1777" spans="1:9" ht="15">
      <c r="A1777" s="47">
        <v>7000</v>
      </c>
      <c r="B1777" s="47" t="s">
        <v>7893</v>
      </c>
      <c r="C1777" s="47" t="s">
        <v>7894</v>
      </c>
      <c r="D1777" s="47" t="s">
        <v>7895</v>
      </c>
      <c r="E1777" s="47"/>
      <c r="F1777" s="47"/>
      <c r="G1777" s="47"/>
      <c r="H1777" s="47" t="s">
        <v>3605</v>
      </c>
      <c r="I1777" s="47" t="s">
        <v>19327</v>
      </c>
    </row>
    <row r="1778" spans="1:9" ht="15">
      <c r="A1778" s="47">
        <v>7002</v>
      </c>
      <c r="B1778" s="47" t="s">
        <v>7896</v>
      </c>
      <c r="C1778" s="47" t="s">
        <v>7897</v>
      </c>
      <c r="D1778" s="47" t="s">
        <v>7898</v>
      </c>
      <c r="E1778" s="47"/>
      <c r="F1778" s="47"/>
      <c r="G1778" s="47"/>
      <c r="H1778" s="47" t="s">
        <v>3605</v>
      </c>
      <c r="I1778" s="47" t="s">
        <v>19328</v>
      </c>
    </row>
    <row r="1779" spans="1:9" ht="15">
      <c r="A1779" s="47">
        <v>1052702</v>
      </c>
      <c r="B1779" s="47" t="s">
        <v>1175</v>
      </c>
      <c r="C1779" s="47" t="s">
        <v>7899</v>
      </c>
      <c r="D1779" s="47" t="s">
        <v>7900</v>
      </c>
      <c r="E1779" s="47"/>
      <c r="F1779" s="47"/>
      <c r="G1779" s="47"/>
      <c r="H1779" s="47" t="s">
        <v>3605</v>
      </c>
      <c r="I1779" s="47" t="s">
        <v>19329</v>
      </c>
    </row>
    <row r="1780" spans="1:9" ht="15">
      <c r="A1780" s="47">
        <v>93609</v>
      </c>
      <c r="B1780" s="47" t="s">
        <v>7901</v>
      </c>
      <c r="C1780" s="47" t="s">
        <v>7902</v>
      </c>
      <c r="D1780" s="47" t="s">
        <v>7903</v>
      </c>
      <c r="E1780" s="47"/>
      <c r="F1780" s="47"/>
      <c r="G1780" s="47"/>
      <c r="H1780" s="47" t="s">
        <v>3605</v>
      </c>
      <c r="I1780" s="47" t="s">
        <v>19330</v>
      </c>
    </row>
    <row r="1781" spans="1:9" ht="15">
      <c r="A1781" s="47">
        <v>1053500</v>
      </c>
      <c r="B1781" s="47" t="s">
        <v>7904</v>
      </c>
      <c r="C1781" s="47" t="s">
        <v>7905</v>
      </c>
      <c r="D1781" s="47" t="s">
        <v>7906</v>
      </c>
      <c r="E1781" s="47"/>
      <c r="F1781" s="47"/>
      <c r="G1781" s="47"/>
      <c r="H1781" s="47" t="s">
        <v>3605</v>
      </c>
      <c r="I1781" s="47" t="s">
        <v>19331</v>
      </c>
    </row>
    <row r="1782" spans="1:9" ht="15">
      <c r="A1782" s="47">
        <v>1053501</v>
      </c>
      <c r="B1782" s="47" t="s">
        <v>7907</v>
      </c>
      <c r="C1782" s="47" t="s">
        <v>7908</v>
      </c>
      <c r="D1782" s="47" t="s">
        <v>7909</v>
      </c>
      <c r="E1782" s="47"/>
      <c r="F1782" s="47" t="s">
        <v>3603</v>
      </c>
      <c r="G1782" s="47" t="s">
        <v>3604</v>
      </c>
      <c r="H1782" s="47" t="s">
        <v>3605</v>
      </c>
      <c r="I1782" s="47" t="s">
        <v>19332</v>
      </c>
    </row>
    <row r="1783" spans="1:9" ht="15">
      <c r="A1783" s="47">
        <v>1087503</v>
      </c>
      <c r="B1783" s="47" t="s">
        <v>7910</v>
      </c>
      <c r="C1783" s="47" t="s">
        <v>7911</v>
      </c>
      <c r="D1783" s="47" t="s">
        <v>7912</v>
      </c>
      <c r="E1783" s="47"/>
      <c r="F1783" s="47"/>
      <c r="G1783" s="47"/>
      <c r="H1783" s="47" t="s">
        <v>3605</v>
      </c>
      <c r="I1783" s="47" t="s">
        <v>19333</v>
      </c>
    </row>
    <row r="1784" spans="1:9" ht="15">
      <c r="A1784" s="47">
        <v>1087513</v>
      </c>
      <c r="B1784" s="47" t="s">
        <v>7913</v>
      </c>
      <c r="C1784" s="47" t="s">
        <v>7914</v>
      </c>
      <c r="D1784" s="47" t="s">
        <v>7915</v>
      </c>
      <c r="E1784" s="47"/>
      <c r="F1784" s="47"/>
      <c r="G1784" s="47"/>
      <c r="H1784" s="47" t="s">
        <v>3605</v>
      </c>
      <c r="I1784" s="47" t="s">
        <v>19334</v>
      </c>
    </row>
    <row r="1785" spans="1:9" ht="15">
      <c r="A1785" s="47">
        <v>32173</v>
      </c>
      <c r="B1785" s="47" t="s">
        <v>7916</v>
      </c>
      <c r="C1785" s="47" t="s">
        <v>7917</v>
      </c>
      <c r="D1785" s="47" t="s">
        <v>7918</v>
      </c>
      <c r="E1785" s="47"/>
      <c r="F1785" s="47"/>
      <c r="G1785" s="47"/>
      <c r="H1785" s="47" t="s">
        <v>3605</v>
      </c>
      <c r="I1785" s="47" t="s">
        <v>19335</v>
      </c>
    </row>
    <row r="1786" spans="1:9" ht="15">
      <c r="A1786" s="47">
        <v>114300</v>
      </c>
      <c r="B1786" s="47" t="s">
        <v>7919</v>
      </c>
      <c r="C1786" s="47" t="s">
        <v>7920</v>
      </c>
      <c r="D1786" s="47" t="s">
        <v>7921</v>
      </c>
      <c r="E1786" s="47"/>
      <c r="F1786" s="47" t="s">
        <v>3603</v>
      </c>
      <c r="G1786" s="47" t="s">
        <v>3604</v>
      </c>
      <c r="H1786" s="47" t="s">
        <v>3605</v>
      </c>
      <c r="I1786" s="47" t="s">
        <v>19336</v>
      </c>
    </row>
    <row r="1787" spans="1:9" ht="15">
      <c r="A1787" s="47">
        <v>17011</v>
      </c>
      <c r="B1787" s="47" t="s">
        <v>7922</v>
      </c>
      <c r="C1787" s="47" t="s">
        <v>7923</v>
      </c>
      <c r="D1787" s="47" t="s">
        <v>7924</v>
      </c>
      <c r="E1787" s="47"/>
      <c r="F1787" s="47"/>
      <c r="G1787" s="47"/>
      <c r="H1787" s="47" t="s">
        <v>3605</v>
      </c>
      <c r="I1787" s="47" t="s">
        <v>19337</v>
      </c>
    </row>
    <row r="1788" spans="1:9" ht="15">
      <c r="A1788" s="47">
        <v>3100425</v>
      </c>
      <c r="B1788" s="47" t="s">
        <v>2364</v>
      </c>
      <c r="C1788" s="47" t="s">
        <v>7925</v>
      </c>
      <c r="D1788" s="47" t="s">
        <v>7926</v>
      </c>
      <c r="E1788" s="47"/>
      <c r="F1788" s="47"/>
      <c r="G1788" s="47"/>
      <c r="H1788" s="47" t="s">
        <v>3605</v>
      </c>
      <c r="I1788" s="47" t="s">
        <v>19338</v>
      </c>
    </row>
    <row r="1789" spans="1:9" ht="15">
      <c r="A1789" s="47">
        <v>17016</v>
      </c>
      <c r="B1789" s="47" t="s">
        <v>7927</v>
      </c>
      <c r="C1789" s="47" t="s">
        <v>7928</v>
      </c>
      <c r="D1789" s="47" t="s">
        <v>7929</v>
      </c>
      <c r="E1789" s="47"/>
      <c r="F1789" s="47"/>
      <c r="G1789" s="47"/>
      <c r="H1789" s="47" t="s">
        <v>3605</v>
      </c>
      <c r="I1789" s="47" t="s">
        <v>19339</v>
      </c>
    </row>
    <row r="1790" spans="1:9" ht="15">
      <c r="A1790" s="47">
        <v>3100445</v>
      </c>
      <c r="B1790" s="47" t="s">
        <v>2258</v>
      </c>
      <c r="C1790" s="47" t="s">
        <v>7930</v>
      </c>
      <c r="D1790" s="47" t="s">
        <v>7931</v>
      </c>
      <c r="E1790" s="47"/>
      <c r="F1790" s="47"/>
      <c r="G1790" s="47"/>
      <c r="H1790" s="47" t="s">
        <v>3605</v>
      </c>
      <c r="I1790" s="47" t="s">
        <v>19340</v>
      </c>
    </row>
    <row r="1791" spans="1:9" ht="15">
      <c r="A1791" s="47">
        <v>17060</v>
      </c>
      <c r="B1791" s="47" t="s">
        <v>7932</v>
      </c>
      <c r="C1791" s="47" t="s">
        <v>7933</v>
      </c>
      <c r="D1791" s="47" t="s">
        <v>7934</v>
      </c>
      <c r="E1791" s="47"/>
      <c r="F1791" s="47"/>
      <c r="G1791" s="47"/>
      <c r="H1791" s="47" t="s">
        <v>3605</v>
      </c>
      <c r="I1791" s="47" t="s">
        <v>19341</v>
      </c>
    </row>
    <row r="1792" spans="1:9" ht="15">
      <c r="A1792" s="47">
        <v>3100501</v>
      </c>
      <c r="B1792" s="47" t="s">
        <v>7935</v>
      </c>
      <c r="C1792" s="47" t="s">
        <v>7936</v>
      </c>
      <c r="D1792" s="47" t="s">
        <v>7937</v>
      </c>
      <c r="E1792" s="47"/>
      <c r="F1792" s="47" t="s">
        <v>3603</v>
      </c>
      <c r="G1792" s="47" t="s">
        <v>3604</v>
      </c>
      <c r="H1792" s="47" t="s">
        <v>3605</v>
      </c>
      <c r="I1792" s="47" t="s">
        <v>19342</v>
      </c>
    </row>
    <row r="1793" spans="1:9" ht="15">
      <c r="A1793" s="47">
        <v>3100510</v>
      </c>
      <c r="B1793" s="47" t="s">
        <v>2242</v>
      </c>
      <c r="C1793" s="47" t="s">
        <v>7938</v>
      </c>
      <c r="D1793" s="47" t="s">
        <v>7939</v>
      </c>
      <c r="E1793" s="47"/>
      <c r="F1793" s="47"/>
      <c r="G1793" s="47"/>
      <c r="H1793" s="47" t="s">
        <v>3605</v>
      </c>
      <c r="I1793" s="47" t="s">
        <v>19343</v>
      </c>
    </row>
    <row r="1794" spans="1:9" ht="15">
      <c r="A1794" s="47">
        <v>3100545</v>
      </c>
      <c r="B1794" s="47" t="s">
        <v>7940</v>
      </c>
      <c r="C1794" s="47" t="s">
        <v>7941</v>
      </c>
      <c r="D1794" s="47" t="s">
        <v>7942</v>
      </c>
      <c r="E1794" s="47"/>
      <c r="F1794" s="47" t="s">
        <v>3603</v>
      </c>
      <c r="G1794" s="47" t="s">
        <v>3604</v>
      </c>
      <c r="H1794" s="47" t="s">
        <v>3605</v>
      </c>
      <c r="I1794" s="47" t="s">
        <v>19344</v>
      </c>
    </row>
    <row r="1795" spans="1:9" ht="15">
      <c r="A1795" s="47">
        <v>3110345</v>
      </c>
      <c r="B1795" s="47" t="s">
        <v>1190</v>
      </c>
      <c r="C1795" s="47" t="s">
        <v>7943</v>
      </c>
      <c r="D1795" s="47" t="s">
        <v>7944</v>
      </c>
      <c r="E1795" s="47"/>
      <c r="F1795" s="47"/>
      <c r="G1795" s="47"/>
      <c r="H1795" s="47" t="s">
        <v>3605</v>
      </c>
      <c r="I1795" s="47" t="s">
        <v>19345</v>
      </c>
    </row>
    <row r="1796" spans="1:9" ht="15">
      <c r="A1796" s="47">
        <v>3200445</v>
      </c>
      <c r="B1796" s="47" t="s">
        <v>7945</v>
      </c>
      <c r="C1796" s="47" t="s">
        <v>7946</v>
      </c>
      <c r="D1796" s="47" t="s">
        <v>7947</v>
      </c>
      <c r="E1796" s="47"/>
      <c r="F1796" s="47" t="s">
        <v>3603</v>
      </c>
      <c r="G1796" s="47" t="s">
        <v>3604</v>
      </c>
      <c r="H1796" s="47" t="s">
        <v>3605</v>
      </c>
      <c r="I1796" s="47" t="s">
        <v>19346</v>
      </c>
    </row>
    <row r="1797" spans="1:9" ht="15">
      <c r="A1797" s="47">
        <v>3200452</v>
      </c>
      <c r="B1797" s="47" t="s">
        <v>7948</v>
      </c>
      <c r="C1797" s="47" t="s">
        <v>7949</v>
      </c>
      <c r="D1797" s="47" t="s">
        <v>7950</v>
      </c>
      <c r="E1797" s="47"/>
      <c r="F1797" s="47"/>
      <c r="G1797" s="47"/>
      <c r="H1797" s="47" t="s">
        <v>3605</v>
      </c>
      <c r="I1797" s="47" t="s">
        <v>19347</v>
      </c>
    </row>
    <row r="1798" spans="1:9" ht="15">
      <c r="A1798" s="47">
        <v>32100</v>
      </c>
      <c r="B1798" s="47" t="s">
        <v>7951</v>
      </c>
      <c r="C1798" s="47" t="s">
        <v>7952</v>
      </c>
      <c r="D1798" s="47" t="s">
        <v>7953</v>
      </c>
      <c r="E1798" s="47"/>
      <c r="F1798" s="47"/>
      <c r="G1798" s="47"/>
      <c r="H1798" s="47" t="s">
        <v>3605</v>
      </c>
      <c r="I1798" s="47" t="s">
        <v>19348</v>
      </c>
    </row>
    <row r="1799" spans="1:9" ht="15">
      <c r="A1799" s="47">
        <v>32110</v>
      </c>
      <c r="B1799" s="47" t="s">
        <v>7954</v>
      </c>
      <c r="C1799" s="47" t="s">
        <v>7955</v>
      </c>
      <c r="D1799" s="47" t="s">
        <v>7956</v>
      </c>
      <c r="E1799" s="47"/>
      <c r="F1799" s="47"/>
      <c r="G1799" s="47"/>
      <c r="H1799" s="47" t="s">
        <v>3605</v>
      </c>
      <c r="I1799" s="47" t="s">
        <v>19349</v>
      </c>
    </row>
    <row r="1800" spans="1:9" ht="15">
      <c r="A1800" s="47">
        <v>32120</v>
      </c>
      <c r="B1800" s="47" t="s">
        <v>7957</v>
      </c>
      <c r="C1800" s="47" t="s">
        <v>7958</v>
      </c>
      <c r="D1800" s="47" t="s">
        <v>7959</v>
      </c>
      <c r="E1800" s="47"/>
      <c r="F1800" s="47"/>
      <c r="G1800" s="47"/>
      <c r="H1800" s="47" t="s">
        <v>3605</v>
      </c>
      <c r="I1800" s="47" t="s">
        <v>19350</v>
      </c>
    </row>
    <row r="1801" spans="1:9" ht="15">
      <c r="A1801" s="47">
        <v>32130</v>
      </c>
      <c r="B1801" s="47" t="s">
        <v>7960</v>
      </c>
      <c r="C1801" s="47" t="s">
        <v>7961</v>
      </c>
      <c r="D1801" s="47" t="s">
        <v>7962</v>
      </c>
      <c r="E1801" s="47"/>
      <c r="F1801" s="47"/>
      <c r="G1801" s="47"/>
      <c r="H1801" s="47" t="s">
        <v>3605</v>
      </c>
      <c r="I1801" s="47" t="s">
        <v>19351</v>
      </c>
    </row>
    <row r="1802" spans="1:9" ht="15">
      <c r="A1802" s="47">
        <v>3200475</v>
      </c>
      <c r="B1802" s="47" t="s">
        <v>1198</v>
      </c>
      <c r="C1802" s="47" t="s">
        <v>7963</v>
      </c>
      <c r="D1802" s="47" t="s">
        <v>7964</v>
      </c>
      <c r="E1802" s="47"/>
      <c r="F1802" s="47"/>
      <c r="G1802" s="47"/>
      <c r="H1802" s="47" t="s">
        <v>3605</v>
      </c>
      <c r="I1802" s="47" t="s">
        <v>19352</v>
      </c>
    </row>
    <row r="1803" spans="1:9" ht="15">
      <c r="A1803" s="47">
        <v>8000115</v>
      </c>
      <c r="B1803" s="47" t="s">
        <v>2395</v>
      </c>
      <c r="C1803" s="47" t="s">
        <v>7965</v>
      </c>
      <c r="D1803" s="47" t="s">
        <v>7966</v>
      </c>
      <c r="E1803" s="47"/>
      <c r="F1803" s="47"/>
      <c r="G1803" s="47"/>
      <c r="H1803" s="47" t="s">
        <v>3605</v>
      </c>
      <c r="I1803" s="47" t="s">
        <v>19353</v>
      </c>
    </row>
    <row r="1804" spans="1:9" ht="15">
      <c r="A1804" s="47">
        <v>8020725</v>
      </c>
      <c r="B1804" s="47" t="s">
        <v>7967</v>
      </c>
      <c r="C1804" s="47" t="s">
        <v>7968</v>
      </c>
      <c r="D1804" s="47" t="s">
        <v>7969</v>
      </c>
      <c r="E1804" s="47"/>
      <c r="F1804" s="47" t="s">
        <v>3603</v>
      </c>
      <c r="G1804" s="47" t="s">
        <v>3604</v>
      </c>
      <c r="H1804" s="47" t="s">
        <v>3605</v>
      </c>
      <c r="I1804" s="47" t="s">
        <v>19354</v>
      </c>
    </row>
    <row r="1805" spans="1:9" ht="15">
      <c r="A1805" s="47">
        <v>10741</v>
      </c>
      <c r="B1805" s="47" t="s">
        <v>7970</v>
      </c>
      <c r="C1805" s="47" t="s">
        <v>7971</v>
      </c>
      <c r="D1805" s="47" t="s">
        <v>7972</v>
      </c>
      <c r="E1805" s="47"/>
      <c r="F1805" s="47"/>
      <c r="G1805" s="47"/>
      <c r="H1805" s="47" t="s">
        <v>3605</v>
      </c>
      <c r="I1805" s="47" t="s">
        <v>19355</v>
      </c>
    </row>
    <row r="1806" spans="1:9" ht="15">
      <c r="A1806" s="47">
        <v>8320625</v>
      </c>
      <c r="B1806" s="47" t="s">
        <v>2321</v>
      </c>
      <c r="C1806" s="47" t="s">
        <v>7973</v>
      </c>
      <c r="D1806" s="47" t="s">
        <v>7974</v>
      </c>
      <c r="E1806" s="47"/>
      <c r="F1806" s="47"/>
      <c r="G1806" s="47"/>
      <c r="H1806" s="47" t="s">
        <v>3605</v>
      </c>
      <c r="I1806" s="47" t="s">
        <v>19356</v>
      </c>
    </row>
    <row r="1807" spans="1:9" ht="15">
      <c r="A1807" s="47">
        <v>32170</v>
      </c>
      <c r="B1807" s="47" t="s">
        <v>7975</v>
      </c>
      <c r="C1807" s="47" t="s">
        <v>7976</v>
      </c>
      <c r="D1807" s="47" t="s">
        <v>7977</v>
      </c>
      <c r="E1807" s="47"/>
      <c r="F1807" s="47"/>
      <c r="G1807" s="47"/>
      <c r="H1807" s="47" t="s">
        <v>3605</v>
      </c>
      <c r="I1807" s="47" t="s">
        <v>19357</v>
      </c>
    </row>
    <row r="1808" spans="1:9" ht="15">
      <c r="A1808" s="47">
        <v>33301</v>
      </c>
      <c r="B1808" s="47" t="s">
        <v>7978</v>
      </c>
      <c r="C1808" s="47" t="s">
        <v>7979</v>
      </c>
      <c r="D1808" s="47" t="s">
        <v>7980</v>
      </c>
      <c r="E1808" s="47"/>
      <c r="F1808" s="47"/>
      <c r="G1808" s="47"/>
      <c r="H1808" s="47" t="s">
        <v>3605</v>
      </c>
      <c r="I1808" s="47" t="s">
        <v>19358</v>
      </c>
    </row>
    <row r="1809" spans="1:9" ht="15">
      <c r="A1809" s="47">
        <v>8520351</v>
      </c>
      <c r="B1809" s="47" t="s">
        <v>7981</v>
      </c>
      <c r="C1809" s="47" t="s">
        <v>7982</v>
      </c>
      <c r="D1809" s="47" t="s">
        <v>7983</v>
      </c>
      <c r="E1809" s="47"/>
      <c r="F1809" s="47" t="s">
        <v>3603</v>
      </c>
      <c r="G1809" s="47" t="s">
        <v>3604</v>
      </c>
      <c r="H1809" s="47" t="s">
        <v>3605</v>
      </c>
      <c r="I1809" s="47" t="s">
        <v>19359</v>
      </c>
    </row>
    <row r="1810" spans="1:9" ht="15">
      <c r="A1810" s="47">
        <v>32146</v>
      </c>
      <c r="B1810" s="47" t="s">
        <v>7984</v>
      </c>
      <c r="C1810" s="47" t="s">
        <v>7985</v>
      </c>
      <c r="D1810" s="47" t="s">
        <v>7986</v>
      </c>
      <c r="E1810" s="47"/>
      <c r="F1810" s="47"/>
      <c r="G1810" s="47"/>
      <c r="H1810" s="47" t="s">
        <v>3605</v>
      </c>
      <c r="I1810" s="47" t="s">
        <v>19360</v>
      </c>
    </row>
    <row r="1811" spans="1:9" ht="15">
      <c r="A1811" s="47">
        <v>32148</v>
      </c>
      <c r="B1811" s="47" t="s">
        <v>7987</v>
      </c>
      <c r="C1811" s="47" t="s">
        <v>7988</v>
      </c>
      <c r="D1811" s="47" t="s">
        <v>7989</v>
      </c>
      <c r="E1811" s="47"/>
      <c r="F1811" s="47"/>
      <c r="G1811" s="47"/>
      <c r="H1811" s="47" t="s">
        <v>3605</v>
      </c>
      <c r="I1811" s="47" t="s">
        <v>19361</v>
      </c>
    </row>
    <row r="1812" spans="1:9" ht="15">
      <c r="A1812" s="47">
        <v>93211</v>
      </c>
      <c r="B1812" s="47" t="s">
        <v>7990</v>
      </c>
      <c r="C1812" s="47" t="s">
        <v>7991</v>
      </c>
      <c r="D1812" s="47" t="s">
        <v>7992</v>
      </c>
      <c r="E1812" s="47"/>
      <c r="F1812" s="47"/>
      <c r="G1812" s="47"/>
      <c r="H1812" s="47" t="s">
        <v>3605</v>
      </c>
      <c r="I1812" s="47" t="s">
        <v>19362</v>
      </c>
    </row>
    <row r="1813" spans="1:9" ht="15">
      <c r="A1813" s="47">
        <v>32144</v>
      </c>
      <c r="B1813" s="47" t="s">
        <v>7993</v>
      </c>
      <c r="C1813" s="47" t="s">
        <v>7994</v>
      </c>
      <c r="D1813" s="47" t="s">
        <v>7995</v>
      </c>
      <c r="E1813" s="47"/>
      <c r="F1813" s="47"/>
      <c r="G1813" s="47"/>
      <c r="H1813" s="47" t="s">
        <v>3605</v>
      </c>
      <c r="I1813" s="47" t="s">
        <v>19363</v>
      </c>
    </row>
    <row r="1814" spans="1:9" ht="15">
      <c r="A1814" s="47">
        <v>8520418</v>
      </c>
      <c r="B1814" s="47" t="s">
        <v>7996</v>
      </c>
      <c r="C1814" s="47" t="s">
        <v>7997</v>
      </c>
      <c r="D1814" s="47" t="s">
        <v>7998</v>
      </c>
      <c r="E1814" s="47"/>
      <c r="F1814" s="47" t="s">
        <v>3603</v>
      </c>
      <c r="G1814" s="47" t="s">
        <v>3604</v>
      </c>
      <c r="H1814" s="47" t="s">
        <v>3605</v>
      </c>
      <c r="I1814" s="47" t="s">
        <v>19364</v>
      </c>
    </row>
    <row r="1815" spans="1:9" ht="15">
      <c r="A1815" s="47">
        <v>72611</v>
      </c>
      <c r="B1815" s="47" t="s">
        <v>7999</v>
      </c>
      <c r="C1815" s="47" t="s">
        <v>8000</v>
      </c>
      <c r="D1815" s="47" t="s">
        <v>8001</v>
      </c>
      <c r="E1815" s="47"/>
      <c r="F1815" s="47"/>
      <c r="G1815" s="47"/>
      <c r="H1815" s="47" t="s">
        <v>3605</v>
      </c>
      <c r="I1815" s="47" t="s">
        <v>19365</v>
      </c>
    </row>
    <row r="1816" spans="1:9" ht="15">
      <c r="A1816" s="47">
        <v>32160</v>
      </c>
      <c r="B1816" s="47" t="s">
        <v>8002</v>
      </c>
      <c r="C1816" s="47" t="s">
        <v>8003</v>
      </c>
      <c r="D1816" s="47" t="s">
        <v>8004</v>
      </c>
      <c r="E1816" s="47"/>
      <c r="F1816" s="47"/>
      <c r="G1816" s="47"/>
      <c r="H1816" s="47" t="s">
        <v>3605</v>
      </c>
      <c r="I1816" s="47" t="s">
        <v>19366</v>
      </c>
    </row>
    <row r="1817" spans="1:9" ht="15">
      <c r="A1817" s="47">
        <v>72948</v>
      </c>
      <c r="B1817" s="47" t="s">
        <v>8005</v>
      </c>
      <c r="C1817" s="47" t="s">
        <v>8006</v>
      </c>
      <c r="D1817" s="47" t="s">
        <v>8007</v>
      </c>
      <c r="E1817" s="47"/>
      <c r="F1817" s="47"/>
      <c r="G1817" s="47"/>
      <c r="H1817" s="47" t="s">
        <v>3605</v>
      </c>
      <c r="I1817" s="47" t="s">
        <v>19367</v>
      </c>
    </row>
    <row r="1818" spans="1:9" ht="15">
      <c r="A1818" s="47" t="s">
        <v>2799</v>
      </c>
      <c r="B1818" s="47" t="s">
        <v>8008</v>
      </c>
      <c r="C1818" s="47" t="s">
        <v>8009</v>
      </c>
      <c r="D1818" s="47" t="s">
        <v>8010</v>
      </c>
      <c r="E1818" s="47"/>
      <c r="F1818" s="47"/>
      <c r="G1818" s="47"/>
      <c r="H1818" s="47" t="s">
        <v>3605</v>
      </c>
      <c r="I1818" s="47" t="s">
        <v>2799</v>
      </c>
    </row>
    <row r="1819" spans="1:9" ht="15">
      <c r="A1819" s="47">
        <v>8520419</v>
      </c>
      <c r="B1819" s="47" t="s">
        <v>8011</v>
      </c>
      <c r="C1819" s="47" t="s">
        <v>8012</v>
      </c>
      <c r="D1819" s="47" t="s">
        <v>8013</v>
      </c>
      <c r="E1819" s="47"/>
      <c r="F1819" s="47" t="s">
        <v>3603</v>
      </c>
      <c r="G1819" s="47" t="s">
        <v>3604</v>
      </c>
      <c r="H1819" s="47" t="s">
        <v>3605</v>
      </c>
      <c r="I1819" s="47" t="s">
        <v>19368</v>
      </c>
    </row>
    <row r="1820" spans="1:9" ht="15">
      <c r="A1820" s="47" t="s">
        <v>2803</v>
      </c>
      <c r="B1820" s="47" t="s">
        <v>8014</v>
      </c>
      <c r="C1820" s="47" t="s">
        <v>8015</v>
      </c>
      <c r="D1820" s="47" t="s">
        <v>8016</v>
      </c>
      <c r="E1820" s="47"/>
      <c r="F1820" s="47"/>
      <c r="G1820" s="47"/>
      <c r="H1820" s="47" t="s">
        <v>3605</v>
      </c>
      <c r="I1820" s="47" t="s">
        <v>2803</v>
      </c>
    </row>
    <row r="1821" spans="1:9" ht="15">
      <c r="A1821" s="47" t="s">
        <v>2805</v>
      </c>
      <c r="B1821" s="47" t="s">
        <v>8017</v>
      </c>
      <c r="C1821" s="47" t="s">
        <v>8018</v>
      </c>
      <c r="D1821" s="47" t="s">
        <v>8019</v>
      </c>
      <c r="E1821" s="47"/>
      <c r="F1821" s="47"/>
      <c r="G1821" s="47"/>
      <c r="H1821" s="47" t="s">
        <v>3605</v>
      </c>
      <c r="I1821" s="47" t="s">
        <v>2805</v>
      </c>
    </row>
    <row r="1822" spans="1:9" ht="15">
      <c r="A1822" s="47" t="s">
        <v>2807</v>
      </c>
      <c r="B1822" s="47" t="s">
        <v>8020</v>
      </c>
      <c r="C1822" s="47" t="s">
        <v>8021</v>
      </c>
      <c r="D1822" s="47" t="s">
        <v>8022</v>
      </c>
      <c r="E1822" s="47"/>
      <c r="F1822" s="47"/>
      <c r="G1822" s="47"/>
      <c r="H1822" s="47" t="s">
        <v>3605</v>
      </c>
      <c r="I1822" s="47" t="s">
        <v>2807</v>
      </c>
    </row>
    <row r="1823" spans="1:9" ht="15">
      <c r="A1823" s="47" t="s">
        <v>2969</v>
      </c>
      <c r="B1823" s="47" t="s">
        <v>8023</v>
      </c>
      <c r="C1823" s="47" t="s">
        <v>8024</v>
      </c>
      <c r="D1823" s="47" t="s">
        <v>8025</v>
      </c>
      <c r="E1823" s="47"/>
      <c r="F1823" s="47"/>
      <c r="G1823" s="47"/>
      <c r="H1823" s="47" t="s">
        <v>3605</v>
      </c>
      <c r="I1823" s="47" t="s">
        <v>2969</v>
      </c>
    </row>
    <row r="1824" spans="1:9" ht="15">
      <c r="A1824" s="47" t="s">
        <v>2809</v>
      </c>
      <c r="B1824" s="47" t="s">
        <v>8026</v>
      </c>
      <c r="C1824" s="47" t="s">
        <v>8027</v>
      </c>
      <c r="D1824" s="47" t="s">
        <v>8028</v>
      </c>
      <c r="E1824" s="47"/>
      <c r="F1824" s="47"/>
      <c r="G1824" s="47"/>
      <c r="H1824" s="47" t="s">
        <v>3605</v>
      </c>
      <c r="I1824" s="47" t="s">
        <v>2809</v>
      </c>
    </row>
    <row r="1825" spans="1:9" ht="15">
      <c r="A1825" s="47">
        <v>8520503</v>
      </c>
      <c r="B1825" s="47" t="s">
        <v>8029</v>
      </c>
      <c r="C1825" s="47" t="s">
        <v>8030</v>
      </c>
      <c r="D1825" s="47" t="s">
        <v>8031</v>
      </c>
      <c r="E1825" s="47"/>
      <c r="F1825" s="47"/>
      <c r="G1825" s="47"/>
      <c r="H1825" s="47" t="s">
        <v>3605</v>
      </c>
      <c r="I1825" s="47" t="s">
        <v>19369</v>
      </c>
    </row>
    <row r="1826" spans="1:9" ht="15">
      <c r="A1826" s="47" t="s">
        <v>608</v>
      </c>
      <c r="B1826" s="47" t="s">
        <v>8032</v>
      </c>
      <c r="C1826" s="47" t="s">
        <v>8033</v>
      </c>
      <c r="D1826" s="47" t="s">
        <v>8034</v>
      </c>
      <c r="E1826" s="47"/>
      <c r="F1826" s="47" t="s">
        <v>5905</v>
      </c>
      <c r="G1826" s="47" t="s">
        <v>5906</v>
      </c>
      <c r="H1826" s="47" t="s">
        <v>3605</v>
      </c>
      <c r="I1826" s="47" t="s">
        <v>608</v>
      </c>
    </row>
    <row r="1827" spans="1:9" ht="15">
      <c r="A1827" s="47" t="s">
        <v>654</v>
      </c>
      <c r="B1827" s="47" t="s">
        <v>8035</v>
      </c>
      <c r="C1827" s="47" t="s">
        <v>8036</v>
      </c>
      <c r="D1827" s="47" t="s">
        <v>8037</v>
      </c>
      <c r="E1827" s="47"/>
      <c r="F1827" s="47" t="s">
        <v>3759</v>
      </c>
      <c r="G1827" s="47" t="s">
        <v>3760</v>
      </c>
      <c r="H1827" s="47" t="s">
        <v>3605</v>
      </c>
      <c r="I1827" s="47" t="s">
        <v>654</v>
      </c>
    </row>
    <row r="1828" spans="1:9" ht="15">
      <c r="A1828" s="47">
        <v>8520601</v>
      </c>
      <c r="B1828" s="47" t="s">
        <v>1207</v>
      </c>
      <c r="C1828" s="47" t="s">
        <v>8038</v>
      </c>
      <c r="D1828" s="47" t="s">
        <v>8039</v>
      </c>
      <c r="E1828" s="47"/>
      <c r="F1828" s="47"/>
      <c r="G1828" s="47"/>
      <c r="H1828" s="47" t="s">
        <v>3605</v>
      </c>
      <c r="I1828" s="47" t="s">
        <v>19370</v>
      </c>
    </row>
    <row r="1829" spans="1:9" ht="15">
      <c r="A1829" s="47">
        <v>8520745</v>
      </c>
      <c r="B1829" s="47" t="s">
        <v>8040</v>
      </c>
      <c r="C1829" s="47" t="s">
        <v>8041</v>
      </c>
      <c r="D1829" s="47" t="s">
        <v>8042</v>
      </c>
      <c r="E1829" s="47"/>
      <c r="F1829" s="47" t="s">
        <v>3603</v>
      </c>
      <c r="G1829" s="47" t="s">
        <v>3604</v>
      </c>
      <c r="H1829" s="47" t="s">
        <v>3605</v>
      </c>
      <c r="I1829" s="47" t="s">
        <v>19371</v>
      </c>
    </row>
    <row r="1830" spans="1:9" ht="15">
      <c r="A1830" s="47">
        <v>8530401</v>
      </c>
      <c r="B1830" s="47" t="s">
        <v>2305</v>
      </c>
      <c r="C1830" s="47" t="s">
        <v>8043</v>
      </c>
      <c r="D1830" s="47" t="s">
        <v>8044</v>
      </c>
      <c r="E1830" s="47"/>
      <c r="F1830" s="47"/>
      <c r="G1830" s="47"/>
      <c r="H1830" s="47" t="s">
        <v>3605</v>
      </c>
      <c r="I1830" s="47" t="s">
        <v>19372</v>
      </c>
    </row>
    <row r="1831" spans="1:9" ht="15">
      <c r="A1831" s="47">
        <v>32171</v>
      </c>
      <c r="B1831" s="47" t="s">
        <v>8045</v>
      </c>
      <c r="C1831" s="47" t="s">
        <v>8046</v>
      </c>
      <c r="D1831" s="47" t="s">
        <v>8047</v>
      </c>
      <c r="E1831" s="47"/>
      <c r="F1831" s="47"/>
      <c r="G1831" s="47"/>
      <c r="H1831" s="47" t="s">
        <v>3605</v>
      </c>
      <c r="I1831" s="47" t="s">
        <v>19373</v>
      </c>
    </row>
    <row r="1832" spans="1:9" ht="15">
      <c r="A1832" s="47">
        <v>32172</v>
      </c>
      <c r="B1832" s="47" t="s">
        <v>8048</v>
      </c>
      <c r="C1832" s="47" t="s">
        <v>8049</v>
      </c>
      <c r="D1832" s="47" t="s">
        <v>8050</v>
      </c>
      <c r="E1832" s="47"/>
      <c r="F1832" s="47"/>
      <c r="G1832" s="47"/>
      <c r="H1832" s="47" t="s">
        <v>3605</v>
      </c>
      <c r="I1832" s="47" t="s">
        <v>19374</v>
      </c>
    </row>
    <row r="1833" spans="1:9" ht="15">
      <c r="A1833" s="47">
        <v>6300</v>
      </c>
      <c r="B1833" s="47" t="s">
        <v>8051</v>
      </c>
      <c r="C1833" s="47" t="s">
        <v>8052</v>
      </c>
      <c r="D1833" s="47" t="s">
        <v>8053</v>
      </c>
      <c r="E1833" s="47"/>
      <c r="F1833" s="47"/>
      <c r="G1833" s="47"/>
      <c r="H1833" s="47" t="s">
        <v>3605</v>
      </c>
      <c r="I1833" s="47" t="s">
        <v>19375</v>
      </c>
    </row>
    <row r="1834" spans="1:9" ht="15">
      <c r="A1834" s="47">
        <v>6301</v>
      </c>
      <c r="B1834" s="47" t="s">
        <v>8054</v>
      </c>
      <c r="C1834" s="47" t="s">
        <v>8055</v>
      </c>
      <c r="D1834" s="47" t="s">
        <v>8056</v>
      </c>
      <c r="E1834" s="47"/>
      <c r="F1834" s="47"/>
      <c r="G1834" s="47"/>
      <c r="H1834" s="47" t="s">
        <v>3605</v>
      </c>
      <c r="I1834" s="47" t="s">
        <v>19376</v>
      </c>
    </row>
    <row r="1835" spans="1:9" ht="15">
      <c r="A1835" s="47">
        <v>6302</v>
      </c>
      <c r="B1835" s="47" t="s">
        <v>8057</v>
      </c>
      <c r="C1835" s="47" t="s">
        <v>8058</v>
      </c>
      <c r="D1835" s="47" t="s">
        <v>8059</v>
      </c>
      <c r="E1835" s="47"/>
      <c r="F1835" s="47"/>
      <c r="G1835" s="47"/>
      <c r="H1835" s="47" t="s">
        <v>3605</v>
      </c>
      <c r="I1835" s="47" t="s">
        <v>19377</v>
      </c>
    </row>
    <row r="1836" spans="1:9" ht="15">
      <c r="A1836" s="47" t="s">
        <v>3462</v>
      </c>
      <c r="B1836" s="47" t="s">
        <v>8060</v>
      </c>
      <c r="C1836" s="47" t="s">
        <v>8061</v>
      </c>
      <c r="D1836" s="47" t="s">
        <v>8062</v>
      </c>
      <c r="E1836" s="47"/>
      <c r="F1836" s="47"/>
      <c r="G1836" s="47"/>
      <c r="H1836" s="47" t="s">
        <v>3605</v>
      </c>
      <c r="I1836" s="47" t="s">
        <v>3462</v>
      </c>
    </row>
    <row r="1837" spans="1:9" ht="15">
      <c r="A1837" s="47" t="s">
        <v>3464</v>
      </c>
      <c r="B1837" s="47" t="s">
        <v>8063</v>
      </c>
      <c r="C1837" s="47" t="s">
        <v>8064</v>
      </c>
      <c r="D1837" s="47" t="s">
        <v>8065</v>
      </c>
      <c r="E1837" s="47"/>
      <c r="F1837" s="47"/>
      <c r="G1837" s="47"/>
      <c r="H1837" s="47" t="s">
        <v>3605</v>
      </c>
      <c r="I1837" s="47" t="s">
        <v>3464</v>
      </c>
    </row>
    <row r="1838" spans="1:9" ht="15">
      <c r="A1838" s="47" t="s">
        <v>560</v>
      </c>
      <c r="B1838" s="47" t="s">
        <v>8066</v>
      </c>
      <c r="C1838" s="47" t="s">
        <v>8067</v>
      </c>
      <c r="D1838" s="47" t="s">
        <v>8068</v>
      </c>
      <c r="E1838" s="47"/>
      <c r="F1838" s="47"/>
      <c r="G1838" s="47"/>
      <c r="H1838" s="47" t="s">
        <v>3605</v>
      </c>
      <c r="I1838" s="47" t="s">
        <v>560</v>
      </c>
    </row>
    <row r="1839" spans="1:9" ht="15">
      <c r="A1839" s="47" t="s">
        <v>1240</v>
      </c>
      <c r="B1839" s="47" t="s">
        <v>8069</v>
      </c>
      <c r="C1839" s="47" t="s">
        <v>8070</v>
      </c>
      <c r="D1839" s="47" t="s">
        <v>8071</v>
      </c>
      <c r="E1839" s="47"/>
      <c r="F1839" s="47"/>
      <c r="G1839" s="47"/>
      <c r="H1839" s="47" t="s">
        <v>3605</v>
      </c>
      <c r="I1839" s="47" t="s">
        <v>1240</v>
      </c>
    </row>
    <row r="1840" spans="1:9" ht="15">
      <c r="A1840" s="47" t="s">
        <v>3468</v>
      </c>
      <c r="B1840" s="47" t="s">
        <v>8072</v>
      </c>
      <c r="C1840" s="47" t="s">
        <v>8073</v>
      </c>
      <c r="D1840" s="47" t="s">
        <v>8074</v>
      </c>
      <c r="E1840" s="47"/>
      <c r="F1840" s="47"/>
      <c r="G1840" s="47"/>
      <c r="H1840" s="47" t="s">
        <v>3605</v>
      </c>
      <c r="I1840" s="47" t="s">
        <v>3468</v>
      </c>
    </row>
    <row r="1841" spans="1:9" ht="15">
      <c r="A1841" s="47" t="s">
        <v>3472</v>
      </c>
      <c r="B1841" s="47" t="s">
        <v>8075</v>
      </c>
      <c r="C1841" s="47" t="s">
        <v>8076</v>
      </c>
      <c r="D1841" s="47" t="s">
        <v>8077</v>
      </c>
      <c r="E1841" s="47"/>
      <c r="F1841" s="47"/>
      <c r="G1841" s="47"/>
      <c r="H1841" s="47" t="s">
        <v>3605</v>
      </c>
      <c r="I1841" s="47" t="s">
        <v>3472</v>
      </c>
    </row>
    <row r="1842" spans="1:9" ht="15">
      <c r="A1842" s="47">
        <v>8530406</v>
      </c>
      <c r="B1842" s="47" t="s">
        <v>2323</v>
      </c>
      <c r="C1842" s="47" t="s">
        <v>8078</v>
      </c>
      <c r="D1842" s="47" t="s">
        <v>8079</v>
      </c>
      <c r="E1842" s="47"/>
      <c r="F1842" s="47"/>
      <c r="G1842" s="47"/>
      <c r="H1842" s="47" t="s">
        <v>3605</v>
      </c>
      <c r="I1842" s="47" t="s">
        <v>19378</v>
      </c>
    </row>
    <row r="1843" spans="1:9" ht="15">
      <c r="A1843" s="47" t="s">
        <v>3476</v>
      </c>
      <c r="B1843" s="47" t="s">
        <v>8080</v>
      </c>
      <c r="C1843" s="47" t="s">
        <v>8081</v>
      </c>
      <c r="D1843" s="47" t="s">
        <v>8082</v>
      </c>
      <c r="E1843" s="47"/>
      <c r="F1843" s="47"/>
      <c r="G1843" s="47"/>
      <c r="H1843" s="47" t="s">
        <v>3605</v>
      </c>
      <c r="I1843" s="47" t="s">
        <v>3476</v>
      </c>
    </row>
    <row r="1844" spans="1:9" ht="15">
      <c r="A1844" s="47" t="s">
        <v>3478</v>
      </c>
      <c r="B1844" s="47" t="s">
        <v>8083</v>
      </c>
      <c r="C1844" s="47" t="s">
        <v>8084</v>
      </c>
      <c r="D1844" s="47" t="s">
        <v>8085</v>
      </c>
      <c r="E1844" s="47"/>
      <c r="F1844" s="47"/>
      <c r="G1844" s="47"/>
      <c r="H1844" s="47" t="s">
        <v>3605</v>
      </c>
      <c r="I1844" s="47" t="s">
        <v>3478</v>
      </c>
    </row>
    <row r="1845" spans="1:9" ht="15">
      <c r="A1845" s="47">
        <v>8530418</v>
      </c>
      <c r="B1845" s="47" t="s">
        <v>2297</v>
      </c>
      <c r="C1845" s="47" t="s">
        <v>8086</v>
      </c>
      <c r="D1845" s="47" t="s">
        <v>8087</v>
      </c>
      <c r="E1845" s="47"/>
      <c r="F1845" s="47"/>
      <c r="G1845" s="47"/>
      <c r="H1845" s="47" t="s">
        <v>3605</v>
      </c>
      <c r="I1845" s="47" t="s">
        <v>19379</v>
      </c>
    </row>
    <row r="1846" spans="1:9" ht="15">
      <c r="A1846" s="47">
        <v>3200493</v>
      </c>
      <c r="B1846" s="47" t="s">
        <v>1955</v>
      </c>
      <c r="C1846" s="47" t="s">
        <v>8088</v>
      </c>
      <c r="D1846" s="47" t="s">
        <v>8089</v>
      </c>
      <c r="E1846" s="47"/>
      <c r="F1846" s="47"/>
      <c r="G1846" s="47"/>
      <c r="H1846" s="47" t="s">
        <v>3605</v>
      </c>
      <c r="I1846" s="47" t="s">
        <v>19380</v>
      </c>
    </row>
    <row r="1847" spans="1:9" ht="15">
      <c r="A1847" s="47">
        <v>8530419</v>
      </c>
      <c r="B1847" s="47" t="s">
        <v>2324</v>
      </c>
      <c r="C1847" s="47" t="s">
        <v>8090</v>
      </c>
      <c r="D1847" s="47" t="s">
        <v>8091</v>
      </c>
      <c r="E1847" s="47"/>
      <c r="F1847" s="47"/>
      <c r="G1847" s="47"/>
      <c r="H1847" s="47" t="s">
        <v>3605</v>
      </c>
      <c r="I1847" s="47" t="s">
        <v>19381</v>
      </c>
    </row>
    <row r="1848" spans="1:9" ht="15">
      <c r="A1848" s="47">
        <v>21760</v>
      </c>
      <c r="B1848" s="47" t="s">
        <v>1962</v>
      </c>
      <c r="C1848" s="47" t="s">
        <v>8092</v>
      </c>
      <c r="D1848" s="47" t="s">
        <v>8093</v>
      </c>
      <c r="E1848" s="47"/>
      <c r="F1848" s="47"/>
      <c r="G1848" s="47"/>
      <c r="H1848" s="47" t="s">
        <v>3605</v>
      </c>
      <c r="I1848" s="47" t="s">
        <v>19382</v>
      </c>
    </row>
    <row r="1849" spans="1:9" ht="15">
      <c r="A1849" s="47">
        <v>21770</v>
      </c>
      <c r="B1849" s="47" t="s">
        <v>2498</v>
      </c>
      <c r="C1849" s="47" t="s">
        <v>8094</v>
      </c>
      <c r="D1849" s="47" t="s">
        <v>8095</v>
      </c>
      <c r="E1849" s="47"/>
      <c r="F1849" s="47"/>
      <c r="G1849" s="47"/>
      <c r="H1849" s="47" t="s">
        <v>3605</v>
      </c>
      <c r="I1849" s="47" t="s">
        <v>19383</v>
      </c>
    </row>
    <row r="1850" spans="1:9" ht="15">
      <c r="A1850" s="47">
        <v>8530424</v>
      </c>
      <c r="B1850" s="47" t="s">
        <v>2298</v>
      </c>
      <c r="C1850" s="47" t="s">
        <v>8096</v>
      </c>
      <c r="D1850" s="47" t="s">
        <v>8097</v>
      </c>
      <c r="E1850" s="47"/>
      <c r="F1850" s="47"/>
      <c r="G1850" s="47"/>
      <c r="H1850" s="47" t="s">
        <v>3605</v>
      </c>
      <c r="I1850" s="47" t="s">
        <v>19384</v>
      </c>
    </row>
    <row r="1851" spans="1:9" ht="15">
      <c r="A1851" s="47">
        <v>8530505</v>
      </c>
      <c r="B1851" s="47" t="s">
        <v>2379</v>
      </c>
      <c r="C1851" s="47" t="s">
        <v>8098</v>
      </c>
      <c r="D1851" s="47" t="s">
        <v>8099</v>
      </c>
      <c r="E1851" s="47"/>
      <c r="F1851" s="47"/>
      <c r="G1851" s="47"/>
      <c r="H1851" s="47" t="s">
        <v>3605</v>
      </c>
      <c r="I1851" s="47" t="s">
        <v>19385</v>
      </c>
    </row>
    <row r="1852" spans="1:9" ht="15">
      <c r="A1852" s="47">
        <v>8530525</v>
      </c>
      <c r="B1852" s="47" t="s">
        <v>2299</v>
      </c>
      <c r="C1852" s="47" t="s">
        <v>8100</v>
      </c>
      <c r="D1852" s="47" t="s">
        <v>8101</v>
      </c>
      <c r="E1852" s="47"/>
      <c r="F1852" s="47"/>
      <c r="G1852" s="47"/>
      <c r="H1852" s="47" t="s">
        <v>3605</v>
      </c>
      <c r="I1852" s="47" t="s">
        <v>19386</v>
      </c>
    </row>
    <row r="1853" spans="1:9" ht="15">
      <c r="A1853" s="47">
        <v>8530530</v>
      </c>
      <c r="B1853" s="47" t="s">
        <v>2248</v>
      </c>
      <c r="C1853" s="47" t="s">
        <v>8102</v>
      </c>
      <c r="D1853" s="47" t="s">
        <v>8103</v>
      </c>
      <c r="E1853" s="47"/>
      <c r="F1853" s="47"/>
      <c r="G1853" s="47"/>
      <c r="H1853" s="47" t="s">
        <v>3605</v>
      </c>
      <c r="I1853" s="47" t="s">
        <v>19387</v>
      </c>
    </row>
    <row r="1854" spans="1:9" ht="15">
      <c r="A1854" s="47">
        <v>8535512</v>
      </c>
      <c r="B1854" s="47" t="s">
        <v>2302</v>
      </c>
      <c r="C1854" s="47" t="s">
        <v>8104</v>
      </c>
      <c r="D1854" s="47" t="s">
        <v>8105</v>
      </c>
      <c r="E1854" s="47"/>
      <c r="F1854" s="47"/>
      <c r="G1854" s="47"/>
      <c r="H1854" s="47" t="s">
        <v>3605</v>
      </c>
      <c r="I1854" s="47" t="s">
        <v>19388</v>
      </c>
    </row>
    <row r="1855" spans="1:9" ht="15">
      <c r="A1855" s="47">
        <v>8535555</v>
      </c>
      <c r="B1855" s="47" t="s">
        <v>2303</v>
      </c>
      <c r="C1855" s="47" t="s">
        <v>8106</v>
      </c>
      <c r="D1855" s="47" t="s">
        <v>8107</v>
      </c>
      <c r="E1855" s="47"/>
      <c r="F1855" s="47"/>
      <c r="G1855" s="47"/>
      <c r="H1855" s="47" t="s">
        <v>3605</v>
      </c>
      <c r="I1855" s="47" t="s">
        <v>19389</v>
      </c>
    </row>
    <row r="1856" spans="1:9" ht="15">
      <c r="A1856" s="47" t="s">
        <v>8108</v>
      </c>
      <c r="B1856" s="47" t="s">
        <v>8109</v>
      </c>
      <c r="C1856" s="47" t="s">
        <v>8110</v>
      </c>
      <c r="D1856" s="47" t="s">
        <v>8111</v>
      </c>
      <c r="E1856" s="47"/>
      <c r="F1856" s="47"/>
      <c r="G1856" s="47"/>
      <c r="H1856" s="47" t="s">
        <v>3605</v>
      </c>
      <c r="I1856" s="47" t="s">
        <v>8108</v>
      </c>
    </row>
    <row r="1857" spans="1:9" ht="15">
      <c r="A1857" s="47" t="s">
        <v>8112</v>
      </c>
      <c r="B1857" s="47" t="s">
        <v>8113</v>
      </c>
      <c r="C1857" s="47" t="s">
        <v>8114</v>
      </c>
      <c r="D1857" s="47" t="s">
        <v>8115</v>
      </c>
      <c r="E1857" s="47"/>
      <c r="F1857" s="47"/>
      <c r="G1857" s="47"/>
      <c r="H1857" s="47" t="s">
        <v>3605</v>
      </c>
      <c r="I1857" s="47" t="s">
        <v>8112</v>
      </c>
    </row>
    <row r="1858" spans="1:9" ht="15">
      <c r="A1858" s="47">
        <v>7029</v>
      </c>
      <c r="B1858" s="47" t="s">
        <v>8116</v>
      </c>
      <c r="C1858" s="47" t="s">
        <v>8117</v>
      </c>
      <c r="D1858" s="47" t="s">
        <v>8118</v>
      </c>
      <c r="E1858" s="47"/>
      <c r="F1858" s="47"/>
      <c r="G1858" s="47"/>
      <c r="H1858" s="47" t="s">
        <v>3605</v>
      </c>
      <c r="I1858" s="47" t="s">
        <v>19390</v>
      </c>
    </row>
    <row r="1859" spans="1:9" ht="15">
      <c r="A1859" s="47" t="s">
        <v>8119</v>
      </c>
      <c r="B1859" s="47" t="s">
        <v>8120</v>
      </c>
      <c r="C1859" s="47" t="s">
        <v>8121</v>
      </c>
      <c r="D1859" s="47" t="s">
        <v>8122</v>
      </c>
      <c r="E1859" s="47"/>
      <c r="F1859" s="47"/>
      <c r="G1859" s="47"/>
      <c r="H1859" s="47" t="s">
        <v>3605</v>
      </c>
      <c r="I1859" s="47" t="s">
        <v>8119</v>
      </c>
    </row>
    <row r="1860" spans="1:9" ht="15">
      <c r="A1860" s="47" t="s">
        <v>8123</v>
      </c>
      <c r="B1860" s="47" t="s">
        <v>8124</v>
      </c>
      <c r="C1860" s="47" t="s">
        <v>8125</v>
      </c>
      <c r="D1860" s="47" t="s">
        <v>8126</v>
      </c>
      <c r="E1860" s="47"/>
      <c r="F1860" s="47"/>
      <c r="G1860" s="47"/>
      <c r="H1860" s="47" t="s">
        <v>3605</v>
      </c>
      <c r="I1860" s="47" t="s">
        <v>8123</v>
      </c>
    </row>
    <row r="1861" spans="1:9" ht="15">
      <c r="A1861" s="47">
        <v>8540512</v>
      </c>
      <c r="B1861" s="47" t="s">
        <v>2346</v>
      </c>
      <c r="C1861" s="47" t="s">
        <v>8127</v>
      </c>
      <c r="D1861" s="47" t="s">
        <v>8128</v>
      </c>
      <c r="E1861" s="47"/>
      <c r="F1861" s="47"/>
      <c r="G1861" s="47"/>
      <c r="H1861" s="47" t="s">
        <v>3605</v>
      </c>
      <c r="I1861" s="47" t="s">
        <v>19391</v>
      </c>
    </row>
    <row r="1862" spans="1:9" ht="15">
      <c r="A1862" s="47" t="s">
        <v>8129</v>
      </c>
      <c r="B1862" s="47" t="s">
        <v>8130</v>
      </c>
      <c r="C1862" s="47" t="s">
        <v>8131</v>
      </c>
      <c r="D1862" s="47" t="s">
        <v>8132</v>
      </c>
      <c r="E1862" s="47"/>
      <c r="F1862" s="47"/>
      <c r="G1862" s="47"/>
      <c r="H1862" s="47" t="s">
        <v>3605</v>
      </c>
      <c r="I1862" s="47" t="s">
        <v>8129</v>
      </c>
    </row>
    <row r="1863" spans="1:9" ht="15">
      <c r="A1863" s="47" t="s">
        <v>651</v>
      </c>
      <c r="B1863" s="47" t="s">
        <v>8133</v>
      </c>
      <c r="C1863" s="47" t="s">
        <v>8134</v>
      </c>
      <c r="D1863" s="47" t="s">
        <v>8135</v>
      </c>
      <c r="E1863" s="47"/>
      <c r="F1863" s="47"/>
      <c r="G1863" s="47"/>
      <c r="H1863" s="47" t="s">
        <v>3605</v>
      </c>
      <c r="I1863" s="47" t="s">
        <v>651</v>
      </c>
    </row>
    <row r="1864" spans="1:9" ht="15">
      <c r="A1864" s="47" t="s">
        <v>652</v>
      </c>
      <c r="B1864" s="47" t="s">
        <v>8136</v>
      </c>
      <c r="C1864" s="47" t="s">
        <v>8137</v>
      </c>
      <c r="D1864" s="47" t="s">
        <v>8138</v>
      </c>
      <c r="E1864" s="47"/>
      <c r="F1864" s="47" t="s">
        <v>3759</v>
      </c>
      <c r="G1864" s="47" t="s">
        <v>3760</v>
      </c>
      <c r="H1864" s="47" t="s">
        <v>3605</v>
      </c>
      <c r="I1864" s="47" t="s">
        <v>652</v>
      </c>
    </row>
    <row r="1865" spans="1:9" ht="15">
      <c r="A1865" s="47">
        <v>8540700</v>
      </c>
      <c r="B1865" s="47" t="s">
        <v>8139</v>
      </c>
      <c r="C1865" s="47" t="s">
        <v>8140</v>
      </c>
      <c r="D1865" s="47" t="s">
        <v>8141</v>
      </c>
      <c r="E1865" s="47"/>
      <c r="F1865" s="47" t="s">
        <v>3603</v>
      </c>
      <c r="G1865" s="47" t="s">
        <v>3604</v>
      </c>
      <c r="H1865" s="47" t="s">
        <v>3605</v>
      </c>
      <c r="I1865" s="47" t="s">
        <v>19392</v>
      </c>
    </row>
    <row r="1866" spans="1:9" ht="15">
      <c r="A1866" s="47" t="s">
        <v>656</v>
      </c>
      <c r="B1866" s="47" t="s">
        <v>8142</v>
      </c>
      <c r="C1866" s="47" t="s">
        <v>8143</v>
      </c>
      <c r="D1866" s="47" t="s">
        <v>8144</v>
      </c>
      <c r="E1866" s="47"/>
      <c r="F1866" s="47" t="s">
        <v>3759</v>
      </c>
      <c r="G1866" s="47" t="s">
        <v>3760</v>
      </c>
      <c r="H1866" s="47" t="s">
        <v>3605</v>
      </c>
      <c r="I1866" s="47" t="s">
        <v>656</v>
      </c>
    </row>
    <row r="1867" spans="1:9" ht="15">
      <c r="A1867" s="47" t="s">
        <v>657</v>
      </c>
      <c r="B1867" s="47" t="s">
        <v>8145</v>
      </c>
      <c r="C1867" s="47" t="s">
        <v>8146</v>
      </c>
      <c r="D1867" s="47" t="s">
        <v>8147</v>
      </c>
      <c r="E1867" s="47"/>
      <c r="F1867" s="47" t="s">
        <v>3759</v>
      </c>
      <c r="G1867" s="47" t="s">
        <v>3760</v>
      </c>
      <c r="H1867" s="47" t="s">
        <v>3605</v>
      </c>
      <c r="I1867" s="47" t="s">
        <v>657</v>
      </c>
    </row>
    <row r="1868" spans="1:9" ht="15">
      <c r="A1868" s="47" t="s">
        <v>658</v>
      </c>
      <c r="B1868" s="47" t="s">
        <v>8148</v>
      </c>
      <c r="C1868" s="47" t="s">
        <v>8149</v>
      </c>
      <c r="D1868" s="47" t="s">
        <v>8150</v>
      </c>
      <c r="E1868" s="47"/>
      <c r="F1868" s="47" t="s">
        <v>3759</v>
      </c>
      <c r="G1868" s="47" t="s">
        <v>3760</v>
      </c>
      <c r="H1868" s="47" t="s">
        <v>3605</v>
      </c>
      <c r="I1868" s="47" t="s">
        <v>658</v>
      </c>
    </row>
    <row r="1869" spans="1:9" ht="15">
      <c r="A1869" s="47" t="s">
        <v>660</v>
      </c>
      <c r="B1869" s="47" t="s">
        <v>8151</v>
      </c>
      <c r="C1869" s="47" t="s">
        <v>8152</v>
      </c>
      <c r="D1869" s="47" t="s">
        <v>8153</v>
      </c>
      <c r="E1869" s="47"/>
      <c r="F1869" s="47" t="s">
        <v>3759</v>
      </c>
      <c r="G1869" s="47" t="s">
        <v>3760</v>
      </c>
      <c r="H1869" s="47" t="s">
        <v>3605</v>
      </c>
      <c r="I1869" s="47" t="s">
        <v>660</v>
      </c>
    </row>
    <row r="1870" spans="1:9" ht="15">
      <c r="A1870" s="47">
        <v>8545650</v>
      </c>
      <c r="B1870" s="47" t="s">
        <v>8154</v>
      </c>
      <c r="C1870" s="47" t="s">
        <v>8155</v>
      </c>
      <c r="D1870" s="47" t="s">
        <v>8156</v>
      </c>
      <c r="E1870" s="47"/>
      <c r="F1870" s="47"/>
      <c r="G1870" s="47"/>
      <c r="H1870" s="47" t="s">
        <v>3605</v>
      </c>
      <c r="I1870" s="47" t="s">
        <v>19393</v>
      </c>
    </row>
    <row r="1871" spans="1:9" ht="15">
      <c r="A1871" s="47" t="s">
        <v>662</v>
      </c>
      <c r="B1871" s="47" t="s">
        <v>8157</v>
      </c>
      <c r="C1871" s="47" t="s">
        <v>8158</v>
      </c>
      <c r="D1871" s="47" t="s">
        <v>8159</v>
      </c>
      <c r="E1871" s="47"/>
      <c r="F1871" s="47" t="s">
        <v>3759</v>
      </c>
      <c r="G1871" s="47" t="s">
        <v>3760</v>
      </c>
      <c r="H1871" s="47" t="s">
        <v>3605</v>
      </c>
      <c r="I1871" s="47" t="s">
        <v>662</v>
      </c>
    </row>
    <row r="1872" spans="1:9" ht="15">
      <c r="A1872" s="47" t="s">
        <v>663</v>
      </c>
      <c r="B1872" s="47" t="s">
        <v>8160</v>
      </c>
      <c r="C1872" s="47" t="s">
        <v>8161</v>
      </c>
      <c r="D1872" s="47" t="s">
        <v>8162</v>
      </c>
      <c r="E1872" s="47"/>
      <c r="F1872" s="47" t="s">
        <v>3759</v>
      </c>
      <c r="G1872" s="47" t="s">
        <v>3760</v>
      </c>
      <c r="H1872" s="47" t="s">
        <v>3605</v>
      </c>
      <c r="I1872" s="47" t="s">
        <v>663</v>
      </c>
    </row>
    <row r="1873" spans="1:9" ht="15">
      <c r="A1873" s="47" t="s">
        <v>664</v>
      </c>
      <c r="B1873" s="47" t="s">
        <v>8163</v>
      </c>
      <c r="C1873" s="47" t="s">
        <v>8164</v>
      </c>
      <c r="D1873" s="47" t="s">
        <v>8165</v>
      </c>
      <c r="E1873" s="47"/>
      <c r="F1873" s="47" t="s">
        <v>3759</v>
      </c>
      <c r="G1873" s="47" t="s">
        <v>3760</v>
      </c>
      <c r="H1873" s="47" t="s">
        <v>3605</v>
      </c>
      <c r="I1873" s="47" t="s">
        <v>664</v>
      </c>
    </row>
    <row r="1874" spans="1:9" ht="15">
      <c r="A1874" s="47">
        <v>8550304</v>
      </c>
      <c r="B1874" s="47" t="s">
        <v>2266</v>
      </c>
      <c r="C1874" s="47" t="s">
        <v>8166</v>
      </c>
      <c r="D1874" s="47" t="s">
        <v>8167</v>
      </c>
      <c r="E1874" s="47"/>
      <c r="F1874" s="47"/>
      <c r="G1874" s="47"/>
      <c r="H1874" s="47" t="s">
        <v>3605</v>
      </c>
      <c r="I1874" s="47" t="s">
        <v>19394</v>
      </c>
    </row>
    <row r="1875" spans="1:9" ht="15">
      <c r="A1875" s="47" t="s">
        <v>667</v>
      </c>
      <c r="B1875" s="47" t="s">
        <v>8168</v>
      </c>
      <c r="C1875" s="47" t="s">
        <v>8169</v>
      </c>
      <c r="D1875" s="47" t="s">
        <v>8170</v>
      </c>
      <c r="E1875" s="47"/>
      <c r="F1875" s="47" t="s">
        <v>3603</v>
      </c>
      <c r="G1875" s="47" t="s">
        <v>3604</v>
      </c>
      <c r="H1875" s="47" t="s">
        <v>3605</v>
      </c>
      <c r="I1875" s="47" t="s">
        <v>667</v>
      </c>
    </row>
    <row r="1876" spans="1:9" ht="15">
      <c r="A1876" s="47" t="s">
        <v>668</v>
      </c>
      <c r="B1876" s="47" t="s">
        <v>8171</v>
      </c>
      <c r="C1876" s="47" t="s">
        <v>8172</v>
      </c>
      <c r="D1876" s="47" t="s">
        <v>8173</v>
      </c>
      <c r="E1876" s="47"/>
      <c r="F1876" s="47" t="s">
        <v>3603</v>
      </c>
      <c r="G1876" s="47" t="s">
        <v>3604</v>
      </c>
      <c r="H1876" s="47" t="s">
        <v>3605</v>
      </c>
      <c r="I1876" s="47" t="s">
        <v>668</v>
      </c>
    </row>
    <row r="1877" spans="1:9" ht="15">
      <c r="A1877" s="47" t="s">
        <v>669</v>
      </c>
      <c r="B1877" s="47" t="s">
        <v>8174</v>
      </c>
      <c r="C1877" s="47" t="s">
        <v>8175</v>
      </c>
      <c r="D1877" s="47" t="s">
        <v>8176</v>
      </c>
      <c r="E1877" s="47"/>
      <c r="F1877" s="47" t="s">
        <v>3759</v>
      </c>
      <c r="G1877" s="47" t="s">
        <v>3760</v>
      </c>
      <c r="H1877" s="47" t="s">
        <v>3605</v>
      </c>
      <c r="I1877" s="47" t="s">
        <v>669</v>
      </c>
    </row>
    <row r="1878" spans="1:9" ht="15">
      <c r="A1878" s="47" t="s">
        <v>670</v>
      </c>
      <c r="B1878" s="47" t="s">
        <v>8177</v>
      </c>
      <c r="C1878" s="47" t="s">
        <v>8178</v>
      </c>
      <c r="D1878" s="47" t="s">
        <v>8179</v>
      </c>
      <c r="E1878" s="47"/>
      <c r="F1878" s="47" t="s">
        <v>3759</v>
      </c>
      <c r="G1878" s="47" t="s">
        <v>3760</v>
      </c>
      <c r="H1878" s="47" t="s">
        <v>3605</v>
      </c>
      <c r="I1878" s="47" t="s">
        <v>670</v>
      </c>
    </row>
    <row r="1879" spans="1:9" ht="15">
      <c r="A1879" s="47" t="s">
        <v>671</v>
      </c>
      <c r="B1879" s="47" t="s">
        <v>8180</v>
      </c>
      <c r="C1879" s="47" t="s">
        <v>8181</v>
      </c>
      <c r="D1879" s="47" t="s">
        <v>8182</v>
      </c>
      <c r="E1879" s="47"/>
      <c r="F1879" s="47" t="s">
        <v>3759</v>
      </c>
      <c r="G1879" s="47" t="s">
        <v>3760</v>
      </c>
      <c r="H1879" s="47" t="s">
        <v>3605</v>
      </c>
      <c r="I1879" s="47" t="s">
        <v>671</v>
      </c>
    </row>
    <row r="1880" spans="1:9" ht="15">
      <c r="A1880" s="47">
        <v>8550323</v>
      </c>
      <c r="B1880" s="47" t="s">
        <v>2254</v>
      </c>
      <c r="C1880" s="47" t="s">
        <v>8183</v>
      </c>
      <c r="D1880" s="47" t="s">
        <v>8184</v>
      </c>
      <c r="E1880" s="47"/>
      <c r="F1880" s="47"/>
      <c r="G1880" s="47"/>
      <c r="H1880" s="47" t="s">
        <v>3605</v>
      </c>
      <c r="I1880" s="47" t="s">
        <v>19395</v>
      </c>
    </row>
    <row r="1881" spans="1:9" ht="15">
      <c r="A1881" s="47">
        <v>8550401</v>
      </c>
      <c r="B1881" s="47" t="s">
        <v>2267</v>
      </c>
      <c r="C1881" s="47" t="s">
        <v>8185</v>
      </c>
      <c r="D1881" s="47" t="s">
        <v>8186</v>
      </c>
      <c r="E1881" s="47"/>
      <c r="F1881" s="47"/>
      <c r="G1881" s="47"/>
      <c r="H1881" s="47" t="s">
        <v>3605</v>
      </c>
      <c r="I1881" s="47" t="s">
        <v>19396</v>
      </c>
    </row>
    <row r="1882" spans="1:9" ht="15">
      <c r="A1882" s="47" t="s">
        <v>672</v>
      </c>
      <c r="B1882" s="47" t="s">
        <v>8187</v>
      </c>
      <c r="C1882" s="47" t="s">
        <v>8188</v>
      </c>
      <c r="D1882" s="47" t="s">
        <v>8189</v>
      </c>
      <c r="E1882" s="47"/>
      <c r="F1882" s="47" t="s">
        <v>3759</v>
      </c>
      <c r="G1882" s="47" t="s">
        <v>3760</v>
      </c>
      <c r="H1882" s="47" t="s">
        <v>3605</v>
      </c>
      <c r="I1882" s="47" t="s">
        <v>672</v>
      </c>
    </row>
    <row r="1883" spans="1:9" ht="15">
      <c r="A1883" s="47" t="s">
        <v>673</v>
      </c>
      <c r="B1883" s="47" t="s">
        <v>8190</v>
      </c>
      <c r="C1883" s="47" t="s">
        <v>8191</v>
      </c>
      <c r="D1883" s="47" t="s">
        <v>8192</v>
      </c>
      <c r="E1883" s="47"/>
      <c r="F1883" s="47" t="s">
        <v>3759</v>
      </c>
      <c r="G1883" s="47" t="s">
        <v>3760</v>
      </c>
      <c r="H1883" s="47" t="s">
        <v>3605</v>
      </c>
      <c r="I1883" s="47" t="s">
        <v>673</v>
      </c>
    </row>
    <row r="1884" spans="1:9" ht="15">
      <c r="A1884" s="47" t="s">
        <v>674</v>
      </c>
      <c r="B1884" s="47" t="s">
        <v>8193</v>
      </c>
      <c r="C1884" s="47" t="s">
        <v>8194</v>
      </c>
      <c r="D1884" s="47" t="s">
        <v>8195</v>
      </c>
      <c r="E1884" s="47"/>
      <c r="F1884" s="47" t="s">
        <v>3603</v>
      </c>
      <c r="G1884" s="47" t="s">
        <v>3604</v>
      </c>
      <c r="H1884" s="47" t="s">
        <v>3605</v>
      </c>
      <c r="I1884" s="47" t="s">
        <v>674</v>
      </c>
    </row>
    <row r="1885" spans="1:9" ht="15">
      <c r="A1885" s="47" t="s">
        <v>675</v>
      </c>
      <c r="B1885" s="47" t="s">
        <v>8196</v>
      </c>
      <c r="C1885" s="47" t="s">
        <v>8197</v>
      </c>
      <c r="D1885" s="47" t="s">
        <v>8198</v>
      </c>
      <c r="E1885" s="47"/>
      <c r="F1885" s="47"/>
      <c r="G1885" s="47"/>
      <c r="H1885" s="47" t="s">
        <v>3605</v>
      </c>
      <c r="I1885" s="47" t="s">
        <v>675</v>
      </c>
    </row>
    <row r="1886" spans="1:9" ht="15">
      <c r="A1886" s="47" t="s">
        <v>642</v>
      </c>
      <c r="B1886" s="47" t="s">
        <v>8199</v>
      </c>
      <c r="C1886" s="47" t="s">
        <v>8200</v>
      </c>
      <c r="D1886" s="47" t="s">
        <v>8201</v>
      </c>
      <c r="E1886" s="47"/>
      <c r="F1886" s="47" t="s">
        <v>3603</v>
      </c>
      <c r="G1886" s="47" t="s">
        <v>3604</v>
      </c>
      <c r="H1886" s="47" t="s">
        <v>3605</v>
      </c>
      <c r="I1886" s="47" t="s">
        <v>642</v>
      </c>
    </row>
    <row r="1887" spans="1:9" ht="15">
      <c r="A1887" s="47">
        <v>8550406</v>
      </c>
      <c r="B1887" s="47" t="s">
        <v>2268</v>
      </c>
      <c r="C1887" s="47" t="s">
        <v>8202</v>
      </c>
      <c r="D1887" s="47" t="s">
        <v>8203</v>
      </c>
      <c r="E1887" s="47"/>
      <c r="F1887" s="47"/>
      <c r="G1887" s="47"/>
      <c r="H1887" s="47" t="s">
        <v>3605</v>
      </c>
      <c r="I1887" s="47" t="s">
        <v>19397</v>
      </c>
    </row>
    <row r="1888" spans="1:9" ht="15">
      <c r="A1888" s="47" t="s">
        <v>665</v>
      </c>
      <c r="B1888" s="47" t="s">
        <v>8204</v>
      </c>
      <c r="C1888" s="47" t="s">
        <v>8205</v>
      </c>
      <c r="D1888" s="47" t="s">
        <v>8206</v>
      </c>
      <c r="E1888" s="47"/>
      <c r="F1888" s="47"/>
      <c r="G1888" s="47"/>
      <c r="H1888" s="47" t="s">
        <v>3605</v>
      </c>
      <c r="I1888" s="47" t="s">
        <v>665</v>
      </c>
    </row>
    <row r="1889" spans="1:9" ht="15">
      <c r="A1889" s="47" t="s">
        <v>2898</v>
      </c>
      <c r="B1889" s="47" t="s">
        <v>8207</v>
      </c>
      <c r="C1889" s="47" t="s">
        <v>8208</v>
      </c>
      <c r="D1889" s="47" t="s">
        <v>8209</v>
      </c>
      <c r="E1889" s="47"/>
      <c r="F1889" s="47"/>
      <c r="G1889" s="47"/>
      <c r="H1889" s="47" t="s">
        <v>3605</v>
      </c>
      <c r="I1889" s="47" t="s">
        <v>2898</v>
      </c>
    </row>
    <row r="1890" spans="1:9" ht="15">
      <c r="A1890" s="47">
        <v>8550418</v>
      </c>
      <c r="B1890" s="47" t="s">
        <v>2270</v>
      </c>
      <c r="C1890" s="47" t="s">
        <v>8210</v>
      </c>
      <c r="D1890" s="47" t="s">
        <v>8211</v>
      </c>
      <c r="E1890" s="47"/>
      <c r="F1890" s="47"/>
      <c r="G1890" s="47"/>
      <c r="H1890" s="47" t="s">
        <v>3605</v>
      </c>
      <c r="I1890" s="47" t="s">
        <v>19398</v>
      </c>
    </row>
    <row r="1891" spans="1:9" ht="15">
      <c r="A1891" s="47">
        <v>11910</v>
      </c>
      <c r="B1891" s="47" t="s">
        <v>8212</v>
      </c>
      <c r="C1891" s="47" t="s">
        <v>8213</v>
      </c>
      <c r="D1891" s="47" t="s">
        <v>8214</v>
      </c>
      <c r="E1891" s="47"/>
      <c r="F1891" s="47"/>
      <c r="G1891" s="47"/>
      <c r="H1891" s="47" t="s">
        <v>3605</v>
      </c>
      <c r="I1891" s="47" t="s">
        <v>19399</v>
      </c>
    </row>
    <row r="1892" spans="1:9" ht="15">
      <c r="A1892" s="47">
        <v>8550424</v>
      </c>
      <c r="B1892" s="47" t="s">
        <v>2255</v>
      </c>
      <c r="C1892" s="47" t="s">
        <v>8215</v>
      </c>
      <c r="D1892" s="47" t="s">
        <v>8216</v>
      </c>
      <c r="E1892" s="47"/>
      <c r="F1892" s="47"/>
      <c r="G1892" s="47"/>
      <c r="H1892" s="47" t="s">
        <v>3605</v>
      </c>
      <c r="I1892" s="47" t="s">
        <v>19400</v>
      </c>
    </row>
    <row r="1893" spans="1:9" ht="15">
      <c r="A1893" s="47" t="s">
        <v>2929</v>
      </c>
      <c r="B1893" s="47" t="s">
        <v>8217</v>
      </c>
      <c r="C1893" s="47" t="s">
        <v>8218</v>
      </c>
      <c r="D1893" s="47" t="s">
        <v>8219</v>
      </c>
      <c r="E1893" s="47"/>
      <c r="F1893" s="47"/>
      <c r="G1893" s="47"/>
      <c r="H1893" s="47" t="s">
        <v>3605</v>
      </c>
      <c r="I1893" s="47" t="s">
        <v>2929</v>
      </c>
    </row>
    <row r="1894" spans="1:9" ht="15">
      <c r="A1894" s="47" t="s">
        <v>2933</v>
      </c>
      <c r="B1894" s="47" t="s">
        <v>8220</v>
      </c>
      <c r="C1894" s="47" t="s">
        <v>8221</v>
      </c>
      <c r="D1894" s="47" t="s">
        <v>8222</v>
      </c>
      <c r="E1894" s="47"/>
      <c r="F1894" s="47"/>
      <c r="G1894" s="47"/>
      <c r="H1894" s="47" t="s">
        <v>3605</v>
      </c>
      <c r="I1894" s="47" t="s">
        <v>2933</v>
      </c>
    </row>
    <row r="1895" spans="1:9" ht="15">
      <c r="A1895" s="47" t="s">
        <v>2942</v>
      </c>
      <c r="B1895" s="47" t="s">
        <v>8223</v>
      </c>
      <c r="C1895" s="47" t="s">
        <v>8224</v>
      </c>
      <c r="D1895" s="47" t="s">
        <v>8225</v>
      </c>
      <c r="E1895" s="47"/>
      <c r="F1895" s="47"/>
      <c r="G1895" s="47"/>
      <c r="H1895" s="47" t="s">
        <v>3605</v>
      </c>
      <c r="I1895" s="47" t="s">
        <v>2942</v>
      </c>
    </row>
    <row r="1896" spans="1:9" ht="15">
      <c r="A1896" s="47">
        <v>8550508</v>
      </c>
      <c r="B1896" s="47" t="s">
        <v>2273</v>
      </c>
      <c r="C1896" s="47" t="s">
        <v>8226</v>
      </c>
      <c r="D1896" s="47" t="s">
        <v>8227</v>
      </c>
      <c r="E1896" s="47"/>
      <c r="F1896" s="47"/>
      <c r="G1896" s="47"/>
      <c r="H1896" s="47" t="s">
        <v>3605</v>
      </c>
      <c r="I1896" s="47" t="s">
        <v>19401</v>
      </c>
    </row>
    <row r="1897" spans="1:9" ht="15">
      <c r="A1897" s="47">
        <v>8550509</v>
      </c>
      <c r="B1897" s="47" t="s">
        <v>2274</v>
      </c>
      <c r="C1897" s="47" t="s">
        <v>8228</v>
      </c>
      <c r="D1897" s="47" t="s">
        <v>8229</v>
      </c>
      <c r="E1897" s="47"/>
      <c r="F1897" s="47"/>
      <c r="G1897" s="47"/>
      <c r="H1897" s="47" t="s">
        <v>3605</v>
      </c>
      <c r="I1897" s="47" t="s">
        <v>19402</v>
      </c>
    </row>
    <row r="1898" spans="1:9" ht="15">
      <c r="A1898" s="47" t="s">
        <v>2949</v>
      </c>
      <c r="B1898" s="47" t="s">
        <v>8230</v>
      </c>
      <c r="C1898" s="47" t="s">
        <v>8231</v>
      </c>
      <c r="D1898" s="47" t="s">
        <v>8232</v>
      </c>
      <c r="E1898" s="47"/>
      <c r="F1898" s="47"/>
      <c r="G1898" s="47"/>
      <c r="H1898" s="47" t="s">
        <v>3605</v>
      </c>
      <c r="I1898" s="47" t="s">
        <v>2949</v>
      </c>
    </row>
    <row r="1899" spans="1:9" ht="15">
      <c r="A1899" s="47">
        <v>8550510</v>
      </c>
      <c r="B1899" s="47" t="s">
        <v>2275</v>
      </c>
      <c r="C1899" s="47" t="s">
        <v>8233</v>
      </c>
      <c r="D1899" s="47" t="s">
        <v>8234</v>
      </c>
      <c r="E1899" s="47"/>
      <c r="F1899" s="47"/>
      <c r="G1899" s="47"/>
      <c r="H1899" s="47" t="s">
        <v>3605</v>
      </c>
      <c r="I1899" s="47" t="s">
        <v>19403</v>
      </c>
    </row>
    <row r="1900" spans="1:9" ht="15">
      <c r="A1900" s="47" t="s">
        <v>2953</v>
      </c>
      <c r="B1900" s="47" t="s">
        <v>8235</v>
      </c>
      <c r="C1900" s="47" t="s">
        <v>8236</v>
      </c>
      <c r="D1900" s="47" t="s">
        <v>8237</v>
      </c>
      <c r="E1900" s="47"/>
      <c r="F1900" s="47"/>
      <c r="G1900" s="47"/>
      <c r="H1900" s="47" t="s">
        <v>3605</v>
      </c>
      <c r="I1900" s="47" t="s">
        <v>2953</v>
      </c>
    </row>
    <row r="1901" spans="1:9" ht="15">
      <c r="A1901" s="47">
        <v>8550511</v>
      </c>
      <c r="B1901" s="47" t="s">
        <v>2276</v>
      </c>
      <c r="C1901" s="47" t="s">
        <v>8238</v>
      </c>
      <c r="D1901" s="47" t="s">
        <v>8239</v>
      </c>
      <c r="E1901" s="47"/>
      <c r="F1901" s="47"/>
      <c r="G1901" s="47"/>
      <c r="H1901" s="47" t="s">
        <v>3605</v>
      </c>
      <c r="I1901" s="47" t="s">
        <v>19404</v>
      </c>
    </row>
    <row r="1902" spans="1:9" ht="15">
      <c r="A1902" s="47">
        <v>8550525</v>
      </c>
      <c r="B1902" s="47" t="s">
        <v>2256</v>
      </c>
      <c r="C1902" s="47" t="s">
        <v>8240</v>
      </c>
      <c r="D1902" s="47" t="s">
        <v>8241</v>
      </c>
      <c r="E1902" s="47"/>
      <c r="F1902" s="47"/>
      <c r="G1902" s="47"/>
      <c r="H1902" s="47" t="s">
        <v>3605</v>
      </c>
      <c r="I1902" s="47" t="s">
        <v>19405</v>
      </c>
    </row>
    <row r="1903" spans="1:9" ht="15">
      <c r="A1903" s="47" t="s">
        <v>2967</v>
      </c>
      <c r="B1903" s="47" t="s">
        <v>8242</v>
      </c>
      <c r="C1903" s="47" t="s">
        <v>8243</v>
      </c>
      <c r="D1903" s="47" t="s">
        <v>8244</v>
      </c>
      <c r="E1903" s="47"/>
      <c r="F1903" s="47"/>
      <c r="G1903" s="47"/>
      <c r="H1903" s="47" t="s">
        <v>3605</v>
      </c>
      <c r="I1903" s="47" t="s">
        <v>2967</v>
      </c>
    </row>
    <row r="1904" spans="1:9" ht="15">
      <c r="A1904" s="47">
        <v>8551020</v>
      </c>
      <c r="B1904" s="47" t="s">
        <v>8245</v>
      </c>
      <c r="C1904" s="47" t="s">
        <v>8246</v>
      </c>
      <c r="D1904" s="47" t="s">
        <v>8247</v>
      </c>
      <c r="E1904" s="47"/>
      <c r="F1904" s="47" t="s">
        <v>3603</v>
      </c>
      <c r="G1904" s="47" t="s">
        <v>3604</v>
      </c>
      <c r="H1904" s="47" t="s">
        <v>3605</v>
      </c>
      <c r="I1904" s="47" t="s">
        <v>19406</v>
      </c>
    </row>
    <row r="1905" spans="1:9" ht="15">
      <c r="A1905" s="47" t="s">
        <v>3586</v>
      </c>
      <c r="B1905" s="47" t="s">
        <v>8248</v>
      </c>
      <c r="C1905" s="47" t="s">
        <v>8249</v>
      </c>
      <c r="D1905" s="47" t="s">
        <v>8250</v>
      </c>
      <c r="E1905" s="47"/>
      <c r="F1905" s="47" t="s">
        <v>3932</v>
      </c>
      <c r="G1905" s="47" t="s">
        <v>3933</v>
      </c>
      <c r="H1905" s="47" t="s">
        <v>3605</v>
      </c>
      <c r="I1905" s="47" t="s">
        <v>3586</v>
      </c>
    </row>
    <row r="1906" spans="1:9" ht="15">
      <c r="A1906" s="47" t="s">
        <v>639</v>
      </c>
      <c r="B1906" s="47" t="s">
        <v>8251</v>
      </c>
      <c r="C1906" s="47" t="s">
        <v>8252</v>
      </c>
      <c r="D1906" s="47" t="s">
        <v>8253</v>
      </c>
      <c r="E1906" s="47"/>
      <c r="F1906" s="47"/>
      <c r="G1906" s="47"/>
      <c r="H1906" s="47" t="s">
        <v>3605</v>
      </c>
      <c r="I1906" s="47" t="s">
        <v>639</v>
      </c>
    </row>
    <row r="1907" spans="1:9" ht="15">
      <c r="A1907" s="47" t="s">
        <v>3592</v>
      </c>
      <c r="B1907" s="47" t="s">
        <v>8254</v>
      </c>
      <c r="C1907" s="47" t="s">
        <v>8255</v>
      </c>
      <c r="D1907" s="47" t="s">
        <v>8256</v>
      </c>
      <c r="E1907" s="47"/>
      <c r="F1907" s="47"/>
      <c r="G1907" s="47"/>
      <c r="H1907" s="47" t="s">
        <v>3605</v>
      </c>
      <c r="I1907" s="47" t="s">
        <v>3592</v>
      </c>
    </row>
    <row r="1908" spans="1:9" ht="15">
      <c r="A1908" s="47">
        <v>8551043</v>
      </c>
      <c r="B1908" s="47" t="s">
        <v>8257</v>
      </c>
      <c r="C1908" s="47" t="s">
        <v>8258</v>
      </c>
      <c r="D1908" s="47" t="s">
        <v>8259</v>
      </c>
      <c r="E1908" s="47"/>
      <c r="F1908" s="47"/>
      <c r="G1908" s="47"/>
      <c r="H1908" s="47" t="s">
        <v>3605</v>
      </c>
      <c r="I1908" s="47" t="s">
        <v>19407</v>
      </c>
    </row>
    <row r="1909" spans="1:9" ht="15">
      <c r="A1909" s="47" t="s">
        <v>8260</v>
      </c>
      <c r="B1909" s="47" t="s">
        <v>8261</v>
      </c>
      <c r="C1909" s="47" t="s">
        <v>8262</v>
      </c>
      <c r="D1909" s="47" t="s">
        <v>8263</v>
      </c>
      <c r="E1909" s="47"/>
      <c r="F1909" s="47"/>
      <c r="G1909" s="47"/>
      <c r="H1909" s="47" t="s">
        <v>3605</v>
      </c>
      <c r="I1909" s="47" t="s">
        <v>8260</v>
      </c>
    </row>
    <row r="1910" spans="1:9" ht="15">
      <c r="A1910" s="47" t="s">
        <v>3083</v>
      </c>
      <c r="B1910" s="47" t="s">
        <v>8264</v>
      </c>
      <c r="C1910" s="47" t="s">
        <v>8265</v>
      </c>
      <c r="D1910" s="47" t="s">
        <v>8266</v>
      </c>
      <c r="E1910" s="47"/>
      <c r="F1910" s="47"/>
      <c r="G1910" s="47"/>
      <c r="H1910" s="47" t="s">
        <v>3605</v>
      </c>
      <c r="I1910" s="47" t="s">
        <v>3083</v>
      </c>
    </row>
    <row r="1911" spans="1:9" ht="15">
      <c r="A1911" s="47" t="s">
        <v>8267</v>
      </c>
      <c r="B1911" s="47" t="s">
        <v>8268</v>
      </c>
      <c r="C1911" s="47" t="s">
        <v>8269</v>
      </c>
      <c r="D1911" s="47" t="s">
        <v>8270</v>
      </c>
      <c r="E1911" s="47"/>
      <c r="F1911" s="47"/>
      <c r="G1911" s="47"/>
      <c r="H1911" s="47" t="s">
        <v>3605</v>
      </c>
      <c r="I1911" s="47" t="s">
        <v>8267</v>
      </c>
    </row>
    <row r="1912" spans="1:9" ht="15">
      <c r="A1912" s="47">
        <v>8560160</v>
      </c>
      <c r="B1912" s="47" t="s">
        <v>2443</v>
      </c>
      <c r="C1912" s="47" t="s">
        <v>8271</v>
      </c>
      <c r="D1912" s="47" t="s">
        <v>8272</v>
      </c>
      <c r="E1912" s="47"/>
      <c r="F1912" s="47"/>
      <c r="G1912" s="47"/>
      <c r="H1912" s="47" t="s">
        <v>3605</v>
      </c>
      <c r="I1912" s="47" t="s">
        <v>19408</v>
      </c>
    </row>
    <row r="1913" spans="1:9" ht="15">
      <c r="A1913" s="47">
        <v>8560360</v>
      </c>
      <c r="B1913" s="47" t="s">
        <v>2408</v>
      </c>
      <c r="C1913" s="47" t="s">
        <v>8273</v>
      </c>
      <c r="D1913" s="47" t="s">
        <v>8274</v>
      </c>
      <c r="E1913" s="47"/>
      <c r="F1913" s="47"/>
      <c r="G1913" s="47"/>
      <c r="H1913" s="47" t="s">
        <v>3605</v>
      </c>
      <c r="I1913" s="47" t="s">
        <v>19409</v>
      </c>
    </row>
    <row r="1914" spans="1:9" ht="15">
      <c r="A1914" s="47">
        <v>93809</v>
      </c>
      <c r="B1914" s="47" t="s">
        <v>8275</v>
      </c>
      <c r="C1914" s="47" t="s">
        <v>8276</v>
      </c>
      <c r="D1914" s="47" t="s">
        <v>8277</v>
      </c>
      <c r="E1914" s="47"/>
      <c r="F1914" s="47"/>
      <c r="G1914" s="47"/>
      <c r="H1914" s="47" t="s">
        <v>3605</v>
      </c>
      <c r="I1914" s="47" t="s">
        <v>19410</v>
      </c>
    </row>
    <row r="1915" spans="1:9" ht="15">
      <c r="A1915" s="47" t="s">
        <v>1931</v>
      </c>
      <c r="B1915" s="47" t="s">
        <v>8278</v>
      </c>
      <c r="C1915" s="47" t="s">
        <v>8279</v>
      </c>
      <c r="D1915" s="47" t="s">
        <v>8280</v>
      </c>
      <c r="E1915" s="47"/>
      <c r="F1915" s="47" t="s">
        <v>3932</v>
      </c>
      <c r="G1915" s="47" t="s">
        <v>3933</v>
      </c>
      <c r="H1915" s="47" t="s">
        <v>3605</v>
      </c>
      <c r="I1915" s="47" t="s">
        <v>1931</v>
      </c>
    </row>
    <row r="1916" spans="1:9" ht="15">
      <c r="A1916" s="47" t="s">
        <v>10</v>
      </c>
      <c r="B1916" s="47" t="s">
        <v>8281</v>
      </c>
      <c r="C1916" s="47" t="s">
        <v>8282</v>
      </c>
      <c r="D1916" s="47" t="s">
        <v>8283</v>
      </c>
      <c r="E1916" s="47"/>
      <c r="F1916" s="47"/>
      <c r="G1916" s="47"/>
      <c r="H1916" s="47" t="s">
        <v>3605</v>
      </c>
      <c r="I1916" s="47" t="s">
        <v>10</v>
      </c>
    </row>
    <row r="1917" spans="1:9" ht="15">
      <c r="A1917" s="47">
        <v>8560401</v>
      </c>
      <c r="B1917" s="47" t="s">
        <v>2461</v>
      </c>
      <c r="C1917" s="47" t="s">
        <v>8284</v>
      </c>
      <c r="D1917" s="47" t="s">
        <v>8285</v>
      </c>
      <c r="E1917" s="47"/>
      <c r="F1917" s="47"/>
      <c r="G1917" s="47"/>
      <c r="H1917" s="47" t="s">
        <v>3605</v>
      </c>
      <c r="I1917" s="47" t="s">
        <v>19411</v>
      </c>
    </row>
    <row r="1918" spans="1:9" ht="15">
      <c r="A1918" s="47">
        <v>8560418</v>
      </c>
      <c r="B1918" s="47" t="s">
        <v>2325</v>
      </c>
      <c r="C1918" s="47" t="s">
        <v>8286</v>
      </c>
      <c r="D1918" s="47" t="s">
        <v>8287</v>
      </c>
      <c r="E1918" s="47"/>
      <c r="F1918" s="47"/>
      <c r="G1918" s="47"/>
      <c r="H1918" s="47" t="s">
        <v>3605</v>
      </c>
      <c r="I1918" s="47" t="s">
        <v>19412</v>
      </c>
    </row>
    <row r="1919" spans="1:9" ht="15">
      <c r="A1919" s="47">
        <v>8560420</v>
      </c>
      <c r="B1919" s="47" t="s">
        <v>2327</v>
      </c>
      <c r="C1919" s="47" t="s">
        <v>8288</v>
      </c>
      <c r="D1919" s="47" t="s">
        <v>8289</v>
      </c>
      <c r="E1919" s="47"/>
      <c r="F1919" s="47"/>
      <c r="G1919" s="47"/>
      <c r="H1919" s="47" t="s">
        <v>3605</v>
      </c>
      <c r="I1919" s="47" t="s">
        <v>19413</v>
      </c>
    </row>
    <row r="1920" spans="1:9" ht="15">
      <c r="A1920" s="47">
        <v>8560423</v>
      </c>
      <c r="B1920" s="47" t="s">
        <v>2328</v>
      </c>
      <c r="C1920" s="47" t="s">
        <v>8290</v>
      </c>
      <c r="D1920" s="47" t="s">
        <v>8291</v>
      </c>
      <c r="E1920" s="47"/>
      <c r="F1920" s="47"/>
      <c r="G1920" s="47"/>
      <c r="H1920" s="47" t="s">
        <v>3605</v>
      </c>
      <c r="I1920" s="47" t="s">
        <v>19414</v>
      </c>
    </row>
    <row r="1921" spans="1:9" ht="15">
      <c r="A1921" s="47">
        <v>8560433</v>
      </c>
      <c r="B1921" s="47" t="s">
        <v>2353</v>
      </c>
      <c r="C1921" s="47" t="s">
        <v>8292</v>
      </c>
      <c r="D1921" s="47" t="s">
        <v>8293</v>
      </c>
      <c r="E1921" s="47"/>
      <c r="F1921" s="47"/>
      <c r="G1921" s="47"/>
      <c r="H1921" s="47" t="s">
        <v>3605</v>
      </c>
      <c r="I1921" s="47" t="s">
        <v>19415</v>
      </c>
    </row>
    <row r="1922" spans="1:9" ht="15">
      <c r="A1922" s="47" t="s">
        <v>17</v>
      </c>
      <c r="B1922" s="47" t="s">
        <v>8294</v>
      </c>
      <c r="C1922" s="47" t="s">
        <v>8295</v>
      </c>
      <c r="D1922" s="47" t="s">
        <v>8296</v>
      </c>
      <c r="E1922" s="47"/>
      <c r="F1922" s="47" t="s">
        <v>3932</v>
      </c>
      <c r="G1922" s="47" t="s">
        <v>3933</v>
      </c>
      <c r="H1922" s="47" t="s">
        <v>3605</v>
      </c>
      <c r="I1922" s="47" t="s">
        <v>17</v>
      </c>
    </row>
    <row r="1923" spans="1:9" ht="15">
      <c r="A1923" s="47" t="s">
        <v>18</v>
      </c>
      <c r="B1923" s="47" t="s">
        <v>8297</v>
      </c>
      <c r="C1923" s="47" t="s">
        <v>8298</v>
      </c>
      <c r="D1923" s="47" t="s">
        <v>8299</v>
      </c>
      <c r="E1923" s="47"/>
      <c r="F1923" s="47" t="s">
        <v>3932</v>
      </c>
      <c r="G1923" s="47" t="s">
        <v>3933</v>
      </c>
      <c r="H1923" s="47" t="s">
        <v>3605</v>
      </c>
      <c r="I1923" s="47" t="s">
        <v>18</v>
      </c>
    </row>
    <row r="1924" spans="1:9" ht="15">
      <c r="A1924" s="47" t="s">
        <v>19</v>
      </c>
      <c r="B1924" s="47" t="s">
        <v>8300</v>
      </c>
      <c r="C1924" s="47" t="s">
        <v>8301</v>
      </c>
      <c r="D1924" s="47" t="s">
        <v>8302</v>
      </c>
      <c r="E1924" s="47"/>
      <c r="F1924" s="47" t="s">
        <v>3932</v>
      </c>
      <c r="G1924" s="47" t="s">
        <v>3933</v>
      </c>
      <c r="H1924" s="47" t="s">
        <v>3605</v>
      </c>
      <c r="I1924" s="47" t="s">
        <v>19</v>
      </c>
    </row>
    <row r="1925" spans="1:9" ht="15">
      <c r="A1925" s="47" t="s">
        <v>20</v>
      </c>
      <c r="B1925" s="47" t="s">
        <v>8303</v>
      </c>
      <c r="C1925" s="47" t="s">
        <v>8304</v>
      </c>
      <c r="D1925" s="47" t="s">
        <v>8305</v>
      </c>
      <c r="E1925" s="47"/>
      <c r="F1925" s="47" t="s">
        <v>3932</v>
      </c>
      <c r="G1925" s="47" t="s">
        <v>3933</v>
      </c>
      <c r="H1925" s="47" t="s">
        <v>3605</v>
      </c>
      <c r="I1925" s="47" t="s">
        <v>20</v>
      </c>
    </row>
    <row r="1926" spans="1:9" ht="15">
      <c r="A1926" s="47" t="s">
        <v>21</v>
      </c>
      <c r="B1926" s="47" t="s">
        <v>8306</v>
      </c>
      <c r="C1926" s="47" t="s">
        <v>8307</v>
      </c>
      <c r="D1926" s="47" t="s">
        <v>8308</v>
      </c>
      <c r="E1926" s="47"/>
      <c r="F1926" s="47" t="s">
        <v>3932</v>
      </c>
      <c r="G1926" s="47" t="s">
        <v>3933</v>
      </c>
      <c r="H1926" s="47" t="s">
        <v>3605</v>
      </c>
      <c r="I1926" s="47" t="s">
        <v>21</v>
      </c>
    </row>
    <row r="1927" spans="1:9" ht="15">
      <c r="A1927" s="47" t="s">
        <v>22</v>
      </c>
      <c r="B1927" s="47" t="s">
        <v>8309</v>
      </c>
      <c r="C1927" s="47" t="s">
        <v>8310</v>
      </c>
      <c r="D1927" s="47" t="s">
        <v>8311</v>
      </c>
      <c r="E1927" s="47"/>
      <c r="F1927" s="47"/>
      <c r="G1927" s="47"/>
      <c r="H1927" s="47" t="s">
        <v>3605</v>
      </c>
      <c r="I1927" s="47" t="s">
        <v>22</v>
      </c>
    </row>
    <row r="1928" spans="1:9" ht="15">
      <c r="A1928" s="47" t="s">
        <v>23</v>
      </c>
      <c r="B1928" s="47" t="s">
        <v>8312</v>
      </c>
      <c r="C1928" s="47" t="s">
        <v>8313</v>
      </c>
      <c r="D1928" s="47" t="s">
        <v>8314</v>
      </c>
      <c r="E1928" s="47"/>
      <c r="F1928" s="47" t="s">
        <v>3932</v>
      </c>
      <c r="G1928" s="47" t="s">
        <v>3933</v>
      </c>
      <c r="H1928" s="47" t="s">
        <v>3605</v>
      </c>
      <c r="I1928" s="47" t="s">
        <v>23</v>
      </c>
    </row>
    <row r="1929" spans="1:9" ht="15">
      <c r="A1929" s="47" t="s">
        <v>24</v>
      </c>
      <c r="B1929" s="47" t="s">
        <v>8315</v>
      </c>
      <c r="C1929" s="47" t="s">
        <v>8316</v>
      </c>
      <c r="D1929" s="47" t="s">
        <v>8317</v>
      </c>
      <c r="E1929" s="47"/>
      <c r="F1929" s="47" t="s">
        <v>3932</v>
      </c>
      <c r="G1929" s="47" t="s">
        <v>3933</v>
      </c>
      <c r="H1929" s="47" t="s">
        <v>3605</v>
      </c>
      <c r="I1929" s="47" t="s">
        <v>24</v>
      </c>
    </row>
    <row r="1930" spans="1:9" ht="15">
      <c r="A1930" s="47" t="s">
        <v>25</v>
      </c>
      <c r="B1930" s="47" t="s">
        <v>8318</v>
      </c>
      <c r="C1930" s="47" t="s">
        <v>8319</v>
      </c>
      <c r="D1930" s="47" t="s">
        <v>8320</v>
      </c>
      <c r="E1930" s="47"/>
      <c r="F1930" s="47" t="s">
        <v>3932</v>
      </c>
      <c r="G1930" s="47" t="s">
        <v>3933</v>
      </c>
      <c r="H1930" s="47" t="s">
        <v>3605</v>
      </c>
      <c r="I1930" s="47" t="s">
        <v>25</v>
      </c>
    </row>
    <row r="1931" spans="1:9" ht="15">
      <c r="A1931" s="47" t="s">
        <v>26</v>
      </c>
      <c r="B1931" s="47" t="s">
        <v>8321</v>
      </c>
      <c r="C1931" s="47" t="s">
        <v>8322</v>
      </c>
      <c r="D1931" s="47" t="s">
        <v>8323</v>
      </c>
      <c r="E1931" s="47"/>
      <c r="F1931" s="47" t="s">
        <v>3932</v>
      </c>
      <c r="G1931" s="47" t="s">
        <v>3933</v>
      </c>
      <c r="H1931" s="47" t="s">
        <v>3605</v>
      </c>
      <c r="I1931" s="47" t="s">
        <v>26</v>
      </c>
    </row>
    <row r="1932" spans="1:9" ht="15">
      <c r="A1932" s="47" t="s">
        <v>27</v>
      </c>
      <c r="B1932" s="47" t="s">
        <v>8324</v>
      </c>
      <c r="C1932" s="47" t="s">
        <v>8325</v>
      </c>
      <c r="D1932" s="47" t="s">
        <v>8326</v>
      </c>
      <c r="E1932" s="47"/>
      <c r="F1932" s="47" t="s">
        <v>3932</v>
      </c>
      <c r="G1932" s="47" t="s">
        <v>3933</v>
      </c>
      <c r="H1932" s="47" t="s">
        <v>3605</v>
      </c>
      <c r="I1932" s="47" t="s">
        <v>27</v>
      </c>
    </row>
    <row r="1933" spans="1:9" ht="15">
      <c r="A1933" s="47">
        <v>8560460</v>
      </c>
      <c r="B1933" s="47" t="s">
        <v>2152</v>
      </c>
      <c r="C1933" s="47" t="s">
        <v>8327</v>
      </c>
      <c r="D1933" s="47" t="s">
        <v>8328</v>
      </c>
      <c r="E1933" s="47"/>
      <c r="F1933" s="47"/>
      <c r="G1933" s="47"/>
      <c r="H1933" s="47" t="s">
        <v>3605</v>
      </c>
      <c r="I1933" s="47" t="s">
        <v>19416</v>
      </c>
    </row>
    <row r="1934" spans="1:9" ht="15">
      <c r="A1934" s="47" t="s">
        <v>29</v>
      </c>
      <c r="B1934" s="47" t="s">
        <v>8329</v>
      </c>
      <c r="C1934" s="47" t="s">
        <v>8330</v>
      </c>
      <c r="D1934" s="47" t="s">
        <v>8331</v>
      </c>
      <c r="E1934" s="47"/>
      <c r="F1934" s="47" t="s">
        <v>3932</v>
      </c>
      <c r="G1934" s="47" t="s">
        <v>3933</v>
      </c>
      <c r="H1934" s="47" t="s">
        <v>3605</v>
      </c>
      <c r="I1934" s="47" t="s">
        <v>29</v>
      </c>
    </row>
    <row r="1935" spans="1:9" ht="15">
      <c r="A1935" s="47" t="s">
        <v>30</v>
      </c>
      <c r="B1935" s="47" t="s">
        <v>8332</v>
      </c>
      <c r="C1935" s="47" t="s">
        <v>8333</v>
      </c>
      <c r="D1935" s="47" t="s">
        <v>8334</v>
      </c>
      <c r="E1935" s="47"/>
      <c r="F1935" s="47" t="s">
        <v>3932</v>
      </c>
      <c r="G1935" s="47" t="s">
        <v>3933</v>
      </c>
      <c r="H1935" s="47" t="s">
        <v>3605</v>
      </c>
      <c r="I1935" s="47" t="s">
        <v>30</v>
      </c>
    </row>
    <row r="1936" spans="1:9" ht="15">
      <c r="A1936" s="47" t="s">
        <v>31</v>
      </c>
      <c r="B1936" s="47" t="s">
        <v>8335</v>
      </c>
      <c r="C1936" s="47" t="s">
        <v>8336</v>
      </c>
      <c r="D1936" s="47" t="s">
        <v>8337</v>
      </c>
      <c r="E1936" s="47"/>
      <c r="F1936" s="47" t="s">
        <v>3932</v>
      </c>
      <c r="G1936" s="47" t="s">
        <v>3933</v>
      </c>
      <c r="H1936" s="47" t="s">
        <v>3605</v>
      </c>
      <c r="I1936" s="47" t="s">
        <v>31</v>
      </c>
    </row>
    <row r="1937" spans="1:9" ht="15">
      <c r="A1937" s="47" t="s">
        <v>33</v>
      </c>
      <c r="B1937" s="47" t="s">
        <v>8338</v>
      </c>
      <c r="C1937" s="47" t="s">
        <v>8339</v>
      </c>
      <c r="D1937" s="47" t="s">
        <v>8340</v>
      </c>
      <c r="E1937" s="47"/>
      <c r="F1937" s="47" t="s">
        <v>3932</v>
      </c>
      <c r="G1937" s="47" t="s">
        <v>3933</v>
      </c>
      <c r="H1937" s="47" t="s">
        <v>3605</v>
      </c>
      <c r="I1937" s="47" t="s">
        <v>33</v>
      </c>
    </row>
    <row r="1938" spans="1:9" ht="15">
      <c r="A1938" s="47">
        <v>8560461</v>
      </c>
      <c r="B1938" s="47" t="s">
        <v>2153</v>
      </c>
      <c r="C1938" s="47" t="s">
        <v>8341</v>
      </c>
      <c r="D1938" s="47" t="s">
        <v>8342</v>
      </c>
      <c r="E1938" s="47"/>
      <c r="F1938" s="47"/>
      <c r="G1938" s="47"/>
      <c r="H1938" s="47" t="s">
        <v>3605</v>
      </c>
      <c r="I1938" s="47" t="s">
        <v>19417</v>
      </c>
    </row>
    <row r="1939" spans="1:9" ht="15">
      <c r="A1939" s="47">
        <v>8560524</v>
      </c>
      <c r="B1939" s="47" t="s">
        <v>2329</v>
      </c>
      <c r="C1939" s="47" t="s">
        <v>8343</v>
      </c>
      <c r="D1939" s="47" t="s">
        <v>8344</v>
      </c>
      <c r="E1939" s="47"/>
      <c r="F1939" s="47"/>
      <c r="G1939" s="47"/>
      <c r="H1939" s="47" t="s">
        <v>3605</v>
      </c>
      <c r="I1939" s="47" t="s">
        <v>19418</v>
      </c>
    </row>
    <row r="1940" spans="1:9" ht="15">
      <c r="A1940" s="47">
        <v>8560534</v>
      </c>
      <c r="B1940" s="47" t="s">
        <v>2354</v>
      </c>
      <c r="C1940" s="47" t="s">
        <v>8345</v>
      </c>
      <c r="D1940" s="47" t="s">
        <v>8346</v>
      </c>
      <c r="E1940" s="47"/>
      <c r="F1940" s="47"/>
      <c r="G1940" s="47"/>
      <c r="H1940" s="47" t="s">
        <v>3605</v>
      </c>
      <c r="I1940" s="47" t="s">
        <v>19419</v>
      </c>
    </row>
    <row r="1941" spans="1:9" ht="15">
      <c r="A1941" s="47">
        <v>8560560</v>
      </c>
      <c r="B1941" s="47" t="s">
        <v>2088</v>
      </c>
      <c r="C1941" s="47" t="s">
        <v>8347</v>
      </c>
      <c r="D1941" s="47" t="s">
        <v>8348</v>
      </c>
      <c r="E1941" s="47"/>
      <c r="F1941" s="47"/>
      <c r="G1941" s="47"/>
      <c r="H1941" s="47" t="s">
        <v>3605</v>
      </c>
      <c r="I1941" s="47" t="s">
        <v>19420</v>
      </c>
    </row>
    <row r="1942" spans="1:9" ht="15">
      <c r="A1942" s="47">
        <v>8560564</v>
      </c>
      <c r="B1942" s="47" t="s">
        <v>2331</v>
      </c>
      <c r="C1942" s="47" t="s">
        <v>8349</v>
      </c>
      <c r="D1942" s="47" t="s">
        <v>8350</v>
      </c>
      <c r="E1942" s="47"/>
      <c r="F1942" s="47"/>
      <c r="G1942" s="47"/>
      <c r="H1942" s="47" t="s">
        <v>3605</v>
      </c>
      <c r="I1942" s="47" t="s">
        <v>19421</v>
      </c>
    </row>
    <row r="1943" spans="1:9" ht="15">
      <c r="A1943" s="47">
        <v>8560660</v>
      </c>
      <c r="B1943" s="47" t="s">
        <v>2172</v>
      </c>
      <c r="C1943" s="47" t="s">
        <v>8351</v>
      </c>
      <c r="D1943" s="47" t="s">
        <v>8352</v>
      </c>
      <c r="E1943" s="47"/>
      <c r="F1943" s="47"/>
      <c r="G1943" s="47"/>
      <c r="H1943" s="47" t="s">
        <v>3605</v>
      </c>
      <c r="I1943" s="47" t="s">
        <v>19422</v>
      </c>
    </row>
    <row r="1944" spans="1:9" ht="15">
      <c r="A1944" s="47">
        <v>8560661</v>
      </c>
      <c r="B1944" s="47" t="s">
        <v>2173</v>
      </c>
      <c r="C1944" s="47" t="s">
        <v>8353</v>
      </c>
      <c r="D1944" s="47" t="s">
        <v>8354</v>
      </c>
      <c r="E1944" s="47"/>
      <c r="F1944" s="47"/>
      <c r="G1944" s="47"/>
      <c r="H1944" s="47" t="s">
        <v>3605</v>
      </c>
      <c r="I1944" s="47" t="s">
        <v>19423</v>
      </c>
    </row>
    <row r="1945" spans="1:9" ht="15">
      <c r="A1945" s="47" t="s">
        <v>41</v>
      </c>
      <c r="B1945" s="47" t="s">
        <v>8355</v>
      </c>
      <c r="C1945" s="47" t="s">
        <v>8356</v>
      </c>
      <c r="D1945" s="47" t="s">
        <v>8357</v>
      </c>
      <c r="E1945" s="47"/>
      <c r="F1945" s="47" t="s">
        <v>3932</v>
      </c>
      <c r="G1945" s="47" t="s">
        <v>3933</v>
      </c>
      <c r="H1945" s="47" t="s">
        <v>3605</v>
      </c>
      <c r="I1945" s="47" t="s">
        <v>41</v>
      </c>
    </row>
    <row r="1946" spans="1:9" ht="15">
      <c r="A1946" s="47" t="s">
        <v>44</v>
      </c>
      <c r="B1946" s="47" t="s">
        <v>8358</v>
      </c>
      <c r="C1946" s="47" t="s">
        <v>8359</v>
      </c>
      <c r="D1946" s="47" t="s">
        <v>8360</v>
      </c>
      <c r="E1946" s="47"/>
      <c r="F1946" s="47" t="s">
        <v>3932</v>
      </c>
      <c r="G1946" s="47" t="s">
        <v>3933</v>
      </c>
      <c r="H1946" s="47" t="s">
        <v>3605</v>
      </c>
      <c r="I1946" s="47" t="s">
        <v>44</v>
      </c>
    </row>
    <row r="1947" spans="1:9" ht="15">
      <c r="A1947" s="47">
        <v>8560760</v>
      </c>
      <c r="B1947" s="47" t="s">
        <v>2199</v>
      </c>
      <c r="C1947" s="47" t="s">
        <v>8361</v>
      </c>
      <c r="D1947" s="47" t="s">
        <v>8362</v>
      </c>
      <c r="E1947" s="47"/>
      <c r="F1947" s="47"/>
      <c r="G1947" s="47"/>
      <c r="H1947" s="47" t="s">
        <v>3605</v>
      </c>
      <c r="I1947" s="47" t="s">
        <v>19424</v>
      </c>
    </row>
    <row r="1948" spans="1:9" ht="15">
      <c r="A1948" s="47" t="s">
        <v>46</v>
      </c>
      <c r="B1948" s="47" t="s">
        <v>8363</v>
      </c>
      <c r="C1948" s="47" t="s">
        <v>8364</v>
      </c>
      <c r="D1948" s="47" t="s">
        <v>8365</v>
      </c>
      <c r="E1948" s="47"/>
      <c r="F1948" s="47" t="s">
        <v>3932</v>
      </c>
      <c r="G1948" s="47" t="s">
        <v>3933</v>
      </c>
      <c r="H1948" s="47" t="s">
        <v>3605</v>
      </c>
      <c r="I1948" s="47" t="s">
        <v>46</v>
      </c>
    </row>
    <row r="1949" spans="1:9" ht="15">
      <c r="A1949" s="47" t="s">
        <v>47</v>
      </c>
      <c r="B1949" s="47" t="s">
        <v>8366</v>
      </c>
      <c r="C1949" s="47" t="s">
        <v>8367</v>
      </c>
      <c r="D1949" s="47" t="s">
        <v>8368</v>
      </c>
      <c r="E1949" s="47"/>
      <c r="F1949" s="47" t="s">
        <v>3932</v>
      </c>
      <c r="G1949" s="47" t="s">
        <v>3933</v>
      </c>
      <c r="H1949" s="47" t="s">
        <v>3605</v>
      </c>
      <c r="I1949" s="47" t="s">
        <v>47</v>
      </c>
    </row>
    <row r="1950" spans="1:9" ht="15">
      <c r="A1950" s="47" t="s">
        <v>48</v>
      </c>
      <c r="B1950" s="47" t="s">
        <v>8369</v>
      </c>
      <c r="C1950" s="47" t="s">
        <v>8370</v>
      </c>
      <c r="D1950" s="47" t="s">
        <v>8371</v>
      </c>
      <c r="E1950" s="47"/>
      <c r="F1950" s="47" t="s">
        <v>3932</v>
      </c>
      <c r="G1950" s="47" t="s">
        <v>3933</v>
      </c>
      <c r="H1950" s="47" t="s">
        <v>3605</v>
      </c>
      <c r="I1950" s="47" t="s">
        <v>48</v>
      </c>
    </row>
    <row r="1951" spans="1:9" ht="15">
      <c r="A1951" s="47" t="s">
        <v>50</v>
      </c>
      <c r="B1951" s="47" t="s">
        <v>8372</v>
      </c>
      <c r="C1951" s="47" t="s">
        <v>8373</v>
      </c>
      <c r="D1951" s="47" t="s">
        <v>8374</v>
      </c>
      <c r="E1951" s="47"/>
      <c r="F1951" s="47" t="s">
        <v>3932</v>
      </c>
      <c r="G1951" s="47" t="s">
        <v>3933</v>
      </c>
      <c r="H1951" s="47" t="s">
        <v>3605</v>
      </c>
      <c r="I1951" s="47" t="s">
        <v>50</v>
      </c>
    </row>
    <row r="1952" spans="1:9" ht="15">
      <c r="A1952" s="47" t="s">
        <v>51</v>
      </c>
      <c r="B1952" s="47" t="s">
        <v>8375</v>
      </c>
      <c r="C1952" s="47" t="s">
        <v>8376</v>
      </c>
      <c r="D1952" s="47" t="s">
        <v>8377</v>
      </c>
      <c r="E1952" s="47"/>
      <c r="F1952" s="47" t="s">
        <v>3932</v>
      </c>
      <c r="G1952" s="47" t="s">
        <v>3933</v>
      </c>
      <c r="H1952" s="47" t="s">
        <v>3605</v>
      </c>
      <c r="I1952" s="47" t="s">
        <v>51</v>
      </c>
    </row>
    <row r="1953" spans="1:9" ht="15">
      <c r="A1953" s="47" t="s">
        <v>2795</v>
      </c>
      <c r="B1953" s="47" t="s">
        <v>8378</v>
      </c>
      <c r="C1953" s="47" t="s">
        <v>8379</v>
      </c>
      <c r="D1953" s="47" t="s">
        <v>8380</v>
      </c>
      <c r="E1953" s="47"/>
      <c r="F1953" s="47"/>
      <c r="G1953" s="47"/>
      <c r="H1953" s="47" t="s">
        <v>3605</v>
      </c>
      <c r="I1953" s="47" t="s">
        <v>2795</v>
      </c>
    </row>
    <row r="1954" spans="1:9" ht="15">
      <c r="A1954" s="47" t="s">
        <v>6</v>
      </c>
      <c r="B1954" s="47" t="s">
        <v>8381</v>
      </c>
      <c r="C1954" s="47" t="s">
        <v>8382</v>
      </c>
      <c r="D1954" s="47" t="s">
        <v>8383</v>
      </c>
      <c r="E1954" s="47"/>
      <c r="F1954" s="47"/>
      <c r="G1954" s="47"/>
      <c r="H1954" s="47" t="s">
        <v>3605</v>
      </c>
      <c r="I1954" s="47" t="s">
        <v>6</v>
      </c>
    </row>
    <row r="1955" spans="1:9" ht="15">
      <c r="A1955" s="47" t="s">
        <v>1773</v>
      </c>
      <c r="B1955" s="47" t="s">
        <v>8384</v>
      </c>
      <c r="C1955" s="47" t="s">
        <v>8385</v>
      </c>
      <c r="D1955" s="47" t="s">
        <v>8386</v>
      </c>
      <c r="E1955" s="47"/>
      <c r="F1955" s="47"/>
      <c r="G1955" s="47"/>
      <c r="H1955" s="47" t="s">
        <v>3605</v>
      </c>
      <c r="I1955" s="47" t="s">
        <v>1773</v>
      </c>
    </row>
    <row r="1956" spans="1:9" ht="15">
      <c r="A1956" s="47" t="s">
        <v>7</v>
      </c>
      <c r="B1956" s="47" t="s">
        <v>8387</v>
      </c>
      <c r="C1956" s="47" t="s">
        <v>8388</v>
      </c>
      <c r="D1956" s="47" t="s">
        <v>8389</v>
      </c>
      <c r="E1956" s="47"/>
      <c r="F1956" s="47"/>
      <c r="G1956" s="47"/>
      <c r="H1956" s="47" t="s">
        <v>3605</v>
      </c>
      <c r="I1956" s="47" t="s">
        <v>7</v>
      </c>
    </row>
    <row r="1957" spans="1:9" ht="15">
      <c r="A1957" s="47" t="s">
        <v>8</v>
      </c>
      <c r="B1957" s="47" t="s">
        <v>8390</v>
      </c>
      <c r="C1957" s="47" t="s">
        <v>8391</v>
      </c>
      <c r="D1957" s="47" t="s">
        <v>8392</v>
      </c>
      <c r="E1957" s="47"/>
      <c r="F1957" s="47"/>
      <c r="G1957" s="47"/>
      <c r="H1957" s="47" t="s">
        <v>3605</v>
      </c>
      <c r="I1957" s="47" t="s">
        <v>8</v>
      </c>
    </row>
    <row r="1958" spans="1:9" ht="15">
      <c r="A1958" s="47" t="s">
        <v>9</v>
      </c>
      <c r="B1958" s="47" t="s">
        <v>8393</v>
      </c>
      <c r="C1958" s="47" t="s">
        <v>8394</v>
      </c>
      <c r="D1958" s="47" t="s">
        <v>8395</v>
      </c>
      <c r="E1958" s="47"/>
      <c r="F1958" s="47" t="s">
        <v>3932</v>
      </c>
      <c r="G1958" s="47" t="s">
        <v>3933</v>
      </c>
      <c r="H1958" s="47" t="s">
        <v>3605</v>
      </c>
      <c r="I1958" s="47" t="s">
        <v>9</v>
      </c>
    </row>
    <row r="1959" spans="1:9" ht="15">
      <c r="A1959" s="47" t="s">
        <v>11</v>
      </c>
      <c r="B1959" s="47" t="s">
        <v>8396</v>
      </c>
      <c r="C1959" s="47" t="s">
        <v>8397</v>
      </c>
      <c r="D1959" s="47" t="s">
        <v>8398</v>
      </c>
      <c r="E1959" s="47"/>
      <c r="F1959" s="47"/>
      <c r="G1959" s="47"/>
      <c r="H1959" s="47" t="s">
        <v>3605</v>
      </c>
      <c r="I1959" s="47" t="s">
        <v>11</v>
      </c>
    </row>
    <row r="1960" spans="1:9" ht="15">
      <c r="A1960" s="47">
        <v>8560860</v>
      </c>
      <c r="B1960" s="47" t="s">
        <v>8399</v>
      </c>
      <c r="C1960" s="47" t="s">
        <v>8400</v>
      </c>
      <c r="D1960" s="47" t="s">
        <v>8401</v>
      </c>
      <c r="E1960" s="47"/>
      <c r="F1960" s="47"/>
      <c r="G1960" s="47"/>
      <c r="H1960" s="47" t="s">
        <v>3605</v>
      </c>
      <c r="I1960" s="47" t="s">
        <v>19425</v>
      </c>
    </row>
    <row r="1961" spans="1:9" ht="15">
      <c r="A1961" s="47" t="s">
        <v>42</v>
      </c>
      <c r="B1961" s="47" t="s">
        <v>8402</v>
      </c>
      <c r="C1961" s="47" t="s">
        <v>8403</v>
      </c>
      <c r="D1961" s="47" t="s">
        <v>8404</v>
      </c>
      <c r="E1961" s="47"/>
      <c r="F1961" s="47" t="s">
        <v>3932</v>
      </c>
      <c r="G1961" s="47" t="s">
        <v>3933</v>
      </c>
      <c r="H1961" s="47" t="s">
        <v>3605</v>
      </c>
      <c r="I1961" s="47" t="s">
        <v>42</v>
      </c>
    </row>
    <row r="1962" spans="1:9" ht="15">
      <c r="A1962" s="47" t="s">
        <v>43</v>
      </c>
      <c r="B1962" s="47" t="s">
        <v>8405</v>
      </c>
      <c r="C1962" s="47" t="s">
        <v>8406</v>
      </c>
      <c r="D1962" s="47" t="s">
        <v>8407</v>
      </c>
      <c r="E1962" s="47"/>
      <c r="F1962" s="47" t="s">
        <v>3932</v>
      </c>
      <c r="G1962" s="47" t="s">
        <v>3933</v>
      </c>
      <c r="H1962" s="47" t="s">
        <v>3605</v>
      </c>
      <c r="I1962" s="47" t="s">
        <v>43</v>
      </c>
    </row>
    <row r="1963" spans="1:9" ht="15">
      <c r="A1963" s="47" t="s">
        <v>49</v>
      </c>
      <c r="B1963" s="47" t="s">
        <v>8408</v>
      </c>
      <c r="C1963" s="47" t="s">
        <v>8409</v>
      </c>
      <c r="D1963" s="47" t="s">
        <v>8410</v>
      </c>
      <c r="E1963" s="47"/>
      <c r="F1963" s="47" t="s">
        <v>3932</v>
      </c>
      <c r="G1963" s="47" t="s">
        <v>3933</v>
      </c>
      <c r="H1963" s="47" t="s">
        <v>3605</v>
      </c>
      <c r="I1963" s="47" t="s">
        <v>49</v>
      </c>
    </row>
    <row r="1964" spans="1:9" ht="15">
      <c r="A1964" s="47" t="s">
        <v>52</v>
      </c>
      <c r="B1964" s="47" t="s">
        <v>8411</v>
      </c>
      <c r="C1964" s="47" t="s">
        <v>8412</v>
      </c>
      <c r="D1964" s="47" t="s">
        <v>8413</v>
      </c>
      <c r="E1964" s="47"/>
      <c r="F1964" s="47"/>
      <c r="G1964" s="47"/>
      <c r="H1964" s="47" t="s">
        <v>3605</v>
      </c>
      <c r="I1964" s="47" t="s">
        <v>52</v>
      </c>
    </row>
    <row r="1965" spans="1:9" ht="15">
      <c r="A1965" s="47">
        <v>8560960</v>
      </c>
      <c r="B1965" s="47" t="s">
        <v>2462</v>
      </c>
      <c r="C1965" s="47" t="s">
        <v>8414</v>
      </c>
      <c r="D1965" s="47" t="s">
        <v>8415</v>
      </c>
      <c r="E1965" s="47"/>
      <c r="F1965" s="47"/>
      <c r="G1965" s="47"/>
      <c r="H1965" s="47" t="s">
        <v>3605</v>
      </c>
      <c r="I1965" s="47" t="s">
        <v>19426</v>
      </c>
    </row>
    <row r="1966" spans="1:9" ht="15">
      <c r="A1966" s="47" t="s">
        <v>32</v>
      </c>
      <c r="B1966" s="47" t="s">
        <v>8416</v>
      </c>
      <c r="C1966" s="47" t="s">
        <v>8417</v>
      </c>
      <c r="D1966" s="47" t="s">
        <v>8418</v>
      </c>
      <c r="E1966" s="47"/>
      <c r="F1966" s="47"/>
      <c r="G1966" s="47"/>
      <c r="H1966" s="47" t="s">
        <v>3605</v>
      </c>
      <c r="I1966" s="47" t="s">
        <v>32</v>
      </c>
    </row>
    <row r="1967" spans="1:9" ht="15">
      <c r="A1967" s="47" t="s">
        <v>3590</v>
      </c>
      <c r="B1967" s="47" t="s">
        <v>8419</v>
      </c>
      <c r="C1967" s="47" t="s">
        <v>8420</v>
      </c>
      <c r="D1967" s="47" t="s">
        <v>8421</v>
      </c>
      <c r="E1967" s="47"/>
      <c r="F1967" s="47" t="s">
        <v>3932</v>
      </c>
      <c r="G1967" s="47" t="s">
        <v>3933</v>
      </c>
      <c r="H1967" s="47"/>
      <c r="I1967" s="47" t="s">
        <v>3590</v>
      </c>
    </row>
    <row r="1968" spans="1:9" ht="15">
      <c r="A1968" s="47" t="s">
        <v>8422</v>
      </c>
      <c r="B1968" s="47" t="s">
        <v>8423</v>
      </c>
      <c r="C1968" s="47" t="s">
        <v>8424</v>
      </c>
      <c r="D1968" s="47" t="s">
        <v>8425</v>
      </c>
      <c r="E1968" s="47"/>
      <c r="F1968" s="47" t="s">
        <v>3603</v>
      </c>
      <c r="G1968" s="47" t="s">
        <v>3604</v>
      </c>
      <c r="H1968" s="47" t="s">
        <v>3605</v>
      </c>
      <c r="I1968" s="47" t="s">
        <v>8422</v>
      </c>
    </row>
    <row r="1969" spans="1:9" ht="15">
      <c r="A1969" s="47" t="s">
        <v>8426</v>
      </c>
      <c r="B1969" s="47" t="s">
        <v>8427</v>
      </c>
      <c r="C1969" s="47" t="s">
        <v>8428</v>
      </c>
      <c r="D1969" s="47" t="s">
        <v>8429</v>
      </c>
      <c r="E1969" s="47"/>
      <c r="F1969" s="47" t="s">
        <v>3603</v>
      </c>
      <c r="G1969" s="47" t="s">
        <v>3604</v>
      </c>
      <c r="H1969" s="47" t="s">
        <v>3605</v>
      </c>
      <c r="I1969" s="47" t="s">
        <v>8426</v>
      </c>
    </row>
    <row r="1970" spans="1:9" ht="15">
      <c r="A1970" s="47" t="s">
        <v>3589</v>
      </c>
      <c r="B1970" s="47" t="s">
        <v>8430</v>
      </c>
      <c r="C1970" s="47" t="s">
        <v>8431</v>
      </c>
      <c r="D1970" s="47" t="s">
        <v>8432</v>
      </c>
      <c r="E1970" s="47"/>
      <c r="F1970" s="47" t="s">
        <v>3603</v>
      </c>
      <c r="G1970" s="47" t="s">
        <v>3604</v>
      </c>
      <c r="H1970" s="47" t="s">
        <v>3605</v>
      </c>
      <c r="I1970" s="47" t="s">
        <v>3589</v>
      </c>
    </row>
    <row r="1971" spans="1:9" ht="15">
      <c r="A1971" s="47">
        <v>8565020</v>
      </c>
      <c r="B1971" s="47" t="s">
        <v>2332</v>
      </c>
      <c r="C1971" s="47" t="s">
        <v>8433</v>
      </c>
      <c r="D1971" s="47" t="s">
        <v>8434</v>
      </c>
      <c r="E1971" s="47"/>
      <c r="F1971" s="47"/>
      <c r="G1971" s="47"/>
      <c r="H1971" s="47" t="s">
        <v>3605</v>
      </c>
      <c r="I1971" s="47" t="s">
        <v>19427</v>
      </c>
    </row>
    <row r="1972" spans="1:9" ht="15">
      <c r="A1972" s="47" t="s">
        <v>8435</v>
      </c>
      <c r="B1972" s="47" t="s">
        <v>8436</v>
      </c>
      <c r="C1972" s="47" t="s">
        <v>8437</v>
      </c>
      <c r="D1972" s="47" t="s">
        <v>8438</v>
      </c>
      <c r="E1972" s="47"/>
      <c r="F1972" s="47"/>
      <c r="G1972" s="47"/>
      <c r="H1972" s="47" t="s">
        <v>3605</v>
      </c>
      <c r="I1972" s="47" t="s">
        <v>8435</v>
      </c>
    </row>
    <row r="1973" spans="1:9" ht="15">
      <c r="A1973" s="47" t="s">
        <v>8439</v>
      </c>
      <c r="B1973" s="47" t="s">
        <v>8440</v>
      </c>
      <c r="C1973" s="47" t="s">
        <v>8441</v>
      </c>
      <c r="D1973" s="47" t="s">
        <v>8442</v>
      </c>
      <c r="E1973" s="47"/>
      <c r="F1973" s="47"/>
      <c r="G1973" s="47"/>
      <c r="H1973" s="47" t="s">
        <v>3605</v>
      </c>
      <c r="I1973" s="47" t="s">
        <v>8439</v>
      </c>
    </row>
    <row r="1974" spans="1:9" ht="15">
      <c r="A1974" s="47" t="s">
        <v>8443</v>
      </c>
      <c r="B1974" s="47" t="s">
        <v>8444</v>
      </c>
      <c r="C1974" s="47" t="s">
        <v>8445</v>
      </c>
      <c r="D1974" s="47" t="s">
        <v>8446</v>
      </c>
      <c r="E1974" s="47"/>
      <c r="F1974" s="47"/>
      <c r="G1974" s="47"/>
      <c r="H1974" s="47" t="s">
        <v>3605</v>
      </c>
      <c r="I1974" s="47" t="s">
        <v>8443</v>
      </c>
    </row>
    <row r="1975" spans="1:9" ht="15">
      <c r="A1975" s="47" t="s">
        <v>607</v>
      </c>
      <c r="B1975" s="47" t="s">
        <v>8447</v>
      </c>
      <c r="C1975" s="47" t="s">
        <v>8448</v>
      </c>
      <c r="D1975" s="47" t="s">
        <v>8449</v>
      </c>
      <c r="E1975" s="47"/>
      <c r="F1975" s="47" t="s">
        <v>5905</v>
      </c>
      <c r="G1975" s="47" t="s">
        <v>5906</v>
      </c>
      <c r="H1975" s="47" t="s">
        <v>3605</v>
      </c>
      <c r="I1975" s="47" t="s">
        <v>607</v>
      </c>
    </row>
    <row r="1976" spans="1:9" ht="15">
      <c r="A1976" s="47">
        <v>8565060</v>
      </c>
      <c r="B1976" s="47" t="s">
        <v>2287</v>
      </c>
      <c r="C1976" s="47" t="s">
        <v>8450</v>
      </c>
      <c r="D1976" s="47" t="s">
        <v>8451</v>
      </c>
      <c r="E1976" s="47"/>
      <c r="F1976" s="47"/>
      <c r="G1976" s="47"/>
      <c r="H1976" s="47" t="s">
        <v>3605</v>
      </c>
      <c r="I1976" s="47" t="s">
        <v>19428</v>
      </c>
    </row>
    <row r="1977" spans="1:9" ht="15">
      <c r="A1977" s="47">
        <v>8565061</v>
      </c>
      <c r="B1977" s="47" t="s">
        <v>2288</v>
      </c>
      <c r="C1977" s="47" t="s">
        <v>8452</v>
      </c>
      <c r="D1977" s="47" t="s">
        <v>8453</v>
      </c>
      <c r="E1977" s="47"/>
      <c r="F1977" s="47"/>
      <c r="G1977" s="47"/>
      <c r="H1977" s="47" t="s">
        <v>3605</v>
      </c>
      <c r="I1977" s="47" t="s">
        <v>19429</v>
      </c>
    </row>
    <row r="1978" spans="1:9" ht="15">
      <c r="A1978" s="47" t="s">
        <v>644</v>
      </c>
      <c r="B1978" s="47" t="s">
        <v>8454</v>
      </c>
      <c r="C1978" s="47" t="s">
        <v>8455</v>
      </c>
      <c r="D1978" s="47" t="s">
        <v>8456</v>
      </c>
      <c r="E1978" s="47"/>
      <c r="F1978" s="47" t="s">
        <v>3603</v>
      </c>
      <c r="G1978" s="47" t="s">
        <v>3604</v>
      </c>
      <c r="H1978" s="47" t="s">
        <v>3605</v>
      </c>
      <c r="I1978" s="47" t="s">
        <v>644</v>
      </c>
    </row>
    <row r="1979" spans="1:9" ht="15">
      <c r="A1979" s="47" t="s">
        <v>610</v>
      </c>
      <c r="B1979" s="47" t="s">
        <v>8457</v>
      </c>
      <c r="C1979" s="47" t="s">
        <v>8458</v>
      </c>
      <c r="D1979" s="47" t="s">
        <v>8459</v>
      </c>
      <c r="E1979" s="47"/>
      <c r="F1979" s="47" t="s">
        <v>5905</v>
      </c>
      <c r="G1979" s="47" t="s">
        <v>5906</v>
      </c>
      <c r="H1979" s="47" t="s">
        <v>3605</v>
      </c>
      <c r="I1979" s="47" t="s">
        <v>610</v>
      </c>
    </row>
    <row r="1980" spans="1:9" ht="15">
      <c r="A1980" s="47" t="s">
        <v>645</v>
      </c>
      <c r="B1980" s="47" t="s">
        <v>8460</v>
      </c>
      <c r="C1980" s="47" t="s">
        <v>8461</v>
      </c>
      <c r="D1980" s="47" t="s">
        <v>8462</v>
      </c>
      <c r="E1980" s="47"/>
      <c r="F1980" s="47" t="s">
        <v>3603</v>
      </c>
      <c r="G1980" s="47" t="s">
        <v>3604</v>
      </c>
      <c r="H1980" s="47" t="s">
        <v>3605</v>
      </c>
      <c r="I1980" s="47" t="s">
        <v>645</v>
      </c>
    </row>
    <row r="1981" spans="1:9" ht="15">
      <c r="A1981" s="47" t="s">
        <v>646</v>
      </c>
      <c r="B1981" s="47" t="s">
        <v>8463</v>
      </c>
      <c r="C1981" s="47" t="s">
        <v>8464</v>
      </c>
      <c r="D1981" s="47" t="s">
        <v>8465</v>
      </c>
      <c r="E1981" s="47"/>
      <c r="F1981" s="47" t="s">
        <v>3603</v>
      </c>
      <c r="G1981" s="47" t="s">
        <v>3604</v>
      </c>
      <c r="H1981" s="47" t="s">
        <v>3605</v>
      </c>
      <c r="I1981" s="47" t="s">
        <v>646</v>
      </c>
    </row>
    <row r="1982" spans="1:9" ht="15">
      <c r="A1982" s="47" t="s">
        <v>611</v>
      </c>
      <c r="B1982" s="47" t="s">
        <v>8466</v>
      </c>
      <c r="C1982" s="47" t="s">
        <v>8467</v>
      </c>
      <c r="D1982" s="47" t="s">
        <v>8468</v>
      </c>
      <c r="E1982" s="47"/>
      <c r="F1982" s="47" t="s">
        <v>3759</v>
      </c>
      <c r="G1982" s="47" t="s">
        <v>3760</v>
      </c>
      <c r="H1982" s="47" t="s">
        <v>3605</v>
      </c>
      <c r="I1982" s="47" t="s">
        <v>611</v>
      </c>
    </row>
    <row r="1983" spans="1:9" ht="15">
      <c r="A1983" s="47" t="s">
        <v>647</v>
      </c>
      <c r="B1983" s="47" t="s">
        <v>8469</v>
      </c>
      <c r="C1983" s="47" t="s">
        <v>8470</v>
      </c>
      <c r="D1983" s="47" t="s">
        <v>8471</v>
      </c>
      <c r="E1983" s="47"/>
      <c r="F1983" s="47" t="s">
        <v>3603</v>
      </c>
      <c r="G1983" s="47" t="s">
        <v>3604</v>
      </c>
      <c r="H1983" s="47" t="s">
        <v>3605</v>
      </c>
      <c r="I1983" s="47" t="s">
        <v>647</v>
      </c>
    </row>
    <row r="1984" spans="1:9" ht="15">
      <c r="A1984" s="47">
        <v>8565130</v>
      </c>
      <c r="B1984" s="47" t="s">
        <v>2355</v>
      </c>
      <c r="C1984" s="47" t="s">
        <v>8472</v>
      </c>
      <c r="D1984" s="47" t="s">
        <v>8473</v>
      </c>
      <c r="E1984" s="47"/>
      <c r="F1984" s="47"/>
      <c r="G1984" s="47"/>
      <c r="H1984" s="47" t="s">
        <v>3605</v>
      </c>
      <c r="I1984" s="47" t="s">
        <v>19430</v>
      </c>
    </row>
    <row r="1985" spans="1:9" ht="15">
      <c r="A1985" s="47" t="s">
        <v>1916</v>
      </c>
      <c r="B1985" s="47" t="s">
        <v>8474</v>
      </c>
      <c r="C1985" s="47" t="s">
        <v>8475</v>
      </c>
      <c r="D1985" s="47" t="s">
        <v>8476</v>
      </c>
      <c r="E1985" s="47"/>
      <c r="F1985" s="47" t="s">
        <v>3603</v>
      </c>
      <c r="G1985" s="47" t="s">
        <v>3604</v>
      </c>
      <c r="H1985" s="47" t="s">
        <v>3605</v>
      </c>
      <c r="I1985" s="47" t="s">
        <v>1916</v>
      </c>
    </row>
    <row r="1986" spans="1:9" ht="15">
      <c r="A1986" s="47" t="s">
        <v>648</v>
      </c>
      <c r="B1986" s="47" t="s">
        <v>8477</v>
      </c>
      <c r="C1986" s="47" t="s">
        <v>8478</v>
      </c>
      <c r="D1986" s="47" t="s">
        <v>8479</v>
      </c>
      <c r="E1986" s="47"/>
      <c r="F1986" s="47" t="s">
        <v>3603</v>
      </c>
      <c r="G1986" s="47" t="s">
        <v>3604</v>
      </c>
      <c r="H1986" s="47" t="s">
        <v>3605</v>
      </c>
      <c r="I1986" s="47" t="s">
        <v>648</v>
      </c>
    </row>
    <row r="1987" spans="1:9" ht="15">
      <c r="A1987" s="47" t="s">
        <v>649</v>
      </c>
      <c r="B1987" s="47" t="s">
        <v>8480</v>
      </c>
      <c r="C1987" s="47" t="s">
        <v>8481</v>
      </c>
      <c r="D1987" s="47" t="s">
        <v>8482</v>
      </c>
      <c r="E1987" s="47"/>
      <c r="F1987" s="47" t="s">
        <v>3603</v>
      </c>
      <c r="G1987" s="47" t="s">
        <v>3604</v>
      </c>
      <c r="H1987" s="47" t="s">
        <v>3605</v>
      </c>
      <c r="I1987" s="47" t="s">
        <v>649</v>
      </c>
    </row>
    <row r="1988" spans="1:9" ht="15">
      <c r="A1988" s="47" t="s">
        <v>1917</v>
      </c>
      <c r="B1988" s="47" t="s">
        <v>8483</v>
      </c>
      <c r="C1988" s="47" t="s">
        <v>8484</v>
      </c>
      <c r="D1988" s="47" t="s">
        <v>8485</v>
      </c>
      <c r="E1988" s="47"/>
      <c r="F1988" s="47" t="s">
        <v>3603</v>
      </c>
      <c r="G1988" s="47" t="s">
        <v>3604</v>
      </c>
      <c r="H1988" s="47" t="s">
        <v>3605</v>
      </c>
      <c r="I1988" s="47" t="s">
        <v>1917</v>
      </c>
    </row>
    <row r="1989" spans="1:9" ht="15">
      <c r="A1989" s="47" t="s">
        <v>1918</v>
      </c>
      <c r="B1989" s="47" t="s">
        <v>8486</v>
      </c>
      <c r="C1989" s="47" t="s">
        <v>8487</v>
      </c>
      <c r="D1989" s="47" t="s">
        <v>8488</v>
      </c>
      <c r="E1989" s="47"/>
      <c r="F1989" s="47" t="s">
        <v>3603</v>
      </c>
      <c r="G1989" s="47" t="s">
        <v>3604</v>
      </c>
      <c r="H1989" s="47" t="s">
        <v>3605</v>
      </c>
      <c r="I1989" s="47" t="s">
        <v>1918</v>
      </c>
    </row>
    <row r="1990" spans="1:9" ht="15">
      <c r="A1990" s="47">
        <v>8565131</v>
      </c>
      <c r="B1990" s="47" t="s">
        <v>2337</v>
      </c>
      <c r="C1990" s="47" t="s">
        <v>8489</v>
      </c>
      <c r="D1990" s="47" t="s">
        <v>8490</v>
      </c>
      <c r="E1990" s="47"/>
      <c r="F1990" s="47"/>
      <c r="G1990" s="47"/>
      <c r="H1990" s="47" t="s">
        <v>3605</v>
      </c>
      <c r="I1990" s="47" t="s">
        <v>19431</v>
      </c>
    </row>
    <row r="1991" spans="1:9" ht="15">
      <c r="A1991" s="47" t="s">
        <v>1919</v>
      </c>
      <c r="B1991" s="47" t="s">
        <v>8491</v>
      </c>
      <c r="C1991" s="47" t="s">
        <v>8492</v>
      </c>
      <c r="D1991" s="47" t="s">
        <v>8493</v>
      </c>
      <c r="E1991" s="47"/>
      <c r="F1991" s="47" t="s">
        <v>3603</v>
      </c>
      <c r="G1991" s="47" t="s">
        <v>3604</v>
      </c>
      <c r="H1991" s="47" t="s">
        <v>3605</v>
      </c>
      <c r="I1991" s="47" t="s">
        <v>1919</v>
      </c>
    </row>
    <row r="1992" spans="1:9" ht="15">
      <c r="A1992" s="47" t="s">
        <v>1929</v>
      </c>
      <c r="B1992" s="47" t="s">
        <v>8494</v>
      </c>
      <c r="C1992" s="47" t="s">
        <v>8495</v>
      </c>
      <c r="D1992" s="47" t="s">
        <v>8496</v>
      </c>
      <c r="E1992" s="47"/>
      <c r="F1992" s="47" t="s">
        <v>3603</v>
      </c>
      <c r="G1992" s="47" t="s">
        <v>3604</v>
      </c>
      <c r="H1992" s="47" t="s">
        <v>3605</v>
      </c>
      <c r="I1992" s="47" t="s">
        <v>1929</v>
      </c>
    </row>
    <row r="1993" spans="1:9" ht="15">
      <c r="A1993" s="47">
        <v>504000</v>
      </c>
      <c r="B1993" s="47" t="s">
        <v>1128</v>
      </c>
      <c r="C1993" s="47" t="s">
        <v>8497</v>
      </c>
      <c r="D1993" s="47" t="s">
        <v>8498</v>
      </c>
      <c r="E1993" s="47"/>
      <c r="F1993" s="47"/>
      <c r="G1993" s="47"/>
      <c r="H1993" s="47" t="s">
        <v>3605</v>
      </c>
      <c r="I1993" s="47" t="s">
        <v>19432</v>
      </c>
    </row>
    <row r="1994" spans="1:9" ht="15">
      <c r="A1994" s="47" t="s">
        <v>8499</v>
      </c>
      <c r="B1994" s="47" t="s">
        <v>8500</v>
      </c>
      <c r="C1994" s="47" t="s">
        <v>8501</v>
      </c>
      <c r="D1994" s="47" t="s">
        <v>8502</v>
      </c>
      <c r="E1994" s="47"/>
      <c r="F1994" s="47"/>
      <c r="G1994" s="47"/>
      <c r="H1994" s="47" t="s">
        <v>3605</v>
      </c>
      <c r="I1994" s="47" t="s">
        <v>8499</v>
      </c>
    </row>
    <row r="1995" spans="1:9" ht="15">
      <c r="A1995" s="47" t="s">
        <v>8503</v>
      </c>
      <c r="B1995" s="47" t="s">
        <v>8504</v>
      </c>
      <c r="C1995" s="47" t="s">
        <v>8505</v>
      </c>
      <c r="D1995" s="47" t="s">
        <v>8506</v>
      </c>
      <c r="E1995" s="47"/>
      <c r="F1995" s="47"/>
      <c r="G1995" s="47"/>
      <c r="H1995" s="47" t="s">
        <v>3605</v>
      </c>
      <c r="I1995" s="47" t="s">
        <v>8503</v>
      </c>
    </row>
    <row r="1996" spans="1:9" ht="15">
      <c r="A1996" s="47" t="s">
        <v>8507</v>
      </c>
      <c r="B1996" s="47" t="s">
        <v>8508</v>
      </c>
      <c r="C1996" s="47" t="s">
        <v>8509</v>
      </c>
      <c r="D1996" s="47" t="s">
        <v>8510</v>
      </c>
      <c r="E1996" s="47"/>
      <c r="F1996" s="47"/>
      <c r="G1996" s="47"/>
      <c r="H1996" s="47" t="s">
        <v>3605</v>
      </c>
      <c r="I1996" s="47" t="s">
        <v>8507</v>
      </c>
    </row>
    <row r="1997" spans="1:9" ht="15">
      <c r="A1997" s="47" t="s">
        <v>2977</v>
      </c>
      <c r="B1997" s="47" t="s">
        <v>8511</v>
      </c>
      <c r="C1997" s="47" t="s">
        <v>8512</v>
      </c>
      <c r="D1997" s="47" t="s">
        <v>8513</v>
      </c>
      <c r="E1997" s="47"/>
      <c r="F1997" s="47"/>
      <c r="G1997" s="47"/>
      <c r="H1997" s="47" t="s">
        <v>3605</v>
      </c>
      <c r="I1997" s="47" t="s">
        <v>2977</v>
      </c>
    </row>
    <row r="1998" spans="1:9" ht="15">
      <c r="A1998" s="47" t="s">
        <v>2979</v>
      </c>
      <c r="B1998" s="47" t="s">
        <v>8514</v>
      </c>
      <c r="C1998" s="47" t="s">
        <v>8515</v>
      </c>
      <c r="D1998" s="47" t="s">
        <v>8516</v>
      </c>
      <c r="E1998" s="47"/>
      <c r="F1998" s="47" t="s">
        <v>3603</v>
      </c>
      <c r="G1998" s="47" t="s">
        <v>3604</v>
      </c>
      <c r="H1998" s="47" t="s">
        <v>3605</v>
      </c>
      <c r="I1998" s="47" t="s">
        <v>2979</v>
      </c>
    </row>
    <row r="1999" spans="1:9" ht="15">
      <c r="A1999" s="47" t="s">
        <v>1932</v>
      </c>
      <c r="B1999" s="47" t="s">
        <v>8517</v>
      </c>
      <c r="C1999" s="47" t="s">
        <v>8518</v>
      </c>
      <c r="D1999" s="47" t="s">
        <v>8519</v>
      </c>
      <c r="E1999" s="47"/>
      <c r="F1999" s="47" t="s">
        <v>3603</v>
      </c>
      <c r="G1999" s="47" t="s">
        <v>3604</v>
      </c>
      <c r="H1999" s="47" t="s">
        <v>3605</v>
      </c>
      <c r="I1999" s="47" t="s">
        <v>1932</v>
      </c>
    </row>
    <row r="2000" spans="1:9" ht="15">
      <c r="A2000" s="47" t="s">
        <v>2984</v>
      </c>
      <c r="B2000" s="47" t="s">
        <v>8520</v>
      </c>
      <c r="C2000" s="47" t="s">
        <v>8521</v>
      </c>
      <c r="D2000" s="47" t="s">
        <v>8522</v>
      </c>
      <c r="E2000" s="47"/>
      <c r="F2000" s="47"/>
      <c r="G2000" s="47"/>
      <c r="H2000" s="47" t="s">
        <v>3605</v>
      </c>
      <c r="I2000" s="47" t="s">
        <v>2984</v>
      </c>
    </row>
    <row r="2001" spans="1:9" ht="15">
      <c r="A2001" s="47" t="s">
        <v>2971</v>
      </c>
      <c r="B2001" s="47" t="s">
        <v>8523</v>
      </c>
      <c r="C2001" s="47" t="s">
        <v>8524</v>
      </c>
      <c r="D2001" s="47" t="s">
        <v>8525</v>
      </c>
      <c r="E2001" s="47"/>
      <c r="F2001" s="47"/>
      <c r="G2001" s="47"/>
      <c r="H2001" s="47" t="s">
        <v>3605</v>
      </c>
      <c r="I2001" s="47" t="s">
        <v>2971</v>
      </c>
    </row>
    <row r="2002" spans="1:9" ht="15">
      <c r="A2002" s="47" t="s">
        <v>8526</v>
      </c>
      <c r="B2002" s="47" t="s">
        <v>8527</v>
      </c>
      <c r="C2002" s="47" t="s">
        <v>8528</v>
      </c>
      <c r="D2002" s="47" t="s">
        <v>8529</v>
      </c>
      <c r="E2002" s="47"/>
      <c r="F2002" s="47"/>
      <c r="G2002" s="47"/>
      <c r="H2002" s="47" t="s">
        <v>3605</v>
      </c>
      <c r="I2002" s="47" t="s">
        <v>8526</v>
      </c>
    </row>
    <row r="2003" spans="1:9" ht="15">
      <c r="A2003" s="47" t="s">
        <v>2879</v>
      </c>
      <c r="B2003" s="47" t="s">
        <v>8530</v>
      </c>
      <c r="C2003" s="47" t="s">
        <v>8531</v>
      </c>
      <c r="D2003" s="47" t="s">
        <v>8532</v>
      </c>
      <c r="E2003" s="47"/>
      <c r="F2003" s="47"/>
      <c r="G2003" s="47"/>
      <c r="H2003" s="47" t="s">
        <v>3605</v>
      </c>
      <c r="I2003" s="47" t="s">
        <v>2879</v>
      </c>
    </row>
    <row r="2004" spans="1:9" ht="15">
      <c r="A2004" s="47" t="s">
        <v>2881</v>
      </c>
      <c r="B2004" s="47" t="s">
        <v>8533</v>
      </c>
      <c r="C2004" s="47" t="s">
        <v>8534</v>
      </c>
      <c r="D2004" s="47" t="s">
        <v>8535</v>
      </c>
      <c r="E2004" s="47"/>
      <c r="F2004" s="47"/>
      <c r="G2004" s="47"/>
      <c r="H2004" s="47" t="s">
        <v>3605</v>
      </c>
      <c r="I2004" s="47" t="s">
        <v>2881</v>
      </c>
    </row>
    <row r="2005" spans="1:9" ht="15">
      <c r="A2005" s="47" t="s">
        <v>2981</v>
      </c>
      <c r="B2005" s="47" t="s">
        <v>8536</v>
      </c>
      <c r="C2005" s="47" t="s">
        <v>8537</v>
      </c>
      <c r="D2005" s="47" t="s">
        <v>8538</v>
      </c>
      <c r="E2005" s="47"/>
      <c r="F2005" s="47" t="s">
        <v>3603</v>
      </c>
      <c r="G2005" s="47" t="s">
        <v>3604</v>
      </c>
      <c r="H2005" s="47" t="s">
        <v>3605</v>
      </c>
      <c r="I2005" s="47" t="s">
        <v>2981</v>
      </c>
    </row>
    <row r="2006" spans="1:9" ht="15">
      <c r="A2006" s="47" t="s">
        <v>8539</v>
      </c>
      <c r="B2006" s="47" t="s">
        <v>8540</v>
      </c>
      <c r="C2006" s="47" t="s">
        <v>8541</v>
      </c>
      <c r="D2006" s="47" t="s">
        <v>8542</v>
      </c>
      <c r="E2006" s="47"/>
      <c r="F2006" s="47"/>
      <c r="G2006" s="47"/>
      <c r="H2006" s="47" t="s">
        <v>3605</v>
      </c>
      <c r="I2006" s="47" t="s">
        <v>8539</v>
      </c>
    </row>
    <row r="2007" spans="1:9" ht="15">
      <c r="A2007" s="47" t="s">
        <v>8543</v>
      </c>
      <c r="B2007" s="47" t="s">
        <v>8544</v>
      </c>
      <c r="C2007" s="47" t="s">
        <v>8545</v>
      </c>
      <c r="D2007" s="47" t="s">
        <v>8546</v>
      </c>
      <c r="E2007" s="47"/>
      <c r="F2007" s="47"/>
      <c r="G2007" s="47"/>
      <c r="H2007" s="47" t="s">
        <v>3605</v>
      </c>
      <c r="I2007" s="47" t="s">
        <v>8543</v>
      </c>
    </row>
    <row r="2008" spans="1:9" ht="15">
      <c r="A2008" s="47" t="s">
        <v>8547</v>
      </c>
      <c r="B2008" s="47" t="s">
        <v>8548</v>
      </c>
      <c r="C2008" s="47" t="s">
        <v>8549</v>
      </c>
      <c r="D2008" s="47" t="s">
        <v>8550</v>
      </c>
      <c r="E2008" s="47"/>
      <c r="F2008" s="47"/>
      <c r="G2008" s="47"/>
      <c r="H2008" s="47" t="s">
        <v>3605</v>
      </c>
      <c r="I2008" s="47" t="s">
        <v>8547</v>
      </c>
    </row>
    <row r="2009" spans="1:9" ht="15">
      <c r="A2009" s="47" t="s">
        <v>8551</v>
      </c>
      <c r="B2009" s="47" t="s">
        <v>8552</v>
      </c>
      <c r="C2009" s="47" t="s">
        <v>8553</v>
      </c>
      <c r="D2009" s="47" t="s">
        <v>8554</v>
      </c>
      <c r="E2009" s="47"/>
      <c r="F2009" s="47"/>
      <c r="G2009" s="47"/>
      <c r="H2009" s="47" t="s">
        <v>3605</v>
      </c>
      <c r="I2009" s="47" t="s">
        <v>8551</v>
      </c>
    </row>
    <row r="2010" spans="1:9" ht="15">
      <c r="A2010" s="47" t="s">
        <v>8555</v>
      </c>
      <c r="B2010" s="47" t="s">
        <v>8556</v>
      </c>
      <c r="C2010" s="47" t="s">
        <v>8557</v>
      </c>
      <c r="D2010" s="47" t="s">
        <v>8558</v>
      </c>
      <c r="E2010" s="47"/>
      <c r="F2010" s="47"/>
      <c r="G2010" s="47"/>
      <c r="H2010" s="47" t="s">
        <v>3605</v>
      </c>
      <c r="I2010" s="47" t="s">
        <v>8555</v>
      </c>
    </row>
    <row r="2011" spans="1:9" ht="15">
      <c r="A2011" s="47">
        <v>7481</v>
      </c>
      <c r="B2011" s="47" t="s">
        <v>8559</v>
      </c>
      <c r="C2011" s="47" t="s">
        <v>8560</v>
      </c>
      <c r="D2011" s="47" t="s">
        <v>8561</v>
      </c>
      <c r="E2011" s="47"/>
      <c r="F2011" s="47"/>
      <c r="G2011" s="47"/>
      <c r="H2011" s="47" t="s">
        <v>3605</v>
      </c>
      <c r="I2011" s="47" t="s">
        <v>19433</v>
      </c>
    </row>
    <row r="2012" spans="1:9" ht="15">
      <c r="A2012" s="47">
        <v>7479</v>
      </c>
      <c r="B2012" s="47" t="s">
        <v>8562</v>
      </c>
      <c r="C2012" s="47" t="s">
        <v>8563</v>
      </c>
      <c r="D2012" s="47" t="s">
        <v>8564</v>
      </c>
      <c r="E2012" s="47"/>
      <c r="F2012" s="47"/>
      <c r="G2012" s="47"/>
      <c r="H2012" s="47" t="s">
        <v>3605</v>
      </c>
      <c r="I2012" s="47" t="s">
        <v>19434</v>
      </c>
    </row>
    <row r="2013" spans="1:9" ht="15">
      <c r="A2013" s="47">
        <v>7491</v>
      </c>
      <c r="B2013" s="47" t="s">
        <v>8565</v>
      </c>
      <c r="C2013" s="47" t="s">
        <v>8566</v>
      </c>
      <c r="D2013" s="47" t="s">
        <v>8567</v>
      </c>
      <c r="E2013" s="47"/>
      <c r="F2013" s="47"/>
      <c r="G2013" s="47"/>
      <c r="H2013" s="47" t="s">
        <v>3605</v>
      </c>
      <c r="I2013" s="47" t="s">
        <v>19435</v>
      </c>
    </row>
    <row r="2014" spans="1:9" ht="15">
      <c r="A2014" s="47">
        <v>7493</v>
      </c>
      <c r="B2014" s="47" t="s">
        <v>8568</v>
      </c>
      <c r="C2014" s="47" t="s">
        <v>8569</v>
      </c>
      <c r="D2014" s="47" t="s">
        <v>8570</v>
      </c>
      <c r="E2014" s="47"/>
      <c r="F2014" s="47"/>
      <c r="G2014" s="47"/>
      <c r="H2014" s="47" t="s">
        <v>3605</v>
      </c>
      <c r="I2014" s="47" t="s">
        <v>19436</v>
      </c>
    </row>
    <row r="2015" spans="1:9" ht="15">
      <c r="A2015" s="47" t="s">
        <v>8571</v>
      </c>
      <c r="B2015" s="47" t="s">
        <v>8572</v>
      </c>
      <c r="C2015" s="47" t="s">
        <v>8573</v>
      </c>
      <c r="D2015" s="47" t="s">
        <v>8574</v>
      </c>
      <c r="E2015" s="47"/>
      <c r="F2015" s="47"/>
      <c r="G2015" s="47"/>
      <c r="H2015" s="47" t="s">
        <v>3605</v>
      </c>
      <c r="I2015" s="47" t="s">
        <v>8571</v>
      </c>
    </row>
    <row r="2016" spans="1:9" ht="15">
      <c r="A2016" s="47">
        <v>7800</v>
      </c>
      <c r="B2016" s="47" t="s">
        <v>8575</v>
      </c>
      <c r="C2016" s="47" t="s">
        <v>8576</v>
      </c>
      <c r="D2016" s="47" t="s">
        <v>8577</v>
      </c>
      <c r="E2016" s="47"/>
      <c r="F2016" s="47"/>
      <c r="G2016" s="47"/>
      <c r="H2016" s="47" t="s">
        <v>3605</v>
      </c>
      <c r="I2016" s="47" t="s">
        <v>19437</v>
      </c>
    </row>
    <row r="2017" spans="1:9" ht="15">
      <c r="A2017" s="47">
        <v>7801</v>
      </c>
      <c r="B2017" s="47" t="s">
        <v>8578</v>
      </c>
      <c r="C2017" s="47" t="s">
        <v>8579</v>
      </c>
      <c r="D2017" s="47" t="s">
        <v>8580</v>
      </c>
      <c r="E2017" s="47"/>
      <c r="F2017" s="47"/>
      <c r="G2017" s="47"/>
      <c r="H2017" s="47" t="s">
        <v>3605</v>
      </c>
      <c r="I2017" s="47" t="s">
        <v>19438</v>
      </c>
    </row>
    <row r="2018" spans="1:9" ht="15">
      <c r="A2018" s="47">
        <v>7802</v>
      </c>
      <c r="B2018" s="47" t="s">
        <v>8581</v>
      </c>
      <c r="C2018" s="47" t="s">
        <v>8582</v>
      </c>
      <c r="D2018" s="47" t="s">
        <v>8583</v>
      </c>
      <c r="E2018" s="47"/>
      <c r="F2018" s="47"/>
      <c r="G2018" s="47"/>
      <c r="H2018" s="47" t="s">
        <v>3605</v>
      </c>
      <c r="I2018" s="47" t="s">
        <v>19439</v>
      </c>
    </row>
    <row r="2019" spans="1:9" ht="15">
      <c r="A2019" s="47">
        <v>7803</v>
      </c>
      <c r="B2019" s="47" t="s">
        <v>8584</v>
      </c>
      <c r="C2019" s="47" t="s">
        <v>8585</v>
      </c>
      <c r="D2019" s="47" t="s">
        <v>8586</v>
      </c>
      <c r="E2019" s="47"/>
      <c r="F2019" s="47"/>
      <c r="G2019" s="47"/>
      <c r="H2019" s="47" t="s">
        <v>3605</v>
      </c>
      <c r="I2019" s="47" t="s">
        <v>19440</v>
      </c>
    </row>
    <row r="2020" spans="1:9" ht="15">
      <c r="A2020" s="47">
        <v>7804</v>
      </c>
      <c r="B2020" s="47" t="s">
        <v>8587</v>
      </c>
      <c r="C2020" s="47" t="s">
        <v>8588</v>
      </c>
      <c r="D2020" s="47" t="s">
        <v>8589</v>
      </c>
      <c r="E2020" s="47"/>
      <c r="F2020" s="47"/>
      <c r="G2020" s="47"/>
      <c r="H2020" s="47" t="s">
        <v>3605</v>
      </c>
      <c r="I2020" s="47" t="s">
        <v>19441</v>
      </c>
    </row>
    <row r="2021" spans="1:9" ht="15">
      <c r="A2021" s="47" t="s">
        <v>8590</v>
      </c>
      <c r="B2021" s="47" t="s">
        <v>8591</v>
      </c>
      <c r="C2021" s="47" t="s">
        <v>8592</v>
      </c>
      <c r="D2021" s="47" t="s">
        <v>8593</v>
      </c>
      <c r="E2021" s="47"/>
      <c r="F2021" s="47"/>
      <c r="G2021" s="47"/>
      <c r="H2021" s="47" t="s">
        <v>3605</v>
      </c>
      <c r="I2021" s="47" t="s">
        <v>8590</v>
      </c>
    </row>
    <row r="2022" spans="1:9" ht="15">
      <c r="A2022" s="47" t="s">
        <v>8594</v>
      </c>
      <c r="B2022" s="47" t="s">
        <v>8595</v>
      </c>
      <c r="C2022" s="47" t="s">
        <v>8596</v>
      </c>
      <c r="D2022" s="47" t="s">
        <v>8597</v>
      </c>
      <c r="E2022" s="47"/>
      <c r="F2022" s="47"/>
      <c r="G2022" s="47"/>
      <c r="H2022" s="47" t="s">
        <v>3605</v>
      </c>
      <c r="I2022" s="47" t="s">
        <v>8594</v>
      </c>
    </row>
    <row r="2023" spans="1:9" ht="15">
      <c r="A2023" s="47" t="s">
        <v>8598</v>
      </c>
      <c r="B2023" s="47" t="s">
        <v>8599</v>
      </c>
      <c r="C2023" s="47" t="s">
        <v>8600</v>
      </c>
      <c r="D2023" s="47" t="s">
        <v>8601</v>
      </c>
      <c r="E2023" s="47"/>
      <c r="F2023" s="47"/>
      <c r="G2023" s="47"/>
      <c r="H2023" s="47" t="s">
        <v>3605</v>
      </c>
      <c r="I2023" s="47" t="s">
        <v>8598</v>
      </c>
    </row>
    <row r="2024" spans="1:9" ht="15">
      <c r="A2024" s="47">
        <v>20100</v>
      </c>
      <c r="B2024" s="47" t="s">
        <v>8602</v>
      </c>
      <c r="C2024" s="47" t="s">
        <v>8603</v>
      </c>
      <c r="D2024" s="47" t="s">
        <v>8604</v>
      </c>
      <c r="E2024" s="47"/>
      <c r="F2024" s="47"/>
      <c r="G2024" s="47"/>
      <c r="H2024" s="47" t="s">
        <v>3605</v>
      </c>
      <c r="I2024" s="47" t="s">
        <v>19442</v>
      </c>
    </row>
    <row r="2025" spans="1:9" ht="15">
      <c r="A2025" s="47">
        <v>20101</v>
      </c>
      <c r="B2025" s="47" t="s">
        <v>8605</v>
      </c>
      <c r="C2025" s="47" t="s">
        <v>8606</v>
      </c>
      <c r="D2025" s="47" t="s">
        <v>8607</v>
      </c>
      <c r="E2025" s="47"/>
      <c r="F2025" s="47"/>
      <c r="G2025" s="47"/>
      <c r="H2025" s="47" t="s">
        <v>3605</v>
      </c>
      <c r="I2025" s="47" t="s">
        <v>19443</v>
      </c>
    </row>
    <row r="2026" spans="1:9" ht="15">
      <c r="A2026" s="47" t="s">
        <v>1</v>
      </c>
      <c r="B2026" s="47" t="s">
        <v>8608</v>
      </c>
      <c r="C2026" s="47" t="s">
        <v>8609</v>
      </c>
      <c r="D2026" s="47" t="s">
        <v>8610</v>
      </c>
      <c r="E2026" s="47"/>
      <c r="F2026" s="47" t="s">
        <v>3603</v>
      </c>
      <c r="G2026" s="47" t="s">
        <v>3604</v>
      </c>
      <c r="H2026" s="47" t="s">
        <v>3605</v>
      </c>
      <c r="I2026" s="47" t="s">
        <v>1</v>
      </c>
    </row>
    <row r="2027" spans="1:9" ht="15">
      <c r="A2027" s="47" t="s">
        <v>8611</v>
      </c>
      <c r="B2027" s="47" t="s">
        <v>8612</v>
      </c>
      <c r="C2027" s="47" t="s">
        <v>8613</v>
      </c>
      <c r="D2027" s="47" t="s">
        <v>8614</v>
      </c>
      <c r="E2027" s="47"/>
      <c r="F2027" s="47"/>
      <c r="G2027" s="47"/>
      <c r="H2027" s="47" t="s">
        <v>3605</v>
      </c>
      <c r="I2027" s="47" t="s">
        <v>8611</v>
      </c>
    </row>
    <row r="2028" spans="1:9" ht="15">
      <c r="A2028" s="47">
        <v>20642</v>
      </c>
      <c r="B2028" s="47" t="s">
        <v>8615</v>
      </c>
      <c r="C2028" s="47" t="s">
        <v>8616</v>
      </c>
      <c r="D2028" s="47" t="s">
        <v>8617</v>
      </c>
      <c r="E2028" s="47"/>
      <c r="F2028" s="47" t="s">
        <v>3603</v>
      </c>
      <c r="G2028" s="47" t="s">
        <v>3604</v>
      </c>
      <c r="H2028" s="47" t="s">
        <v>3605</v>
      </c>
      <c r="I2028" s="47" t="s">
        <v>19444</v>
      </c>
    </row>
    <row r="2029" spans="1:9" ht="15">
      <c r="A2029" s="47" t="s">
        <v>8618</v>
      </c>
      <c r="B2029" s="47" t="s">
        <v>8619</v>
      </c>
      <c r="C2029" s="47" t="s">
        <v>8620</v>
      </c>
      <c r="D2029" s="47" t="s">
        <v>8621</v>
      </c>
      <c r="E2029" s="47"/>
      <c r="F2029" s="47"/>
      <c r="G2029" s="47"/>
      <c r="H2029" s="47" t="s">
        <v>3605</v>
      </c>
      <c r="I2029" s="47" t="s">
        <v>8618</v>
      </c>
    </row>
    <row r="2030" spans="1:9" ht="15">
      <c r="A2030" s="47" t="s">
        <v>8622</v>
      </c>
      <c r="B2030" s="47" t="s">
        <v>8623</v>
      </c>
      <c r="C2030" s="47" t="s">
        <v>8624</v>
      </c>
      <c r="D2030" s="47" t="s">
        <v>8625</v>
      </c>
      <c r="E2030" s="47"/>
      <c r="F2030" s="47"/>
      <c r="G2030" s="47"/>
      <c r="H2030" s="47" t="s">
        <v>3605</v>
      </c>
      <c r="I2030" s="47" t="s">
        <v>8622</v>
      </c>
    </row>
    <row r="2031" spans="1:9" ht="15">
      <c r="A2031" s="47" t="s">
        <v>8626</v>
      </c>
      <c r="B2031" s="47" t="s">
        <v>8627</v>
      </c>
      <c r="C2031" s="47" t="s">
        <v>8628</v>
      </c>
      <c r="D2031" s="47" t="s">
        <v>8629</v>
      </c>
      <c r="E2031" s="47"/>
      <c r="F2031" s="47"/>
      <c r="G2031" s="47"/>
      <c r="H2031" s="47" t="s">
        <v>3605</v>
      </c>
      <c r="I2031" s="47" t="s">
        <v>8626</v>
      </c>
    </row>
    <row r="2032" spans="1:9" ht="15">
      <c r="A2032" s="47">
        <v>93310</v>
      </c>
      <c r="B2032" s="47" t="s">
        <v>8630</v>
      </c>
      <c r="C2032" s="47" t="s">
        <v>8631</v>
      </c>
      <c r="D2032" s="47" t="s">
        <v>8632</v>
      </c>
      <c r="E2032" s="47"/>
      <c r="F2032" s="47" t="s">
        <v>3603</v>
      </c>
      <c r="G2032" s="47" t="s">
        <v>3604</v>
      </c>
      <c r="H2032" s="47" t="s">
        <v>3605</v>
      </c>
      <c r="I2032" s="47" t="s">
        <v>19445</v>
      </c>
    </row>
    <row r="2033" spans="1:9" ht="15">
      <c r="A2033" s="47" t="s">
        <v>578</v>
      </c>
      <c r="B2033" s="47" t="s">
        <v>8633</v>
      </c>
      <c r="C2033" s="47" t="s">
        <v>8634</v>
      </c>
      <c r="D2033" s="47" t="s">
        <v>8635</v>
      </c>
      <c r="E2033" s="47"/>
      <c r="F2033" s="47" t="s">
        <v>3603</v>
      </c>
      <c r="G2033" s="47" t="s">
        <v>3604</v>
      </c>
      <c r="H2033" s="47" t="s">
        <v>3605</v>
      </c>
      <c r="I2033" s="47" t="s">
        <v>578</v>
      </c>
    </row>
    <row r="2034" spans="1:9" ht="15">
      <c r="A2034" s="47" t="s">
        <v>580</v>
      </c>
      <c r="B2034" s="47" t="s">
        <v>8636</v>
      </c>
      <c r="C2034" s="47" t="s">
        <v>8637</v>
      </c>
      <c r="D2034" s="47" t="s">
        <v>8638</v>
      </c>
      <c r="E2034" s="47"/>
      <c r="F2034" s="47" t="s">
        <v>3603</v>
      </c>
      <c r="G2034" s="47" t="s">
        <v>3604</v>
      </c>
      <c r="H2034" s="47" t="s">
        <v>3605</v>
      </c>
      <c r="I2034" s="47" t="s">
        <v>580</v>
      </c>
    </row>
    <row r="2035" spans="1:9" ht="15">
      <c r="A2035" s="47" t="s">
        <v>8639</v>
      </c>
      <c r="B2035" s="47" t="s">
        <v>8640</v>
      </c>
      <c r="C2035" s="47" t="s">
        <v>8641</v>
      </c>
      <c r="D2035" s="47" t="s">
        <v>8642</v>
      </c>
      <c r="E2035" s="47"/>
      <c r="F2035" s="47"/>
      <c r="G2035" s="47"/>
      <c r="H2035" s="47" t="s">
        <v>3605</v>
      </c>
      <c r="I2035" s="47" t="s">
        <v>8639</v>
      </c>
    </row>
    <row r="2036" spans="1:9" ht="15">
      <c r="A2036" s="47" t="s">
        <v>8643</v>
      </c>
      <c r="B2036" s="47" t="s">
        <v>8644</v>
      </c>
      <c r="C2036" s="47" t="s">
        <v>8645</v>
      </c>
      <c r="D2036" s="47" t="s">
        <v>8646</v>
      </c>
      <c r="E2036" s="47"/>
      <c r="F2036" s="47"/>
      <c r="G2036" s="47"/>
      <c r="H2036" s="47" t="s">
        <v>3605</v>
      </c>
      <c r="I2036" s="47" t="s">
        <v>8643</v>
      </c>
    </row>
    <row r="2037" spans="1:9" ht="15">
      <c r="A2037" s="47" t="s">
        <v>588</v>
      </c>
      <c r="B2037" s="47" t="s">
        <v>8647</v>
      </c>
      <c r="C2037" s="47" t="s">
        <v>8648</v>
      </c>
      <c r="D2037" s="47" t="s">
        <v>8649</v>
      </c>
      <c r="E2037" s="47"/>
      <c r="F2037" s="47" t="s">
        <v>3603</v>
      </c>
      <c r="G2037" s="47" t="s">
        <v>3604</v>
      </c>
      <c r="H2037" s="47" t="s">
        <v>3605</v>
      </c>
      <c r="I2037" s="47" t="s">
        <v>588</v>
      </c>
    </row>
    <row r="2038" spans="1:9" ht="15">
      <c r="A2038" s="47" t="s">
        <v>589</v>
      </c>
      <c r="B2038" s="47" t="s">
        <v>8650</v>
      </c>
      <c r="C2038" s="47" t="s">
        <v>8651</v>
      </c>
      <c r="D2038" s="47" t="s">
        <v>8652</v>
      </c>
      <c r="E2038" s="47"/>
      <c r="F2038" s="47" t="s">
        <v>3603</v>
      </c>
      <c r="G2038" s="47" t="s">
        <v>3604</v>
      </c>
      <c r="H2038" s="47" t="s">
        <v>3605</v>
      </c>
      <c r="I2038" s="47" t="s">
        <v>589</v>
      </c>
    </row>
    <row r="2039" spans="1:9" ht="15">
      <c r="A2039" s="47" t="s">
        <v>8653</v>
      </c>
      <c r="B2039" s="47" t="s">
        <v>8654</v>
      </c>
      <c r="C2039" s="47" t="s">
        <v>8655</v>
      </c>
      <c r="D2039" s="47" t="s">
        <v>4517</v>
      </c>
      <c r="E2039" s="47"/>
      <c r="F2039" s="47"/>
      <c r="G2039" s="47"/>
      <c r="H2039" s="47" t="s">
        <v>3605</v>
      </c>
      <c r="I2039" s="47" t="s">
        <v>8653</v>
      </c>
    </row>
    <row r="2040" spans="1:9" ht="15">
      <c r="A2040" s="47" t="s">
        <v>593</v>
      </c>
      <c r="B2040" s="47" t="s">
        <v>8656</v>
      </c>
      <c r="C2040" s="47" t="s">
        <v>8657</v>
      </c>
      <c r="D2040" s="47" t="s">
        <v>8658</v>
      </c>
      <c r="E2040" s="47"/>
      <c r="F2040" s="47" t="s">
        <v>3603</v>
      </c>
      <c r="G2040" s="47" t="s">
        <v>3604</v>
      </c>
      <c r="H2040" s="47" t="s">
        <v>3605</v>
      </c>
      <c r="I2040" s="47" t="s">
        <v>593</v>
      </c>
    </row>
    <row r="2041" spans="1:9" ht="15">
      <c r="A2041" s="47" t="s">
        <v>594</v>
      </c>
      <c r="B2041" s="47" t="s">
        <v>8659</v>
      </c>
      <c r="C2041" s="47" t="s">
        <v>8660</v>
      </c>
      <c r="D2041" s="47" t="s">
        <v>8661</v>
      </c>
      <c r="E2041" s="47"/>
      <c r="F2041" s="47" t="s">
        <v>3603</v>
      </c>
      <c r="G2041" s="47" t="s">
        <v>3604</v>
      </c>
      <c r="H2041" s="47" t="s">
        <v>3605</v>
      </c>
      <c r="I2041" s="47" t="s">
        <v>594</v>
      </c>
    </row>
    <row r="2042" spans="1:9" ht="15">
      <c r="A2042" s="47" t="s">
        <v>3090</v>
      </c>
      <c r="B2042" s="47" t="s">
        <v>8662</v>
      </c>
      <c r="C2042" s="47" t="s">
        <v>8663</v>
      </c>
      <c r="D2042" s="47" t="s">
        <v>8664</v>
      </c>
      <c r="E2042" s="47"/>
      <c r="F2042" s="47"/>
      <c r="G2042" s="47"/>
      <c r="H2042" s="47" t="s">
        <v>3605</v>
      </c>
      <c r="I2042" s="47" t="s">
        <v>3090</v>
      </c>
    </row>
    <row r="2043" spans="1:9" ht="15">
      <c r="A2043" s="47" t="s">
        <v>8665</v>
      </c>
      <c r="B2043" s="47" t="s">
        <v>8666</v>
      </c>
      <c r="C2043" s="47" t="s">
        <v>8667</v>
      </c>
      <c r="D2043" s="47" t="s">
        <v>8668</v>
      </c>
      <c r="E2043" s="47"/>
      <c r="F2043" s="47"/>
      <c r="G2043" s="47"/>
      <c r="H2043" s="47" t="s">
        <v>3605</v>
      </c>
      <c r="I2043" s="47" t="s">
        <v>8665</v>
      </c>
    </row>
    <row r="2044" spans="1:9" ht="15">
      <c r="A2044" s="47" t="s">
        <v>3100</v>
      </c>
      <c r="B2044" s="47" t="s">
        <v>8669</v>
      </c>
      <c r="C2044" s="47" t="s">
        <v>8670</v>
      </c>
      <c r="D2044" s="47" t="s">
        <v>8671</v>
      </c>
      <c r="E2044" s="47"/>
      <c r="F2044" s="47"/>
      <c r="G2044" s="47"/>
      <c r="H2044" s="47" t="s">
        <v>3605</v>
      </c>
      <c r="I2044" s="47" t="s">
        <v>3100</v>
      </c>
    </row>
    <row r="2045" spans="1:9" ht="15">
      <c r="A2045" s="47" t="s">
        <v>8672</v>
      </c>
      <c r="B2045" s="47" t="s">
        <v>8673</v>
      </c>
      <c r="C2045" s="47" t="s">
        <v>8674</v>
      </c>
      <c r="D2045" s="47" t="s">
        <v>8675</v>
      </c>
      <c r="E2045" s="47"/>
      <c r="F2045" s="47"/>
      <c r="G2045" s="47"/>
      <c r="H2045" s="47" t="s">
        <v>3605</v>
      </c>
      <c r="I2045" s="47" t="s">
        <v>8672</v>
      </c>
    </row>
    <row r="2046" spans="1:9" ht="15">
      <c r="A2046" s="47" t="s">
        <v>8676</v>
      </c>
      <c r="B2046" s="47" t="s">
        <v>8677</v>
      </c>
      <c r="C2046" s="47" t="s">
        <v>8678</v>
      </c>
      <c r="D2046" s="47" t="s">
        <v>8679</v>
      </c>
      <c r="E2046" s="47"/>
      <c r="F2046" s="47"/>
      <c r="G2046" s="47"/>
      <c r="H2046" s="47" t="s">
        <v>3605</v>
      </c>
      <c r="I2046" s="47" t="s">
        <v>8676</v>
      </c>
    </row>
    <row r="2047" spans="1:9" ht="15">
      <c r="A2047" s="47" t="s">
        <v>8680</v>
      </c>
      <c r="B2047" s="47" t="s">
        <v>8681</v>
      </c>
      <c r="C2047" s="47" t="s">
        <v>8682</v>
      </c>
      <c r="D2047" s="47" t="s">
        <v>8683</v>
      </c>
      <c r="E2047" s="47"/>
      <c r="F2047" s="47"/>
      <c r="G2047" s="47"/>
      <c r="H2047" s="47" t="s">
        <v>3605</v>
      </c>
      <c r="I2047" s="47" t="s">
        <v>8680</v>
      </c>
    </row>
    <row r="2048" spans="1:9" ht="15">
      <c r="A2048" s="47" t="s">
        <v>8684</v>
      </c>
      <c r="B2048" s="47" t="s">
        <v>8685</v>
      </c>
      <c r="C2048" s="47" t="s">
        <v>8686</v>
      </c>
      <c r="D2048" s="47" t="s">
        <v>8687</v>
      </c>
      <c r="E2048" s="47"/>
      <c r="F2048" s="47"/>
      <c r="G2048" s="47"/>
      <c r="H2048" s="47" t="s">
        <v>3605</v>
      </c>
      <c r="I2048" s="47" t="s">
        <v>8684</v>
      </c>
    </row>
    <row r="2049" spans="1:9" ht="15">
      <c r="A2049" s="47" t="s">
        <v>3112</v>
      </c>
      <c r="B2049" s="47" t="s">
        <v>8688</v>
      </c>
      <c r="C2049" s="47" t="s">
        <v>8689</v>
      </c>
      <c r="D2049" s="47" t="s">
        <v>8690</v>
      </c>
      <c r="E2049" s="47"/>
      <c r="F2049" s="47"/>
      <c r="G2049" s="47"/>
      <c r="H2049" s="47" t="s">
        <v>3605</v>
      </c>
      <c r="I2049" s="47" t="s">
        <v>3112</v>
      </c>
    </row>
    <row r="2050" spans="1:9" ht="15">
      <c r="A2050" s="47">
        <v>10211</v>
      </c>
      <c r="B2050" s="47" t="s">
        <v>8691</v>
      </c>
      <c r="C2050" s="47" t="s">
        <v>8692</v>
      </c>
      <c r="D2050" s="47" t="s">
        <v>8693</v>
      </c>
      <c r="E2050" s="47"/>
      <c r="F2050" s="47"/>
      <c r="G2050" s="47"/>
      <c r="H2050" s="47" t="s">
        <v>3605</v>
      </c>
      <c r="I2050" s="47" t="s">
        <v>19446</v>
      </c>
    </row>
    <row r="2051" spans="1:9" ht="15">
      <c r="A2051" s="47">
        <v>93103</v>
      </c>
      <c r="B2051" s="47" t="s">
        <v>8694</v>
      </c>
      <c r="C2051" s="47" t="s">
        <v>8695</v>
      </c>
      <c r="D2051" s="47" t="s">
        <v>8696</v>
      </c>
      <c r="E2051" s="47"/>
      <c r="F2051" s="47"/>
      <c r="G2051" s="47"/>
      <c r="H2051" s="47" t="s">
        <v>3605</v>
      </c>
      <c r="I2051" s="47" t="s">
        <v>19447</v>
      </c>
    </row>
    <row r="2052" spans="1:9" ht="15">
      <c r="A2052" s="47" t="s">
        <v>8697</v>
      </c>
      <c r="B2052" s="47" t="s">
        <v>8698</v>
      </c>
      <c r="C2052" s="47" t="s">
        <v>8699</v>
      </c>
      <c r="D2052" s="47" t="s">
        <v>8700</v>
      </c>
      <c r="E2052" s="47"/>
      <c r="F2052" s="47"/>
      <c r="G2052" s="47"/>
      <c r="H2052" s="47" t="s">
        <v>3605</v>
      </c>
      <c r="I2052" s="47" t="s">
        <v>8697</v>
      </c>
    </row>
    <row r="2053" spans="1:9" ht="15">
      <c r="A2053" s="47" t="s">
        <v>8701</v>
      </c>
      <c r="B2053" s="47" t="s">
        <v>8702</v>
      </c>
      <c r="C2053" s="47" t="s">
        <v>8703</v>
      </c>
      <c r="D2053" s="47" t="s">
        <v>8704</v>
      </c>
      <c r="E2053" s="47"/>
      <c r="F2053" s="47"/>
      <c r="G2053" s="47"/>
      <c r="H2053" s="47" t="s">
        <v>3605</v>
      </c>
      <c r="I2053" s="47" t="s">
        <v>8701</v>
      </c>
    </row>
    <row r="2054" spans="1:9" ht="15">
      <c r="A2054" s="47" t="s">
        <v>3119</v>
      </c>
      <c r="B2054" s="47" t="s">
        <v>8705</v>
      </c>
      <c r="C2054" s="47" t="s">
        <v>8706</v>
      </c>
      <c r="D2054" s="47" t="s">
        <v>8707</v>
      </c>
      <c r="E2054" s="47"/>
      <c r="F2054" s="47"/>
      <c r="G2054" s="47"/>
      <c r="H2054" s="47" t="s">
        <v>3605</v>
      </c>
      <c r="I2054" s="47" t="s">
        <v>3119</v>
      </c>
    </row>
    <row r="2055" spans="1:9" ht="15">
      <c r="A2055" s="47" t="s">
        <v>8708</v>
      </c>
      <c r="B2055" s="47" t="s">
        <v>8709</v>
      </c>
      <c r="C2055" s="47" t="s">
        <v>8710</v>
      </c>
      <c r="D2055" s="47" t="s">
        <v>8711</v>
      </c>
      <c r="E2055" s="47"/>
      <c r="F2055" s="47"/>
      <c r="G2055" s="47"/>
      <c r="H2055" s="47" t="s">
        <v>3605</v>
      </c>
      <c r="I2055" s="47" t="s">
        <v>8708</v>
      </c>
    </row>
    <row r="2056" spans="1:9" ht="15">
      <c r="A2056" s="47" t="s">
        <v>8712</v>
      </c>
      <c r="B2056" s="47" t="s">
        <v>8713</v>
      </c>
      <c r="C2056" s="47" t="s">
        <v>8714</v>
      </c>
      <c r="D2056" s="47" t="s">
        <v>8715</v>
      </c>
      <c r="E2056" s="47"/>
      <c r="F2056" s="47"/>
      <c r="G2056" s="47"/>
      <c r="H2056" s="47" t="s">
        <v>3605</v>
      </c>
      <c r="I2056" s="47" t="s">
        <v>8712</v>
      </c>
    </row>
    <row r="2057" spans="1:9" ht="15">
      <c r="A2057" s="47" t="s">
        <v>3125</v>
      </c>
      <c r="B2057" s="47" t="s">
        <v>8716</v>
      </c>
      <c r="C2057" s="47" t="s">
        <v>8717</v>
      </c>
      <c r="D2057" s="47" t="s">
        <v>8718</v>
      </c>
      <c r="E2057" s="47"/>
      <c r="F2057" s="47"/>
      <c r="G2057" s="47"/>
      <c r="H2057" s="47" t="s">
        <v>3605</v>
      </c>
      <c r="I2057" s="47" t="s">
        <v>3125</v>
      </c>
    </row>
    <row r="2058" spans="1:9" ht="15">
      <c r="A2058" s="47" t="s">
        <v>8719</v>
      </c>
      <c r="B2058" s="47" t="s">
        <v>8720</v>
      </c>
      <c r="C2058" s="47" t="s">
        <v>8721</v>
      </c>
      <c r="D2058" s="47" t="s">
        <v>8722</v>
      </c>
      <c r="E2058" s="47"/>
      <c r="F2058" s="47"/>
      <c r="G2058" s="47"/>
      <c r="H2058" s="47" t="s">
        <v>3605</v>
      </c>
      <c r="I2058" s="47" t="s">
        <v>8719</v>
      </c>
    </row>
    <row r="2059" spans="1:9" ht="15">
      <c r="A2059" s="47" t="s">
        <v>3129</v>
      </c>
      <c r="B2059" s="47" t="s">
        <v>8723</v>
      </c>
      <c r="C2059" s="47" t="s">
        <v>8724</v>
      </c>
      <c r="D2059" s="47" t="s">
        <v>8725</v>
      </c>
      <c r="E2059" s="47"/>
      <c r="F2059" s="47"/>
      <c r="G2059" s="47"/>
      <c r="H2059" s="47" t="s">
        <v>3605</v>
      </c>
      <c r="I2059" s="47" t="s">
        <v>3129</v>
      </c>
    </row>
    <row r="2060" spans="1:9" ht="15">
      <c r="A2060" s="47" t="s">
        <v>3131</v>
      </c>
      <c r="B2060" s="47" t="s">
        <v>8726</v>
      </c>
      <c r="C2060" s="47" t="s">
        <v>8727</v>
      </c>
      <c r="D2060" s="47" t="s">
        <v>8728</v>
      </c>
      <c r="E2060" s="47"/>
      <c r="F2060" s="47"/>
      <c r="G2060" s="47"/>
      <c r="H2060" s="47" t="s">
        <v>3605</v>
      </c>
      <c r="I2060" s="47" t="s">
        <v>3131</v>
      </c>
    </row>
    <row r="2061" spans="1:9" ht="15">
      <c r="A2061" s="47" t="s">
        <v>3144</v>
      </c>
      <c r="B2061" s="47" t="s">
        <v>8729</v>
      </c>
      <c r="C2061" s="47" t="s">
        <v>8730</v>
      </c>
      <c r="D2061" s="47" t="s">
        <v>8731</v>
      </c>
      <c r="E2061" s="47"/>
      <c r="F2061" s="47"/>
      <c r="G2061" s="47"/>
      <c r="H2061" s="47" t="s">
        <v>3605</v>
      </c>
      <c r="I2061" s="47" t="s">
        <v>3144</v>
      </c>
    </row>
    <row r="2062" spans="1:9" ht="15">
      <c r="A2062" s="47" t="s">
        <v>8732</v>
      </c>
      <c r="B2062" s="47" t="s">
        <v>8733</v>
      </c>
      <c r="C2062" s="47" t="s">
        <v>8734</v>
      </c>
      <c r="D2062" s="47" t="s">
        <v>8735</v>
      </c>
      <c r="E2062" s="47"/>
      <c r="F2062" s="47"/>
      <c r="G2062" s="47"/>
      <c r="H2062" s="47" t="s">
        <v>3605</v>
      </c>
      <c r="I2062" s="47" t="s">
        <v>8732</v>
      </c>
    </row>
    <row r="2063" spans="1:9" ht="15">
      <c r="A2063" s="47" t="s">
        <v>8736</v>
      </c>
      <c r="B2063" s="47" t="s">
        <v>8737</v>
      </c>
      <c r="C2063" s="47" t="s">
        <v>8738</v>
      </c>
      <c r="D2063" s="47" t="s">
        <v>8739</v>
      </c>
      <c r="E2063" s="47"/>
      <c r="F2063" s="47"/>
      <c r="G2063" s="47"/>
      <c r="H2063" s="47" t="s">
        <v>3605</v>
      </c>
      <c r="I2063" s="47" t="s">
        <v>8736</v>
      </c>
    </row>
    <row r="2064" spans="1:9" ht="15">
      <c r="A2064" s="47" t="s">
        <v>8740</v>
      </c>
      <c r="B2064" s="47" t="s">
        <v>8741</v>
      </c>
      <c r="C2064" s="47" t="s">
        <v>8742</v>
      </c>
      <c r="D2064" s="47" t="s">
        <v>8743</v>
      </c>
      <c r="E2064" s="47"/>
      <c r="F2064" s="47"/>
      <c r="G2064" s="47"/>
      <c r="H2064" s="47" t="s">
        <v>3605</v>
      </c>
      <c r="I2064" s="47" t="s">
        <v>8740</v>
      </c>
    </row>
    <row r="2065" spans="1:9" ht="15">
      <c r="A2065" s="47" t="s">
        <v>3204</v>
      </c>
      <c r="B2065" s="47" t="s">
        <v>8744</v>
      </c>
      <c r="C2065" s="47" t="s">
        <v>8745</v>
      </c>
      <c r="D2065" s="47" t="s">
        <v>8746</v>
      </c>
      <c r="E2065" s="47"/>
      <c r="F2065" s="47"/>
      <c r="G2065" s="47"/>
      <c r="H2065" s="47" t="s">
        <v>3605</v>
      </c>
      <c r="I2065" s="47" t="s">
        <v>3204</v>
      </c>
    </row>
    <row r="2066" spans="1:9" ht="15">
      <c r="A2066" s="47" t="s">
        <v>8747</v>
      </c>
      <c r="B2066" s="47" t="s">
        <v>8748</v>
      </c>
      <c r="C2066" s="47" t="s">
        <v>8749</v>
      </c>
      <c r="D2066" s="47" t="s">
        <v>8750</v>
      </c>
      <c r="E2066" s="47"/>
      <c r="F2066" s="47"/>
      <c r="G2066" s="47"/>
      <c r="H2066" s="47" t="s">
        <v>3605</v>
      </c>
      <c r="I2066" s="47" t="s">
        <v>8747</v>
      </c>
    </row>
    <row r="2067" spans="1:9" ht="15">
      <c r="A2067" s="47" t="s">
        <v>3165</v>
      </c>
      <c r="B2067" s="47" t="s">
        <v>8751</v>
      </c>
      <c r="C2067" s="47" t="s">
        <v>8752</v>
      </c>
      <c r="D2067" s="47" t="s">
        <v>8753</v>
      </c>
      <c r="E2067" s="47"/>
      <c r="F2067" s="47"/>
      <c r="G2067" s="47"/>
      <c r="H2067" s="47" t="s">
        <v>3605</v>
      </c>
      <c r="I2067" s="47" t="s">
        <v>3165</v>
      </c>
    </row>
    <row r="2068" spans="1:9" ht="15">
      <c r="A2068" s="47" t="s">
        <v>8754</v>
      </c>
      <c r="B2068" s="47" t="s">
        <v>8755</v>
      </c>
      <c r="C2068" s="47" t="s">
        <v>8756</v>
      </c>
      <c r="D2068" s="47" t="s">
        <v>8757</v>
      </c>
      <c r="E2068" s="47"/>
      <c r="F2068" s="47"/>
      <c r="G2068" s="47"/>
      <c r="H2068" s="47" t="s">
        <v>3605</v>
      </c>
      <c r="I2068" s="47" t="s">
        <v>8754</v>
      </c>
    </row>
    <row r="2069" spans="1:9" ht="15">
      <c r="A2069" s="47" t="s">
        <v>8758</v>
      </c>
      <c r="B2069" s="47" t="s">
        <v>8759</v>
      </c>
      <c r="C2069" s="47" t="s">
        <v>8760</v>
      </c>
      <c r="D2069" s="47" t="s">
        <v>8761</v>
      </c>
      <c r="E2069" s="47"/>
      <c r="F2069" s="47"/>
      <c r="G2069" s="47"/>
      <c r="H2069" s="47" t="s">
        <v>3605</v>
      </c>
      <c r="I2069" s="47" t="s">
        <v>8758</v>
      </c>
    </row>
    <row r="2070" spans="1:9" ht="15">
      <c r="A2070" s="47">
        <v>93208</v>
      </c>
      <c r="B2070" s="47" t="s">
        <v>8762</v>
      </c>
      <c r="C2070" s="47" t="s">
        <v>8763</v>
      </c>
      <c r="D2070" s="47" t="s">
        <v>8764</v>
      </c>
      <c r="E2070" s="47"/>
      <c r="F2070" s="47"/>
      <c r="G2070" s="47"/>
      <c r="H2070" s="47" t="s">
        <v>3605</v>
      </c>
      <c r="I2070" s="47" t="s">
        <v>19448</v>
      </c>
    </row>
    <row r="2071" spans="1:9" ht="15">
      <c r="A2071" s="47">
        <v>10224</v>
      </c>
      <c r="B2071" s="47" t="s">
        <v>8765</v>
      </c>
      <c r="C2071" s="47" t="s">
        <v>8766</v>
      </c>
      <c r="D2071" s="47" t="s">
        <v>8767</v>
      </c>
      <c r="E2071" s="47"/>
      <c r="F2071" s="47"/>
      <c r="G2071" s="47"/>
      <c r="H2071" s="47" t="s">
        <v>3605</v>
      </c>
      <c r="I2071" s="47" t="s">
        <v>19449</v>
      </c>
    </row>
    <row r="2072" spans="1:9" ht="15">
      <c r="A2072" s="47" t="s">
        <v>8768</v>
      </c>
      <c r="B2072" s="47" t="s">
        <v>8769</v>
      </c>
      <c r="C2072" s="47" t="s">
        <v>8770</v>
      </c>
      <c r="D2072" s="47" t="s">
        <v>8771</v>
      </c>
      <c r="E2072" s="47"/>
      <c r="F2072" s="47"/>
      <c r="G2072" s="47"/>
      <c r="H2072" s="47" t="s">
        <v>3605</v>
      </c>
      <c r="I2072" s="47" t="s">
        <v>8768</v>
      </c>
    </row>
    <row r="2073" spans="1:9" ht="15">
      <c r="A2073" s="47" t="s">
        <v>8772</v>
      </c>
      <c r="B2073" s="47" t="s">
        <v>8773</v>
      </c>
      <c r="C2073" s="47" t="s">
        <v>8774</v>
      </c>
      <c r="D2073" s="47" t="s">
        <v>8775</v>
      </c>
      <c r="E2073" s="47"/>
      <c r="F2073" s="47"/>
      <c r="G2073" s="47"/>
      <c r="H2073" s="47" t="s">
        <v>3605</v>
      </c>
      <c r="I2073" s="47" t="s">
        <v>8772</v>
      </c>
    </row>
    <row r="2074" spans="1:9" ht="15">
      <c r="A2074" s="47" t="s">
        <v>8776</v>
      </c>
      <c r="B2074" s="47" t="s">
        <v>8777</v>
      </c>
      <c r="C2074" s="47" t="s">
        <v>8778</v>
      </c>
      <c r="D2074" s="47" t="s">
        <v>8779</v>
      </c>
      <c r="E2074" s="47"/>
      <c r="F2074" s="47"/>
      <c r="G2074" s="47"/>
      <c r="H2074" s="47" t="s">
        <v>3605</v>
      </c>
      <c r="I2074" s="47" t="s">
        <v>8776</v>
      </c>
    </row>
    <row r="2075" spans="1:9" ht="15">
      <c r="A2075" s="47" t="s">
        <v>8780</v>
      </c>
      <c r="B2075" s="47" t="s">
        <v>8781</v>
      </c>
      <c r="C2075" s="47" t="s">
        <v>8782</v>
      </c>
      <c r="D2075" s="47" t="s">
        <v>8783</v>
      </c>
      <c r="E2075" s="47"/>
      <c r="F2075" s="47" t="s">
        <v>6426</v>
      </c>
      <c r="G2075" s="47" t="s">
        <v>6427</v>
      </c>
      <c r="H2075" s="47" t="s">
        <v>3605</v>
      </c>
      <c r="I2075" s="47" t="s">
        <v>8780</v>
      </c>
    </row>
    <row r="2076" spans="1:9" ht="15">
      <c r="A2076" s="47" t="s">
        <v>8784</v>
      </c>
      <c r="B2076" s="47" t="s">
        <v>8785</v>
      </c>
      <c r="C2076" s="47" t="s">
        <v>8786</v>
      </c>
      <c r="D2076" s="47" t="s">
        <v>8787</v>
      </c>
      <c r="E2076" s="47"/>
      <c r="F2076" s="47"/>
      <c r="G2076" s="47"/>
      <c r="H2076" s="47" t="s">
        <v>3605</v>
      </c>
      <c r="I2076" s="47" t="s">
        <v>8784</v>
      </c>
    </row>
    <row r="2077" spans="1:9" ht="15">
      <c r="A2077" s="47" t="s">
        <v>8788</v>
      </c>
      <c r="B2077" s="47" t="s">
        <v>8789</v>
      </c>
      <c r="C2077" s="47" t="s">
        <v>8790</v>
      </c>
      <c r="D2077" s="47" t="s">
        <v>8791</v>
      </c>
      <c r="E2077" s="47"/>
      <c r="F2077" s="47"/>
      <c r="G2077" s="47"/>
      <c r="H2077" s="47" t="s">
        <v>3605</v>
      </c>
      <c r="I2077" s="47" t="s">
        <v>8788</v>
      </c>
    </row>
    <row r="2078" spans="1:9" ht="15">
      <c r="A2078" s="47" t="s">
        <v>8792</v>
      </c>
      <c r="B2078" s="47" t="s">
        <v>8793</v>
      </c>
      <c r="C2078" s="47" t="s">
        <v>8794</v>
      </c>
      <c r="D2078" s="47" t="s">
        <v>8795</v>
      </c>
      <c r="E2078" s="47"/>
      <c r="F2078" s="47"/>
      <c r="G2078" s="47"/>
      <c r="H2078" s="47" t="s">
        <v>3605</v>
      </c>
      <c r="I2078" s="47" t="s">
        <v>8792</v>
      </c>
    </row>
    <row r="2079" spans="1:9" ht="15">
      <c r="A2079" s="47" t="s">
        <v>8796</v>
      </c>
      <c r="B2079" s="47" t="s">
        <v>8797</v>
      </c>
      <c r="C2079" s="47" t="s">
        <v>8798</v>
      </c>
      <c r="D2079" s="47" t="s">
        <v>8799</v>
      </c>
      <c r="E2079" s="47"/>
      <c r="F2079" s="47"/>
      <c r="G2079" s="47"/>
      <c r="H2079" s="47" t="s">
        <v>3605</v>
      </c>
      <c r="I2079" s="47" t="s">
        <v>8796</v>
      </c>
    </row>
    <row r="2080" spans="1:9" ht="15">
      <c r="A2080" s="47" t="s">
        <v>8800</v>
      </c>
      <c r="B2080" s="47" t="s">
        <v>8801</v>
      </c>
      <c r="C2080" s="47" t="s">
        <v>8802</v>
      </c>
      <c r="D2080" s="47" t="s">
        <v>8803</v>
      </c>
      <c r="E2080" s="47"/>
      <c r="F2080" s="47"/>
      <c r="G2080" s="47"/>
      <c r="H2080" s="47" t="s">
        <v>3605</v>
      </c>
      <c r="I2080" s="47" t="s">
        <v>8800</v>
      </c>
    </row>
    <row r="2081" spans="1:9" ht="15">
      <c r="A2081" s="47">
        <v>17901</v>
      </c>
      <c r="B2081" s="47" t="s">
        <v>8804</v>
      </c>
      <c r="C2081" s="47" t="s">
        <v>8805</v>
      </c>
      <c r="D2081" s="47" t="s">
        <v>8806</v>
      </c>
      <c r="E2081" s="47"/>
      <c r="F2081" s="47"/>
      <c r="G2081" s="47"/>
      <c r="H2081" s="47" t="s">
        <v>3605</v>
      </c>
      <c r="I2081" s="47" t="s">
        <v>19450</v>
      </c>
    </row>
    <row r="2082" spans="1:9" ht="15">
      <c r="A2082" s="47">
        <v>17904</v>
      </c>
      <c r="B2082" s="47" t="s">
        <v>8807</v>
      </c>
      <c r="C2082" s="47" t="s">
        <v>8808</v>
      </c>
      <c r="D2082" s="47" t="s">
        <v>8809</v>
      </c>
      <c r="E2082" s="47"/>
      <c r="F2082" s="47"/>
      <c r="G2082" s="47"/>
      <c r="H2082" s="47" t="s">
        <v>3605</v>
      </c>
      <c r="I2082" s="47" t="s">
        <v>19451</v>
      </c>
    </row>
    <row r="2083" spans="1:9" ht="15">
      <c r="A2083" s="47">
        <v>17907</v>
      </c>
      <c r="B2083" s="47" t="s">
        <v>8810</v>
      </c>
      <c r="C2083" s="47" t="s">
        <v>8811</v>
      </c>
      <c r="D2083" s="47" t="s">
        <v>8812</v>
      </c>
      <c r="E2083" s="47"/>
      <c r="F2083" s="47"/>
      <c r="G2083" s="47"/>
      <c r="H2083" s="47" t="s">
        <v>3605</v>
      </c>
      <c r="I2083" s="47" t="s">
        <v>19452</v>
      </c>
    </row>
    <row r="2084" spans="1:9" ht="15">
      <c r="A2084" s="47">
        <v>3006</v>
      </c>
      <c r="B2084" s="47" t="s">
        <v>8813</v>
      </c>
      <c r="C2084" s="47" t="s">
        <v>8814</v>
      </c>
      <c r="D2084" s="47" t="s">
        <v>8815</v>
      </c>
      <c r="E2084" s="47"/>
      <c r="F2084" s="47"/>
      <c r="G2084" s="47"/>
      <c r="H2084" s="47" t="s">
        <v>3605</v>
      </c>
      <c r="I2084" s="47" t="s">
        <v>19453</v>
      </c>
    </row>
    <row r="2085" spans="1:9" ht="15">
      <c r="A2085" s="47">
        <v>3008</v>
      </c>
      <c r="B2085" s="47" t="s">
        <v>8816</v>
      </c>
      <c r="C2085" s="47" t="s">
        <v>8817</v>
      </c>
      <c r="D2085" s="47" t="s">
        <v>8818</v>
      </c>
      <c r="E2085" s="47"/>
      <c r="F2085" s="47"/>
      <c r="G2085" s="47"/>
      <c r="H2085" s="47" t="s">
        <v>3605</v>
      </c>
      <c r="I2085" s="47" t="s">
        <v>19454</v>
      </c>
    </row>
    <row r="2086" spans="1:9" ht="15">
      <c r="A2086" s="47" t="s">
        <v>8819</v>
      </c>
      <c r="B2086" s="47" t="s">
        <v>8820</v>
      </c>
      <c r="C2086" s="47" t="s">
        <v>8821</v>
      </c>
      <c r="D2086" s="47" t="s">
        <v>8822</v>
      </c>
      <c r="E2086" s="47"/>
      <c r="F2086" s="47"/>
      <c r="G2086" s="47"/>
      <c r="H2086" s="47" t="s">
        <v>3605</v>
      </c>
      <c r="I2086" s="47" t="s">
        <v>8819</v>
      </c>
    </row>
    <row r="2087" spans="1:9" ht="15">
      <c r="A2087" s="47">
        <v>3022</v>
      </c>
      <c r="B2087" s="47" t="s">
        <v>8823</v>
      </c>
      <c r="C2087" s="47" t="s">
        <v>8824</v>
      </c>
      <c r="D2087" s="47" t="s">
        <v>8825</v>
      </c>
      <c r="E2087" s="47"/>
      <c r="F2087" s="47"/>
      <c r="G2087" s="47"/>
      <c r="H2087" s="47" t="s">
        <v>3605</v>
      </c>
      <c r="I2087" s="47" t="s">
        <v>19455</v>
      </c>
    </row>
    <row r="2088" spans="1:9" ht="15">
      <c r="A2088" s="47" t="s">
        <v>8826</v>
      </c>
      <c r="B2088" s="47" t="s">
        <v>8827</v>
      </c>
      <c r="C2088" s="47" t="s">
        <v>8828</v>
      </c>
      <c r="D2088" s="47" t="s">
        <v>8829</v>
      </c>
      <c r="E2088" s="47"/>
      <c r="F2088" s="47"/>
      <c r="G2088" s="47"/>
      <c r="H2088" s="47" t="s">
        <v>3605</v>
      </c>
      <c r="I2088" s="47" t="s">
        <v>8826</v>
      </c>
    </row>
    <row r="2089" spans="1:9" ht="15">
      <c r="A2089" s="47">
        <v>10213</v>
      </c>
      <c r="B2089" s="47" t="s">
        <v>8830</v>
      </c>
      <c r="C2089" s="47" t="s">
        <v>8831</v>
      </c>
      <c r="D2089" s="47" t="s">
        <v>8832</v>
      </c>
      <c r="E2089" s="47"/>
      <c r="F2089" s="47"/>
      <c r="G2089" s="47"/>
      <c r="H2089" s="47" t="s">
        <v>3605</v>
      </c>
      <c r="I2089" s="47" t="s">
        <v>19456</v>
      </c>
    </row>
    <row r="2090" spans="1:9" ht="15">
      <c r="A2090" s="47" t="s">
        <v>8833</v>
      </c>
      <c r="B2090" s="47" t="s">
        <v>8834</v>
      </c>
      <c r="C2090" s="47" t="s">
        <v>8835</v>
      </c>
      <c r="D2090" s="47" t="s">
        <v>8836</v>
      </c>
      <c r="E2090" s="47"/>
      <c r="F2090" s="47"/>
      <c r="G2090" s="47"/>
      <c r="H2090" s="47" t="s">
        <v>3605</v>
      </c>
      <c r="I2090" s="47" t="s">
        <v>8833</v>
      </c>
    </row>
    <row r="2091" spans="1:9" ht="15">
      <c r="A2091" s="47" t="s">
        <v>8837</v>
      </c>
      <c r="B2091" s="47" t="s">
        <v>8838</v>
      </c>
      <c r="C2091" s="47" t="s">
        <v>8839</v>
      </c>
      <c r="D2091" s="47" t="s">
        <v>8840</v>
      </c>
      <c r="E2091" s="47"/>
      <c r="F2091" s="47"/>
      <c r="G2091" s="47"/>
      <c r="H2091" s="47" t="s">
        <v>3605</v>
      </c>
      <c r="I2091" s="47" t="s">
        <v>8837</v>
      </c>
    </row>
    <row r="2092" spans="1:9" ht="15">
      <c r="A2092" s="47" t="s">
        <v>3374</v>
      </c>
      <c r="B2092" s="47" t="s">
        <v>8841</v>
      </c>
      <c r="C2092" s="47" t="s">
        <v>8842</v>
      </c>
      <c r="D2092" s="47" t="s">
        <v>8843</v>
      </c>
      <c r="E2092" s="47"/>
      <c r="F2092" s="47"/>
      <c r="G2092" s="47"/>
      <c r="H2092" s="47" t="s">
        <v>3605</v>
      </c>
      <c r="I2092" s="47" t="s">
        <v>3374</v>
      </c>
    </row>
    <row r="2093" spans="1:9" ht="15">
      <c r="A2093" s="47" t="s">
        <v>3372</v>
      </c>
      <c r="B2093" s="47" t="s">
        <v>8844</v>
      </c>
      <c r="C2093" s="47" t="s">
        <v>8845</v>
      </c>
      <c r="D2093" s="47" t="s">
        <v>8846</v>
      </c>
      <c r="E2093" s="47"/>
      <c r="F2093" s="47"/>
      <c r="G2093" s="47"/>
      <c r="H2093" s="47" t="s">
        <v>3605</v>
      </c>
      <c r="I2093" s="47" t="s">
        <v>3372</v>
      </c>
    </row>
    <row r="2094" spans="1:9" ht="15">
      <c r="A2094" s="47">
        <v>22237</v>
      </c>
      <c r="B2094" s="47" t="s">
        <v>8847</v>
      </c>
      <c r="C2094" s="47" t="s">
        <v>8848</v>
      </c>
      <c r="D2094" s="47" t="s">
        <v>8849</v>
      </c>
      <c r="E2094" s="47"/>
      <c r="F2094" s="47"/>
      <c r="G2094" s="47"/>
      <c r="H2094" s="47" t="s">
        <v>3605</v>
      </c>
      <c r="I2094" s="47" t="s">
        <v>19457</v>
      </c>
    </row>
    <row r="2095" spans="1:9" ht="15">
      <c r="A2095" s="47">
        <v>22238</v>
      </c>
      <c r="B2095" s="47" t="s">
        <v>8850</v>
      </c>
      <c r="C2095" s="47" t="s">
        <v>8851</v>
      </c>
      <c r="D2095" s="47" t="s">
        <v>8852</v>
      </c>
      <c r="E2095" s="47"/>
      <c r="F2095" s="47"/>
      <c r="G2095" s="47"/>
      <c r="H2095" s="47" t="s">
        <v>3605</v>
      </c>
      <c r="I2095" s="47" t="s">
        <v>19458</v>
      </c>
    </row>
    <row r="2096" spans="1:9" ht="15">
      <c r="A2096" s="47" t="s">
        <v>3376</v>
      </c>
      <c r="B2096" s="47" t="s">
        <v>8853</v>
      </c>
      <c r="C2096" s="47" t="s">
        <v>8854</v>
      </c>
      <c r="D2096" s="47" t="s">
        <v>8855</v>
      </c>
      <c r="E2096" s="47"/>
      <c r="F2096" s="47"/>
      <c r="G2096" s="47"/>
      <c r="H2096" s="47" t="s">
        <v>3605</v>
      </c>
      <c r="I2096" s="47" t="s">
        <v>3376</v>
      </c>
    </row>
    <row r="2097" spans="1:9" ht="15">
      <c r="A2097" s="47">
        <v>93100</v>
      </c>
      <c r="B2097" s="47" t="s">
        <v>8856</v>
      </c>
      <c r="C2097" s="47" t="s">
        <v>8857</v>
      </c>
      <c r="D2097" s="47" t="s">
        <v>8858</v>
      </c>
      <c r="E2097" s="47"/>
      <c r="F2097" s="47"/>
      <c r="G2097" s="47"/>
      <c r="H2097" s="47" t="s">
        <v>3605</v>
      </c>
      <c r="I2097" s="47" t="s">
        <v>19459</v>
      </c>
    </row>
    <row r="2098" spans="1:9" ht="15">
      <c r="A2098" s="47">
        <v>11121</v>
      </c>
      <c r="B2098" s="47" t="s">
        <v>8859</v>
      </c>
      <c r="C2098" s="47" t="s">
        <v>8860</v>
      </c>
      <c r="D2098" s="47" t="s">
        <v>8861</v>
      </c>
      <c r="E2098" s="47"/>
      <c r="F2098" s="47"/>
      <c r="G2098" s="47"/>
      <c r="H2098" s="47" t="s">
        <v>3605</v>
      </c>
      <c r="I2098" s="47" t="s">
        <v>19460</v>
      </c>
    </row>
    <row r="2099" spans="1:9" ht="15">
      <c r="A2099" s="47" t="s">
        <v>8862</v>
      </c>
      <c r="B2099" s="47" t="s">
        <v>8863</v>
      </c>
      <c r="C2099" s="47" t="s">
        <v>8864</v>
      </c>
      <c r="D2099" s="47" t="s">
        <v>8865</v>
      </c>
      <c r="E2099" s="47"/>
      <c r="F2099" s="47"/>
      <c r="G2099" s="47"/>
      <c r="H2099" s="47" t="s">
        <v>3605</v>
      </c>
      <c r="I2099" s="47" t="s">
        <v>8862</v>
      </c>
    </row>
    <row r="2100" spans="1:9" ht="15">
      <c r="A2100" s="47">
        <v>6009</v>
      </c>
      <c r="B2100" s="47" t="s">
        <v>8866</v>
      </c>
      <c r="C2100" s="47" t="s">
        <v>8867</v>
      </c>
      <c r="D2100" s="47" t="s">
        <v>8868</v>
      </c>
      <c r="E2100" s="47"/>
      <c r="F2100" s="47"/>
      <c r="G2100" s="47"/>
      <c r="H2100" s="47" t="s">
        <v>3605</v>
      </c>
      <c r="I2100" s="47" t="s">
        <v>19461</v>
      </c>
    </row>
    <row r="2101" spans="1:9" ht="15">
      <c r="A2101" s="47">
        <v>19060</v>
      </c>
      <c r="B2101" s="47" t="s">
        <v>8869</v>
      </c>
      <c r="C2101" s="47" t="s">
        <v>8870</v>
      </c>
      <c r="D2101" s="47" t="s">
        <v>8871</v>
      </c>
      <c r="E2101" s="47"/>
      <c r="F2101" s="47"/>
      <c r="G2101" s="47"/>
      <c r="H2101" s="47" t="s">
        <v>3605</v>
      </c>
      <c r="I2101" s="47" t="s">
        <v>19462</v>
      </c>
    </row>
    <row r="2102" spans="1:9" ht="15">
      <c r="A2102" s="47">
        <v>19010</v>
      </c>
      <c r="B2102" s="47" t="s">
        <v>8872</v>
      </c>
      <c r="C2102" s="47" t="s">
        <v>8873</v>
      </c>
      <c r="D2102" s="47" t="s">
        <v>8874</v>
      </c>
      <c r="E2102" s="47"/>
      <c r="F2102" s="47"/>
      <c r="G2102" s="47"/>
      <c r="H2102" s="47" t="s">
        <v>3605</v>
      </c>
      <c r="I2102" s="47" t="s">
        <v>19463</v>
      </c>
    </row>
    <row r="2103" spans="1:9" ht="15">
      <c r="A2103" s="47">
        <v>10811</v>
      </c>
      <c r="B2103" s="47" t="s">
        <v>8875</v>
      </c>
      <c r="C2103" s="47" t="s">
        <v>8876</v>
      </c>
      <c r="D2103" s="47" t="s">
        <v>8877</v>
      </c>
      <c r="E2103" s="47"/>
      <c r="F2103" s="47"/>
      <c r="G2103" s="47"/>
      <c r="H2103" s="47" t="s">
        <v>3605</v>
      </c>
      <c r="I2103" s="47" t="s">
        <v>19464</v>
      </c>
    </row>
    <row r="2104" spans="1:9" ht="15">
      <c r="A2104" s="47">
        <v>11113</v>
      </c>
      <c r="B2104" s="47" t="s">
        <v>8878</v>
      </c>
      <c r="C2104" s="47" t="s">
        <v>8879</v>
      </c>
      <c r="D2104" s="47" t="s">
        <v>8880</v>
      </c>
      <c r="E2104" s="47"/>
      <c r="F2104" s="47"/>
      <c r="G2104" s="47"/>
      <c r="H2104" s="47" t="s">
        <v>3605</v>
      </c>
      <c r="I2104" s="47" t="s">
        <v>19465</v>
      </c>
    </row>
    <row r="2105" spans="1:9" ht="15">
      <c r="A2105" s="47">
        <v>17906</v>
      </c>
      <c r="B2105" s="47" t="s">
        <v>8881</v>
      </c>
      <c r="C2105" s="47" t="s">
        <v>8882</v>
      </c>
      <c r="D2105" s="47" t="s">
        <v>8883</v>
      </c>
      <c r="E2105" s="47"/>
      <c r="F2105" s="47"/>
      <c r="G2105" s="47"/>
      <c r="H2105" s="47" t="s">
        <v>3605</v>
      </c>
      <c r="I2105" s="47" t="s">
        <v>19466</v>
      </c>
    </row>
    <row r="2106" spans="1:9" ht="15">
      <c r="A2106" s="47">
        <v>17902</v>
      </c>
      <c r="B2106" s="47" t="s">
        <v>8884</v>
      </c>
      <c r="C2106" s="47" t="s">
        <v>8885</v>
      </c>
      <c r="D2106" s="47" t="s">
        <v>8886</v>
      </c>
      <c r="E2106" s="47"/>
      <c r="F2106" s="47"/>
      <c r="G2106" s="47"/>
      <c r="H2106" s="47" t="s">
        <v>3605</v>
      </c>
      <c r="I2106" s="47" t="s">
        <v>19467</v>
      </c>
    </row>
    <row r="2107" spans="1:9" ht="15">
      <c r="A2107" s="47" t="s">
        <v>8887</v>
      </c>
      <c r="B2107" s="47" t="s">
        <v>8888</v>
      </c>
      <c r="C2107" s="47" t="s">
        <v>8889</v>
      </c>
      <c r="D2107" s="47" t="s">
        <v>8890</v>
      </c>
      <c r="E2107" s="47"/>
      <c r="F2107" s="47"/>
      <c r="G2107" s="47"/>
      <c r="H2107" s="47" t="s">
        <v>3605</v>
      </c>
      <c r="I2107" s="47" t="s">
        <v>8887</v>
      </c>
    </row>
    <row r="2108" spans="1:9" ht="15">
      <c r="A2108" s="47">
        <v>93109</v>
      </c>
      <c r="B2108" s="47" t="s">
        <v>8891</v>
      </c>
      <c r="C2108" s="47" t="s">
        <v>8892</v>
      </c>
      <c r="D2108" s="47" t="s">
        <v>8893</v>
      </c>
      <c r="E2108" s="47"/>
      <c r="F2108" s="47"/>
      <c r="G2108" s="47"/>
      <c r="H2108" s="47" t="s">
        <v>3605</v>
      </c>
      <c r="I2108" s="47" t="s">
        <v>19468</v>
      </c>
    </row>
    <row r="2109" spans="1:9" ht="15">
      <c r="A2109" s="47" t="s">
        <v>8894</v>
      </c>
      <c r="B2109" s="47" t="s">
        <v>8895</v>
      </c>
      <c r="C2109" s="47" t="s">
        <v>8896</v>
      </c>
      <c r="D2109" s="47" t="s">
        <v>8897</v>
      </c>
      <c r="E2109" s="47"/>
      <c r="F2109" s="47"/>
      <c r="G2109" s="47"/>
      <c r="H2109" s="47" t="s">
        <v>3605</v>
      </c>
      <c r="I2109" s="47" t="s">
        <v>8894</v>
      </c>
    </row>
    <row r="2110" spans="1:9" ht="15">
      <c r="A2110" s="47" t="s">
        <v>8898</v>
      </c>
      <c r="B2110" s="47" t="s">
        <v>8899</v>
      </c>
      <c r="C2110" s="47" t="s">
        <v>8900</v>
      </c>
      <c r="D2110" s="47" t="s">
        <v>8901</v>
      </c>
      <c r="E2110" s="47"/>
      <c r="F2110" s="47"/>
      <c r="G2110" s="47"/>
      <c r="H2110" s="47" t="s">
        <v>3605</v>
      </c>
      <c r="I2110" s="47" t="s">
        <v>8898</v>
      </c>
    </row>
    <row r="2111" spans="1:9" ht="15">
      <c r="A2111" s="47" t="s">
        <v>577</v>
      </c>
      <c r="B2111" s="47" t="s">
        <v>8902</v>
      </c>
      <c r="C2111" s="47" t="s">
        <v>8903</v>
      </c>
      <c r="D2111" s="47" t="s">
        <v>8904</v>
      </c>
      <c r="E2111" s="47"/>
      <c r="F2111" s="47" t="s">
        <v>3603</v>
      </c>
      <c r="G2111" s="47" t="s">
        <v>3604</v>
      </c>
      <c r="H2111" s="47" t="s">
        <v>3605</v>
      </c>
      <c r="I2111" s="47" t="s">
        <v>577</v>
      </c>
    </row>
    <row r="2112" spans="1:9" ht="15">
      <c r="A2112" s="47" t="s">
        <v>579</v>
      </c>
      <c r="B2112" s="47" t="s">
        <v>8905</v>
      </c>
      <c r="C2112" s="47" t="s">
        <v>8906</v>
      </c>
      <c r="D2112" s="47" t="s">
        <v>8907</v>
      </c>
      <c r="E2112" s="47"/>
      <c r="F2112" s="47" t="s">
        <v>3603</v>
      </c>
      <c r="G2112" s="47" t="s">
        <v>3604</v>
      </c>
      <c r="H2112" s="47" t="s">
        <v>3605</v>
      </c>
      <c r="I2112" s="47" t="s">
        <v>579</v>
      </c>
    </row>
    <row r="2113" spans="1:9" ht="15">
      <c r="A2113" s="47" t="s">
        <v>583</v>
      </c>
      <c r="B2113" s="47" t="s">
        <v>8908</v>
      </c>
      <c r="C2113" s="47" t="s">
        <v>8909</v>
      </c>
      <c r="D2113" s="47" t="s">
        <v>8910</v>
      </c>
      <c r="E2113" s="47"/>
      <c r="F2113" s="47" t="s">
        <v>3603</v>
      </c>
      <c r="G2113" s="47" t="s">
        <v>3604</v>
      </c>
      <c r="H2113" s="47" t="s">
        <v>3605</v>
      </c>
      <c r="I2113" s="47" t="s">
        <v>583</v>
      </c>
    </row>
    <row r="2114" spans="1:9" ht="15">
      <c r="A2114" s="47" t="s">
        <v>8911</v>
      </c>
      <c r="B2114" s="47" t="s">
        <v>8912</v>
      </c>
      <c r="C2114" s="47" t="s">
        <v>8913</v>
      </c>
      <c r="D2114" s="47" t="s">
        <v>8914</v>
      </c>
      <c r="E2114" s="47"/>
      <c r="F2114" s="47"/>
      <c r="G2114" s="47"/>
      <c r="H2114" s="47" t="s">
        <v>3605</v>
      </c>
      <c r="I2114" s="47" t="s">
        <v>8911</v>
      </c>
    </row>
    <row r="2115" spans="1:9" ht="15">
      <c r="A2115" s="47" t="s">
        <v>591</v>
      </c>
      <c r="B2115" s="47" t="s">
        <v>8915</v>
      </c>
      <c r="C2115" s="47" t="s">
        <v>8916</v>
      </c>
      <c r="D2115" s="47" t="s">
        <v>8917</v>
      </c>
      <c r="E2115" s="47"/>
      <c r="F2115" s="47" t="s">
        <v>3603</v>
      </c>
      <c r="G2115" s="47" t="s">
        <v>3604</v>
      </c>
      <c r="H2115" s="47" t="s">
        <v>3605</v>
      </c>
      <c r="I2115" s="47" t="s">
        <v>591</v>
      </c>
    </row>
    <row r="2116" spans="1:9" ht="15">
      <c r="A2116" s="47" t="s">
        <v>592</v>
      </c>
      <c r="B2116" s="47" t="s">
        <v>8918</v>
      </c>
      <c r="C2116" s="47" t="s">
        <v>8919</v>
      </c>
      <c r="D2116" s="47" t="s">
        <v>8920</v>
      </c>
      <c r="E2116" s="47"/>
      <c r="F2116" s="47" t="s">
        <v>3603</v>
      </c>
      <c r="G2116" s="47" t="s">
        <v>3604</v>
      </c>
      <c r="H2116" s="47" t="s">
        <v>3605</v>
      </c>
      <c r="I2116" s="47" t="s">
        <v>592</v>
      </c>
    </row>
    <row r="2117" spans="1:9" ht="15">
      <c r="A2117" s="47" t="s">
        <v>8921</v>
      </c>
      <c r="B2117" s="47" t="s">
        <v>8922</v>
      </c>
      <c r="C2117" s="47" t="s">
        <v>8923</v>
      </c>
      <c r="D2117" s="47" t="s">
        <v>8924</v>
      </c>
      <c r="E2117" s="47"/>
      <c r="F2117" s="47"/>
      <c r="G2117" s="47"/>
      <c r="H2117" s="47" t="s">
        <v>3605</v>
      </c>
      <c r="I2117" s="47" t="s">
        <v>8921</v>
      </c>
    </row>
    <row r="2118" spans="1:9" ht="15">
      <c r="A2118" s="47" t="s">
        <v>8925</v>
      </c>
      <c r="B2118" s="47" t="s">
        <v>8926</v>
      </c>
      <c r="C2118" s="47" t="s">
        <v>8927</v>
      </c>
      <c r="D2118" s="47" t="s">
        <v>8928</v>
      </c>
      <c r="E2118" s="47"/>
      <c r="F2118" s="47"/>
      <c r="G2118" s="47"/>
      <c r="H2118" s="47" t="s">
        <v>3605</v>
      </c>
      <c r="I2118" s="47" t="s">
        <v>8925</v>
      </c>
    </row>
    <row r="2119" spans="1:9" ht="15">
      <c r="A2119" s="47" t="s">
        <v>3178</v>
      </c>
      <c r="B2119" s="47" t="s">
        <v>8929</v>
      </c>
      <c r="C2119" s="47" t="s">
        <v>8930</v>
      </c>
      <c r="D2119" s="47" t="s">
        <v>8931</v>
      </c>
      <c r="E2119" s="47"/>
      <c r="F2119" s="47"/>
      <c r="G2119" s="47"/>
      <c r="H2119" s="47" t="s">
        <v>3605</v>
      </c>
      <c r="I2119" s="47" t="s">
        <v>3178</v>
      </c>
    </row>
    <row r="2120" spans="1:9" ht="15">
      <c r="A2120" s="47" t="s">
        <v>3180</v>
      </c>
      <c r="B2120" s="47" t="s">
        <v>8932</v>
      </c>
      <c r="C2120" s="47" t="s">
        <v>8933</v>
      </c>
      <c r="D2120" s="47" t="s">
        <v>8934</v>
      </c>
      <c r="E2120" s="47"/>
      <c r="F2120" s="47"/>
      <c r="G2120" s="47"/>
      <c r="H2120" s="47" t="s">
        <v>3605</v>
      </c>
      <c r="I2120" s="47" t="s">
        <v>3180</v>
      </c>
    </row>
    <row r="2121" spans="1:9" ht="15">
      <c r="A2121" s="47" t="s">
        <v>8935</v>
      </c>
      <c r="B2121" s="47" t="s">
        <v>8936</v>
      </c>
      <c r="C2121" s="47" t="s">
        <v>8937</v>
      </c>
      <c r="D2121" s="47" t="s">
        <v>8938</v>
      </c>
      <c r="E2121" s="47"/>
      <c r="F2121" s="47"/>
      <c r="G2121" s="47"/>
      <c r="H2121" s="47" t="s">
        <v>3605</v>
      </c>
      <c r="I2121" s="47" t="s">
        <v>8935</v>
      </c>
    </row>
    <row r="2122" spans="1:9" ht="15">
      <c r="A2122" s="47" t="s">
        <v>3186</v>
      </c>
      <c r="B2122" s="47" t="s">
        <v>8939</v>
      </c>
      <c r="C2122" s="47" t="s">
        <v>8940</v>
      </c>
      <c r="D2122" s="47" t="s">
        <v>8941</v>
      </c>
      <c r="E2122" s="47"/>
      <c r="F2122" s="47"/>
      <c r="G2122" s="47"/>
      <c r="H2122" s="47" t="s">
        <v>3605</v>
      </c>
      <c r="I2122" s="47" t="s">
        <v>3186</v>
      </c>
    </row>
    <row r="2123" spans="1:9" ht="15">
      <c r="A2123" s="47" t="s">
        <v>8942</v>
      </c>
      <c r="B2123" s="47" t="s">
        <v>8943</v>
      </c>
      <c r="C2123" s="47" t="s">
        <v>8944</v>
      </c>
      <c r="D2123" s="47" t="s">
        <v>8945</v>
      </c>
      <c r="E2123" s="47"/>
      <c r="F2123" s="47"/>
      <c r="G2123" s="47"/>
      <c r="H2123" s="47" t="s">
        <v>3605</v>
      </c>
      <c r="I2123" s="47" t="s">
        <v>8942</v>
      </c>
    </row>
    <row r="2124" spans="1:9" ht="15">
      <c r="A2124" s="47" t="s">
        <v>1949</v>
      </c>
      <c r="B2124" s="47" t="s">
        <v>8946</v>
      </c>
      <c r="C2124" s="47" t="s">
        <v>8947</v>
      </c>
      <c r="D2124" s="47" t="s">
        <v>8948</v>
      </c>
      <c r="E2124" s="47"/>
      <c r="F2124" s="47" t="s">
        <v>3603</v>
      </c>
      <c r="G2124" s="47" t="s">
        <v>3604</v>
      </c>
      <c r="H2124" s="47" t="s">
        <v>3605</v>
      </c>
      <c r="I2124" s="47" t="s">
        <v>1949</v>
      </c>
    </row>
    <row r="2125" spans="1:9" ht="15">
      <c r="A2125" s="47" t="s">
        <v>3195</v>
      </c>
      <c r="B2125" s="47" t="s">
        <v>8949</v>
      </c>
      <c r="C2125" s="47" t="s">
        <v>8950</v>
      </c>
      <c r="D2125" s="47" t="s">
        <v>8951</v>
      </c>
      <c r="E2125" s="47"/>
      <c r="F2125" s="47"/>
      <c r="G2125" s="47"/>
      <c r="H2125" s="47" t="s">
        <v>3605</v>
      </c>
      <c r="I2125" s="47" t="s">
        <v>3195</v>
      </c>
    </row>
    <row r="2126" spans="1:9" ht="15">
      <c r="A2126" s="47" t="s">
        <v>3169</v>
      </c>
      <c r="B2126" s="47" t="s">
        <v>8952</v>
      </c>
      <c r="C2126" s="47" t="s">
        <v>8953</v>
      </c>
      <c r="D2126" s="47" t="s">
        <v>8954</v>
      </c>
      <c r="E2126" s="47"/>
      <c r="F2126" s="47"/>
      <c r="G2126" s="47"/>
      <c r="H2126" s="47" t="s">
        <v>3605</v>
      </c>
      <c r="I2126" s="47" t="s">
        <v>3169</v>
      </c>
    </row>
    <row r="2127" spans="1:9" ht="15">
      <c r="A2127" s="47" t="s">
        <v>8955</v>
      </c>
      <c r="B2127" s="47" t="s">
        <v>8956</v>
      </c>
      <c r="C2127" s="47" t="s">
        <v>8957</v>
      </c>
      <c r="D2127" s="47" t="s">
        <v>8958</v>
      </c>
      <c r="E2127" s="47"/>
      <c r="F2127" s="47"/>
      <c r="G2127" s="47"/>
      <c r="H2127" s="47" t="s">
        <v>3605</v>
      </c>
      <c r="I2127" s="47" t="s">
        <v>8955</v>
      </c>
    </row>
    <row r="2128" spans="1:9" ht="15">
      <c r="A2128" s="47" t="s">
        <v>8959</v>
      </c>
      <c r="B2128" s="47" t="s">
        <v>8960</v>
      </c>
      <c r="C2128" s="47" t="s">
        <v>8961</v>
      </c>
      <c r="D2128" s="47" t="s">
        <v>8962</v>
      </c>
      <c r="E2128" s="47"/>
      <c r="F2128" s="47"/>
      <c r="G2128" s="47"/>
      <c r="H2128" s="47" t="s">
        <v>3605</v>
      </c>
      <c r="I2128" s="47" t="s">
        <v>8959</v>
      </c>
    </row>
    <row r="2129" spans="1:9" ht="15">
      <c r="A2129" s="47" t="s">
        <v>8963</v>
      </c>
      <c r="B2129" s="47" t="s">
        <v>8964</v>
      </c>
      <c r="C2129" s="47" t="s">
        <v>8965</v>
      </c>
      <c r="D2129" s="47" t="s">
        <v>8966</v>
      </c>
      <c r="E2129" s="47"/>
      <c r="F2129" s="47"/>
      <c r="G2129" s="47"/>
      <c r="H2129" s="47" t="s">
        <v>3605</v>
      </c>
      <c r="I2129" s="47" t="s">
        <v>8963</v>
      </c>
    </row>
    <row r="2130" spans="1:9" ht="15">
      <c r="A2130" s="47" t="s">
        <v>8967</v>
      </c>
      <c r="B2130" s="47" t="s">
        <v>8968</v>
      </c>
      <c r="C2130" s="47" t="s">
        <v>8969</v>
      </c>
      <c r="D2130" s="47" t="s">
        <v>8970</v>
      </c>
      <c r="E2130" s="47"/>
      <c r="F2130" s="47"/>
      <c r="G2130" s="47"/>
      <c r="H2130" s="47" t="s">
        <v>3605</v>
      </c>
      <c r="I2130" s="47" t="s">
        <v>8967</v>
      </c>
    </row>
    <row r="2131" spans="1:9" ht="15">
      <c r="A2131" s="47" t="s">
        <v>8971</v>
      </c>
      <c r="B2131" s="47" t="s">
        <v>8972</v>
      </c>
      <c r="C2131" s="47" t="s">
        <v>8973</v>
      </c>
      <c r="D2131" s="47" t="s">
        <v>8974</v>
      </c>
      <c r="E2131" s="47"/>
      <c r="F2131" s="47"/>
      <c r="G2131" s="47"/>
      <c r="H2131" s="47" t="s">
        <v>3605</v>
      </c>
      <c r="I2131" s="47" t="s">
        <v>8971</v>
      </c>
    </row>
    <row r="2132" spans="1:9" ht="15">
      <c r="A2132" s="47" t="s">
        <v>8975</v>
      </c>
      <c r="B2132" s="47" t="s">
        <v>8976</v>
      </c>
      <c r="C2132" s="47" t="s">
        <v>8977</v>
      </c>
      <c r="D2132" s="47" t="s">
        <v>8978</v>
      </c>
      <c r="E2132" s="47"/>
      <c r="F2132" s="47"/>
      <c r="G2132" s="47"/>
      <c r="H2132" s="47" t="s">
        <v>3605</v>
      </c>
      <c r="I2132" s="47" t="s">
        <v>8975</v>
      </c>
    </row>
    <row r="2133" spans="1:9" ht="15">
      <c r="A2133" s="47" t="s">
        <v>8979</v>
      </c>
      <c r="B2133" s="47" t="s">
        <v>8980</v>
      </c>
      <c r="C2133" s="47" t="s">
        <v>8981</v>
      </c>
      <c r="D2133" s="47" t="s">
        <v>8982</v>
      </c>
      <c r="E2133" s="47"/>
      <c r="F2133" s="47"/>
      <c r="G2133" s="47"/>
      <c r="H2133" s="47" t="s">
        <v>3605</v>
      </c>
      <c r="I2133" s="47" t="s">
        <v>8979</v>
      </c>
    </row>
    <row r="2134" spans="1:9" ht="15">
      <c r="A2134" s="47" t="s">
        <v>8983</v>
      </c>
      <c r="B2134" s="47" t="s">
        <v>8984</v>
      </c>
      <c r="C2134" s="47" t="s">
        <v>8985</v>
      </c>
      <c r="D2134" s="47" t="s">
        <v>8986</v>
      </c>
      <c r="E2134" s="47"/>
      <c r="F2134" s="47"/>
      <c r="G2134" s="47"/>
      <c r="H2134" s="47" t="s">
        <v>3605</v>
      </c>
      <c r="I2134" s="47" t="s">
        <v>8983</v>
      </c>
    </row>
    <row r="2135" spans="1:9" ht="15">
      <c r="A2135" s="47">
        <v>7219</v>
      </c>
      <c r="B2135" s="47" t="s">
        <v>8987</v>
      </c>
      <c r="C2135" s="47" t="s">
        <v>8988</v>
      </c>
      <c r="D2135" s="47" t="s">
        <v>8989</v>
      </c>
      <c r="E2135" s="47"/>
      <c r="F2135" s="47"/>
      <c r="G2135" s="47"/>
      <c r="H2135" s="47" t="s">
        <v>3605</v>
      </c>
      <c r="I2135" s="47" t="s">
        <v>19469</v>
      </c>
    </row>
    <row r="2136" spans="1:9" ht="15">
      <c r="A2136" s="47" t="s">
        <v>8990</v>
      </c>
      <c r="B2136" s="47" t="s">
        <v>8991</v>
      </c>
      <c r="C2136" s="47" t="s">
        <v>8992</v>
      </c>
      <c r="D2136" s="47" t="s">
        <v>8993</v>
      </c>
      <c r="E2136" s="47"/>
      <c r="F2136" s="47"/>
      <c r="G2136" s="47"/>
      <c r="H2136" s="47" t="s">
        <v>3605</v>
      </c>
      <c r="I2136" s="47" t="s">
        <v>8990</v>
      </c>
    </row>
    <row r="2137" spans="1:9" ht="15">
      <c r="A2137" s="47" t="s">
        <v>8994</v>
      </c>
      <c r="B2137" s="47" t="s">
        <v>8995</v>
      </c>
      <c r="C2137" s="47" t="s">
        <v>8996</v>
      </c>
      <c r="D2137" s="47" t="s">
        <v>8997</v>
      </c>
      <c r="E2137" s="47"/>
      <c r="F2137" s="47"/>
      <c r="G2137" s="47"/>
      <c r="H2137" s="47" t="s">
        <v>3605</v>
      </c>
      <c r="I2137" s="47" t="s">
        <v>8994</v>
      </c>
    </row>
    <row r="2138" spans="1:9" ht="15">
      <c r="A2138" s="47" t="s">
        <v>8998</v>
      </c>
      <c r="B2138" s="47" t="s">
        <v>8999</v>
      </c>
      <c r="C2138" s="47" t="s">
        <v>9000</v>
      </c>
      <c r="D2138" s="47" t="s">
        <v>9001</v>
      </c>
      <c r="E2138" s="47"/>
      <c r="F2138" s="47"/>
      <c r="G2138" s="47"/>
      <c r="H2138" s="47" t="s">
        <v>3605</v>
      </c>
      <c r="I2138" s="47" t="s">
        <v>8998</v>
      </c>
    </row>
    <row r="2139" spans="1:9" ht="15">
      <c r="A2139" s="47" t="s">
        <v>9002</v>
      </c>
      <c r="B2139" s="47" t="s">
        <v>9003</v>
      </c>
      <c r="C2139" s="47" t="s">
        <v>9004</v>
      </c>
      <c r="D2139" s="47" t="s">
        <v>9005</v>
      </c>
      <c r="E2139" s="47"/>
      <c r="F2139" s="47"/>
      <c r="G2139" s="47"/>
      <c r="H2139" s="47" t="s">
        <v>3605</v>
      </c>
      <c r="I2139" s="47" t="s">
        <v>9002</v>
      </c>
    </row>
    <row r="2140" spans="1:9" ht="15">
      <c r="A2140" s="47" t="s">
        <v>9006</v>
      </c>
      <c r="B2140" s="47" t="s">
        <v>9007</v>
      </c>
      <c r="C2140" s="47" t="s">
        <v>9008</v>
      </c>
      <c r="D2140" s="47" t="s">
        <v>9009</v>
      </c>
      <c r="E2140" s="47"/>
      <c r="F2140" s="47"/>
      <c r="G2140" s="47"/>
      <c r="H2140" s="47" t="s">
        <v>3605</v>
      </c>
      <c r="I2140" s="47" t="s">
        <v>9006</v>
      </c>
    </row>
    <row r="2141" spans="1:9" ht="15">
      <c r="A2141" s="47">
        <v>11132</v>
      </c>
      <c r="B2141" s="47" t="s">
        <v>9010</v>
      </c>
      <c r="C2141" s="47" t="s">
        <v>9011</v>
      </c>
      <c r="D2141" s="47" t="s">
        <v>9012</v>
      </c>
      <c r="E2141" s="47"/>
      <c r="F2141" s="47" t="s">
        <v>3603</v>
      </c>
      <c r="G2141" s="47" t="s">
        <v>3604</v>
      </c>
      <c r="H2141" s="47" t="s">
        <v>3605</v>
      </c>
      <c r="I2141" s="47" t="s">
        <v>19470</v>
      </c>
    </row>
    <row r="2142" spans="1:9" ht="15">
      <c r="A2142" s="47" t="s">
        <v>612</v>
      </c>
      <c r="B2142" s="47" t="s">
        <v>9013</v>
      </c>
      <c r="C2142" s="47" t="s">
        <v>9014</v>
      </c>
      <c r="D2142" s="47" t="s">
        <v>9015</v>
      </c>
      <c r="E2142" s="47"/>
      <c r="F2142" s="47" t="s">
        <v>3603</v>
      </c>
      <c r="G2142" s="47" t="s">
        <v>3604</v>
      </c>
      <c r="H2142" s="47" t="s">
        <v>3605</v>
      </c>
      <c r="I2142" s="47" t="s">
        <v>612</v>
      </c>
    </row>
    <row r="2143" spans="1:9" ht="15">
      <c r="A2143" s="47" t="s">
        <v>613</v>
      </c>
      <c r="B2143" s="47" t="s">
        <v>9016</v>
      </c>
      <c r="C2143" s="47" t="s">
        <v>9017</v>
      </c>
      <c r="D2143" s="47" t="s">
        <v>9018</v>
      </c>
      <c r="E2143" s="47"/>
      <c r="F2143" s="47" t="s">
        <v>3603</v>
      </c>
      <c r="G2143" s="47" t="s">
        <v>3604</v>
      </c>
      <c r="H2143" s="47" t="s">
        <v>3605</v>
      </c>
      <c r="I2143" s="47" t="s">
        <v>613</v>
      </c>
    </row>
    <row r="2144" spans="1:9" ht="15">
      <c r="A2144" s="47" t="s">
        <v>614</v>
      </c>
      <c r="B2144" s="47" t="s">
        <v>9019</v>
      </c>
      <c r="C2144" s="47" t="s">
        <v>9020</v>
      </c>
      <c r="D2144" s="47" t="s">
        <v>9021</v>
      </c>
      <c r="E2144" s="47"/>
      <c r="F2144" s="47" t="s">
        <v>3603</v>
      </c>
      <c r="G2144" s="47" t="s">
        <v>3604</v>
      </c>
      <c r="H2144" s="47" t="s">
        <v>3605</v>
      </c>
      <c r="I2144" s="47" t="s">
        <v>614</v>
      </c>
    </row>
    <row r="2145" spans="1:9" ht="15">
      <c r="A2145" s="47" t="s">
        <v>615</v>
      </c>
      <c r="B2145" s="47" t="s">
        <v>9022</v>
      </c>
      <c r="C2145" s="47" t="s">
        <v>9023</v>
      </c>
      <c r="D2145" s="47" t="s">
        <v>9024</v>
      </c>
      <c r="E2145" s="47"/>
      <c r="F2145" s="47" t="s">
        <v>3603</v>
      </c>
      <c r="G2145" s="47" t="s">
        <v>3604</v>
      </c>
      <c r="H2145" s="47" t="s">
        <v>3605</v>
      </c>
      <c r="I2145" s="47" t="s">
        <v>615</v>
      </c>
    </row>
    <row r="2146" spans="1:9" ht="15">
      <c r="A2146" s="47" t="s">
        <v>616</v>
      </c>
      <c r="B2146" s="47" t="s">
        <v>9025</v>
      </c>
      <c r="C2146" s="47" t="s">
        <v>9026</v>
      </c>
      <c r="D2146" s="47" t="s">
        <v>9027</v>
      </c>
      <c r="E2146" s="47"/>
      <c r="F2146" s="47" t="s">
        <v>3603</v>
      </c>
      <c r="G2146" s="47" t="s">
        <v>3604</v>
      </c>
      <c r="H2146" s="47" t="s">
        <v>3605</v>
      </c>
      <c r="I2146" s="47" t="s">
        <v>616</v>
      </c>
    </row>
    <row r="2147" spans="1:9" ht="15">
      <c r="A2147" s="47" t="s">
        <v>617</v>
      </c>
      <c r="B2147" s="47" t="s">
        <v>9028</v>
      </c>
      <c r="C2147" s="47" t="s">
        <v>9029</v>
      </c>
      <c r="D2147" s="47" t="s">
        <v>9030</v>
      </c>
      <c r="E2147" s="47"/>
      <c r="F2147" s="47" t="s">
        <v>3603</v>
      </c>
      <c r="G2147" s="47" t="s">
        <v>3604</v>
      </c>
      <c r="H2147" s="47" t="s">
        <v>3605</v>
      </c>
      <c r="I2147" s="47" t="s">
        <v>617</v>
      </c>
    </row>
    <row r="2148" spans="1:9" ht="15">
      <c r="A2148" s="47" t="s">
        <v>618</v>
      </c>
      <c r="B2148" s="47" t="s">
        <v>9031</v>
      </c>
      <c r="C2148" s="47" t="s">
        <v>9032</v>
      </c>
      <c r="D2148" s="47" t="s">
        <v>9033</v>
      </c>
      <c r="E2148" s="47"/>
      <c r="F2148" s="47" t="s">
        <v>3603</v>
      </c>
      <c r="G2148" s="47" t="s">
        <v>3604</v>
      </c>
      <c r="H2148" s="47" t="s">
        <v>3605</v>
      </c>
      <c r="I2148" s="47" t="s">
        <v>618</v>
      </c>
    </row>
    <row r="2149" spans="1:9" ht="15">
      <c r="A2149" s="47" t="s">
        <v>9034</v>
      </c>
      <c r="B2149" s="47" t="s">
        <v>9035</v>
      </c>
      <c r="C2149" s="47" t="s">
        <v>9036</v>
      </c>
      <c r="D2149" s="47" t="s">
        <v>9037</v>
      </c>
      <c r="E2149" s="47"/>
      <c r="F2149" s="47"/>
      <c r="G2149" s="47"/>
      <c r="H2149" s="47" t="s">
        <v>3605</v>
      </c>
      <c r="I2149" s="47" t="s">
        <v>9034</v>
      </c>
    </row>
    <row r="2150" spans="1:9" ht="15">
      <c r="A2150" s="47" t="s">
        <v>620</v>
      </c>
      <c r="B2150" s="47" t="s">
        <v>9038</v>
      </c>
      <c r="C2150" s="47" t="s">
        <v>9039</v>
      </c>
      <c r="D2150" s="47" t="s">
        <v>9040</v>
      </c>
      <c r="E2150" s="47"/>
      <c r="F2150" s="47" t="s">
        <v>3603</v>
      </c>
      <c r="G2150" s="47" t="s">
        <v>3604</v>
      </c>
      <c r="H2150" s="47" t="s">
        <v>3605</v>
      </c>
      <c r="I2150" s="47" t="s">
        <v>620</v>
      </c>
    </row>
    <row r="2151" spans="1:9" ht="15">
      <c r="A2151" s="47" t="s">
        <v>621</v>
      </c>
      <c r="B2151" s="47" t="s">
        <v>9041</v>
      </c>
      <c r="C2151" s="47" t="s">
        <v>9042</v>
      </c>
      <c r="D2151" s="47" t="s">
        <v>9043</v>
      </c>
      <c r="E2151" s="47"/>
      <c r="F2151" s="47" t="s">
        <v>3603</v>
      </c>
      <c r="G2151" s="47" t="s">
        <v>3604</v>
      </c>
      <c r="H2151" s="47" t="s">
        <v>3605</v>
      </c>
      <c r="I2151" s="47" t="s">
        <v>621</v>
      </c>
    </row>
    <row r="2152" spans="1:9" ht="15">
      <c r="A2152" s="47" t="s">
        <v>623</v>
      </c>
      <c r="B2152" s="47" t="s">
        <v>9044</v>
      </c>
      <c r="C2152" s="47" t="s">
        <v>9045</v>
      </c>
      <c r="D2152" s="47" t="s">
        <v>9046</v>
      </c>
      <c r="E2152" s="47"/>
      <c r="F2152" s="47" t="s">
        <v>3603</v>
      </c>
      <c r="G2152" s="47" t="s">
        <v>3604</v>
      </c>
      <c r="H2152" s="47" t="s">
        <v>3605</v>
      </c>
      <c r="I2152" s="47" t="s">
        <v>623</v>
      </c>
    </row>
    <row r="2153" spans="1:9" ht="15">
      <c r="A2153" s="47" t="s">
        <v>625</v>
      </c>
      <c r="B2153" s="47" t="s">
        <v>9047</v>
      </c>
      <c r="C2153" s="47" t="s">
        <v>9048</v>
      </c>
      <c r="D2153" s="47" t="s">
        <v>9049</v>
      </c>
      <c r="E2153" s="47"/>
      <c r="F2153" s="47"/>
      <c r="G2153" s="47"/>
      <c r="H2153" s="47" t="s">
        <v>3605</v>
      </c>
      <c r="I2153" s="47" t="s">
        <v>625</v>
      </c>
    </row>
    <row r="2154" spans="1:9" ht="15">
      <c r="A2154" s="47" t="s">
        <v>9050</v>
      </c>
      <c r="B2154" s="47" t="s">
        <v>9051</v>
      </c>
      <c r="C2154" s="47" t="s">
        <v>9052</v>
      </c>
      <c r="D2154" s="47" t="s">
        <v>9053</v>
      </c>
      <c r="E2154" s="47"/>
      <c r="F2154" s="47"/>
      <c r="G2154" s="47"/>
      <c r="H2154" s="47" t="s">
        <v>3605</v>
      </c>
      <c r="I2154" s="47" t="s">
        <v>9050</v>
      </c>
    </row>
    <row r="2155" spans="1:9" ht="15">
      <c r="A2155" s="47" t="s">
        <v>626</v>
      </c>
      <c r="B2155" s="47" t="s">
        <v>9054</v>
      </c>
      <c r="C2155" s="47" t="s">
        <v>9055</v>
      </c>
      <c r="D2155" s="47" t="s">
        <v>9056</v>
      </c>
      <c r="E2155" s="47"/>
      <c r="F2155" s="47" t="s">
        <v>3603</v>
      </c>
      <c r="G2155" s="47" t="s">
        <v>3604</v>
      </c>
      <c r="H2155" s="47" t="s">
        <v>3605</v>
      </c>
      <c r="I2155" s="47" t="s">
        <v>626</v>
      </c>
    </row>
    <row r="2156" spans="1:9" ht="15">
      <c r="A2156" s="47" t="s">
        <v>2884</v>
      </c>
      <c r="B2156" s="47" t="s">
        <v>9057</v>
      </c>
      <c r="C2156" s="47" t="s">
        <v>9058</v>
      </c>
      <c r="D2156" s="47" t="s">
        <v>9059</v>
      </c>
      <c r="E2156" s="47"/>
      <c r="F2156" s="47"/>
      <c r="G2156" s="47"/>
      <c r="H2156" s="47" t="s">
        <v>3605</v>
      </c>
      <c r="I2156" s="47" t="s">
        <v>2884</v>
      </c>
    </row>
    <row r="2157" spans="1:9" ht="15">
      <c r="A2157" s="47" t="s">
        <v>9060</v>
      </c>
      <c r="B2157" s="47" t="s">
        <v>9061</v>
      </c>
      <c r="C2157" s="47" t="s">
        <v>9062</v>
      </c>
      <c r="D2157" s="47" t="s">
        <v>9063</v>
      </c>
      <c r="E2157" s="47"/>
      <c r="F2157" s="47"/>
      <c r="G2157" s="47"/>
      <c r="H2157" s="47" t="s">
        <v>3605</v>
      </c>
      <c r="I2157" s="47" t="s">
        <v>9060</v>
      </c>
    </row>
    <row r="2158" spans="1:9" ht="15">
      <c r="A2158" s="47" t="s">
        <v>2888</v>
      </c>
      <c r="B2158" s="47" t="s">
        <v>9064</v>
      </c>
      <c r="C2158" s="47" t="s">
        <v>9065</v>
      </c>
      <c r="D2158" s="47" t="s">
        <v>9066</v>
      </c>
      <c r="E2158" s="47"/>
      <c r="F2158" s="47"/>
      <c r="G2158" s="47"/>
      <c r="H2158" s="47" t="s">
        <v>3605</v>
      </c>
      <c r="I2158" s="47" t="s">
        <v>2888</v>
      </c>
    </row>
    <row r="2159" spans="1:9" ht="15">
      <c r="A2159" s="47" t="s">
        <v>2890</v>
      </c>
      <c r="B2159" s="47" t="s">
        <v>9067</v>
      </c>
      <c r="C2159" s="47" t="s">
        <v>9068</v>
      </c>
      <c r="D2159" s="47" t="s">
        <v>9069</v>
      </c>
      <c r="E2159" s="47"/>
      <c r="F2159" s="47"/>
      <c r="G2159" s="47"/>
      <c r="H2159" s="47" t="s">
        <v>3605</v>
      </c>
      <c r="I2159" s="47" t="s">
        <v>2890</v>
      </c>
    </row>
    <row r="2160" spans="1:9" ht="15">
      <c r="A2160" s="47" t="s">
        <v>624</v>
      </c>
      <c r="B2160" s="47" t="s">
        <v>9070</v>
      </c>
      <c r="C2160" s="47" t="s">
        <v>9071</v>
      </c>
      <c r="D2160" s="47" t="s">
        <v>9072</v>
      </c>
      <c r="E2160" s="47"/>
      <c r="F2160" s="47"/>
      <c r="G2160" s="47"/>
      <c r="H2160" s="47" t="s">
        <v>3605</v>
      </c>
      <c r="I2160" s="47" t="s">
        <v>624</v>
      </c>
    </row>
    <row r="2161" spans="1:9" ht="15">
      <c r="A2161" s="47" t="s">
        <v>9073</v>
      </c>
      <c r="B2161" s="47" t="s">
        <v>9074</v>
      </c>
      <c r="C2161" s="47" t="s">
        <v>9075</v>
      </c>
      <c r="D2161" s="47" t="s">
        <v>9076</v>
      </c>
      <c r="E2161" s="47"/>
      <c r="F2161" s="47"/>
      <c r="G2161" s="47"/>
      <c r="H2161" s="47" t="s">
        <v>3605</v>
      </c>
      <c r="I2161" s="47" t="s">
        <v>9073</v>
      </c>
    </row>
    <row r="2162" spans="1:9" ht="15">
      <c r="A2162" s="47" t="s">
        <v>9077</v>
      </c>
      <c r="B2162" s="47" t="s">
        <v>9078</v>
      </c>
      <c r="C2162" s="47" t="s">
        <v>9079</v>
      </c>
      <c r="D2162" s="47" t="s">
        <v>9080</v>
      </c>
      <c r="E2162" s="47"/>
      <c r="F2162" s="47"/>
      <c r="G2162" s="47"/>
      <c r="H2162" s="47" t="s">
        <v>3605</v>
      </c>
      <c r="I2162" s="47" t="s">
        <v>9077</v>
      </c>
    </row>
    <row r="2163" spans="1:9" ht="15">
      <c r="A2163" s="47" t="s">
        <v>9081</v>
      </c>
      <c r="B2163" s="47" t="s">
        <v>9082</v>
      </c>
      <c r="C2163" s="47" t="s">
        <v>9083</v>
      </c>
      <c r="D2163" s="47" t="s">
        <v>9084</v>
      </c>
      <c r="E2163" s="47"/>
      <c r="F2163" s="47"/>
      <c r="G2163" s="47"/>
      <c r="H2163" s="47" t="s">
        <v>3605</v>
      </c>
      <c r="I2163" s="47" t="s">
        <v>9081</v>
      </c>
    </row>
    <row r="2164" spans="1:9" ht="15">
      <c r="A2164" s="47" t="s">
        <v>9085</v>
      </c>
      <c r="B2164" s="47" t="s">
        <v>9086</v>
      </c>
      <c r="C2164" s="47" t="s">
        <v>9087</v>
      </c>
      <c r="D2164" s="47" t="s">
        <v>9088</v>
      </c>
      <c r="E2164" s="47"/>
      <c r="F2164" s="47"/>
      <c r="G2164" s="47"/>
      <c r="H2164" s="47" t="s">
        <v>3605</v>
      </c>
      <c r="I2164" s="47" t="s">
        <v>9085</v>
      </c>
    </row>
    <row r="2165" spans="1:9" ht="15">
      <c r="A2165" s="47" t="s">
        <v>9089</v>
      </c>
      <c r="B2165" s="47" t="s">
        <v>9090</v>
      </c>
      <c r="C2165" s="47" t="s">
        <v>9091</v>
      </c>
      <c r="D2165" s="47" t="s">
        <v>9092</v>
      </c>
      <c r="E2165" s="47"/>
      <c r="F2165" s="47"/>
      <c r="G2165" s="47"/>
      <c r="H2165" s="47" t="s">
        <v>3605</v>
      </c>
      <c r="I2165" s="47" t="s">
        <v>9089</v>
      </c>
    </row>
    <row r="2166" spans="1:9" ht="15">
      <c r="A2166" s="47" t="s">
        <v>9093</v>
      </c>
      <c r="B2166" s="47" t="s">
        <v>9094</v>
      </c>
      <c r="C2166" s="47" t="s">
        <v>9095</v>
      </c>
      <c r="D2166" s="47" t="s">
        <v>9096</v>
      </c>
      <c r="E2166" s="47"/>
      <c r="F2166" s="47"/>
      <c r="G2166" s="47"/>
      <c r="H2166" s="47" t="s">
        <v>3605</v>
      </c>
      <c r="I2166" s="47" t="s">
        <v>9093</v>
      </c>
    </row>
    <row r="2167" spans="1:9" ht="15">
      <c r="A2167" s="47">
        <v>19064</v>
      </c>
      <c r="B2167" s="47" t="s">
        <v>9097</v>
      </c>
      <c r="C2167" s="47" t="s">
        <v>9098</v>
      </c>
      <c r="D2167" s="47" t="s">
        <v>9099</v>
      </c>
      <c r="E2167" s="47"/>
      <c r="F2167" s="47" t="s">
        <v>3603</v>
      </c>
      <c r="G2167" s="47" t="s">
        <v>3604</v>
      </c>
      <c r="H2167" s="47" t="s">
        <v>3605</v>
      </c>
      <c r="I2167" s="47" t="s">
        <v>19471</v>
      </c>
    </row>
    <row r="2168" spans="1:9" ht="15">
      <c r="A2168" s="47" t="s">
        <v>9100</v>
      </c>
      <c r="B2168" s="47" t="s">
        <v>9101</v>
      </c>
      <c r="C2168" s="47" t="s">
        <v>9102</v>
      </c>
      <c r="D2168" s="47" t="s">
        <v>9103</v>
      </c>
      <c r="E2168" s="47"/>
      <c r="F2168" s="47"/>
      <c r="G2168" s="47"/>
      <c r="H2168" s="47" t="s">
        <v>3605</v>
      </c>
      <c r="I2168" s="47" t="s">
        <v>9100</v>
      </c>
    </row>
    <row r="2169" spans="1:9" ht="15">
      <c r="A2169" s="47" t="s">
        <v>1941</v>
      </c>
      <c r="B2169" s="47" t="s">
        <v>9104</v>
      </c>
      <c r="C2169" s="47" t="s">
        <v>9105</v>
      </c>
      <c r="D2169" s="47" t="s">
        <v>9106</v>
      </c>
      <c r="E2169" s="47"/>
      <c r="F2169" s="47" t="s">
        <v>3603</v>
      </c>
      <c r="G2169" s="47" t="s">
        <v>3604</v>
      </c>
      <c r="H2169" s="47" t="s">
        <v>3605</v>
      </c>
      <c r="I2169" s="47" t="s">
        <v>1941</v>
      </c>
    </row>
    <row r="2170" spans="1:9" ht="15">
      <c r="A2170" s="47" t="s">
        <v>1939</v>
      </c>
      <c r="B2170" s="47" t="s">
        <v>9107</v>
      </c>
      <c r="C2170" s="47" t="s">
        <v>9108</v>
      </c>
      <c r="D2170" s="47" t="s">
        <v>9109</v>
      </c>
      <c r="E2170" s="47"/>
      <c r="F2170" s="47" t="s">
        <v>3603</v>
      </c>
      <c r="G2170" s="47" t="s">
        <v>3604</v>
      </c>
      <c r="H2170" s="47" t="s">
        <v>3605</v>
      </c>
      <c r="I2170" s="47" t="s">
        <v>1939</v>
      </c>
    </row>
    <row r="2171" spans="1:9" ht="15">
      <c r="A2171" s="47" t="s">
        <v>1946</v>
      </c>
      <c r="B2171" s="47" t="s">
        <v>9110</v>
      </c>
      <c r="C2171" s="47" t="s">
        <v>9111</v>
      </c>
      <c r="D2171" s="47" t="s">
        <v>9112</v>
      </c>
      <c r="E2171" s="47"/>
      <c r="F2171" s="47" t="s">
        <v>3603</v>
      </c>
      <c r="G2171" s="47" t="s">
        <v>3604</v>
      </c>
      <c r="H2171" s="47" t="s">
        <v>3605</v>
      </c>
      <c r="I2171" s="47" t="s">
        <v>1946</v>
      </c>
    </row>
    <row r="2172" spans="1:9" ht="15">
      <c r="A2172" s="47" t="s">
        <v>1947</v>
      </c>
      <c r="B2172" s="47" t="s">
        <v>9113</v>
      </c>
      <c r="C2172" s="47" t="s">
        <v>9114</v>
      </c>
      <c r="D2172" s="47" t="s">
        <v>9115</v>
      </c>
      <c r="E2172" s="47"/>
      <c r="F2172" s="47" t="s">
        <v>3603</v>
      </c>
      <c r="G2172" s="47" t="s">
        <v>3604</v>
      </c>
      <c r="H2172" s="47" t="s">
        <v>3605</v>
      </c>
      <c r="I2172" s="47" t="s">
        <v>1947</v>
      </c>
    </row>
    <row r="2173" spans="1:9" ht="15">
      <c r="A2173" s="47" t="s">
        <v>1937</v>
      </c>
      <c r="B2173" s="47" t="s">
        <v>9116</v>
      </c>
      <c r="C2173" s="47" t="s">
        <v>9117</v>
      </c>
      <c r="D2173" s="47" t="s">
        <v>9106</v>
      </c>
      <c r="E2173" s="47"/>
      <c r="F2173" s="47" t="s">
        <v>3603</v>
      </c>
      <c r="G2173" s="47" t="s">
        <v>3604</v>
      </c>
      <c r="H2173" s="47" t="s">
        <v>3605</v>
      </c>
      <c r="I2173" s="47" t="s">
        <v>1937</v>
      </c>
    </row>
    <row r="2174" spans="1:9" ht="15">
      <c r="A2174" s="47" t="s">
        <v>1935</v>
      </c>
      <c r="B2174" s="47" t="s">
        <v>9118</v>
      </c>
      <c r="C2174" s="47" t="s">
        <v>9119</v>
      </c>
      <c r="D2174" s="47" t="s">
        <v>9120</v>
      </c>
      <c r="E2174" s="47"/>
      <c r="F2174" s="47" t="s">
        <v>3603</v>
      </c>
      <c r="G2174" s="47" t="s">
        <v>3604</v>
      </c>
      <c r="H2174" s="47" t="s">
        <v>3605</v>
      </c>
      <c r="I2174" s="47" t="s">
        <v>1935</v>
      </c>
    </row>
    <row r="2175" spans="1:9" ht="15">
      <c r="A2175" s="47" t="s">
        <v>1943</v>
      </c>
      <c r="B2175" s="47" t="s">
        <v>9121</v>
      </c>
      <c r="C2175" s="47" t="s">
        <v>9122</v>
      </c>
      <c r="D2175" s="47" t="s">
        <v>9112</v>
      </c>
      <c r="E2175" s="47"/>
      <c r="F2175" s="47" t="s">
        <v>3603</v>
      </c>
      <c r="G2175" s="47" t="s">
        <v>3604</v>
      </c>
      <c r="H2175" s="47" t="s">
        <v>3605</v>
      </c>
      <c r="I2175" s="47" t="s">
        <v>1943</v>
      </c>
    </row>
    <row r="2176" spans="1:9" ht="15">
      <c r="A2176" s="47" t="s">
        <v>1942</v>
      </c>
      <c r="B2176" s="47" t="s">
        <v>9123</v>
      </c>
      <c r="C2176" s="47" t="s">
        <v>9124</v>
      </c>
      <c r="D2176" s="47" t="s">
        <v>9115</v>
      </c>
      <c r="E2176" s="47"/>
      <c r="F2176" s="47" t="s">
        <v>3603</v>
      </c>
      <c r="G2176" s="47" t="s">
        <v>3604</v>
      </c>
      <c r="H2176" s="47" t="s">
        <v>3605</v>
      </c>
      <c r="I2176" s="47" t="s">
        <v>1942</v>
      </c>
    </row>
    <row r="2177" spans="1:9" ht="15">
      <c r="A2177" s="47" t="s">
        <v>1933</v>
      </c>
      <c r="B2177" s="47" t="s">
        <v>9125</v>
      </c>
      <c r="C2177" s="47" t="s">
        <v>9126</v>
      </c>
      <c r="D2177" s="47" t="s">
        <v>9127</v>
      </c>
      <c r="E2177" s="47"/>
      <c r="F2177" s="47" t="s">
        <v>3603</v>
      </c>
      <c r="G2177" s="47" t="s">
        <v>3604</v>
      </c>
      <c r="H2177" s="47" t="s">
        <v>3605</v>
      </c>
      <c r="I2177" s="47" t="s">
        <v>1933</v>
      </c>
    </row>
    <row r="2178" spans="1:9" ht="15">
      <c r="A2178" s="47" t="s">
        <v>9128</v>
      </c>
      <c r="B2178" s="47" t="s">
        <v>9129</v>
      </c>
      <c r="C2178" s="47" t="s">
        <v>9130</v>
      </c>
      <c r="D2178" s="47" t="s">
        <v>9131</v>
      </c>
      <c r="E2178" s="47"/>
      <c r="F2178" s="47"/>
      <c r="G2178" s="47"/>
      <c r="H2178" s="47" t="s">
        <v>3605</v>
      </c>
      <c r="I2178" s="47" t="s">
        <v>9128</v>
      </c>
    </row>
    <row r="2179" spans="1:9" ht="15">
      <c r="A2179" s="47" t="s">
        <v>1936</v>
      </c>
      <c r="B2179" s="47" t="s">
        <v>9132</v>
      </c>
      <c r="C2179" s="47" t="s">
        <v>9133</v>
      </c>
      <c r="D2179" s="47" t="s">
        <v>9106</v>
      </c>
      <c r="E2179" s="47"/>
      <c r="F2179" s="47" t="s">
        <v>3603</v>
      </c>
      <c r="G2179" s="47" t="s">
        <v>3604</v>
      </c>
      <c r="H2179" s="47" t="s">
        <v>3605</v>
      </c>
      <c r="I2179" s="47" t="s">
        <v>1936</v>
      </c>
    </row>
    <row r="2180" spans="1:9" ht="15">
      <c r="A2180" s="47" t="s">
        <v>1940</v>
      </c>
      <c r="B2180" s="47" t="s">
        <v>9134</v>
      </c>
      <c r="C2180" s="47" t="s">
        <v>9135</v>
      </c>
      <c r="D2180" s="47" t="s">
        <v>9109</v>
      </c>
      <c r="E2180" s="47"/>
      <c r="F2180" s="47" t="s">
        <v>3603</v>
      </c>
      <c r="G2180" s="47" t="s">
        <v>3604</v>
      </c>
      <c r="H2180" s="47" t="s">
        <v>3605</v>
      </c>
      <c r="I2180" s="47" t="s">
        <v>1940</v>
      </c>
    </row>
    <row r="2181" spans="1:9" ht="15">
      <c r="A2181" s="47" t="s">
        <v>1934</v>
      </c>
      <c r="B2181" s="47" t="s">
        <v>9136</v>
      </c>
      <c r="C2181" s="47" t="s">
        <v>9137</v>
      </c>
      <c r="D2181" s="47" t="s">
        <v>9112</v>
      </c>
      <c r="E2181" s="47"/>
      <c r="F2181" s="47" t="s">
        <v>3603</v>
      </c>
      <c r="G2181" s="47" t="s">
        <v>3604</v>
      </c>
      <c r="H2181" s="47" t="s">
        <v>3605</v>
      </c>
      <c r="I2181" s="47" t="s">
        <v>1934</v>
      </c>
    </row>
    <row r="2182" spans="1:9" ht="15">
      <c r="A2182" s="47" t="s">
        <v>1945</v>
      </c>
      <c r="B2182" s="47" t="s">
        <v>9138</v>
      </c>
      <c r="C2182" s="47" t="s">
        <v>9139</v>
      </c>
      <c r="D2182" s="47" t="s">
        <v>9115</v>
      </c>
      <c r="E2182" s="47"/>
      <c r="F2182" s="47" t="s">
        <v>3603</v>
      </c>
      <c r="G2182" s="47" t="s">
        <v>3604</v>
      </c>
      <c r="H2182" s="47" t="s">
        <v>3605</v>
      </c>
      <c r="I2182" s="47" t="s">
        <v>1945</v>
      </c>
    </row>
    <row r="2183" spans="1:9" ht="15">
      <c r="A2183" s="47" t="s">
        <v>1938</v>
      </c>
      <c r="B2183" s="47" t="s">
        <v>9140</v>
      </c>
      <c r="C2183" s="47" t="s">
        <v>9141</v>
      </c>
      <c r="D2183" s="47" t="s">
        <v>9127</v>
      </c>
      <c r="E2183" s="47"/>
      <c r="F2183" s="47" t="s">
        <v>3603</v>
      </c>
      <c r="G2183" s="47" t="s">
        <v>3604</v>
      </c>
      <c r="H2183" s="47" t="s">
        <v>3605</v>
      </c>
      <c r="I2183" s="47" t="s">
        <v>1938</v>
      </c>
    </row>
    <row r="2184" spans="1:9" ht="15">
      <c r="A2184" s="47">
        <v>11107</v>
      </c>
      <c r="B2184" s="47" t="s">
        <v>9142</v>
      </c>
      <c r="C2184" s="47" t="s">
        <v>9143</v>
      </c>
      <c r="D2184" s="47" t="s">
        <v>9144</v>
      </c>
      <c r="E2184" s="47"/>
      <c r="F2184" s="47"/>
      <c r="G2184" s="47"/>
      <c r="H2184" s="47" t="s">
        <v>3605</v>
      </c>
      <c r="I2184" s="47" t="s">
        <v>19472</v>
      </c>
    </row>
    <row r="2185" spans="1:9" ht="15">
      <c r="A2185" s="47">
        <v>11108</v>
      </c>
      <c r="B2185" s="47" t="s">
        <v>9145</v>
      </c>
      <c r="C2185" s="47" t="s">
        <v>9146</v>
      </c>
      <c r="D2185" s="47" t="s">
        <v>9147</v>
      </c>
      <c r="E2185" s="47"/>
      <c r="F2185" s="47"/>
      <c r="G2185" s="47"/>
      <c r="H2185" s="47" t="s">
        <v>3605</v>
      </c>
      <c r="I2185" s="47" t="s">
        <v>19473</v>
      </c>
    </row>
    <row r="2186" spans="1:9" ht="15">
      <c r="A2186" s="47">
        <v>11110</v>
      </c>
      <c r="B2186" s="47" t="s">
        <v>9148</v>
      </c>
      <c r="C2186" s="47" t="s">
        <v>9149</v>
      </c>
      <c r="D2186" s="47" t="s">
        <v>9150</v>
      </c>
      <c r="E2186" s="47"/>
      <c r="F2186" s="47"/>
      <c r="G2186" s="47"/>
      <c r="H2186" s="47" t="s">
        <v>3605</v>
      </c>
      <c r="I2186" s="47" t="s">
        <v>19474</v>
      </c>
    </row>
    <row r="2187" spans="1:9" ht="15">
      <c r="A2187" s="47">
        <v>11111</v>
      </c>
      <c r="B2187" s="47" t="s">
        <v>9151</v>
      </c>
      <c r="C2187" s="47" t="s">
        <v>9152</v>
      </c>
      <c r="D2187" s="47" t="s">
        <v>9153</v>
      </c>
      <c r="E2187" s="47"/>
      <c r="F2187" s="47"/>
      <c r="G2187" s="47"/>
      <c r="H2187" s="47" t="s">
        <v>3605</v>
      </c>
      <c r="I2187" s="47" t="s">
        <v>19475</v>
      </c>
    </row>
    <row r="2188" spans="1:9" ht="15">
      <c r="A2188" s="47">
        <v>11114</v>
      </c>
      <c r="B2188" s="47" t="s">
        <v>9154</v>
      </c>
      <c r="C2188" s="47" t="s">
        <v>9155</v>
      </c>
      <c r="D2188" s="47" t="s">
        <v>9156</v>
      </c>
      <c r="E2188" s="47"/>
      <c r="F2188" s="47"/>
      <c r="G2188" s="47"/>
      <c r="H2188" s="47" t="s">
        <v>3605</v>
      </c>
      <c r="I2188" s="47" t="s">
        <v>19476</v>
      </c>
    </row>
    <row r="2189" spans="1:9" ht="15">
      <c r="A2189" s="47">
        <v>19061</v>
      </c>
      <c r="B2189" s="47" t="s">
        <v>9157</v>
      </c>
      <c r="C2189" s="47" t="s">
        <v>9158</v>
      </c>
      <c r="D2189" s="47" t="s">
        <v>9159</v>
      </c>
      <c r="E2189" s="47"/>
      <c r="F2189" s="47"/>
      <c r="G2189" s="47"/>
      <c r="H2189" s="47" t="s">
        <v>3605</v>
      </c>
      <c r="I2189" s="47" t="s">
        <v>19477</v>
      </c>
    </row>
    <row r="2190" spans="1:9" ht="15">
      <c r="A2190" s="47">
        <v>20610</v>
      </c>
      <c r="B2190" s="47" t="s">
        <v>9160</v>
      </c>
      <c r="C2190" s="47" t="s">
        <v>9161</v>
      </c>
      <c r="D2190" s="47" t="s">
        <v>9162</v>
      </c>
      <c r="E2190" s="47"/>
      <c r="F2190" s="47"/>
      <c r="G2190" s="47"/>
      <c r="H2190" s="47" t="s">
        <v>3605</v>
      </c>
      <c r="I2190" s="47" t="s">
        <v>19478</v>
      </c>
    </row>
    <row r="2191" spans="1:9" ht="15">
      <c r="A2191" s="47">
        <v>3002</v>
      </c>
      <c r="B2191" s="47" t="s">
        <v>9163</v>
      </c>
      <c r="C2191" s="47" t="s">
        <v>9164</v>
      </c>
      <c r="D2191" s="47" t="s">
        <v>9165</v>
      </c>
      <c r="E2191" s="47"/>
      <c r="F2191" s="47"/>
      <c r="G2191" s="47"/>
      <c r="H2191" s="47" t="s">
        <v>3605</v>
      </c>
      <c r="I2191" s="47" t="s">
        <v>19479</v>
      </c>
    </row>
    <row r="2192" spans="1:9" ht="15">
      <c r="A2192" s="47" t="s">
        <v>9166</v>
      </c>
      <c r="B2192" s="47" t="s">
        <v>9167</v>
      </c>
      <c r="C2192" s="47" t="s">
        <v>9168</v>
      </c>
      <c r="D2192" s="47" t="s">
        <v>9169</v>
      </c>
      <c r="E2192" s="47"/>
      <c r="F2192" s="47"/>
      <c r="G2192" s="47"/>
      <c r="H2192" s="47" t="s">
        <v>3605</v>
      </c>
      <c r="I2192" s="47" t="s">
        <v>9166</v>
      </c>
    </row>
    <row r="2193" spans="1:9" ht="15">
      <c r="A2193" s="47" t="s">
        <v>9170</v>
      </c>
      <c r="B2193" s="47" t="s">
        <v>9171</v>
      </c>
      <c r="C2193" s="47" t="s">
        <v>9172</v>
      </c>
      <c r="D2193" s="47" t="s">
        <v>9173</v>
      </c>
      <c r="E2193" s="47"/>
      <c r="F2193" s="47"/>
      <c r="G2193" s="47"/>
      <c r="H2193" s="47" t="s">
        <v>3605</v>
      </c>
      <c r="I2193" s="47" t="s">
        <v>9170</v>
      </c>
    </row>
    <row r="2194" spans="1:9" ht="15">
      <c r="A2194" s="47" t="s">
        <v>9174</v>
      </c>
      <c r="B2194" s="47" t="s">
        <v>9175</v>
      </c>
      <c r="C2194" s="47" t="s">
        <v>9176</v>
      </c>
      <c r="D2194" s="47" t="s">
        <v>9177</v>
      </c>
      <c r="E2194" s="47"/>
      <c r="F2194" s="47"/>
      <c r="G2194" s="47"/>
      <c r="H2194" s="47" t="s">
        <v>3605</v>
      </c>
      <c r="I2194" s="47" t="s">
        <v>9174</v>
      </c>
    </row>
    <row r="2195" spans="1:9" ht="15">
      <c r="A2195" s="47">
        <v>93320</v>
      </c>
      <c r="B2195" s="47" t="s">
        <v>9178</v>
      </c>
      <c r="C2195" s="47" t="s">
        <v>9179</v>
      </c>
      <c r="D2195" s="47" t="s">
        <v>9180</v>
      </c>
      <c r="E2195" s="47"/>
      <c r="F2195" s="47"/>
      <c r="G2195" s="47"/>
      <c r="H2195" s="47" t="s">
        <v>3605</v>
      </c>
      <c r="I2195" s="47" t="s">
        <v>19480</v>
      </c>
    </row>
    <row r="2196" spans="1:9" ht="15">
      <c r="A2196" s="47" t="s">
        <v>3399</v>
      </c>
      <c r="B2196" s="47" t="s">
        <v>9181</v>
      </c>
      <c r="C2196" s="47" t="s">
        <v>9182</v>
      </c>
      <c r="D2196" s="47" t="s">
        <v>9183</v>
      </c>
      <c r="E2196" s="47"/>
      <c r="F2196" s="47"/>
      <c r="G2196" s="47"/>
      <c r="H2196" s="47" t="s">
        <v>3605</v>
      </c>
      <c r="I2196" s="47" t="s">
        <v>3399</v>
      </c>
    </row>
    <row r="2197" spans="1:9" ht="15">
      <c r="A2197" s="47">
        <v>7212</v>
      </c>
      <c r="B2197" s="47" t="s">
        <v>9184</v>
      </c>
      <c r="C2197" s="47" t="s">
        <v>9185</v>
      </c>
      <c r="D2197" s="47" t="s">
        <v>9186</v>
      </c>
      <c r="E2197" s="47"/>
      <c r="F2197" s="47"/>
      <c r="G2197" s="47"/>
      <c r="H2197" s="47" t="s">
        <v>3605</v>
      </c>
      <c r="I2197" s="47" t="s">
        <v>19481</v>
      </c>
    </row>
    <row r="2198" spans="1:9" ht="15">
      <c r="A2198" s="47">
        <v>7220</v>
      </c>
      <c r="B2198" s="47" t="s">
        <v>9187</v>
      </c>
      <c r="C2198" s="47" t="s">
        <v>9188</v>
      </c>
      <c r="D2198" s="47" t="s">
        <v>9189</v>
      </c>
      <c r="E2198" s="47"/>
      <c r="F2198" s="47"/>
      <c r="G2198" s="47"/>
      <c r="H2198" s="47" t="s">
        <v>3605</v>
      </c>
      <c r="I2198" s="47" t="s">
        <v>19482</v>
      </c>
    </row>
    <row r="2199" spans="1:9" ht="15">
      <c r="A2199" s="47">
        <v>7401</v>
      </c>
      <c r="B2199" s="47" t="s">
        <v>9190</v>
      </c>
      <c r="C2199" s="47" t="s">
        <v>9191</v>
      </c>
      <c r="D2199" s="47" t="s">
        <v>9192</v>
      </c>
      <c r="E2199" s="47"/>
      <c r="F2199" s="47"/>
      <c r="G2199" s="47"/>
      <c r="H2199" s="47" t="s">
        <v>3605</v>
      </c>
      <c r="I2199" s="47" t="s">
        <v>19483</v>
      </c>
    </row>
    <row r="2200" spans="1:9" ht="15">
      <c r="A2200" s="47" t="s">
        <v>9193</v>
      </c>
      <c r="B2200" s="47" t="s">
        <v>9194</v>
      </c>
      <c r="C2200" s="47" t="s">
        <v>9195</v>
      </c>
      <c r="D2200" s="47" t="s">
        <v>9196</v>
      </c>
      <c r="E2200" s="47"/>
      <c r="F2200" s="47"/>
      <c r="G2200" s="47"/>
      <c r="H2200" s="47" t="s">
        <v>3605</v>
      </c>
      <c r="I2200" s="47" t="s">
        <v>9193</v>
      </c>
    </row>
    <row r="2201" spans="1:9" ht="15">
      <c r="A2201" s="47" t="s">
        <v>2602</v>
      </c>
      <c r="B2201" s="47" t="s">
        <v>9197</v>
      </c>
      <c r="C2201" s="47" t="s">
        <v>9198</v>
      </c>
      <c r="D2201" s="47" t="s">
        <v>9199</v>
      </c>
      <c r="E2201" s="47"/>
      <c r="F2201" s="47"/>
      <c r="G2201" s="47"/>
      <c r="H2201" s="47" t="s">
        <v>3605</v>
      </c>
      <c r="I2201" s="47" t="s">
        <v>2602</v>
      </c>
    </row>
    <row r="2202" spans="1:9" ht="15">
      <c r="A2202" s="47" t="s">
        <v>2604</v>
      </c>
      <c r="B2202" s="47" t="s">
        <v>9200</v>
      </c>
      <c r="C2202" s="47" t="s">
        <v>9201</v>
      </c>
      <c r="D2202" s="47" t="s">
        <v>9202</v>
      </c>
      <c r="E2202" s="47"/>
      <c r="F2202" s="47"/>
      <c r="G2202" s="47"/>
      <c r="H2202" s="47" t="s">
        <v>3605</v>
      </c>
      <c r="I2202" s="47" t="s">
        <v>2604</v>
      </c>
    </row>
    <row r="2203" spans="1:9" ht="15">
      <c r="A2203" s="47" t="s">
        <v>9203</v>
      </c>
      <c r="B2203" s="47" t="s">
        <v>9204</v>
      </c>
      <c r="C2203" s="47" t="s">
        <v>9205</v>
      </c>
      <c r="D2203" s="47" t="s">
        <v>9206</v>
      </c>
      <c r="E2203" s="47"/>
      <c r="F2203" s="47"/>
      <c r="G2203" s="47"/>
      <c r="H2203" s="47" t="s">
        <v>3605</v>
      </c>
      <c r="I2203" s="47" t="s">
        <v>9203</v>
      </c>
    </row>
    <row r="2204" spans="1:9" ht="15">
      <c r="A2204" s="47" t="s">
        <v>9207</v>
      </c>
      <c r="B2204" s="47" t="s">
        <v>9208</v>
      </c>
      <c r="C2204" s="47" t="s">
        <v>9209</v>
      </c>
      <c r="D2204" s="47" t="s">
        <v>9210</v>
      </c>
      <c r="E2204" s="47"/>
      <c r="F2204" s="47"/>
      <c r="G2204" s="47"/>
      <c r="H2204" s="47" t="s">
        <v>3605</v>
      </c>
      <c r="I2204" s="47" t="s">
        <v>9207</v>
      </c>
    </row>
    <row r="2205" spans="1:9" ht="15">
      <c r="A2205" s="47" t="s">
        <v>9211</v>
      </c>
      <c r="B2205" s="47" t="s">
        <v>9212</v>
      </c>
      <c r="C2205" s="47" t="s">
        <v>9213</v>
      </c>
      <c r="D2205" s="47" t="s">
        <v>9214</v>
      </c>
      <c r="E2205" s="47"/>
      <c r="F2205" s="47"/>
      <c r="G2205" s="47"/>
      <c r="H2205" s="47" t="s">
        <v>3605</v>
      </c>
      <c r="I2205" s="47" t="s">
        <v>9211</v>
      </c>
    </row>
    <row r="2206" spans="1:9" ht="15">
      <c r="A2206" s="47">
        <v>7244</v>
      </c>
      <c r="B2206" s="47" t="s">
        <v>9215</v>
      </c>
      <c r="C2206" s="47" t="s">
        <v>9216</v>
      </c>
      <c r="D2206" s="47" t="s">
        <v>9217</v>
      </c>
      <c r="E2206" s="47"/>
      <c r="F2206" s="47"/>
      <c r="G2206" s="47"/>
      <c r="H2206" s="47" t="s">
        <v>3605</v>
      </c>
      <c r="I2206" s="47" t="s">
        <v>19484</v>
      </c>
    </row>
    <row r="2207" spans="1:9" ht="15">
      <c r="A2207" s="47" t="s">
        <v>9218</v>
      </c>
      <c r="B2207" s="47" t="s">
        <v>9219</v>
      </c>
      <c r="C2207" s="47" t="s">
        <v>9220</v>
      </c>
      <c r="D2207" s="47" t="s">
        <v>9221</v>
      </c>
      <c r="E2207" s="47"/>
      <c r="F2207" s="47"/>
      <c r="G2207" s="47"/>
      <c r="H2207" s="47" t="s">
        <v>3605</v>
      </c>
      <c r="I2207" s="47" t="s">
        <v>9218</v>
      </c>
    </row>
    <row r="2208" spans="1:9" ht="15">
      <c r="A2208" s="47" t="s">
        <v>9222</v>
      </c>
      <c r="B2208" s="47" t="s">
        <v>9223</v>
      </c>
      <c r="C2208" s="47" t="s">
        <v>9224</v>
      </c>
      <c r="D2208" s="47" t="s">
        <v>9225</v>
      </c>
      <c r="E2208" s="47"/>
      <c r="F2208" s="47"/>
      <c r="G2208" s="47"/>
      <c r="H2208" s="47" t="s">
        <v>3605</v>
      </c>
      <c r="I2208" s="47" t="s">
        <v>9222</v>
      </c>
    </row>
    <row r="2209" spans="1:9" ht="15">
      <c r="A2209" s="47" t="s">
        <v>9226</v>
      </c>
      <c r="B2209" s="47" t="s">
        <v>9227</v>
      </c>
      <c r="C2209" s="47" t="s">
        <v>9228</v>
      </c>
      <c r="D2209" s="47" t="s">
        <v>9229</v>
      </c>
      <c r="E2209" s="47"/>
      <c r="F2209" s="47"/>
      <c r="G2209" s="47"/>
      <c r="H2209" s="47" t="s">
        <v>3605</v>
      </c>
      <c r="I2209" s="47" t="s">
        <v>9226</v>
      </c>
    </row>
    <row r="2210" spans="1:9" ht="15">
      <c r="A2210" s="47">
        <v>7403</v>
      </c>
      <c r="B2210" s="47" t="s">
        <v>9230</v>
      </c>
      <c r="C2210" s="47" t="s">
        <v>9231</v>
      </c>
      <c r="D2210" s="47" t="s">
        <v>9232</v>
      </c>
      <c r="E2210" s="47"/>
      <c r="F2210" s="47"/>
      <c r="G2210" s="47"/>
      <c r="H2210" s="47" t="s">
        <v>3605</v>
      </c>
      <c r="I2210" s="47" t="s">
        <v>19485</v>
      </c>
    </row>
    <row r="2211" spans="1:9" ht="15">
      <c r="A2211" s="47" t="s">
        <v>9233</v>
      </c>
      <c r="B2211" s="47" t="s">
        <v>9234</v>
      </c>
      <c r="C2211" s="47" t="s">
        <v>9235</v>
      </c>
      <c r="D2211" s="47" t="s">
        <v>9236</v>
      </c>
      <c r="E2211" s="47"/>
      <c r="F2211" s="47"/>
      <c r="G2211" s="47"/>
      <c r="H2211" s="47" t="s">
        <v>3605</v>
      </c>
      <c r="I2211" s="47" t="s">
        <v>9233</v>
      </c>
    </row>
    <row r="2212" spans="1:9" ht="15">
      <c r="A2212" s="47" t="s">
        <v>9237</v>
      </c>
      <c r="B2212" s="47" t="s">
        <v>9238</v>
      </c>
      <c r="C2212" s="47" t="s">
        <v>9239</v>
      </c>
      <c r="D2212" s="47" t="s">
        <v>9240</v>
      </c>
      <c r="E2212" s="47"/>
      <c r="F2212" s="47"/>
      <c r="G2212" s="47"/>
      <c r="H2212" s="47" t="s">
        <v>3605</v>
      </c>
      <c r="I2212" s="47" t="s">
        <v>9237</v>
      </c>
    </row>
    <row r="2213" spans="1:9" ht="15">
      <c r="A2213" s="47" t="s">
        <v>9241</v>
      </c>
      <c r="B2213" s="47" t="s">
        <v>9242</v>
      </c>
      <c r="C2213" s="47" t="s">
        <v>9243</v>
      </c>
      <c r="D2213" s="47" t="s">
        <v>9244</v>
      </c>
      <c r="E2213" s="47"/>
      <c r="F2213" s="47"/>
      <c r="G2213" s="47"/>
      <c r="H2213" s="47" t="s">
        <v>3605</v>
      </c>
      <c r="I2213" s="47" t="s">
        <v>9241</v>
      </c>
    </row>
    <row r="2214" spans="1:9" ht="15">
      <c r="A2214" s="47" t="s">
        <v>9245</v>
      </c>
      <c r="B2214" s="47" t="s">
        <v>9246</v>
      </c>
      <c r="C2214" s="47" t="s">
        <v>9247</v>
      </c>
      <c r="D2214" s="47" t="s">
        <v>9248</v>
      </c>
      <c r="E2214" s="47"/>
      <c r="F2214" s="47"/>
      <c r="G2214" s="47"/>
      <c r="H2214" s="47" t="s">
        <v>3605</v>
      </c>
      <c r="I2214" s="47" t="s">
        <v>9245</v>
      </c>
    </row>
    <row r="2215" spans="1:9" ht="15">
      <c r="A2215" s="47" t="s">
        <v>9249</v>
      </c>
      <c r="B2215" s="47" t="s">
        <v>9250</v>
      </c>
      <c r="C2215" s="47" t="s">
        <v>9251</v>
      </c>
      <c r="D2215" s="47" t="s">
        <v>9252</v>
      </c>
      <c r="E2215" s="47"/>
      <c r="F2215" s="47"/>
      <c r="G2215" s="47"/>
      <c r="H2215" s="47" t="s">
        <v>3605</v>
      </c>
      <c r="I2215" s="47" t="s">
        <v>9249</v>
      </c>
    </row>
    <row r="2216" spans="1:9" ht="15">
      <c r="A2216" s="47" t="s">
        <v>9253</v>
      </c>
      <c r="B2216" s="47" t="s">
        <v>9254</v>
      </c>
      <c r="C2216" s="47" t="s">
        <v>9255</v>
      </c>
      <c r="D2216" s="47" t="s">
        <v>9256</v>
      </c>
      <c r="E2216" s="47"/>
      <c r="F2216" s="47"/>
      <c r="G2216" s="47"/>
      <c r="H2216" s="47" t="s">
        <v>3605</v>
      </c>
      <c r="I2216" s="47" t="s">
        <v>9253</v>
      </c>
    </row>
    <row r="2217" spans="1:9" ht="15">
      <c r="A2217" s="47" t="s">
        <v>9257</v>
      </c>
      <c r="B2217" s="47" t="s">
        <v>9258</v>
      </c>
      <c r="C2217" s="47" t="s">
        <v>9259</v>
      </c>
      <c r="D2217" s="47" t="s">
        <v>9260</v>
      </c>
      <c r="E2217" s="47"/>
      <c r="F2217" s="47"/>
      <c r="G2217" s="47"/>
      <c r="H2217" s="47" t="s">
        <v>3605</v>
      </c>
      <c r="I2217" s="47" t="s">
        <v>9257</v>
      </c>
    </row>
    <row r="2218" spans="1:9" ht="15">
      <c r="A2218" s="47" t="s">
        <v>9261</v>
      </c>
      <c r="B2218" s="47" t="s">
        <v>9262</v>
      </c>
      <c r="C2218" s="47" t="s">
        <v>9263</v>
      </c>
      <c r="D2218" s="47" t="s">
        <v>9264</v>
      </c>
      <c r="E2218" s="47"/>
      <c r="F2218" s="47"/>
      <c r="G2218" s="47"/>
      <c r="H2218" s="47" t="s">
        <v>3605</v>
      </c>
      <c r="I2218" s="47" t="s">
        <v>9261</v>
      </c>
    </row>
    <row r="2219" spans="1:9" ht="15">
      <c r="A2219" s="47" t="s">
        <v>9265</v>
      </c>
      <c r="B2219" s="47" t="s">
        <v>9266</v>
      </c>
      <c r="C2219" s="47" t="s">
        <v>9267</v>
      </c>
      <c r="D2219" s="47" t="s">
        <v>9268</v>
      </c>
      <c r="E2219" s="47"/>
      <c r="F2219" s="47"/>
      <c r="G2219" s="47"/>
      <c r="H2219" s="47" t="s">
        <v>3605</v>
      </c>
      <c r="I2219" s="47" t="s">
        <v>9265</v>
      </c>
    </row>
    <row r="2220" spans="1:9" ht="15">
      <c r="A2220" s="47" t="s">
        <v>9269</v>
      </c>
      <c r="B2220" s="47" t="s">
        <v>9270</v>
      </c>
      <c r="C2220" s="47" t="s">
        <v>9271</v>
      </c>
      <c r="D2220" s="47" t="s">
        <v>9272</v>
      </c>
      <c r="E2220" s="47"/>
      <c r="F2220" s="47"/>
      <c r="G2220" s="47"/>
      <c r="H2220" s="47" t="s">
        <v>3605</v>
      </c>
      <c r="I2220" s="47" t="s">
        <v>9269</v>
      </c>
    </row>
    <row r="2221" spans="1:9" ht="15">
      <c r="A2221" s="47" t="s">
        <v>9273</v>
      </c>
      <c r="B2221" s="47" t="s">
        <v>9274</v>
      </c>
      <c r="C2221" s="47" t="s">
        <v>9275</v>
      </c>
      <c r="D2221" s="47" t="s">
        <v>9276</v>
      </c>
      <c r="E2221" s="47"/>
      <c r="F2221" s="47"/>
      <c r="G2221" s="47"/>
      <c r="H2221" s="47" t="s">
        <v>3605</v>
      </c>
      <c r="I2221" s="47" t="s">
        <v>9273</v>
      </c>
    </row>
    <row r="2222" spans="1:9" ht="15">
      <c r="A2222" s="47">
        <v>7042</v>
      </c>
      <c r="B2222" s="47" t="s">
        <v>9277</v>
      </c>
      <c r="C2222" s="47" t="s">
        <v>9278</v>
      </c>
      <c r="D2222" s="47" t="s">
        <v>9279</v>
      </c>
      <c r="E2222" s="47"/>
      <c r="F2222" s="47"/>
      <c r="G2222" s="47"/>
      <c r="H2222" s="47" t="s">
        <v>3605</v>
      </c>
      <c r="I2222" s="47" t="s">
        <v>19486</v>
      </c>
    </row>
    <row r="2223" spans="1:9" ht="15">
      <c r="A2223" s="47" t="s">
        <v>9280</v>
      </c>
      <c r="B2223" s="47" t="s">
        <v>9281</v>
      </c>
      <c r="C2223" s="47" t="s">
        <v>9282</v>
      </c>
      <c r="D2223" s="47" t="s">
        <v>9283</v>
      </c>
      <c r="E2223" s="47"/>
      <c r="F2223" s="47"/>
      <c r="G2223" s="47"/>
      <c r="H2223" s="47" t="s">
        <v>3605</v>
      </c>
      <c r="I2223" s="47" t="s">
        <v>9280</v>
      </c>
    </row>
    <row r="2224" spans="1:9" ht="15">
      <c r="A2224" s="47" t="s">
        <v>9284</v>
      </c>
      <c r="B2224" s="47" t="s">
        <v>9285</v>
      </c>
      <c r="C2224" s="47" t="s">
        <v>9286</v>
      </c>
      <c r="D2224" s="47" t="s">
        <v>9287</v>
      </c>
      <c r="E2224" s="47"/>
      <c r="F2224" s="47"/>
      <c r="G2224" s="47"/>
      <c r="H2224" s="47" t="s">
        <v>3605</v>
      </c>
      <c r="I2224" s="47" t="s">
        <v>9284</v>
      </c>
    </row>
    <row r="2225" spans="1:9" ht="15">
      <c r="A2225" s="47">
        <v>7226</v>
      </c>
      <c r="B2225" s="47" t="s">
        <v>9288</v>
      </c>
      <c r="C2225" s="47" t="s">
        <v>9289</v>
      </c>
      <c r="D2225" s="47" t="s">
        <v>9290</v>
      </c>
      <c r="E2225" s="47"/>
      <c r="F2225" s="47"/>
      <c r="G2225" s="47"/>
      <c r="H2225" s="47" t="s">
        <v>3605</v>
      </c>
      <c r="I2225" s="47" t="s">
        <v>19487</v>
      </c>
    </row>
    <row r="2226" spans="1:9" ht="15">
      <c r="A2226" s="47" t="s">
        <v>9291</v>
      </c>
      <c r="B2226" s="47" t="s">
        <v>9292</v>
      </c>
      <c r="C2226" s="47" t="s">
        <v>9293</v>
      </c>
      <c r="D2226" s="47" t="s">
        <v>9294</v>
      </c>
      <c r="E2226" s="47"/>
      <c r="F2226" s="47"/>
      <c r="G2226" s="47"/>
      <c r="H2226" s="47" t="s">
        <v>3605</v>
      </c>
      <c r="I2226" s="47" t="s">
        <v>9291</v>
      </c>
    </row>
    <row r="2227" spans="1:9" ht="15">
      <c r="A2227" s="47" t="s">
        <v>9295</v>
      </c>
      <c r="B2227" s="47" t="s">
        <v>9296</v>
      </c>
      <c r="C2227" s="47" t="s">
        <v>9297</v>
      </c>
      <c r="D2227" s="47" t="s">
        <v>9298</v>
      </c>
      <c r="E2227" s="47"/>
      <c r="F2227" s="47"/>
      <c r="G2227" s="47"/>
      <c r="H2227" s="47" t="s">
        <v>3605</v>
      </c>
      <c r="I2227" s="47" t="s">
        <v>9295</v>
      </c>
    </row>
    <row r="2228" spans="1:9" ht="15">
      <c r="A2228" s="47" t="s">
        <v>9299</v>
      </c>
      <c r="B2228" s="47" t="s">
        <v>9300</v>
      </c>
      <c r="C2228" s="47" t="s">
        <v>9301</v>
      </c>
      <c r="D2228" s="47" t="s">
        <v>9302</v>
      </c>
      <c r="E2228" s="47"/>
      <c r="F2228" s="47"/>
      <c r="G2228" s="47"/>
      <c r="H2228" s="47" t="s">
        <v>3605</v>
      </c>
      <c r="I2228" s="47" t="s">
        <v>9299</v>
      </c>
    </row>
    <row r="2229" spans="1:9" ht="15">
      <c r="A2229" s="47" t="s">
        <v>9303</v>
      </c>
      <c r="B2229" s="47" t="s">
        <v>9304</v>
      </c>
      <c r="C2229" s="47" t="s">
        <v>9305</v>
      </c>
      <c r="D2229" s="47" t="s">
        <v>9306</v>
      </c>
      <c r="E2229" s="47"/>
      <c r="F2229" s="47"/>
      <c r="G2229" s="47"/>
      <c r="H2229" s="47" t="s">
        <v>3605</v>
      </c>
      <c r="I2229" s="47" t="s">
        <v>9303</v>
      </c>
    </row>
    <row r="2230" spans="1:9" ht="15">
      <c r="A2230" s="47" t="s">
        <v>9307</v>
      </c>
      <c r="B2230" s="47" t="s">
        <v>9308</v>
      </c>
      <c r="C2230" s="47" t="s">
        <v>9309</v>
      </c>
      <c r="D2230" s="47" t="s">
        <v>9310</v>
      </c>
      <c r="E2230" s="47"/>
      <c r="F2230" s="47"/>
      <c r="G2230" s="47"/>
      <c r="H2230" s="47" t="s">
        <v>3605</v>
      </c>
      <c r="I2230" s="47" t="s">
        <v>9307</v>
      </c>
    </row>
    <row r="2231" spans="1:9" ht="15">
      <c r="A2231" s="47" t="s">
        <v>9311</v>
      </c>
      <c r="B2231" s="47" t="s">
        <v>9312</v>
      </c>
      <c r="C2231" s="47" t="s">
        <v>9313</v>
      </c>
      <c r="D2231" s="47" t="s">
        <v>9314</v>
      </c>
      <c r="E2231" s="47"/>
      <c r="F2231" s="47"/>
      <c r="G2231" s="47"/>
      <c r="H2231" s="47" t="s">
        <v>3605</v>
      </c>
      <c r="I2231" s="47" t="s">
        <v>9311</v>
      </c>
    </row>
    <row r="2232" spans="1:9" ht="15">
      <c r="A2232" s="47" t="s">
        <v>9315</v>
      </c>
      <c r="B2232" s="47" t="s">
        <v>9316</v>
      </c>
      <c r="C2232" s="47" t="s">
        <v>9317</v>
      </c>
      <c r="D2232" s="47" t="s">
        <v>9318</v>
      </c>
      <c r="E2232" s="47"/>
      <c r="F2232" s="47"/>
      <c r="G2232" s="47"/>
      <c r="H2232" s="47" t="s">
        <v>3605</v>
      </c>
      <c r="I2232" s="47" t="s">
        <v>9315</v>
      </c>
    </row>
    <row r="2233" spans="1:9" ht="15">
      <c r="A2233" s="47" t="s">
        <v>9319</v>
      </c>
      <c r="B2233" s="47" t="s">
        <v>9320</v>
      </c>
      <c r="C2233" s="47" t="s">
        <v>9321</v>
      </c>
      <c r="D2233" s="47" t="s">
        <v>9322</v>
      </c>
      <c r="E2233" s="47"/>
      <c r="F2233" s="47"/>
      <c r="G2233" s="47"/>
      <c r="H2233" s="47" t="s">
        <v>3605</v>
      </c>
      <c r="I2233" s="47" t="s">
        <v>9319</v>
      </c>
    </row>
    <row r="2234" spans="1:9" ht="15">
      <c r="A2234" s="47" t="s">
        <v>9323</v>
      </c>
      <c r="B2234" s="47" t="s">
        <v>9324</v>
      </c>
      <c r="C2234" s="47" t="s">
        <v>9325</v>
      </c>
      <c r="D2234" s="47" t="s">
        <v>9326</v>
      </c>
      <c r="E2234" s="47"/>
      <c r="F2234" s="47"/>
      <c r="G2234" s="47"/>
      <c r="H2234" s="47" t="s">
        <v>3605</v>
      </c>
      <c r="I2234" s="47" t="s">
        <v>9323</v>
      </c>
    </row>
    <row r="2235" spans="1:9" ht="15">
      <c r="A2235" s="47" t="s">
        <v>9327</v>
      </c>
      <c r="B2235" s="47" t="s">
        <v>9328</v>
      </c>
      <c r="C2235" s="47" t="s">
        <v>9329</v>
      </c>
      <c r="D2235" s="47" t="s">
        <v>9330</v>
      </c>
      <c r="E2235" s="47"/>
      <c r="F2235" s="47"/>
      <c r="G2235" s="47"/>
      <c r="H2235" s="47" t="s">
        <v>3605</v>
      </c>
      <c r="I2235" s="47" t="s">
        <v>9327</v>
      </c>
    </row>
    <row r="2236" spans="1:9" ht="15">
      <c r="A2236" s="47" t="s">
        <v>9331</v>
      </c>
      <c r="B2236" s="47" t="s">
        <v>9332</v>
      </c>
      <c r="C2236" s="47" t="s">
        <v>9333</v>
      </c>
      <c r="D2236" s="47" t="s">
        <v>9334</v>
      </c>
      <c r="E2236" s="47"/>
      <c r="F2236" s="47"/>
      <c r="G2236" s="47"/>
      <c r="H2236" s="47" t="s">
        <v>3605</v>
      </c>
      <c r="I2236" s="47" t="s">
        <v>9331</v>
      </c>
    </row>
    <row r="2237" spans="1:9" ht="15">
      <c r="A2237" s="47" t="s">
        <v>9335</v>
      </c>
      <c r="B2237" s="47" t="s">
        <v>9336</v>
      </c>
      <c r="C2237" s="47" t="s">
        <v>9337</v>
      </c>
      <c r="D2237" s="47" t="s">
        <v>9338</v>
      </c>
      <c r="E2237" s="47"/>
      <c r="F2237" s="47"/>
      <c r="G2237" s="47"/>
      <c r="H2237" s="47" t="s">
        <v>3605</v>
      </c>
      <c r="I2237" s="47" t="s">
        <v>9335</v>
      </c>
    </row>
    <row r="2238" spans="1:9" ht="15">
      <c r="A2238" s="47" t="s">
        <v>9339</v>
      </c>
      <c r="B2238" s="47" t="s">
        <v>9340</v>
      </c>
      <c r="C2238" s="47" t="s">
        <v>9341</v>
      </c>
      <c r="D2238" s="47" t="s">
        <v>9342</v>
      </c>
      <c r="E2238" s="47"/>
      <c r="F2238" s="47"/>
      <c r="G2238" s="47"/>
      <c r="H2238" s="47" t="s">
        <v>3605</v>
      </c>
      <c r="I2238" s="47" t="s">
        <v>9339</v>
      </c>
    </row>
    <row r="2239" spans="1:9" ht="15">
      <c r="A2239" s="47">
        <v>7171</v>
      </c>
      <c r="B2239" s="47" t="s">
        <v>9343</v>
      </c>
      <c r="C2239" s="47" t="s">
        <v>9344</v>
      </c>
      <c r="D2239" s="47" t="s">
        <v>9345</v>
      </c>
      <c r="E2239" s="47"/>
      <c r="F2239" s="47"/>
      <c r="G2239" s="47"/>
      <c r="H2239" s="47" t="s">
        <v>3605</v>
      </c>
      <c r="I2239" s="47" t="s">
        <v>19488</v>
      </c>
    </row>
    <row r="2240" spans="1:9" ht="15">
      <c r="A2240" s="47" t="s">
        <v>9346</v>
      </c>
      <c r="B2240" s="47" t="s">
        <v>9347</v>
      </c>
      <c r="C2240" s="47" t="s">
        <v>9348</v>
      </c>
      <c r="D2240" s="47" t="s">
        <v>9349</v>
      </c>
      <c r="E2240" s="47"/>
      <c r="F2240" s="47"/>
      <c r="G2240" s="47"/>
      <c r="H2240" s="47" t="s">
        <v>3605</v>
      </c>
      <c r="I2240" s="47" t="s">
        <v>9346</v>
      </c>
    </row>
    <row r="2241" spans="1:9" ht="15">
      <c r="A2241" s="47" t="s">
        <v>9350</v>
      </c>
      <c r="B2241" s="47" t="s">
        <v>9351</v>
      </c>
      <c r="C2241" s="47" t="s">
        <v>9352</v>
      </c>
      <c r="D2241" s="47" t="s">
        <v>5519</v>
      </c>
      <c r="E2241" s="47"/>
      <c r="F2241" s="47"/>
      <c r="G2241" s="47"/>
      <c r="H2241" s="47" t="s">
        <v>3605</v>
      </c>
      <c r="I2241" s="47" t="s">
        <v>9350</v>
      </c>
    </row>
    <row r="2242" spans="1:9" ht="15">
      <c r="A2242" s="47" t="s">
        <v>9353</v>
      </c>
      <c r="B2242" s="47" t="s">
        <v>9354</v>
      </c>
      <c r="C2242" s="47" t="s">
        <v>9355</v>
      </c>
      <c r="D2242" s="47" t="s">
        <v>9356</v>
      </c>
      <c r="E2242" s="47"/>
      <c r="F2242" s="47"/>
      <c r="G2242" s="47"/>
      <c r="H2242" s="47" t="s">
        <v>3605</v>
      </c>
      <c r="I2242" s="47" t="s">
        <v>9353</v>
      </c>
    </row>
    <row r="2243" spans="1:9" ht="15">
      <c r="A2243" s="47" t="s">
        <v>9357</v>
      </c>
      <c r="B2243" s="47" t="s">
        <v>9358</v>
      </c>
      <c r="C2243" s="47" t="s">
        <v>9359</v>
      </c>
      <c r="D2243" s="47" t="s">
        <v>9360</v>
      </c>
      <c r="E2243" s="47"/>
      <c r="F2243" s="47"/>
      <c r="G2243" s="47"/>
      <c r="H2243" s="47" t="s">
        <v>3605</v>
      </c>
      <c r="I2243" s="47" t="s">
        <v>9357</v>
      </c>
    </row>
    <row r="2244" spans="1:9" ht="15">
      <c r="A2244" s="47" t="s">
        <v>9361</v>
      </c>
      <c r="B2244" s="47" t="s">
        <v>9362</v>
      </c>
      <c r="C2244" s="47" t="s">
        <v>9363</v>
      </c>
      <c r="D2244" s="47" t="s">
        <v>9364</v>
      </c>
      <c r="E2244" s="47"/>
      <c r="F2244" s="47"/>
      <c r="G2244" s="47"/>
      <c r="H2244" s="47" t="s">
        <v>3605</v>
      </c>
      <c r="I2244" s="47" t="s">
        <v>9361</v>
      </c>
    </row>
    <row r="2245" spans="1:9" ht="15">
      <c r="A2245" s="47" t="s">
        <v>9365</v>
      </c>
      <c r="B2245" s="47" t="s">
        <v>9366</v>
      </c>
      <c r="C2245" s="47" t="s">
        <v>9367</v>
      </c>
      <c r="D2245" s="47" t="s">
        <v>9368</v>
      </c>
      <c r="E2245" s="47"/>
      <c r="F2245" s="47"/>
      <c r="G2245" s="47"/>
      <c r="H2245" s="47" t="s">
        <v>3605</v>
      </c>
      <c r="I2245" s="47" t="s">
        <v>9365</v>
      </c>
    </row>
    <row r="2246" spans="1:9" ht="15">
      <c r="A2246" s="47" t="s">
        <v>9369</v>
      </c>
      <c r="B2246" s="47" t="s">
        <v>9370</v>
      </c>
      <c r="C2246" s="47" t="s">
        <v>9371</v>
      </c>
      <c r="D2246" s="47" t="s">
        <v>9372</v>
      </c>
      <c r="E2246" s="47"/>
      <c r="F2246" s="47"/>
      <c r="G2246" s="47"/>
      <c r="H2246" s="47" t="s">
        <v>3605</v>
      </c>
      <c r="I2246" s="47" t="s">
        <v>9369</v>
      </c>
    </row>
    <row r="2247" spans="1:9" ht="15">
      <c r="A2247" s="47" t="s">
        <v>9373</v>
      </c>
      <c r="B2247" s="47" t="s">
        <v>9374</v>
      </c>
      <c r="C2247" s="47" t="s">
        <v>9375</v>
      </c>
      <c r="D2247" s="47" t="s">
        <v>9376</v>
      </c>
      <c r="E2247" s="47"/>
      <c r="F2247" s="47"/>
      <c r="G2247" s="47"/>
      <c r="H2247" s="47" t="s">
        <v>3605</v>
      </c>
      <c r="I2247" s="47" t="s">
        <v>9373</v>
      </c>
    </row>
    <row r="2248" spans="1:9" ht="15">
      <c r="A2248" s="47" t="s">
        <v>9377</v>
      </c>
      <c r="B2248" s="47" t="s">
        <v>9378</v>
      </c>
      <c r="C2248" s="47" t="s">
        <v>9379</v>
      </c>
      <c r="D2248" s="47" t="s">
        <v>9380</v>
      </c>
      <c r="E2248" s="47"/>
      <c r="F2248" s="47"/>
      <c r="G2248" s="47"/>
      <c r="H2248" s="47" t="s">
        <v>3605</v>
      </c>
      <c r="I2248" s="47" t="s">
        <v>9377</v>
      </c>
    </row>
    <row r="2249" spans="1:9" ht="15">
      <c r="A2249" s="47" t="s">
        <v>9381</v>
      </c>
      <c r="B2249" s="47" t="s">
        <v>9382</v>
      </c>
      <c r="C2249" s="47" t="s">
        <v>9383</v>
      </c>
      <c r="D2249" s="47" t="s">
        <v>9384</v>
      </c>
      <c r="E2249" s="47"/>
      <c r="F2249" s="47"/>
      <c r="G2249" s="47"/>
      <c r="H2249" s="47" t="s">
        <v>3605</v>
      </c>
      <c r="I2249" s="47" t="s">
        <v>9381</v>
      </c>
    </row>
    <row r="2250" spans="1:9" ht="15">
      <c r="A2250" s="47" t="s">
        <v>9385</v>
      </c>
      <c r="B2250" s="47" t="s">
        <v>9386</v>
      </c>
      <c r="C2250" s="47" t="s">
        <v>9387</v>
      </c>
      <c r="D2250" s="47" t="s">
        <v>9388</v>
      </c>
      <c r="E2250" s="47"/>
      <c r="F2250" s="47"/>
      <c r="G2250" s="47"/>
      <c r="H2250" s="47" t="s">
        <v>3605</v>
      </c>
      <c r="I2250" s="47" t="s">
        <v>9385</v>
      </c>
    </row>
    <row r="2251" spans="1:9" ht="15">
      <c r="A2251" s="47" t="s">
        <v>2634</v>
      </c>
      <c r="B2251" s="47" t="s">
        <v>9389</v>
      </c>
      <c r="C2251" s="47" t="s">
        <v>9390</v>
      </c>
      <c r="D2251" s="47" t="s">
        <v>9391</v>
      </c>
      <c r="E2251" s="47"/>
      <c r="F2251" s="47"/>
      <c r="G2251" s="47"/>
      <c r="H2251" s="47" t="s">
        <v>3605</v>
      </c>
      <c r="I2251" s="47" t="s">
        <v>2634</v>
      </c>
    </row>
    <row r="2252" spans="1:9" ht="15">
      <c r="A2252" s="47" t="s">
        <v>9392</v>
      </c>
      <c r="B2252" s="47" t="s">
        <v>9393</v>
      </c>
      <c r="C2252" s="47" t="s">
        <v>9394</v>
      </c>
      <c r="D2252" s="47" t="s">
        <v>9395</v>
      </c>
      <c r="E2252" s="47"/>
      <c r="F2252" s="47"/>
      <c r="G2252" s="47"/>
      <c r="H2252" s="47" t="s">
        <v>3605</v>
      </c>
      <c r="I2252" s="47" t="s">
        <v>9392</v>
      </c>
    </row>
    <row r="2253" spans="1:9" ht="15">
      <c r="A2253" s="47" t="s">
        <v>9396</v>
      </c>
      <c r="B2253" s="47" t="s">
        <v>9397</v>
      </c>
      <c r="C2253" s="47" t="s">
        <v>9398</v>
      </c>
      <c r="D2253" s="47" t="s">
        <v>9399</v>
      </c>
      <c r="E2253" s="47"/>
      <c r="F2253" s="47"/>
      <c r="G2253" s="47"/>
      <c r="H2253" s="47" t="s">
        <v>3605</v>
      </c>
      <c r="I2253" s="47" t="s">
        <v>9396</v>
      </c>
    </row>
    <row r="2254" spans="1:9" ht="15">
      <c r="A2254" s="47" t="s">
        <v>9400</v>
      </c>
      <c r="B2254" s="47" t="s">
        <v>9401</v>
      </c>
      <c r="C2254" s="47" t="s">
        <v>9402</v>
      </c>
      <c r="D2254" s="47" t="s">
        <v>9403</v>
      </c>
      <c r="E2254" s="47"/>
      <c r="F2254" s="47"/>
      <c r="G2254" s="47"/>
      <c r="H2254" s="47" t="s">
        <v>3605</v>
      </c>
      <c r="I2254" s="47" t="s">
        <v>9400</v>
      </c>
    </row>
    <row r="2255" spans="1:9" ht="15">
      <c r="A2255" s="47" t="s">
        <v>9404</v>
      </c>
      <c r="B2255" s="47" t="s">
        <v>9405</v>
      </c>
      <c r="C2255" s="47" t="s">
        <v>9406</v>
      </c>
      <c r="D2255" s="47" t="s">
        <v>9407</v>
      </c>
      <c r="E2255" s="47"/>
      <c r="F2255" s="47"/>
      <c r="G2255" s="47"/>
      <c r="H2255" s="47" t="s">
        <v>3605</v>
      </c>
      <c r="I2255" s="47" t="s">
        <v>9404</v>
      </c>
    </row>
    <row r="2256" spans="1:9" ht="15">
      <c r="A2256" s="47" t="s">
        <v>9408</v>
      </c>
      <c r="B2256" s="47" t="s">
        <v>9409</v>
      </c>
      <c r="C2256" s="47" t="s">
        <v>9410</v>
      </c>
      <c r="D2256" s="47" t="s">
        <v>9411</v>
      </c>
      <c r="E2256" s="47"/>
      <c r="F2256" s="47"/>
      <c r="G2256" s="47"/>
      <c r="H2256" s="47" t="s">
        <v>3605</v>
      </c>
      <c r="I2256" s="47" t="s">
        <v>9408</v>
      </c>
    </row>
    <row r="2257" spans="1:9" ht="15">
      <c r="A2257" s="47" t="s">
        <v>9412</v>
      </c>
      <c r="B2257" s="47" t="s">
        <v>9413</v>
      </c>
      <c r="C2257" s="47" t="s">
        <v>9414</v>
      </c>
      <c r="D2257" s="47" t="s">
        <v>9415</v>
      </c>
      <c r="E2257" s="47"/>
      <c r="F2257" s="47"/>
      <c r="G2257" s="47"/>
      <c r="H2257" s="47" t="s">
        <v>3605</v>
      </c>
      <c r="I2257" s="47" t="s">
        <v>9412</v>
      </c>
    </row>
    <row r="2258" spans="1:9" ht="15">
      <c r="A2258" s="47" t="s">
        <v>9416</v>
      </c>
      <c r="B2258" s="47" t="s">
        <v>9417</v>
      </c>
      <c r="C2258" s="47" t="s">
        <v>9418</v>
      </c>
      <c r="D2258" s="47" t="s">
        <v>9419</v>
      </c>
      <c r="E2258" s="47"/>
      <c r="F2258" s="47"/>
      <c r="G2258" s="47"/>
      <c r="H2258" s="47" t="s">
        <v>3605</v>
      </c>
      <c r="I2258" s="47" t="s">
        <v>9416</v>
      </c>
    </row>
    <row r="2259" spans="1:9" ht="15">
      <c r="A2259" s="47" t="s">
        <v>9420</v>
      </c>
      <c r="B2259" s="47" t="s">
        <v>9421</v>
      </c>
      <c r="C2259" s="47" t="s">
        <v>9422</v>
      </c>
      <c r="D2259" s="47" t="s">
        <v>9423</v>
      </c>
      <c r="E2259" s="47"/>
      <c r="F2259" s="47"/>
      <c r="G2259" s="47"/>
      <c r="H2259" s="47" t="s">
        <v>3605</v>
      </c>
      <c r="I2259" s="47" t="s">
        <v>9420</v>
      </c>
    </row>
    <row r="2260" spans="1:9" ht="15">
      <c r="A2260" s="47" t="s">
        <v>9424</v>
      </c>
      <c r="B2260" s="47" t="s">
        <v>9425</v>
      </c>
      <c r="C2260" s="47" t="s">
        <v>9426</v>
      </c>
      <c r="D2260" s="47" t="s">
        <v>9427</v>
      </c>
      <c r="E2260" s="47"/>
      <c r="F2260" s="47"/>
      <c r="G2260" s="47"/>
      <c r="H2260" s="47" t="s">
        <v>3605</v>
      </c>
      <c r="I2260" s="47" t="s">
        <v>9424</v>
      </c>
    </row>
    <row r="2261" spans="1:9" ht="15">
      <c r="A2261" s="47" t="s">
        <v>9428</v>
      </c>
      <c r="B2261" s="47" t="s">
        <v>9429</v>
      </c>
      <c r="C2261" s="47" t="s">
        <v>9430</v>
      </c>
      <c r="D2261" s="47" t="s">
        <v>9431</v>
      </c>
      <c r="E2261" s="47"/>
      <c r="F2261" s="47"/>
      <c r="G2261" s="47"/>
      <c r="H2261" s="47" t="s">
        <v>3605</v>
      </c>
      <c r="I2261" s="47" t="s">
        <v>9428</v>
      </c>
    </row>
    <row r="2262" spans="1:9" ht="15">
      <c r="A2262" s="47" t="s">
        <v>9432</v>
      </c>
      <c r="B2262" s="47" t="s">
        <v>9433</v>
      </c>
      <c r="C2262" s="47" t="s">
        <v>9434</v>
      </c>
      <c r="D2262" s="47" t="s">
        <v>9435</v>
      </c>
      <c r="E2262" s="47"/>
      <c r="F2262" s="47"/>
      <c r="G2262" s="47"/>
      <c r="H2262" s="47" t="s">
        <v>3605</v>
      </c>
      <c r="I2262" s="47" t="s">
        <v>9432</v>
      </c>
    </row>
    <row r="2263" spans="1:9" ht="15">
      <c r="A2263" s="47" t="s">
        <v>9436</v>
      </c>
      <c r="B2263" s="47" t="s">
        <v>9437</v>
      </c>
      <c r="C2263" s="47" t="s">
        <v>9438</v>
      </c>
      <c r="D2263" s="47" t="s">
        <v>9439</v>
      </c>
      <c r="E2263" s="47"/>
      <c r="F2263" s="47"/>
      <c r="G2263" s="47"/>
      <c r="H2263" s="47" t="s">
        <v>3605</v>
      </c>
      <c r="I2263" s="47" t="s">
        <v>9436</v>
      </c>
    </row>
    <row r="2264" spans="1:9" ht="15">
      <c r="A2264" s="47" t="s">
        <v>9440</v>
      </c>
      <c r="B2264" s="47" t="s">
        <v>9441</v>
      </c>
      <c r="C2264" s="47" t="s">
        <v>9442</v>
      </c>
      <c r="D2264" s="47" t="s">
        <v>9443</v>
      </c>
      <c r="E2264" s="47"/>
      <c r="F2264" s="47"/>
      <c r="G2264" s="47"/>
      <c r="H2264" s="47" t="s">
        <v>3605</v>
      </c>
      <c r="I2264" s="47" t="s">
        <v>9440</v>
      </c>
    </row>
    <row r="2265" spans="1:9" ht="15">
      <c r="A2265" s="47" t="s">
        <v>9444</v>
      </c>
      <c r="B2265" s="47" t="s">
        <v>9445</v>
      </c>
      <c r="C2265" s="47" t="s">
        <v>9446</v>
      </c>
      <c r="D2265" s="47" t="s">
        <v>9447</v>
      </c>
      <c r="E2265" s="47"/>
      <c r="F2265" s="47"/>
      <c r="G2265" s="47"/>
      <c r="H2265" s="47" t="s">
        <v>3605</v>
      </c>
      <c r="I2265" s="47" t="s">
        <v>9444</v>
      </c>
    </row>
    <row r="2266" spans="1:9" ht="15">
      <c r="A2266" s="47" t="s">
        <v>9448</v>
      </c>
      <c r="B2266" s="47" t="s">
        <v>9449</v>
      </c>
      <c r="C2266" s="47" t="s">
        <v>9450</v>
      </c>
      <c r="D2266" s="47" t="s">
        <v>9451</v>
      </c>
      <c r="E2266" s="47"/>
      <c r="F2266" s="47"/>
      <c r="G2266" s="47"/>
      <c r="H2266" s="47" t="s">
        <v>3605</v>
      </c>
      <c r="I2266" s="47" t="s">
        <v>9448</v>
      </c>
    </row>
    <row r="2267" spans="1:9" ht="15">
      <c r="A2267" s="47" t="s">
        <v>9452</v>
      </c>
      <c r="B2267" s="47" t="s">
        <v>9453</v>
      </c>
      <c r="C2267" s="47" t="s">
        <v>9454</v>
      </c>
      <c r="D2267" s="47" t="s">
        <v>9455</v>
      </c>
      <c r="E2267" s="47"/>
      <c r="F2267" s="47"/>
      <c r="G2267" s="47"/>
      <c r="H2267" s="47" t="s">
        <v>3605</v>
      </c>
      <c r="I2267" s="47" t="s">
        <v>9452</v>
      </c>
    </row>
    <row r="2268" spans="1:9" ht="15">
      <c r="A2268" s="47" t="s">
        <v>9456</v>
      </c>
      <c r="B2268" s="47" t="s">
        <v>9457</v>
      </c>
      <c r="C2268" s="47" t="s">
        <v>9458</v>
      </c>
      <c r="D2268" s="47" t="s">
        <v>9459</v>
      </c>
      <c r="E2268" s="47"/>
      <c r="F2268" s="47"/>
      <c r="G2268" s="47"/>
      <c r="H2268" s="47" t="s">
        <v>3605</v>
      </c>
      <c r="I2268" s="47" t="s">
        <v>9456</v>
      </c>
    </row>
    <row r="2269" spans="1:9" ht="15">
      <c r="A2269" s="47" t="s">
        <v>9460</v>
      </c>
      <c r="B2269" s="47" t="s">
        <v>9461</v>
      </c>
      <c r="C2269" s="47" t="s">
        <v>9462</v>
      </c>
      <c r="D2269" s="47" t="s">
        <v>9463</v>
      </c>
      <c r="E2269" s="47"/>
      <c r="F2269" s="47"/>
      <c r="G2269" s="47"/>
      <c r="H2269" s="47" t="s">
        <v>3605</v>
      </c>
      <c r="I2269" s="47" t="s">
        <v>9460</v>
      </c>
    </row>
    <row r="2270" spans="1:9" ht="15">
      <c r="A2270" s="47" t="s">
        <v>9464</v>
      </c>
      <c r="B2270" s="47" t="s">
        <v>9465</v>
      </c>
      <c r="C2270" s="47" t="s">
        <v>9466</v>
      </c>
      <c r="D2270" s="47" t="s">
        <v>9467</v>
      </c>
      <c r="E2270" s="47"/>
      <c r="F2270" s="47"/>
      <c r="G2270" s="47"/>
      <c r="H2270" s="47" t="s">
        <v>3605</v>
      </c>
      <c r="I2270" s="47" t="s">
        <v>9464</v>
      </c>
    </row>
    <row r="2271" spans="1:9" ht="15">
      <c r="A2271" s="47" t="s">
        <v>9468</v>
      </c>
      <c r="B2271" s="47" t="s">
        <v>9469</v>
      </c>
      <c r="C2271" s="47" t="s">
        <v>9470</v>
      </c>
      <c r="D2271" s="47" t="s">
        <v>9471</v>
      </c>
      <c r="E2271" s="47"/>
      <c r="F2271" s="47"/>
      <c r="G2271" s="47"/>
      <c r="H2271" s="47" t="s">
        <v>3605</v>
      </c>
      <c r="I2271" s="47" t="s">
        <v>9468</v>
      </c>
    </row>
    <row r="2272" spans="1:9" ht="15">
      <c r="A2272" s="47" t="s">
        <v>9472</v>
      </c>
      <c r="B2272" s="47" t="s">
        <v>9473</v>
      </c>
      <c r="C2272" s="47" t="s">
        <v>9474</v>
      </c>
      <c r="D2272" s="47" t="s">
        <v>9475</v>
      </c>
      <c r="E2272" s="47"/>
      <c r="F2272" s="47"/>
      <c r="G2272" s="47"/>
      <c r="H2272" s="47" t="s">
        <v>3605</v>
      </c>
      <c r="I2272" s="47" t="s">
        <v>9472</v>
      </c>
    </row>
    <row r="2273" spans="1:9" ht="15">
      <c r="A2273" s="47" t="s">
        <v>9476</v>
      </c>
      <c r="B2273" s="47" t="s">
        <v>9477</v>
      </c>
      <c r="C2273" s="47" t="s">
        <v>9478</v>
      </c>
      <c r="D2273" s="47" t="s">
        <v>9479</v>
      </c>
      <c r="E2273" s="47"/>
      <c r="F2273" s="47"/>
      <c r="G2273" s="47"/>
      <c r="H2273" s="47" t="s">
        <v>3605</v>
      </c>
      <c r="I2273" s="47" t="s">
        <v>9476</v>
      </c>
    </row>
    <row r="2274" spans="1:9" ht="15">
      <c r="A2274" s="47" t="s">
        <v>9480</v>
      </c>
      <c r="B2274" s="47" t="s">
        <v>9481</v>
      </c>
      <c r="C2274" s="47" t="s">
        <v>9482</v>
      </c>
      <c r="D2274" s="47" t="s">
        <v>9483</v>
      </c>
      <c r="E2274" s="47"/>
      <c r="F2274" s="47"/>
      <c r="G2274" s="47"/>
      <c r="H2274" s="47" t="s">
        <v>3605</v>
      </c>
      <c r="I2274" s="47" t="s">
        <v>9480</v>
      </c>
    </row>
    <row r="2275" spans="1:9" ht="15">
      <c r="A2275" s="47" t="s">
        <v>9484</v>
      </c>
      <c r="B2275" s="47" t="s">
        <v>9485</v>
      </c>
      <c r="C2275" s="47" t="s">
        <v>9486</v>
      </c>
      <c r="D2275" s="47" t="s">
        <v>9487</v>
      </c>
      <c r="E2275" s="47"/>
      <c r="F2275" s="47"/>
      <c r="G2275" s="47"/>
      <c r="H2275" s="47" t="s">
        <v>3605</v>
      </c>
      <c r="I2275" s="47" t="s">
        <v>9484</v>
      </c>
    </row>
    <row r="2276" spans="1:9" ht="15">
      <c r="A2276" s="47" t="s">
        <v>9488</v>
      </c>
      <c r="B2276" s="47" t="s">
        <v>9489</v>
      </c>
      <c r="C2276" s="47" t="s">
        <v>9490</v>
      </c>
      <c r="D2276" s="47" t="s">
        <v>9491</v>
      </c>
      <c r="E2276" s="47"/>
      <c r="F2276" s="47"/>
      <c r="G2276" s="47"/>
      <c r="H2276" s="47" t="s">
        <v>3605</v>
      </c>
      <c r="I2276" s="47" t="s">
        <v>9488</v>
      </c>
    </row>
    <row r="2277" spans="1:9" ht="15">
      <c r="A2277" s="47" t="s">
        <v>9492</v>
      </c>
      <c r="B2277" s="47" t="s">
        <v>9493</v>
      </c>
      <c r="C2277" s="47" t="s">
        <v>9494</v>
      </c>
      <c r="D2277" s="47" t="s">
        <v>9495</v>
      </c>
      <c r="E2277" s="47"/>
      <c r="F2277" s="47"/>
      <c r="G2277" s="47"/>
      <c r="H2277" s="47" t="s">
        <v>3605</v>
      </c>
      <c r="I2277" s="47" t="s">
        <v>9492</v>
      </c>
    </row>
    <row r="2278" spans="1:9" ht="15">
      <c r="A2278" s="47" t="s">
        <v>9496</v>
      </c>
      <c r="B2278" s="47" t="s">
        <v>9497</v>
      </c>
      <c r="C2278" s="47" t="s">
        <v>9498</v>
      </c>
      <c r="D2278" s="47" t="s">
        <v>9499</v>
      </c>
      <c r="E2278" s="47"/>
      <c r="F2278" s="47"/>
      <c r="G2278" s="47"/>
      <c r="H2278" s="47" t="s">
        <v>3605</v>
      </c>
      <c r="I2278" s="47" t="s">
        <v>9496</v>
      </c>
    </row>
    <row r="2279" spans="1:9" ht="15">
      <c r="A2279" s="47" t="s">
        <v>9500</v>
      </c>
      <c r="B2279" s="47" t="s">
        <v>9501</v>
      </c>
      <c r="C2279" s="47" t="s">
        <v>9502</v>
      </c>
      <c r="D2279" s="47" t="s">
        <v>9503</v>
      </c>
      <c r="E2279" s="47"/>
      <c r="F2279" s="47"/>
      <c r="G2279" s="47"/>
      <c r="H2279" s="47" t="s">
        <v>3605</v>
      </c>
      <c r="I2279" s="47" t="s">
        <v>9500</v>
      </c>
    </row>
    <row r="2280" spans="1:9" ht="15">
      <c r="A2280" s="47" t="s">
        <v>9504</v>
      </c>
      <c r="B2280" s="47" t="s">
        <v>9505</v>
      </c>
      <c r="C2280" s="47" t="s">
        <v>9506</v>
      </c>
      <c r="D2280" s="47" t="s">
        <v>9507</v>
      </c>
      <c r="E2280" s="47"/>
      <c r="F2280" s="47"/>
      <c r="G2280" s="47"/>
      <c r="H2280" s="47" t="s">
        <v>3605</v>
      </c>
      <c r="I2280" s="47" t="s">
        <v>9504</v>
      </c>
    </row>
    <row r="2281" spans="1:9" ht="15">
      <c r="A2281" s="47" t="s">
        <v>9508</v>
      </c>
      <c r="B2281" s="47" t="s">
        <v>9509</v>
      </c>
      <c r="C2281" s="47" t="s">
        <v>9510</v>
      </c>
      <c r="D2281" s="47" t="s">
        <v>9511</v>
      </c>
      <c r="E2281" s="47"/>
      <c r="F2281" s="47" t="s">
        <v>4253</v>
      </c>
      <c r="G2281" s="47" t="s">
        <v>4254</v>
      </c>
      <c r="H2281" s="47" t="s">
        <v>3605</v>
      </c>
      <c r="I2281" s="47" t="s">
        <v>9508</v>
      </c>
    </row>
    <row r="2282" spans="1:9" ht="15">
      <c r="A2282" s="47" t="s">
        <v>9512</v>
      </c>
      <c r="B2282" s="47" t="s">
        <v>9513</v>
      </c>
      <c r="C2282" s="47" t="s">
        <v>9514</v>
      </c>
      <c r="D2282" s="47" t="s">
        <v>9515</v>
      </c>
      <c r="E2282" s="47"/>
      <c r="F2282" s="47"/>
      <c r="G2282" s="47"/>
      <c r="H2282" s="47" t="s">
        <v>3605</v>
      </c>
      <c r="I2282" s="47" t="s">
        <v>9512</v>
      </c>
    </row>
    <row r="2283" spans="1:9" ht="15">
      <c r="A2283" s="47" t="s">
        <v>2610</v>
      </c>
      <c r="B2283" s="47" t="s">
        <v>9516</v>
      </c>
      <c r="C2283" s="47" t="s">
        <v>9517</v>
      </c>
      <c r="D2283" s="47" t="s">
        <v>9518</v>
      </c>
      <c r="E2283" s="47"/>
      <c r="F2283" s="47"/>
      <c r="G2283" s="47"/>
      <c r="H2283" s="47" t="s">
        <v>3605</v>
      </c>
      <c r="I2283" s="47" t="s">
        <v>2610</v>
      </c>
    </row>
    <row r="2284" spans="1:9" ht="15">
      <c r="A2284" s="47" t="s">
        <v>9519</v>
      </c>
      <c r="B2284" s="47" t="s">
        <v>9520</v>
      </c>
      <c r="C2284" s="47" t="s">
        <v>9521</v>
      </c>
      <c r="D2284" s="47" t="s">
        <v>9522</v>
      </c>
      <c r="E2284" s="47"/>
      <c r="F2284" s="47"/>
      <c r="G2284" s="47"/>
      <c r="H2284" s="47" t="s">
        <v>3605</v>
      </c>
      <c r="I2284" s="47" t="s">
        <v>9519</v>
      </c>
    </row>
    <row r="2285" spans="1:9" ht="15">
      <c r="A2285" s="47" t="s">
        <v>9523</v>
      </c>
      <c r="B2285" s="47" t="s">
        <v>9524</v>
      </c>
      <c r="C2285" s="47" t="s">
        <v>9525</v>
      </c>
      <c r="D2285" s="47" t="s">
        <v>9526</v>
      </c>
      <c r="E2285" s="47"/>
      <c r="F2285" s="47"/>
      <c r="G2285" s="47"/>
      <c r="H2285" s="47" t="s">
        <v>3605</v>
      </c>
      <c r="I2285" s="47" t="s">
        <v>9523</v>
      </c>
    </row>
    <row r="2286" spans="1:9" ht="15">
      <c r="A2286" s="47" t="s">
        <v>9527</v>
      </c>
      <c r="B2286" s="47" t="s">
        <v>9528</v>
      </c>
      <c r="C2286" s="47" t="s">
        <v>9529</v>
      </c>
      <c r="D2286" s="47" t="s">
        <v>9530</v>
      </c>
      <c r="E2286" s="47"/>
      <c r="F2286" s="47"/>
      <c r="G2286" s="47"/>
      <c r="H2286" s="47" t="s">
        <v>3605</v>
      </c>
      <c r="I2286" s="47" t="s">
        <v>9527</v>
      </c>
    </row>
    <row r="2287" spans="1:9" ht="15">
      <c r="A2287" s="47" t="s">
        <v>9531</v>
      </c>
      <c r="B2287" s="47" t="s">
        <v>9532</v>
      </c>
      <c r="C2287" s="47" t="s">
        <v>9533</v>
      </c>
      <c r="D2287" s="47" t="s">
        <v>9534</v>
      </c>
      <c r="E2287" s="47"/>
      <c r="F2287" s="47"/>
      <c r="G2287" s="47"/>
      <c r="H2287" s="47" t="s">
        <v>3605</v>
      </c>
      <c r="I2287" s="47" t="s">
        <v>9531</v>
      </c>
    </row>
    <row r="2288" spans="1:9" ht="15">
      <c r="A2288" s="47" t="s">
        <v>9535</v>
      </c>
      <c r="B2288" s="47" t="s">
        <v>9536</v>
      </c>
      <c r="C2288" s="47" t="s">
        <v>9537</v>
      </c>
      <c r="D2288" s="47" t="s">
        <v>9538</v>
      </c>
      <c r="E2288" s="47"/>
      <c r="F2288" s="47"/>
      <c r="G2288" s="47"/>
      <c r="H2288" s="47" t="s">
        <v>3605</v>
      </c>
      <c r="I2288" s="47" t="s">
        <v>9535</v>
      </c>
    </row>
    <row r="2289" spans="1:9" ht="15">
      <c r="A2289" s="47" t="s">
        <v>9539</v>
      </c>
      <c r="B2289" s="47" t="s">
        <v>9540</v>
      </c>
      <c r="C2289" s="47" t="s">
        <v>9541</v>
      </c>
      <c r="D2289" s="47" t="s">
        <v>9542</v>
      </c>
      <c r="E2289" s="47"/>
      <c r="F2289" s="47"/>
      <c r="G2289" s="47"/>
      <c r="H2289" s="47" t="s">
        <v>3605</v>
      </c>
      <c r="I2289" s="47" t="s">
        <v>9539</v>
      </c>
    </row>
    <row r="2290" spans="1:9" ht="15">
      <c r="A2290" s="47" t="s">
        <v>9543</v>
      </c>
      <c r="B2290" s="47" t="s">
        <v>9544</v>
      </c>
      <c r="C2290" s="47" t="s">
        <v>9545</v>
      </c>
      <c r="D2290" s="47" t="s">
        <v>9546</v>
      </c>
      <c r="E2290" s="47"/>
      <c r="F2290" s="47"/>
      <c r="G2290" s="47"/>
      <c r="H2290" s="47" t="s">
        <v>3605</v>
      </c>
      <c r="I2290" s="47" t="s">
        <v>9543</v>
      </c>
    </row>
    <row r="2291" spans="1:9" ht="15">
      <c r="A2291" s="47" t="s">
        <v>9547</v>
      </c>
      <c r="B2291" s="47" t="s">
        <v>9548</v>
      </c>
      <c r="C2291" s="47" t="s">
        <v>9549</v>
      </c>
      <c r="D2291" s="47" t="s">
        <v>9550</v>
      </c>
      <c r="E2291" s="47"/>
      <c r="F2291" s="47"/>
      <c r="G2291" s="47"/>
      <c r="H2291" s="47" t="s">
        <v>3605</v>
      </c>
      <c r="I2291" s="47" t="s">
        <v>9547</v>
      </c>
    </row>
    <row r="2292" spans="1:9" ht="15">
      <c r="A2292" s="47" t="s">
        <v>9551</v>
      </c>
      <c r="B2292" s="47" t="s">
        <v>9552</v>
      </c>
      <c r="C2292" s="47" t="s">
        <v>9553</v>
      </c>
      <c r="D2292" s="47" t="s">
        <v>9554</v>
      </c>
      <c r="E2292" s="47"/>
      <c r="F2292" s="47"/>
      <c r="G2292" s="47"/>
      <c r="H2292" s="47" t="s">
        <v>3605</v>
      </c>
      <c r="I2292" s="47" t="s">
        <v>9551</v>
      </c>
    </row>
    <row r="2293" spans="1:9" ht="15">
      <c r="A2293" s="47" t="s">
        <v>9555</v>
      </c>
      <c r="B2293" s="47" t="s">
        <v>9556</v>
      </c>
      <c r="C2293" s="47" t="s">
        <v>9557</v>
      </c>
      <c r="D2293" s="47" t="s">
        <v>9558</v>
      </c>
      <c r="E2293" s="47"/>
      <c r="F2293" s="47"/>
      <c r="G2293" s="47"/>
      <c r="H2293" s="47" t="s">
        <v>3605</v>
      </c>
      <c r="I2293" s="47" t="s">
        <v>9555</v>
      </c>
    </row>
    <row r="2294" spans="1:9" ht="15">
      <c r="A2294" s="47" t="s">
        <v>9559</v>
      </c>
      <c r="B2294" s="47" t="s">
        <v>9560</v>
      </c>
      <c r="C2294" s="47" t="s">
        <v>9561</v>
      </c>
      <c r="D2294" s="47" t="s">
        <v>9562</v>
      </c>
      <c r="E2294" s="47"/>
      <c r="F2294" s="47"/>
      <c r="G2294" s="47"/>
      <c r="H2294" s="47" t="s">
        <v>3605</v>
      </c>
      <c r="I2294" s="47" t="s">
        <v>9559</v>
      </c>
    </row>
    <row r="2295" spans="1:9" ht="15">
      <c r="A2295" s="47" t="s">
        <v>9563</v>
      </c>
      <c r="B2295" s="47" t="s">
        <v>9564</v>
      </c>
      <c r="C2295" s="47" t="s">
        <v>9565</v>
      </c>
      <c r="D2295" s="47" t="s">
        <v>9566</v>
      </c>
      <c r="E2295" s="47"/>
      <c r="F2295" s="47"/>
      <c r="G2295" s="47"/>
      <c r="H2295" s="47" t="s">
        <v>3605</v>
      </c>
      <c r="I2295" s="47" t="s">
        <v>9563</v>
      </c>
    </row>
    <row r="2296" spans="1:9" ht="15">
      <c r="A2296" s="47" t="s">
        <v>9567</v>
      </c>
      <c r="B2296" s="47" t="s">
        <v>9568</v>
      </c>
      <c r="C2296" s="47" t="s">
        <v>9569</v>
      </c>
      <c r="D2296" s="47" t="s">
        <v>9570</v>
      </c>
      <c r="E2296" s="47"/>
      <c r="F2296" s="47"/>
      <c r="G2296" s="47"/>
      <c r="H2296" s="47" t="s">
        <v>3605</v>
      </c>
      <c r="I2296" s="47" t="s">
        <v>9567</v>
      </c>
    </row>
    <row r="2297" spans="1:9" ht="15">
      <c r="A2297" s="47" t="s">
        <v>9571</v>
      </c>
      <c r="B2297" s="47" t="s">
        <v>9572</v>
      </c>
      <c r="C2297" s="47" t="s">
        <v>9573</v>
      </c>
      <c r="D2297" s="47" t="s">
        <v>9574</v>
      </c>
      <c r="E2297" s="47"/>
      <c r="F2297" s="47"/>
      <c r="G2297" s="47"/>
      <c r="H2297" s="47" t="s">
        <v>3605</v>
      </c>
      <c r="I2297" s="47" t="s">
        <v>9571</v>
      </c>
    </row>
    <row r="2298" spans="1:9" ht="15">
      <c r="A2298" s="47" t="s">
        <v>9575</v>
      </c>
      <c r="B2298" s="47" t="s">
        <v>9576</v>
      </c>
      <c r="C2298" s="47" t="s">
        <v>9577</v>
      </c>
      <c r="D2298" s="47" t="s">
        <v>9578</v>
      </c>
      <c r="E2298" s="47"/>
      <c r="F2298" s="47"/>
      <c r="G2298" s="47"/>
      <c r="H2298" s="47" t="s">
        <v>3605</v>
      </c>
      <c r="I2298" s="47" t="s">
        <v>9575</v>
      </c>
    </row>
    <row r="2299" spans="1:9" ht="15">
      <c r="A2299" s="47">
        <v>7007</v>
      </c>
      <c r="B2299" s="47" t="s">
        <v>9579</v>
      </c>
      <c r="C2299" s="47" t="s">
        <v>9580</v>
      </c>
      <c r="D2299" s="47" t="s">
        <v>9581</v>
      </c>
      <c r="E2299" s="47"/>
      <c r="F2299" s="47"/>
      <c r="G2299" s="47"/>
      <c r="H2299" s="47" t="s">
        <v>3605</v>
      </c>
      <c r="I2299" s="47" t="s">
        <v>19489</v>
      </c>
    </row>
    <row r="2300" spans="1:9" ht="15">
      <c r="A2300" s="47" t="s">
        <v>9582</v>
      </c>
      <c r="B2300" s="47" t="s">
        <v>9583</v>
      </c>
      <c r="C2300" s="47" t="s">
        <v>9584</v>
      </c>
      <c r="D2300" s="47" t="s">
        <v>9585</v>
      </c>
      <c r="E2300" s="47"/>
      <c r="F2300" s="47"/>
      <c r="G2300" s="47"/>
      <c r="H2300" s="47" t="s">
        <v>3605</v>
      </c>
      <c r="I2300" s="47" t="s">
        <v>9582</v>
      </c>
    </row>
    <row r="2301" spans="1:9" ht="15">
      <c r="A2301" s="47" t="s">
        <v>9586</v>
      </c>
      <c r="B2301" s="47" t="s">
        <v>9587</v>
      </c>
      <c r="C2301" s="47" t="s">
        <v>9588</v>
      </c>
      <c r="D2301" s="47" t="s">
        <v>9589</v>
      </c>
      <c r="E2301" s="47"/>
      <c r="F2301" s="47"/>
      <c r="G2301" s="47"/>
      <c r="H2301" s="47" t="s">
        <v>3605</v>
      </c>
      <c r="I2301" s="47" t="s">
        <v>9586</v>
      </c>
    </row>
    <row r="2302" spans="1:9" ht="15">
      <c r="A2302" s="47" t="s">
        <v>9590</v>
      </c>
      <c r="B2302" s="47" t="s">
        <v>9591</v>
      </c>
      <c r="C2302" s="47" t="s">
        <v>9592</v>
      </c>
      <c r="D2302" s="47" t="s">
        <v>9593</v>
      </c>
      <c r="E2302" s="47"/>
      <c r="F2302" s="47"/>
      <c r="G2302" s="47"/>
      <c r="H2302" s="47" t="s">
        <v>3605</v>
      </c>
      <c r="I2302" s="47" t="s">
        <v>9590</v>
      </c>
    </row>
    <row r="2303" spans="1:9" ht="15">
      <c r="A2303" s="47" t="s">
        <v>9594</v>
      </c>
      <c r="B2303" s="47" t="s">
        <v>9595</v>
      </c>
      <c r="C2303" s="47" t="s">
        <v>9596</v>
      </c>
      <c r="D2303" s="47" t="s">
        <v>9597</v>
      </c>
      <c r="E2303" s="47"/>
      <c r="F2303" s="47"/>
      <c r="G2303" s="47"/>
      <c r="H2303" s="47" t="s">
        <v>3605</v>
      </c>
      <c r="I2303" s="47" t="s">
        <v>9594</v>
      </c>
    </row>
    <row r="2304" spans="1:9" ht="15">
      <c r="A2304" s="47" t="s">
        <v>9598</v>
      </c>
      <c r="B2304" s="47" t="s">
        <v>9599</v>
      </c>
      <c r="C2304" s="47" t="s">
        <v>9600</v>
      </c>
      <c r="D2304" s="47" t="s">
        <v>9601</v>
      </c>
      <c r="E2304" s="47"/>
      <c r="F2304" s="47"/>
      <c r="G2304" s="47"/>
      <c r="H2304" s="47" t="s">
        <v>3605</v>
      </c>
      <c r="I2304" s="47" t="s">
        <v>9598</v>
      </c>
    </row>
    <row r="2305" spans="1:9" ht="15">
      <c r="A2305" s="47" t="s">
        <v>9602</v>
      </c>
      <c r="B2305" s="47" t="s">
        <v>9603</v>
      </c>
      <c r="C2305" s="47" t="s">
        <v>9604</v>
      </c>
      <c r="D2305" s="47" t="s">
        <v>9605</v>
      </c>
      <c r="E2305" s="47"/>
      <c r="F2305" s="47"/>
      <c r="G2305" s="47"/>
      <c r="H2305" s="47" t="s">
        <v>3605</v>
      </c>
      <c r="I2305" s="47" t="s">
        <v>9602</v>
      </c>
    </row>
    <row r="2306" spans="1:9" ht="15">
      <c r="A2306" s="47" t="s">
        <v>9606</v>
      </c>
      <c r="B2306" s="47" t="s">
        <v>9607</v>
      </c>
      <c r="C2306" s="47" t="s">
        <v>9608</v>
      </c>
      <c r="D2306" s="47" t="s">
        <v>9609</v>
      </c>
      <c r="E2306" s="47"/>
      <c r="F2306" s="47"/>
      <c r="G2306" s="47"/>
      <c r="H2306" s="47" t="s">
        <v>3605</v>
      </c>
      <c r="I2306" s="47" t="s">
        <v>9606</v>
      </c>
    </row>
    <row r="2307" spans="1:9" ht="15">
      <c r="A2307" s="47" t="s">
        <v>9610</v>
      </c>
      <c r="B2307" s="47" t="s">
        <v>9611</v>
      </c>
      <c r="C2307" s="47" t="s">
        <v>9612</v>
      </c>
      <c r="D2307" s="47" t="s">
        <v>9613</v>
      </c>
      <c r="E2307" s="47"/>
      <c r="F2307" s="47"/>
      <c r="G2307" s="47"/>
      <c r="H2307" s="47" t="s">
        <v>3605</v>
      </c>
      <c r="I2307" s="47" t="s">
        <v>9610</v>
      </c>
    </row>
    <row r="2308" spans="1:9" ht="15">
      <c r="A2308" s="47" t="s">
        <v>9614</v>
      </c>
      <c r="B2308" s="47" t="s">
        <v>9615</v>
      </c>
      <c r="C2308" s="47" t="s">
        <v>9616</v>
      </c>
      <c r="D2308" s="47" t="s">
        <v>9617</v>
      </c>
      <c r="E2308" s="47"/>
      <c r="F2308" s="47"/>
      <c r="G2308" s="47"/>
      <c r="H2308" s="47" t="s">
        <v>3605</v>
      </c>
      <c r="I2308" s="47" t="s">
        <v>9614</v>
      </c>
    </row>
    <row r="2309" spans="1:9" ht="15">
      <c r="A2309" s="47" t="s">
        <v>9618</v>
      </c>
      <c r="B2309" s="47" t="s">
        <v>9619</v>
      </c>
      <c r="C2309" s="47" t="s">
        <v>9620</v>
      </c>
      <c r="D2309" s="47" t="s">
        <v>9621</v>
      </c>
      <c r="E2309" s="47"/>
      <c r="F2309" s="47"/>
      <c r="G2309" s="47"/>
      <c r="H2309" s="47" t="s">
        <v>3605</v>
      </c>
      <c r="I2309" s="47" t="s">
        <v>9618</v>
      </c>
    </row>
    <row r="2310" spans="1:9" ht="15">
      <c r="A2310" s="47" t="s">
        <v>9622</v>
      </c>
      <c r="B2310" s="47" t="s">
        <v>9623</v>
      </c>
      <c r="C2310" s="47" t="s">
        <v>9624</v>
      </c>
      <c r="D2310" s="47" t="s">
        <v>9625</v>
      </c>
      <c r="E2310" s="47"/>
      <c r="F2310" s="47"/>
      <c r="G2310" s="47"/>
      <c r="H2310" s="47" t="s">
        <v>3605</v>
      </c>
      <c r="I2310" s="47" t="s">
        <v>9622</v>
      </c>
    </row>
    <row r="2311" spans="1:9" ht="15">
      <c r="A2311" s="47" t="s">
        <v>9626</v>
      </c>
      <c r="B2311" s="47" t="s">
        <v>9627</v>
      </c>
      <c r="C2311" s="47" t="s">
        <v>9628</v>
      </c>
      <c r="D2311" s="47" t="s">
        <v>9629</v>
      </c>
      <c r="E2311" s="47"/>
      <c r="F2311" s="47"/>
      <c r="G2311" s="47"/>
      <c r="H2311" s="47" t="s">
        <v>3605</v>
      </c>
      <c r="I2311" s="47" t="s">
        <v>9626</v>
      </c>
    </row>
    <row r="2312" spans="1:9" ht="15">
      <c r="A2312" s="47" t="s">
        <v>9630</v>
      </c>
      <c r="B2312" s="47" t="s">
        <v>9631</v>
      </c>
      <c r="C2312" s="47" t="s">
        <v>9632</v>
      </c>
      <c r="D2312" s="47" t="s">
        <v>9633</v>
      </c>
      <c r="E2312" s="47"/>
      <c r="F2312" s="47"/>
      <c r="G2312" s="47"/>
      <c r="H2312" s="47" t="s">
        <v>3605</v>
      </c>
      <c r="I2312" s="47" t="s">
        <v>9630</v>
      </c>
    </row>
    <row r="2313" spans="1:9" ht="15">
      <c r="A2313" s="47" t="s">
        <v>9634</v>
      </c>
      <c r="B2313" s="47" t="s">
        <v>9635</v>
      </c>
      <c r="C2313" s="47" t="s">
        <v>9636</v>
      </c>
      <c r="D2313" s="47" t="s">
        <v>9637</v>
      </c>
      <c r="E2313" s="47"/>
      <c r="F2313" s="47"/>
      <c r="G2313" s="47"/>
      <c r="H2313" s="47" t="s">
        <v>3605</v>
      </c>
      <c r="I2313" s="47" t="s">
        <v>9634</v>
      </c>
    </row>
    <row r="2314" spans="1:9" ht="15">
      <c r="A2314" s="47" t="s">
        <v>9638</v>
      </c>
      <c r="B2314" s="47" t="s">
        <v>9639</v>
      </c>
      <c r="C2314" s="47" t="s">
        <v>9640</v>
      </c>
      <c r="D2314" s="47" t="s">
        <v>9641</v>
      </c>
      <c r="E2314" s="47"/>
      <c r="F2314" s="47"/>
      <c r="G2314" s="47"/>
      <c r="H2314" s="47" t="s">
        <v>3605</v>
      </c>
      <c r="I2314" s="47" t="s">
        <v>9638</v>
      </c>
    </row>
    <row r="2315" spans="1:9" ht="15">
      <c r="A2315" s="47" t="s">
        <v>9642</v>
      </c>
      <c r="B2315" s="47" t="s">
        <v>9643</v>
      </c>
      <c r="C2315" s="47" t="s">
        <v>9644</v>
      </c>
      <c r="D2315" s="47" t="s">
        <v>9645</v>
      </c>
      <c r="E2315" s="47"/>
      <c r="F2315" s="47"/>
      <c r="G2315" s="47"/>
      <c r="H2315" s="47" t="s">
        <v>3605</v>
      </c>
      <c r="I2315" s="47" t="s">
        <v>9642</v>
      </c>
    </row>
    <row r="2316" spans="1:9" ht="15">
      <c r="A2316" s="47" t="s">
        <v>9646</v>
      </c>
      <c r="B2316" s="47" t="s">
        <v>9647</v>
      </c>
      <c r="C2316" s="47" t="s">
        <v>9648</v>
      </c>
      <c r="D2316" s="47" t="s">
        <v>9649</v>
      </c>
      <c r="E2316" s="47"/>
      <c r="F2316" s="47"/>
      <c r="G2316" s="47"/>
      <c r="H2316" s="47" t="s">
        <v>3605</v>
      </c>
      <c r="I2316" s="47" t="s">
        <v>9646</v>
      </c>
    </row>
    <row r="2317" spans="1:9" ht="15">
      <c r="A2317" s="47" t="s">
        <v>9650</v>
      </c>
      <c r="B2317" s="47" t="s">
        <v>9651</v>
      </c>
      <c r="C2317" s="47" t="s">
        <v>9652</v>
      </c>
      <c r="D2317" s="47" t="s">
        <v>9645</v>
      </c>
      <c r="E2317" s="47"/>
      <c r="F2317" s="47"/>
      <c r="G2317" s="47"/>
      <c r="H2317" s="47" t="s">
        <v>3605</v>
      </c>
      <c r="I2317" s="47" t="s">
        <v>9650</v>
      </c>
    </row>
    <row r="2318" spans="1:9" ht="15">
      <c r="A2318" s="47" t="s">
        <v>9653</v>
      </c>
      <c r="B2318" s="47" t="s">
        <v>9654</v>
      </c>
      <c r="C2318" s="47" t="s">
        <v>9655</v>
      </c>
      <c r="D2318" s="47" t="s">
        <v>9656</v>
      </c>
      <c r="E2318" s="47"/>
      <c r="F2318" s="47"/>
      <c r="G2318" s="47"/>
      <c r="H2318" s="47" t="s">
        <v>3605</v>
      </c>
      <c r="I2318" s="47" t="s">
        <v>9653</v>
      </c>
    </row>
    <row r="2319" spans="1:9" ht="15">
      <c r="A2319" s="47" t="s">
        <v>9657</v>
      </c>
      <c r="B2319" s="47" t="s">
        <v>9658</v>
      </c>
      <c r="C2319" s="47" t="s">
        <v>9659</v>
      </c>
      <c r="D2319" s="47" t="s">
        <v>9660</v>
      </c>
      <c r="E2319" s="47"/>
      <c r="F2319" s="47"/>
      <c r="G2319" s="47"/>
      <c r="H2319" s="47" t="s">
        <v>3605</v>
      </c>
      <c r="I2319" s="47" t="s">
        <v>9657</v>
      </c>
    </row>
    <row r="2320" spans="1:9" ht="15">
      <c r="A2320" s="47" t="s">
        <v>9661</v>
      </c>
      <c r="B2320" s="47" t="s">
        <v>9662</v>
      </c>
      <c r="C2320" s="47" t="s">
        <v>9663</v>
      </c>
      <c r="D2320" s="47" t="s">
        <v>9664</v>
      </c>
      <c r="E2320" s="47"/>
      <c r="F2320" s="47"/>
      <c r="G2320" s="47"/>
      <c r="H2320" s="47" t="s">
        <v>3605</v>
      </c>
      <c r="I2320" s="47" t="s">
        <v>9661</v>
      </c>
    </row>
    <row r="2321" spans="1:9" ht="15">
      <c r="A2321" s="47" t="s">
        <v>9665</v>
      </c>
      <c r="B2321" s="47" t="s">
        <v>9666</v>
      </c>
      <c r="C2321" s="47" t="s">
        <v>9667</v>
      </c>
      <c r="D2321" s="47" t="s">
        <v>9668</v>
      </c>
      <c r="E2321" s="47"/>
      <c r="F2321" s="47"/>
      <c r="G2321" s="47"/>
      <c r="H2321" s="47" t="s">
        <v>3605</v>
      </c>
      <c r="I2321" s="47" t="s">
        <v>9665</v>
      </c>
    </row>
    <row r="2322" spans="1:9" ht="15">
      <c r="A2322" s="47" t="s">
        <v>9669</v>
      </c>
      <c r="B2322" s="47" t="s">
        <v>9670</v>
      </c>
      <c r="C2322" s="47" t="s">
        <v>9671</v>
      </c>
      <c r="D2322" s="47" t="s">
        <v>9672</v>
      </c>
      <c r="E2322" s="47"/>
      <c r="F2322" s="47"/>
      <c r="G2322" s="47"/>
      <c r="H2322" s="47" t="s">
        <v>3605</v>
      </c>
      <c r="I2322" s="47" t="s">
        <v>9669</v>
      </c>
    </row>
    <row r="2323" spans="1:9" ht="15">
      <c r="A2323" s="47" t="s">
        <v>9673</v>
      </c>
      <c r="B2323" s="47" t="s">
        <v>9674</v>
      </c>
      <c r="C2323" s="47" t="s">
        <v>9675</v>
      </c>
      <c r="D2323" s="47" t="s">
        <v>7086</v>
      </c>
      <c r="E2323" s="47"/>
      <c r="F2323" s="47"/>
      <c r="G2323" s="47"/>
      <c r="H2323" s="47" t="s">
        <v>3605</v>
      </c>
      <c r="I2323" s="47" t="s">
        <v>9673</v>
      </c>
    </row>
    <row r="2324" spans="1:9" ht="15">
      <c r="A2324" s="47" t="s">
        <v>9676</v>
      </c>
      <c r="B2324" s="47" t="s">
        <v>9677</v>
      </c>
      <c r="C2324" s="47" t="s">
        <v>9678</v>
      </c>
      <c r="D2324" s="47" t="s">
        <v>9679</v>
      </c>
      <c r="E2324" s="47"/>
      <c r="F2324" s="47"/>
      <c r="G2324" s="47"/>
      <c r="H2324" s="47" t="s">
        <v>3605</v>
      </c>
      <c r="I2324" s="47" t="s">
        <v>9676</v>
      </c>
    </row>
    <row r="2325" spans="1:9" ht="15">
      <c r="A2325" s="47" t="s">
        <v>9680</v>
      </c>
      <c r="B2325" s="47" t="s">
        <v>9681</v>
      </c>
      <c r="C2325" s="47" t="s">
        <v>9682</v>
      </c>
      <c r="D2325" s="47" t="s">
        <v>9683</v>
      </c>
      <c r="E2325" s="47"/>
      <c r="F2325" s="47"/>
      <c r="G2325" s="47"/>
      <c r="H2325" s="47" t="s">
        <v>3605</v>
      </c>
      <c r="I2325" s="47" t="s">
        <v>9680</v>
      </c>
    </row>
    <row r="2326" spans="1:9" ht="15">
      <c r="A2326" s="47" t="s">
        <v>9684</v>
      </c>
      <c r="B2326" s="47" t="s">
        <v>9685</v>
      </c>
      <c r="C2326" s="47" t="s">
        <v>9686</v>
      </c>
      <c r="D2326" s="47" t="s">
        <v>9687</v>
      </c>
      <c r="E2326" s="47"/>
      <c r="F2326" s="47"/>
      <c r="G2326" s="47"/>
      <c r="H2326" s="47" t="s">
        <v>3605</v>
      </c>
      <c r="I2326" s="47" t="s">
        <v>9684</v>
      </c>
    </row>
    <row r="2327" spans="1:9" ht="15">
      <c r="A2327" s="47" t="s">
        <v>9688</v>
      </c>
      <c r="B2327" s="47" t="s">
        <v>9689</v>
      </c>
      <c r="C2327" s="47" t="s">
        <v>9690</v>
      </c>
      <c r="D2327" s="47" t="s">
        <v>9691</v>
      </c>
      <c r="E2327" s="47"/>
      <c r="F2327" s="47"/>
      <c r="G2327" s="47"/>
      <c r="H2327" s="47" t="s">
        <v>3605</v>
      </c>
      <c r="I2327" s="47" t="s">
        <v>9688</v>
      </c>
    </row>
    <row r="2328" spans="1:9" ht="15">
      <c r="A2328" s="47" t="s">
        <v>9692</v>
      </c>
      <c r="B2328" s="47" t="s">
        <v>9693</v>
      </c>
      <c r="C2328" s="47" t="s">
        <v>9694</v>
      </c>
      <c r="D2328" s="47" t="s">
        <v>9695</v>
      </c>
      <c r="E2328" s="47"/>
      <c r="F2328" s="47"/>
      <c r="G2328" s="47"/>
      <c r="H2328" s="47" t="s">
        <v>3605</v>
      </c>
      <c r="I2328" s="47" t="s">
        <v>9692</v>
      </c>
    </row>
    <row r="2329" spans="1:9" ht="15">
      <c r="A2329" s="47" t="s">
        <v>9696</v>
      </c>
      <c r="B2329" s="47" t="s">
        <v>9697</v>
      </c>
      <c r="C2329" s="47" t="s">
        <v>9698</v>
      </c>
      <c r="D2329" s="47" t="s">
        <v>9699</v>
      </c>
      <c r="E2329" s="47"/>
      <c r="F2329" s="47"/>
      <c r="G2329" s="47"/>
      <c r="H2329" s="47" t="s">
        <v>3605</v>
      </c>
      <c r="I2329" s="47" t="s">
        <v>9696</v>
      </c>
    </row>
    <row r="2330" spans="1:9" ht="15">
      <c r="A2330" s="47" t="s">
        <v>9700</v>
      </c>
      <c r="B2330" s="47" t="s">
        <v>9701</v>
      </c>
      <c r="C2330" s="47" t="s">
        <v>9702</v>
      </c>
      <c r="D2330" s="47" t="s">
        <v>9703</v>
      </c>
      <c r="E2330" s="47"/>
      <c r="F2330" s="47"/>
      <c r="G2330" s="47"/>
      <c r="H2330" s="47" t="s">
        <v>3605</v>
      </c>
      <c r="I2330" s="47" t="s">
        <v>9700</v>
      </c>
    </row>
    <row r="2331" spans="1:9" ht="15">
      <c r="A2331" s="47" t="s">
        <v>9704</v>
      </c>
      <c r="B2331" s="47" t="s">
        <v>9705</v>
      </c>
      <c r="C2331" s="47" t="s">
        <v>9706</v>
      </c>
      <c r="D2331" s="47" t="s">
        <v>9707</v>
      </c>
      <c r="E2331" s="47"/>
      <c r="F2331" s="47"/>
      <c r="G2331" s="47"/>
      <c r="H2331" s="47" t="s">
        <v>3605</v>
      </c>
      <c r="I2331" s="47" t="s">
        <v>9704</v>
      </c>
    </row>
    <row r="2332" spans="1:9" ht="15">
      <c r="A2332" s="47" t="s">
        <v>9708</v>
      </c>
      <c r="B2332" s="47" t="s">
        <v>9709</v>
      </c>
      <c r="C2332" s="47" t="s">
        <v>9710</v>
      </c>
      <c r="D2332" s="47" t="s">
        <v>9711</v>
      </c>
      <c r="E2332" s="47"/>
      <c r="F2332" s="47"/>
      <c r="G2332" s="47"/>
      <c r="H2332" s="47" t="s">
        <v>3605</v>
      </c>
      <c r="I2332" s="47" t="s">
        <v>9708</v>
      </c>
    </row>
    <row r="2333" spans="1:9" ht="15">
      <c r="A2333" s="47" t="s">
        <v>9712</v>
      </c>
      <c r="B2333" s="47" t="s">
        <v>9713</v>
      </c>
      <c r="C2333" s="47" t="s">
        <v>9714</v>
      </c>
      <c r="D2333" s="47" t="s">
        <v>9715</v>
      </c>
      <c r="E2333" s="47"/>
      <c r="F2333" s="47"/>
      <c r="G2333" s="47"/>
      <c r="H2333" s="47" t="s">
        <v>3605</v>
      </c>
      <c r="I2333" s="47" t="s">
        <v>9712</v>
      </c>
    </row>
    <row r="2334" spans="1:9" ht="15">
      <c r="A2334" s="47" t="s">
        <v>9716</v>
      </c>
      <c r="B2334" s="47" t="s">
        <v>9717</v>
      </c>
      <c r="C2334" s="47" t="s">
        <v>9718</v>
      </c>
      <c r="D2334" s="47" t="s">
        <v>9719</v>
      </c>
      <c r="E2334" s="47"/>
      <c r="F2334" s="47"/>
      <c r="G2334" s="47"/>
      <c r="H2334" s="47" t="s">
        <v>3605</v>
      </c>
      <c r="I2334" s="47" t="s">
        <v>9716</v>
      </c>
    </row>
    <row r="2335" spans="1:9" ht="15">
      <c r="A2335" s="47" t="s">
        <v>9720</v>
      </c>
      <c r="B2335" s="47" t="s">
        <v>9721</v>
      </c>
      <c r="C2335" s="47" t="s">
        <v>9722</v>
      </c>
      <c r="D2335" s="47" t="s">
        <v>9723</v>
      </c>
      <c r="E2335" s="47"/>
      <c r="F2335" s="47"/>
      <c r="G2335" s="47"/>
      <c r="H2335" s="47" t="s">
        <v>3605</v>
      </c>
      <c r="I2335" s="47" t="s">
        <v>9720</v>
      </c>
    </row>
    <row r="2336" spans="1:9" ht="15">
      <c r="A2336" s="47" t="s">
        <v>9724</v>
      </c>
      <c r="B2336" s="47" t="s">
        <v>9725</v>
      </c>
      <c r="C2336" s="47" t="s">
        <v>9726</v>
      </c>
      <c r="D2336" s="47" t="s">
        <v>9727</v>
      </c>
      <c r="E2336" s="47"/>
      <c r="F2336" s="47"/>
      <c r="G2336" s="47"/>
      <c r="H2336" s="47" t="s">
        <v>3605</v>
      </c>
      <c r="I2336" s="47" t="s">
        <v>9724</v>
      </c>
    </row>
    <row r="2337" spans="1:9" ht="15">
      <c r="A2337" s="47" t="s">
        <v>9728</v>
      </c>
      <c r="B2337" s="47" t="s">
        <v>9729</v>
      </c>
      <c r="C2337" s="47" t="s">
        <v>9730</v>
      </c>
      <c r="D2337" s="47" t="s">
        <v>9731</v>
      </c>
      <c r="E2337" s="47"/>
      <c r="F2337" s="47"/>
      <c r="G2337" s="47"/>
      <c r="H2337" s="47" t="s">
        <v>3605</v>
      </c>
      <c r="I2337" s="47" t="s">
        <v>9728</v>
      </c>
    </row>
    <row r="2338" spans="1:9" ht="15">
      <c r="A2338" s="47" t="s">
        <v>9732</v>
      </c>
      <c r="B2338" s="47" t="s">
        <v>9733</v>
      </c>
      <c r="C2338" s="47" t="s">
        <v>9734</v>
      </c>
      <c r="D2338" s="47" t="s">
        <v>9735</v>
      </c>
      <c r="E2338" s="47"/>
      <c r="F2338" s="47"/>
      <c r="G2338" s="47"/>
      <c r="H2338" s="47" t="s">
        <v>3605</v>
      </c>
      <c r="I2338" s="47" t="s">
        <v>9732</v>
      </c>
    </row>
    <row r="2339" spans="1:9" ht="15">
      <c r="A2339" s="47" t="s">
        <v>9736</v>
      </c>
      <c r="B2339" s="47" t="s">
        <v>9737</v>
      </c>
      <c r="C2339" s="47" t="s">
        <v>9738</v>
      </c>
      <c r="D2339" s="47" t="s">
        <v>9739</v>
      </c>
      <c r="E2339" s="47"/>
      <c r="F2339" s="47"/>
      <c r="G2339" s="47"/>
      <c r="H2339" s="47" t="s">
        <v>3605</v>
      </c>
      <c r="I2339" s="47" t="s">
        <v>9736</v>
      </c>
    </row>
    <row r="2340" spans="1:9" ht="15">
      <c r="A2340" s="47" t="s">
        <v>9740</v>
      </c>
      <c r="B2340" s="47" t="s">
        <v>9741</v>
      </c>
      <c r="C2340" s="47" t="s">
        <v>9742</v>
      </c>
      <c r="D2340" s="47" t="s">
        <v>9743</v>
      </c>
      <c r="E2340" s="47"/>
      <c r="F2340" s="47"/>
      <c r="G2340" s="47"/>
      <c r="H2340" s="47" t="s">
        <v>3605</v>
      </c>
      <c r="I2340" s="47" t="s">
        <v>9740</v>
      </c>
    </row>
    <row r="2341" spans="1:9" ht="15">
      <c r="A2341" s="47" t="s">
        <v>9744</v>
      </c>
      <c r="B2341" s="47" t="s">
        <v>9745</v>
      </c>
      <c r="C2341" s="47" t="s">
        <v>9746</v>
      </c>
      <c r="D2341" s="47" t="s">
        <v>9747</v>
      </c>
      <c r="E2341" s="47"/>
      <c r="F2341" s="47"/>
      <c r="G2341" s="47"/>
      <c r="H2341" s="47" t="s">
        <v>3605</v>
      </c>
      <c r="I2341" s="47" t="s">
        <v>9744</v>
      </c>
    </row>
    <row r="2342" spans="1:9" ht="15">
      <c r="A2342" s="47" t="s">
        <v>9748</v>
      </c>
      <c r="B2342" s="47" t="s">
        <v>9749</v>
      </c>
      <c r="C2342" s="47" t="s">
        <v>9750</v>
      </c>
      <c r="D2342" s="47" t="s">
        <v>9751</v>
      </c>
      <c r="E2342" s="47"/>
      <c r="F2342" s="47"/>
      <c r="G2342" s="47"/>
      <c r="H2342" s="47" t="s">
        <v>3605</v>
      </c>
      <c r="I2342" s="47" t="s">
        <v>9748</v>
      </c>
    </row>
    <row r="2343" spans="1:9" ht="15">
      <c r="A2343" s="47" t="s">
        <v>9752</v>
      </c>
      <c r="B2343" s="47" t="s">
        <v>9753</v>
      </c>
      <c r="C2343" s="47" t="s">
        <v>9754</v>
      </c>
      <c r="D2343" s="47" t="s">
        <v>9755</v>
      </c>
      <c r="E2343" s="47"/>
      <c r="F2343" s="47"/>
      <c r="G2343" s="47"/>
      <c r="H2343" s="47" t="s">
        <v>3605</v>
      </c>
      <c r="I2343" s="47" t="s">
        <v>9752</v>
      </c>
    </row>
    <row r="2344" spans="1:9" ht="15">
      <c r="A2344" s="47" t="s">
        <v>9756</v>
      </c>
      <c r="B2344" s="47" t="s">
        <v>9757</v>
      </c>
      <c r="C2344" s="47" t="s">
        <v>9758</v>
      </c>
      <c r="D2344" s="47" t="s">
        <v>9759</v>
      </c>
      <c r="E2344" s="47"/>
      <c r="F2344" s="47"/>
      <c r="G2344" s="47"/>
      <c r="H2344" s="47" t="s">
        <v>3605</v>
      </c>
      <c r="I2344" s="47" t="s">
        <v>9756</v>
      </c>
    </row>
    <row r="2345" spans="1:9" ht="15">
      <c r="A2345" s="47" t="s">
        <v>9760</v>
      </c>
      <c r="B2345" s="47" t="s">
        <v>9761</v>
      </c>
      <c r="C2345" s="47" t="s">
        <v>9762</v>
      </c>
      <c r="D2345" s="47" t="s">
        <v>9763</v>
      </c>
      <c r="E2345" s="47"/>
      <c r="F2345" s="47"/>
      <c r="G2345" s="47"/>
      <c r="H2345" s="47" t="s">
        <v>3605</v>
      </c>
      <c r="I2345" s="47" t="s">
        <v>9760</v>
      </c>
    </row>
    <row r="2346" spans="1:9" ht="15">
      <c r="A2346" s="47" t="s">
        <v>9764</v>
      </c>
      <c r="B2346" s="47" t="s">
        <v>9765</v>
      </c>
      <c r="C2346" s="47" t="s">
        <v>9766</v>
      </c>
      <c r="D2346" s="47" t="s">
        <v>9767</v>
      </c>
      <c r="E2346" s="47"/>
      <c r="F2346" s="47"/>
      <c r="G2346" s="47"/>
      <c r="H2346" s="47" t="s">
        <v>3605</v>
      </c>
      <c r="I2346" s="47" t="s">
        <v>9764</v>
      </c>
    </row>
    <row r="2347" spans="1:9" ht="15">
      <c r="A2347" s="47" t="s">
        <v>9768</v>
      </c>
      <c r="B2347" s="47" t="s">
        <v>9769</v>
      </c>
      <c r="C2347" s="47" t="s">
        <v>9770</v>
      </c>
      <c r="D2347" s="47" t="s">
        <v>9755</v>
      </c>
      <c r="E2347" s="47"/>
      <c r="F2347" s="47"/>
      <c r="G2347" s="47"/>
      <c r="H2347" s="47" t="s">
        <v>3605</v>
      </c>
      <c r="I2347" s="47" t="s">
        <v>9768</v>
      </c>
    </row>
    <row r="2348" spans="1:9" ht="15">
      <c r="A2348" s="47" t="s">
        <v>9771</v>
      </c>
      <c r="B2348" s="47" t="s">
        <v>9772</v>
      </c>
      <c r="C2348" s="47" t="s">
        <v>9773</v>
      </c>
      <c r="D2348" s="47" t="s">
        <v>9774</v>
      </c>
      <c r="E2348" s="47"/>
      <c r="F2348" s="47"/>
      <c r="G2348" s="47"/>
      <c r="H2348" s="47" t="s">
        <v>3605</v>
      </c>
      <c r="I2348" s="47" t="s">
        <v>9771</v>
      </c>
    </row>
    <row r="2349" spans="1:9" ht="15">
      <c r="A2349" s="47" t="s">
        <v>9775</v>
      </c>
      <c r="B2349" s="47" t="s">
        <v>9776</v>
      </c>
      <c r="C2349" s="47" t="s">
        <v>9777</v>
      </c>
      <c r="D2349" s="47" t="s">
        <v>9778</v>
      </c>
      <c r="E2349" s="47"/>
      <c r="F2349" s="47"/>
      <c r="G2349" s="47"/>
      <c r="H2349" s="47" t="s">
        <v>3605</v>
      </c>
      <c r="I2349" s="47" t="s">
        <v>9775</v>
      </c>
    </row>
    <row r="2350" spans="1:9" ht="15">
      <c r="A2350" s="47" t="s">
        <v>9779</v>
      </c>
      <c r="B2350" s="47" t="s">
        <v>9780</v>
      </c>
      <c r="C2350" s="47" t="s">
        <v>9781</v>
      </c>
      <c r="D2350" s="47" t="s">
        <v>9782</v>
      </c>
      <c r="E2350" s="47"/>
      <c r="F2350" s="47"/>
      <c r="G2350" s="47"/>
      <c r="H2350" s="47" t="s">
        <v>3605</v>
      </c>
      <c r="I2350" s="47" t="s">
        <v>9779</v>
      </c>
    </row>
    <row r="2351" spans="1:9" ht="15">
      <c r="A2351" s="47" t="s">
        <v>9783</v>
      </c>
      <c r="B2351" s="47" t="s">
        <v>9784</v>
      </c>
      <c r="C2351" s="47" t="s">
        <v>9785</v>
      </c>
      <c r="D2351" s="47" t="s">
        <v>9786</v>
      </c>
      <c r="E2351" s="47"/>
      <c r="F2351" s="47"/>
      <c r="G2351" s="47"/>
      <c r="H2351" s="47" t="s">
        <v>3605</v>
      </c>
      <c r="I2351" s="47" t="s">
        <v>9783</v>
      </c>
    </row>
    <row r="2352" spans="1:9" ht="15">
      <c r="A2352" s="47" t="s">
        <v>9787</v>
      </c>
      <c r="B2352" s="47" t="s">
        <v>9788</v>
      </c>
      <c r="C2352" s="47" t="s">
        <v>9789</v>
      </c>
      <c r="D2352" s="47" t="s">
        <v>9790</v>
      </c>
      <c r="E2352" s="47"/>
      <c r="F2352" s="47"/>
      <c r="G2352" s="47"/>
      <c r="H2352" s="47" t="s">
        <v>3605</v>
      </c>
      <c r="I2352" s="47" t="s">
        <v>9787</v>
      </c>
    </row>
    <row r="2353" spans="1:9" ht="15">
      <c r="A2353" s="47" t="s">
        <v>9791</v>
      </c>
      <c r="B2353" s="47" t="s">
        <v>9792</v>
      </c>
      <c r="C2353" s="47" t="s">
        <v>9793</v>
      </c>
      <c r="D2353" s="47" t="s">
        <v>9794</v>
      </c>
      <c r="E2353" s="47"/>
      <c r="F2353" s="47"/>
      <c r="G2353" s="47"/>
      <c r="H2353" s="47" t="s">
        <v>3605</v>
      </c>
      <c r="I2353" s="47" t="s">
        <v>9791</v>
      </c>
    </row>
    <row r="2354" spans="1:9" ht="15">
      <c r="A2354" s="47" t="s">
        <v>9795</v>
      </c>
      <c r="B2354" s="47" t="s">
        <v>9796</v>
      </c>
      <c r="C2354" s="47" t="s">
        <v>9797</v>
      </c>
      <c r="D2354" s="47" t="s">
        <v>9798</v>
      </c>
      <c r="E2354" s="47"/>
      <c r="F2354" s="47"/>
      <c r="G2354" s="47"/>
      <c r="H2354" s="47" t="s">
        <v>3605</v>
      </c>
      <c r="I2354" s="47" t="s">
        <v>9795</v>
      </c>
    </row>
    <row r="2355" spans="1:9" ht="15">
      <c r="A2355" s="47" t="s">
        <v>9799</v>
      </c>
      <c r="B2355" s="47" t="s">
        <v>9800</v>
      </c>
      <c r="C2355" s="47" t="s">
        <v>9801</v>
      </c>
      <c r="D2355" s="47" t="s">
        <v>9802</v>
      </c>
      <c r="E2355" s="47"/>
      <c r="F2355" s="47"/>
      <c r="G2355" s="47"/>
      <c r="H2355" s="47" t="s">
        <v>3605</v>
      </c>
      <c r="I2355" s="47" t="s">
        <v>9799</v>
      </c>
    </row>
    <row r="2356" spans="1:9" ht="15">
      <c r="A2356" s="47" t="s">
        <v>9803</v>
      </c>
      <c r="B2356" s="47" t="s">
        <v>9804</v>
      </c>
      <c r="C2356" s="47" t="s">
        <v>9805</v>
      </c>
      <c r="D2356" s="47" t="s">
        <v>9806</v>
      </c>
      <c r="E2356" s="47"/>
      <c r="F2356" s="47"/>
      <c r="G2356" s="47"/>
      <c r="H2356" s="47" t="s">
        <v>3605</v>
      </c>
      <c r="I2356" s="47" t="s">
        <v>9803</v>
      </c>
    </row>
    <row r="2357" spans="1:9" ht="15">
      <c r="A2357" s="47" t="s">
        <v>9807</v>
      </c>
      <c r="B2357" s="47" t="s">
        <v>9808</v>
      </c>
      <c r="C2357" s="47" t="s">
        <v>9809</v>
      </c>
      <c r="D2357" s="47" t="s">
        <v>9810</v>
      </c>
      <c r="E2357" s="47"/>
      <c r="F2357" s="47"/>
      <c r="G2357" s="47"/>
      <c r="H2357" s="47" t="s">
        <v>3605</v>
      </c>
      <c r="I2357" s="47" t="s">
        <v>9807</v>
      </c>
    </row>
    <row r="2358" spans="1:9" ht="15">
      <c r="A2358" s="47" t="s">
        <v>9811</v>
      </c>
      <c r="B2358" s="47" t="s">
        <v>9812</v>
      </c>
      <c r="C2358" s="47" t="s">
        <v>9813</v>
      </c>
      <c r="D2358" s="47" t="s">
        <v>9814</v>
      </c>
      <c r="E2358" s="47"/>
      <c r="F2358" s="47"/>
      <c r="G2358" s="47"/>
      <c r="H2358" s="47" t="s">
        <v>3605</v>
      </c>
      <c r="I2358" s="47" t="s">
        <v>9811</v>
      </c>
    </row>
    <row r="2359" spans="1:9" ht="15">
      <c r="A2359" s="47" t="s">
        <v>9815</v>
      </c>
      <c r="B2359" s="47" t="s">
        <v>9816</v>
      </c>
      <c r="C2359" s="47" t="s">
        <v>9817</v>
      </c>
      <c r="D2359" s="47" t="s">
        <v>9818</v>
      </c>
      <c r="E2359" s="47"/>
      <c r="F2359" s="47"/>
      <c r="G2359" s="47"/>
      <c r="H2359" s="47" t="s">
        <v>3605</v>
      </c>
      <c r="I2359" s="47" t="s">
        <v>9815</v>
      </c>
    </row>
    <row r="2360" spans="1:9" ht="15">
      <c r="A2360" s="47" t="s">
        <v>9819</v>
      </c>
      <c r="B2360" s="47" t="s">
        <v>9820</v>
      </c>
      <c r="C2360" s="47" t="s">
        <v>9821</v>
      </c>
      <c r="D2360" s="47" t="s">
        <v>9822</v>
      </c>
      <c r="E2360" s="47"/>
      <c r="F2360" s="47"/>
      <c r="G2360" s="47"/>
      <c r="H2360" s="47" t="s">
        <v>3605</v>
      </c>
      <c r="I2360" s="47" t="s">
        <v>9819</v>
      </c>
    </row>
    <row r="2361" spans="1:9" ht="15">
      <c r="A2361" s="47" t="s">
        <v>9823</v>
      </c>
      <c r="B2361" s="47" t="s">
        <v>9824</v>
      </c>
      <c r="C2361" s="47" t="s">
        <v>9825</v>
      </c>
      <c r="D2361" s="47" t="s">
        <v>9826</v>
      </c>
      <c r="E2361" s="47"/>
      <c r="F2361" s="47"/>
      <c r="G2361" s="47"/>
      <c r="H2361" s="47" t="s">
        <v>3605</v>
      </c>
      <c r="I2361" s="47" t="s">
        <v>9823</v>
      </c>
    </row>
    <row r="2362" spans="1:9" ht="15">
      <c r="A2362" s="47" t="s">
        <v>9827</v>
      </c>
      <c r="B2362" s="47" t="s">
        <v>9828</v>
      </c>
      <c r="C2362" s="47" t="s">
        <v>9829</v>
      </c>
      <c r="D2362" s="47" t="s">
        <v>9830</v>
      </c>
      <c r="E2362" s="47"/>
      <c r="F2362" s="47"/>
      <c r="G2362" s="47"/>
      <c r="H2362" s="47" t="s">
        <v>3605</v>
      </c>
      <c r="I2362" s="47" t="s">
        <v>9827</v>
      </c>
    </row>
    <row r="2363" spans="1:9" ht="15">
      <c r="A2363" s="47" t="s">
        <v>9831</v>
      </c>
      <c r="B2363" s="47" t="s">
        <v>9832</v>
      </c>
      <c r="C2363" s="47" t="s">
        <v>9833</v>
      </c>
      <c r="D2363" s="47" t="s">
        <v>9834</v>
      </c>
      <c r="E2363" s="47"/>
      <c r="F2363" s="47"/>
      <c r="G2363" s="47"/>
      <c r="H2363" s="47" t="s">
        <v>3605</v>
      </c>
      <c r="I2363" s="47" t="s">
        <v>9831</v>
      </c>
    </row>
    <row r="2364" spans="1:9" ht="15">
      <c r="A2364" s="47" t="s">
        <v>9835</v>
      </c>
      <c r="B2364" s="47" t="s">
        <v>9836</v>
      </c>
      <c r="C2364" s="47" t="s">
        <v>9837</v>
      </c>
      <c r="D2364" s="47" t="s">
        <v>9838</v>
      </c>
      <c r="E2364" s="47"/>
      <c r="F2364" s="47"/>
      <c r="G2364" s="47"/>
      <c r="H2364" s="47" t="s">
        <v>3605</v>
      </c>
      <c r="I2364" s="47" t="s">
        <v>9835</v>
      </c>
    </row>
    <row r="2365" spans="1:9" ht="15">
      <c r="A2365" s="47" t="s">
        <v>2598</v>
      </c>
      <c r="B2365" s="47" t="s">
        <v>9839</v>
      </c>
      <c r="C2365" s="47" t="s">
        <v>9840</v>
      </c>
      <c r="D2365" s="47" t="s">
        <v>9841</v>
      </c>
      <c r="E2365" s="47"/>
      <c r="F2365" s="47"/>
      <c r="G2365" s="47"/>
      <c r="H2365" s="47" t="s">
        <v>3605</v>
      </c>
      <c r="I2365" s="47" t="s">
        <v>2598</v>
      </c>
    </row>
    <row r="2366" spans="1:9" ht="15">
      <c r="A2366" s="47" t="s">
        <v>9842</v>
      </c>
      <c r="B2366" s="47" t="s">
        <v>9843</v>
      </c>
      <c r="C2366" s="47" t="s">
        <v>9844</v>
      </c>
      <c r="D2366" s="47" t="s">
        <v>9845</v>
      </c>
      <c r="E2366" s="47"/>
      <c r="F2366" s="47"/>
      <c r="G2366" s="47"/>
      <c r="H2366" s="47" t="s">
        <v>3605</v>
      </c>
      <c r="I2366" s="47" t="s">
        <v>9842</v>
      </c>
    </row>
    <row r="2367" spans="1:9" ht="15">
      <c r="A2367" s="47" t="s">
        <v>3414</v>
      </c>
      <c r="B2367" s="47" t="s">
        <v>9846</v>
      </c>
      <c r="C2367" s="47" t="s">
        <v>9847</v>
      </c>
      <c r="D2367" s="47" t="s">
        <v>9848</v>
      </c>
      <c r="E2367" s="47"/>
      <c r="F2367" s="47"/>
      <c r="G2367" s="47"/>
      <c r="H2367" s="47" t="s">
        <v>3605</v>
      </c>
      <c r="I2367" s="47" t="s">
        <v>3414</v>
      </c>
    </row>
    <row r="2368" spans="1:9" ht="15">
      <c r="A2368" s="47" t="s">
        <v>9849</v>
      </c>
      <c r="B2368" s="47" t="s">
        <v>9850</v>
      </c>
      <c r="C2368" s="47" t="s">
        <v>9851</v>
      </c>
      <c r="D2368" s="47" t="s">
        <v>9852</v>
      </c>
      <c r="E2368" s="47"/>
      <c r="F2368" s="47"/>
      <c r="G2368" s="47"/>
      <c r="H2368" s="47" t="s">
        <v>3605</v>
      </c>
      <c r="I2368" s="47" t="s">
        <v>9849</v>
      </c>
    </row>
    <row r="2369" spans="1:9" ht="15">
      <c r="A2369" s="47" t="s">
        <v>9853</v>
      </c>
      <c r="B2369" s="47" t="s">
        <v>9854</v>
      </c>
      <c r="C2369" s="47" t="s">
        <v>9855</v>
      </c>
      <c r="D2369" s="47" t="s">
        <v>9856</v>
      </c>
      <c r="E2369" s="47"/>
      <c r="F2369" s="47"/>
      <c r="G2369" s="47"/>
      <c r="H2369" s="47" t="s">
        <v>3605</v>
      </c>
      <c r="I2369" s="47" t="s">
        <v>9853</v>
      </c>
    </row>
    <row r="2370" spans="1:9" ht="15">
      <c r="A2370" s="47" t="s">
        <v>9857</v>
      </c>
      <c r="B2370" s="47" t="s">
        <v>9858</v>
      </c>
      <c r="C2370" s="47" t="s">
        <v>9859</v>
      </c>
      <c r="D2370" s="47" t="s">
        <v>9860</v>
      </c>
      <c r="E2370" s="47"/>
      <c r="F2370" s="47"/>
      <c r="G2370" s="47"/>
      <c r="H2370" s="47" t="s">
        <v>3605</v>
      </c>
      <c r="I2370" s="47" t="s">
        <v>9857</v>
      </c>
    </row>
    <row r="2371" spans="1:9" ht="15">
      <c r="A2371" s="47" t="s">
        <v>9861</v>
      </c>
      <c r="B2371" s="47" t="s">
        <v>9862</v>
      </c>
      <c r="C2371" s="47" t="s">
        <v>9863</v>
      </c>
      <c r="D2371" s="47" t="s">
        <v>9864</v>
      </c>
      <c r="E2371" s="47"/>
      <c r="F2371" s="47"/>
      <c r="G2371" s="47"/>
      <c r="H2371" s="47" t="s">
        <v>3605</v>
      </c>
      <c r="I2371" s="47" t="s">
        <v>9861</v>
      </c>
    </row>
    <row r="2372" spans="1:9" ht="15">
      <c r="A2372" s="47" t="s">
        <v>9865</v>
      </c>
      <c r="B2372" s="47" t="s">
        <v>9866</v>
      </c>
      <c r="C2372" s="47" t="s">
        <v>9867</v>
      </c>
      <c r="D2372" s="47" t="s">
        <v>9868</v>
      </c>
      <c r="E2372" s="47"/>
      <c r="F2372" s="47"/>
      <c r="G2372" s="47"/>
      <c r="H2372" s="47" t="s">
        <v>3605</v>
      </c>
      <c r="I2372" s="47" t="s">
        <v>9865</v>
      </c>
    </row>
    <row r="2373" spans="1:9" ht="15">
      <c r="A2373" s="47" t="s">
        <v>9869</v>
      </c>
      <c r="B2373" s="47" t="s">
        <v>9870</v>
      </c>
      <c r="C2373" s="47" t="s">
        <v>9871</v>
      </c>
      <c r="D2373" s="47" t="s">
        <v>9872</v>
      </c>
      <c r="E2373" s="47"/>
      <c r="F2373" s="47"/>
      <c r="G2373" s="47"/>
      <c r="H2373" s="47" t="s">
        <v>3605</v>
      </c>
      <c r="I2373" s="47" t="s">
        <v>9869</v>
      </c>
    </row>
    <row r="2374" spans="1:9" ht="15">
      <c r="A2374" s="47" t="s">
        <v>9873</v>
      </c>
      <c r="B2374" s="47" t="s">
        <v>9874</v>
      </c>
      <c r="C2374" s="47" t="s">
        <v>9875</v>
      </c>
      <c r="D2374" s="47" t="s">
        <v>9876</v>
      </c>
      <c r="E2374" s="47"/>
      <c r="F2374" s="47"/>
      <c r="G2374" s="47"/>
      <c r="H2374" s="47" t="s">
        <v>3605</v>
      </c>
      <c r="I2374" s="47" t="s">
        <v>9873</v>
      </c>
    </row>
    <row r="2375" spans="1:9" ht="15">
      <c r="A2375" s="47" t="s">
        <v>9877</v>
      </c>
      <c r="B2375" s="47" t="s">
        <v>9878</v>
      </c>
      <c r="C2375" s="47" t="s">
        <v>9879</v>
      </c>
      <c r="D2375" s="47" t="s">
        <v>9880</v>
      </c>
      <c r="E2375" s="47"/>
      <c r="F2375" s="47"/>
      <c r="G2375" s="47"/>
      <c r="H2375" s="47" t="s">
        <v>3605</v>
      </c>
      <c r="I2375" s="47" t="s">
        <v>9877</v>
      </c>
    </row>
    <row r="2376" spans="1:9" ht="15">
      <c r="A2376" s="47" t="s">
        <v>9881</v>
      </c>
      <c r="B2376" s="47" t="s">
        <v>9882</v>
      </c>
      <c r="C2376" s="47" t="s">
        <v>9883</v>
      </c>
      <c r="D2376" s="47" t="s">
        <v>9884</v>
      </c>
      <c r="E2376" s="47"/>
      <c r="F2376" s="47"/>
      <c r="G2376" s="47"/>
      <c r="H2376" s="47" t="s">
        <v>3605</v>
      </c>
      <c r="I2376" s="47" t="s">
        <v>9881</v>
      </c>
    </row>
    <row r="2377" spans="1:9" ht="15">
      <c r="A2377" s="47" t="s">
        <v>9885</v>
      </c>
      <c r="B2377" s="47" t="s">
        <v>9886</v>
      </c>
      <c r="C2377" s="47" t="s">
        <v>9887</v>
      </c>
      <c r="D2377" s="47" t="s">
        <v>9888</v>
      </c>
      <c r="E2377" s="47"/>
      <c r="F2377" s="47"/>
      <c r="G2377" s="47"/>
      <c r="H2377" s="47" t="s">
        <v>3605</v>
      </c>
      <c r="I2377" s="47" t="s">
        <v>9885</v>
      </c>
    </row>
    <row r="2378" spans="1:9" ht="15">
      <c r="A2378" s="47" t="s">
        <v>9889</v>
      </c>
      <c r="B2378" s="47" t="s">
        <v>9890</v>
      </c>
      <c r="C2378" s="47" t="s">
        <v>9891</v>
      </c>
      <c r="D2378" s="47" t="s">
        <v>9892</v>
      </c>
      <c r="E2378" s="47"/>
      <c r="F2378" s="47"/>
      <c r="G2378" s="47"/>
      <c r="H2378" s="47" t="s">
        <v>3605</v>
      </c>
      <c r="I2378" s="47" t="s">
        <v>9889</v>
      </c>
    </row>
    <row r="2379" spans="1:9" ht="15">
      <c r="A2379" s="47" t="s">
        <v>9893</v>
      </c>
      <c r="B2379" s="47" t="s">
        <v>9894</v>
      </c>
      <c r="C2379" s="47" t="s">
        <v>9895</v>
      </c>
      <c r="D2379" s="47" t="s">
        <v>9896</v>
      </c>
      <c r="E2379" s="47"/>
      <c r="F2379" s="47"/>
      <c r="G2379" s="47"/>
      <c r="H2379" s="47" t="s">
        <v>3605</v>
      </c>
      <c r="I2379" s="47" t="s">
        <v>9893</v>
      </c>
    </row>
    <row r="2380" spans="1:9" ht="15">
      <c r="A2380" s="47" t="s">
        <v>9897</v>
      </c>
      <c r="B2380" s="47" t="s">
        <v>9898</v>
      </c>
      <c r="C2380" s="47" t="s">
        <v>9899</v>
      </c>
      <c r="D2380" s="47" t="s">
        <v>9900</v>
      </c>
      <c r="E2380" s="47"/>
      <c r="F2380" s="47"/>
      <c r="G2380" s="47"/>
      <c r="H2380" s="47" t="s">
        <v>3605</v>
      </c>
      <c r="I2380" s="47" t="s">
        <v>9897</v>
      </c>
    </row>
    <row r="2381" spans="1:9" ht="15">
      <c r="A2381" s="47" t="s">
        <v>9901</v>
      </c>
      <c r="B2381" s="47" t="s">
        <v>9902</v>
      </c>
      <c r="C2381" s="47" t="s">
        <v>9903</v>
      </c>
      <c r="D2381" s="47" t="s">
        <v>9904</v>
      </c>
      <c r="E2381" s="47"/>
      <c r="F2381" s="47"/>
      <c r="G2381" s="47"/>
      <c r="H2381" s="47" t="s">
        <v>3605</v>
      </c>
      <c r="I2381" s="47" t="s">
        <v>9901</v>
      </c>
    </row>
    <row r="2382" spans="1:9" ht="15">
      <c r="A2382" s="47" t="s">
        <v>9905</v>
      </c>
      <c r="B2382" s="47" t="s">
        <v>9906</v>
      </c>
      <c r="C2382" s="47" t="s">
        <v>9907</v>
      </c>
      <c r="D2382" s="47" t="s">
        <v>9908</v>
      </c>
      <c r="E2382" s="47"/>
      <c r="F2382" s="47"/>
      <c r="G2382" s="47"/>
      <c r="H2382" s="47" t="s">
        <v>3605</v>
      </c>
      <c r="I2382" s="47" t="s">
        <v>9905</v>
      </c>
    </row>
    <row r="2383" spans="1:9" ht="15">
      <c r="A2383" s="47" t="s">
        <v>9909</v>
      </c>
      <c r="B2383" s="47" t="s">
        <v>9910</v>
      </c>
      <c r="C2383" s="47" t="s">
        <v>9911</v>
      </c>
      <c r="D2383" s="47" t="s">
        <v>9912</v>
      </c>
      <c r="E2383" s="47"/>
      <c r="F2383" s="47"/>
      <c r="G2383" s="47"/>
      <c r="H2383" s="47" t="s">
        <v>3605</v>
      </c>
      <c r="I2383" s="47" t="s">
        <v>9909</v>
      </c>
    </row>
    <row r="2384" spans="1:9" ht="15">
      <c r="A2384" s="47" t="s">
        <v>9913</v>
      </c>
      <c r="B2384" s="47" t="s">
        <v>9914</v>
      </c>
      <c r="C2384" s="47" t="s">
        <v>9915</v>
      </c>
      <c r="D2384" s="47" t="s">
        <v>9916</v>
      </c>
      <c r="E2384" s="47"/>
      <c r="F2384" s="47"/>
      <c r="G2384" s="47"/>
      <c r="H2384" s="47" t="s">
        <v>3605</v>
      </c>
      <c r="I2384" s="47" t="s">
        <v>9913</v>
      </c>
    </row>
    <row r="2385" spans="1:9" ht="15">
      <c r="A2385" s="47" t="s">
        <v>9917</v>
      </c>
      <c r="B2385" s="47" t="s">
        <v>9918</v>
      </c>
      <c r="C2385" s="47" t="s">
        <v>9919</v>
      </c>
      <c r="D2385" s="47" t="s">
        <v>9920</v>
      </c>
      <c r="E2385" s="47"/>
      <c r="F2385" s="47"/>
      <c r="G2385" s="47"/>
      <c r="H2385" s="47" t="s">
        <v>3605</v>
      </c>
      <c r="I2385" s="47" t="s">
        <v>9917</v>
      </c>
    </row>
    <row r="2386" spans="1:9" ht="15">
      <c r="A2386" s="47" t="s">
        <v>9921</v>
      </c>
      <c r="B2386" s="47" t="s">
        <v>9922</v>
      </c>
      <c r="C2386" s="47" t="s">
        <v>9923</v>
      </c>
      <c r="D2386" s="47" t="s">
        <v>9924</v>
      </c>
      <c r="E2386" s="47"/>
      <c r="F2386" s="47"/>
      <c r="G2386" s="47"/>
      <c r="H2386" s="47" t="s">
        <v>3605</v>
      </c>
      <c r="I2386" s="47" t="s">
        <v>9921</v>
      </c>
    </row>
    <row r="2387" spans="1:9" ht="15">
      <c r="A2387" s="47" t="s">
        <v>9925</v>
      </c>
      <c r="B2387" s="47" t="s">
        <v>9926</v>
      </c>
      <c r="C2387" s="47" t="s">
        <v>9927</v>
      </c>
      <c r="D2387" s="47" t="s">
        <v>9928</v>
      </c>
      <c r="E2387" s="47"/>
      <c r="F2387" s="47"/>
      <c r="G2387" s="47"/>
      <c r="H2387" s="47" t="s">
        <v>3605</v>
      </c>
      <c r="I2387" s="47" t="s">
        <v>9925</v>
      </c>
    </row>
    <row r="2388" spans="1:9" ht="15">
      <c r="A2388" s="47" t="s">
        <v>9929</v>
      </c>
      <c r="B2388" s="47" t="s">
        <v>9930</v>
      </c>
      <c r="C2388" s="47" t="s">
        <v>9931</v>
      </c>
      <c r="D2388" s="47" t="s">
        <v>9932</v>
      </c>
      <c r="E2388" s="47"/>
      <c r="F2388" s="47"/>
      <c r="G2388" s="47"/>
      <c r="H2388" s="47" t="s">
        <v>3605</v>
      </c>
      <c r="I2388" s="47" t="s">
        <v>9929</v>
      </c>
    </row>
    <row r="2389" spans="1:9" ht="15">
      <c r="A2389" s="47" t="s">
        <v>9933</v>
      </c>
      <c r="B2389" s="47" t="s">
        <v>9934</v>
      </c>
      <c r="C2389" s="47" t="s">
        <v>9935</v>
      </c>
      <c r="D2389" s="47" t="s">
        <v>9936</v>
      </c>
      <c r="E2389" s="47"/>
      <c r="F2389" s="47"/>
      <c r="G2389" s="47"/>
      <c r="H2389" s="47" t="s">
        <v>3605</v>
      </c>
      <c r="I2389" s="47" t="s">
        <v>9933</v>
      </c>
    </row>
    <row r="2390" spans="1:9" ht="15">
      <c r="A2390" s="47" t="s">
        <v>9937</v>
      </c>
      <c r="B2390" s="47" t="s">
        <v>9938</v>
      </c>
      <c r="C2390" s="47" t="s">
        <v>9939</v>
      </c>
      <c r="D2390" s="47" t="s">
        <v>9940</v>
      </c>
      <c r="E2390" s="47"/>
      <c r="F2390" s="47"/>
      <c r="G2390" s="47"/>
      <c r="H2390" s="47" t="s">
        <v>3605</v>
      </c>
      <c r="I2390" s="47" t="s">
        <v>9937</v>
      </c>
    </row>
    <row r="2391" spans="1:9" ht="15">
      <c r="A2391" s="47" t="s">
        <v>9941</v>
      </c>
      <c r="B2391" s="47" t="s">
        <v>9942</v>
      </c>
      <c r="C2391" s="47" t="s">
        <v>9943</v>
      </c>
      <c r="D2391" s="47" t="s">
        <v>9944</v>
      </c>
      <c r="E2391" s="47"/>
      <c r="F2391" s="47"/>
      <c r="G2391" s="47"/>
      <c r="H2391" s="47" t="s">
        <v>3605</v>
      </c>
      <c r="I2391" s="47" t="s">
        <v>9941</v>
      </c>
    </row>
    <row r="2392" spans="1:9" ht="15">
      <c r="A2392" s="47" t="s">
        <v>9945</v>
      </c>
      <c r="B2392" s="47" t="s">
        <v>9946</v>
      </c>
      <c r="C2392" s="47" t="s">
        <v>9947</v>
      </c>
      <c r="D2392" s="47" t="s">
        <v>9948</v>
      </c>
      <c r="E2392" s="47"/>
      <c r="F2392" s="47"/>
      <c r="G2392" s="47"/>
      <c r="H2392" s="47" t="s">
        <v>3605</v>
      </c>
      <c r="I2392" s="47" t="s">
        <v>9945</v>
      </c>
    </row>
    <row r="2393" spans="1:9" ht="15">
      <c r="A2393" s="47" t="s">
        <v>9949</v>
      </c>
      <c r="B2393" s="47" t="s">
        <v>9950</v>
      </c>
      <c r="C2393" s="47" t="s">
        <v>9951</v>
      </c>
      <c r="D2393" s="47" t="s">
        <v>9952</v>
      </c>
      <c r="E2393" s="47"/>
      <c r="F2393" s="47"/>
      <c r="G2393" s="47"/>
      <c r="H2393" s="47" t="s">
        <v>3605</v>
      </c>
      <c r="I2393" s="47" t="s">
        <v>9949</v>
      </c>
    </row>
    <row r="2394" spans="1:9" ht="15">
      <c r="A2394" s="47" t="s">
        <v>9953</v>
      </c>
      <c r="B2394" s="47" t="s">
        <v>9954</v>
      </c>
      <c r="C2394" s="47" t="s">
        <v>9955</v>
      </c>
      <c r="D2394" s="47" t="s">
        <v>9956</v>
      </c>
      <c r="E2394" s="47"/>
      <c r="F2394" s="47"/>
      <c r="G2394" s="47"/>
      <c r="H2394" s="47" t="s">
        <v>3605</v>
      </c>
      <c r="I2394" s="47" t="s">
        <v>9953</v>
      </c>
    </row>
    <row r="2395" spans="1:9" ht="15">
      <c r="A2395" s="47" t="s">
        <v>9957</v>
      </c>
      <c r="B2395" s="47" t="s">
        <v>9958</v>
      </c>
      <c r="C2395" s="47" t="s">
        <v>9959</v>
      </c>
      <c r="D2395" s="47" t="s">
        <v>9960</v>
      </c>
      <c r="E2395" s="47"/>
      <c r="F2395" s="47"/>
      <c r="G2395" s="47"/>
      <c r="H2395" s="47" t="s">
        <v>3605</v>
      </c>
      <c r="I2395" s="47" t="s">
        <v>9957</v>
      </c>
    </row>
    <row r="2396" spans="1:9" ht="15">
      <c r="A2396" s="47" t="s">
        <v>9961</v>
      </c>
      <c r="B2396" s="47" t="s">
        <v>9962</v>
      </c>
      <c r="C2396" s="47" t="s">
        <v>9963</v>
      </c>
      <c r="D2396" s="47" t="s">
        <v>9814</v>
      </c>
      <c r="E2396" s="47"/>
      <c r="F2396" s="47"/>
      <c r="G2396" s="47"/>
      <c r="H2396" s="47" t="s">
        <v>3605</v>
      </c>
      <c r="I2396" s="47" t="s">
        <v>9961</v>
      </c>
    </row>
    <row r="2397" spans="1:9" ht="15">
      <c r="A2397" s="47" t="s">
        <v>9964</v>
      </c>
      <c r="B2397" s="47" t="s">
        <v>9965</v>
      </c>
      <c r="C2397" s="47" t="s">
        <v>9966</v>
      </c>
      <c r="D2397" s="47" t="s">
        <v>9967</v>
      </c>
      <c r="E2397" s="47"/>
      <c r="F2397" s="47"/>
      <c r="G2397" s="47"/>
      <c r="H2397" s="47" t="s">
        <v>3605</v>
      </c>
      <c r="I2397" s="47" t="s">
        <v>9964</v>
      </c>
    </row>
    <row r="2398" spans="1:9" ht="15">
      <c r="A2398" s="47" t="s">
        <v>9968</v>
      </c>
      <c r="B2398" s="47" t="s">
        <v>9969</v>
      </c>
      <c r="C2398" s="47" t="s">
        <v>9970</v>
      </c>
      <c r="D2398" s="47" t="s">
        <v>9971</v>
      </c>
      <c r="E2398" s="47"/>
      <c r="F2398" s="47"/>
      <c r="G2398" s="47"/>
      <c r="H2398" s="47" t="s">
        <v>3605</v>
      </c>
      <c r="I2398" s="47" t="s">
        <v>9968</v>
      </c>
    </row>
    <row r="2399" spans="1:9" ht="15">
      <c r="A2399" s="47" t="s">
        <v>9972</v>
      </c>
      <c r="B2399" s="47" t="s">
        <v>9973</v>
      </c>
      <c r="C2399" s="47" t="s">
        <v>9974</v>
      </c>
      <c r="D2399" s="47" t="s">
        <v>9975</v>
      </c>
      <c r="E2399" s="47"/>
      <c r="F2399" s="47"/>
      <c r="G2399" s="47"/>
      <c r="H2399" s="47" t="s">
        <v>3605</v>
      </c>
      <c r="I2399" s="47" t="s">
        <v>9972</v>
      </c>
    </row>
    <row r="2400" spans="1:9" ht="15">
      <c r="A2400" s="47" t="s">
        <v>9976</v>
      </c>
      <c r="B2400" s="47" t="s">
        <v>9977</v>
      </c>
      <c r="C2400" s="47" t="s">
        <v>9978</v>
      </c>
      <c r="D2400" s="47" t="s">
        <v>9979</v>
      </c>
      <c r="E2400" s="47"/>
      <c r="F2400" s="47"/>
      <c r="G2400" s="47"/>
      <c r="H2400" s="47" t="s">
        <v>3605</v>
      </c>
      <c r="I2400" s="47" t="s">
        <v>9976</v>
      </c>
    </row>
    <row r="2401" spans="1:9" ht="15">
      <c r="A2401" s="47" t="s">
        <v>9980</v>
      </c>
      <c r="B2401" s="47" t="s">
        <v>9981</v>
      </c>
      <c r="C2401" s="47" t="s">
        <v>9982</v>
      </c>
      <c r="D2401" s="47" t="s">
        <v>9936</v>
      </c>
      <c r="E2401" s="47"/>
      <c r="F2401" s="47"/>
      <c r="G2401" s="47"/>
      <c r="H2401" s="47" t="s">
        <v>3605</v>
      </c>
      <c r="I2401" s="47" t="s">
        <v>9980</v>
      </c>
    </row>
    <row r="2402" spans="1:9" ht="15">
      <c r="A2402" s="47">
        <v>12010</v>
      </c>
      <c r="B2402" s="47" t="s">
        <v>9983</v>
      </c>
      <c r="C2402" s="47" t="s">
        <v>9984</v>
      </c>
      <c r="D2402" s="47" t="s">
        <v>9985</v>
      </c>
      <c r="E2402" s="47"/>
      <c r="F2402" s="47"/>
      <c r="G2402" s="47"/>
      <c r="H2402" s="47" t="s">
        <v>3605</v>
      </c>
      <c r="I2402" s="47" t="s">
        <v>19490</v>
      </c>
    </row>
    <row r="2403" spans="1:9" ht="15">
      <c r="A2403" s="47" t="s">
        <v>9986</v>
      </c>
      <c r="B2403" s="47" t="s">
        <v>9987</v>
      </c>
      <c r="C2403" s="47" t="s">
        <v>9988</v>
      </c>
      <c r="D2403" s="47" t="s">
        <v>9989</v>
      </c>
      <c r="E2403" s="47"/>
      <c r="F2403" s="47"/>
      <c r="G2403" s="47"/>
      <c r="H2403" s="47" t="s">
        <v>3605</v>
      </c>
      <c r="I2403" s="47" t="s">
        <v>9986</v>
      </c>
    </row>
    <row r="2404" spans="1:9" ht="15">
      <c r="A2404" s="47" t="s">
        <v>9990</v>
      </c>
      <c r="B2404" s="47" t="s">
        <v>9991</v>
      </c>
      <c r="C2404" s="47" t="s">
        <v>9992</v>
      </c>
      <c r="D2404" s="47" t="s">
        <v>9993</v>
      </c>
      <c r="E2404" s="47"/>
      <c r="F2404" s="47"/>
      <c r="G2404" s="47"/>
      <c r="H2404" s="47" t="s">
        <v>3605</v>
      </c>
      <c r="I2404" s="47" t="s">
        <v>9990</v>
      </c>
    </row>
    <row r="2405" spans="1:9" ht="15">
      <c r="A2405" s="47" t="s">
        <v>9994</v>
      </c>
      <c r="B2405" s="47" t="s">
        <v>9995</v>
      </c>
      <c r="C2405" s="47" t="s">
        <v>9996</v>
      </c>
      <c r="D2405" s="47" t="s">
        <v>9997</v>
      </c>
      <c r="E2405" s="47"/>
      <c r="F2405" s="47"/>
      <c r="G2405" s="47"/>
      <c r="H2405" s="47" t="s">
        <v>3605</v>
      </c>
      <c r="I2405" s="47" t="s">
        <v>9994</v>
      </c>
    </row>
    <row r="2406" spans="1:9" ht="15">
      <c r="A2406" s="47" t="s">
        <v>9998</v>
      </c>
      <c r="B2406" s="47" t="s">
        <v>9999</v>
      </c>
      <c r="C2406" s="47" t="s">
        <v>10000</v>
      </c>
      <c r="D2406" s="47" t="s">
        <v>9625</v>
      </c>
      <c r="E2406" s="47"/>
      <c r="F2406" s="47"/>
      <c r="G2406" s="47"/>
      <c r="H2406" s="47" t="s">
        <v>3605</v>
      </c>
      <c r="I2406" s="47" t="s">
        <v>9998</v>
      </c>
    </row>
    <row r="2407" spans="1:9" ht="15">
      <c r="A2407" s="47" t="s">
        <v>10001</v>
      </c>
      <c r="B2407" s="47" t="s">
        <v>10002</v>
      </c>
      <c r="C2407" s="47" t="s">
        <v>10003</v>
      </c>
      <c r="D2407" s="47" t="s">
        <v>10004</v>
      </c>
      <c r="E2407" s="47"/>
      <c r="F2407" s="47"/>
      <c r="G2407" s="47"/>
      <c r="H2407" s="47" t="s">
        <v>3605</v>
      </c>
      <c r="I2407" s="47" t="s">
        <v>10001</v>
      </c>
    </row>
    <row r="2408" spans="1:9" ht="15">
      <c r="A2408" s="47" t="s">
        <v>10005</v>
      </c>
      <c r="B2408" s="47" t="s">
        <v>10006</v>
      </c>
      <c r="C2408" s="47" t="s">
        <v>10007</v>
      </c>
      <c r="D2408" s="47" t="s">
        <v>10008</v>
      </c>
      <c r="E2408" s="47"/>
      <c r="F2408" s="47"/>
      <c r="G2408" s="47"/>
      <c r="H2408" s="47" t="s">
        <v>3605</v>
      </c>
      <c r="I2408" s="47" t="s">
        <v>10005</v>
      </c>
    </row>
    <row r="2409" spans="1:9" ht="15">
      <c r="A2409" s="47" t="s">
        <v>10009</v>
      </c>
      <c r="B2409" s="47" t="s">
        <v>10010</v>
      </c>
      <c r="C2409" s="47" t="s">
        <v>10011</v>
      </c>
      <c r="D2409" s="47" t="s">
        <v>10012</v>
      </c>
      <c r="E2409" s="47"/>
      <c r="F2409" s="47"/>
      <c r="G2409" s="47"/>
      <c r="H2409" s="47" t="s">
        <v>3605</v>
      </c>
      <c r="I2409" s="47" t="s">
        <v>10009</v>
      </c>
    </row>
    <row r="2410" spans="1:9" ht="15">
      <c r="A2410" s="47" t="s">
        <v>10013</v>
      </c>
      <c r="B2410" s="47" t="s">
        <v>10014</v>
      </c>
      <c r="C2410" s="47" t="s">
        <v>10015</v>
      </c>
      <c r="D2410" s="47" t="s">
        <v>10016</v>
      </c>
      <c r="E2410" s="47"/>
      <c r="F2410" s="47"/>
      <c r="G2410" s="47"/>
      <c r="H2410" s="47" t="s">
        <v>3605</v>
      </c>
      <c r="I2410" s="47" t="s">
        <v>10013</v>
      </c>
    </row>
    <row r="2411" spans="1:9" ht="15">
      <c r="A2411" s="47">
        <v>7011</v>
      </c>
      <c r="B2411" s="47" t="s">
        <v>10017</v>
      </c>
      <c r="C2411" s="47" t="s">
        <v>10018</v>
      </c>
      <c r="D2411" s="47" t="s">
        <v>10019</v>
      </c>
      <c r="E2411" s="47"/>
      <c r="F2411" s="47"/>
      <c r="G2411" s="47"/>
      <c r="H2411" s="47" t="s">
        <v>3605</v>
      </c>
      <c r="I2411" s="47" t="s">
        <v>19491</v>
      </c>
    </row>
    <row r="2412" spans="1:9" ht="15">
      <c r="A2412" s="47" t="s">
        <v>10020</v>
      </c>
      <c r="B2412" s="47" t="s">
        <v>10021</v>
      </c>
      <c r="C2412" s="47" t="s">
        <v>10022</v>
      </c>
      <c r="D2412" s="47" t="s">
        <v>10023</v>
      </c>
      <c r="E2412" s="47"/>
      <c r="F2412" s="47"/>
      <c r="G2412" s="47"/>
      <c r="H2412" s="47" t="s">
        <v>3605</v>
      </c>
      <c r="I2412" s="47" t="s">
        <v>10020</v>
      </c>
    </row>
    <row r="2413" spans="1:9" ht="15">
      <c r="A2413" s="47">
        <v>7024</v>
      </c>
      <c r="B2413" s="47" t="s">
        <v>10024</v>
      </c>
      <c r="C2413" s="47" t="s">
        <v>10025</v>
      </c>
      <c r="D2413" s="47" t="s">
        <v>10026</v>
      </c>
      <c r="E2413" s="47"/>
      <c r="F2413" s="47"/>
      <c r="G2413" s="47"/>
      <c r="H2413" s="47" t="s">
        <v>3605</v>
      </c>
      <c r="I2413" s="47" t="s">
        <v>19492</v>
      </c>
    </row>
    <row r="2414" spans="1:9" ht="15">
      <c r="A2414" s="47">
        <v>7033</v>
      </c>
      <c r="B2414" s="47" t="s">
        <v>10027</v>
      </c>
      <c r="C2414" s="47" t="s">
        <v>10028</v>
      </c>
      <c r="D2414" s="47" t="s">
        <v>10029</v>
      </c>
      <c r="E2414" s="47"/>
      <c r="F2414" s="47"/>
      <c r="G2414" s="47"/>
      <c r="H2414" s="47" t="s">
        <v>3605</v>
      </c>
      <c r="I2414" s="47" t="s">
        <v>19493</v>
      </c>
    </row>
    <row r="2415" spans="1:9" ht="15">
      <c r="A2415" s="47">
        <v>7034</v>
      </c>
      <c r="B2415" s="47" t="s">
        <v>10030</v>
      </c>
      <c r="C2415" s="47" t="s">
        <v>10031</v>
      </c>
      <c r="D2415" s="47" t="s">
        <v>10032</v>
      </c>
      <c r="E2415" s="47"/>
      <c r="F2415" s="47"/>
      <c r="G2415" s="47"/>
      <c r="H2415" s="47" t="s">
        <v>3605</v>
      </c>
      <c r="I2415" s="47" t="s">
        <v>19494</v>
      </c>
    </row>
    <row r="2416" spans="1:9" ht="15">
      <c r="A2416" s="47" t="s">
        <v>10033</v>
      </c>
      <c r="B2416" s="47" t="s">
        <v>10034</v>
      </c>
      <c r="C2416" s="47" t="s">
        <v>10035</v>
      </c>
      <c r="D2416" s="47" t="s">
        <v>10036</v>
      </c>
      <c r="E2416" s="47"/>
      <c r="F2416" s="47"/>
      <c r="G2416" s="47"/>
      <c r="H2416" s="47" t="s">
        <v>3605</v>
      </c>
      <c r="I2416" s="47" t="s">
        <v>10033</v>
      </c>
    </row>
    <row r="2417" spans="1:9" ht="15">
      <c r="A2417" s="47">
        <v>7036</v>
      </c>
      <c r="B2417" s="47" t="s">
        <v>10037</v>
      </c>
      <c r="C2417" s="47" t="s">
        <v>10038</v>
      </c>
      <c r="D2417" s="47" t="s">
        <v>10039</v>
      </c>
      <c r="E2417" s="47"/>
      <c r="F2417" s="47"/>
      <c r="G2417" s="47"/>
      <c r="H2417" s="47" t="s">
        <v>3605</v>
      </c>
      <c r="I2417" s="47" t="s">
        <v>19495</v>
      </c>
    </row>
    <row r="2418" spans="1:9" ht="15">
      <c r="A2418" s="47">
        <v>7463</v>
      </c>
      <c r="B2418" s="47" t="s">
        <v>10040</v>
      </c>
      <c r="C2418" s="47" t="s">
        <v>10041</v>
      </c>
      <c r="D2418" s="47" t="s">
        <v>10042</v>
      </c>
      <c r="E2418" s="47"/>
      <c r="F2418" s="47"/>
      <c r="G2418" s="47"/>
      <c r="H2418" s="47" t="s">
        <v>3605</v>
      </c>
      <c r="I2418" s="47" t="s">
        <v>19496</v>
      </c>
    </row>
    <row r="2419" spans="1:9" ht="15">
      <c r="A2419" s="47" t="s">
        <v>10043</v>
      </c>
      <c r="B2419" s="47" t="s">
        <v>10044</v>
      </c>
      <c r="C2419" s="47" t="s">
        <v>10045</v>
      </c>
      <c r="D2419" s="47" t="s">
        <v>10046</v>
      </c>
      <c r="E2419" s="47"/>
      <c r="F2419" s="47"/>
      <c r="G2419" s="47"/>
      <c r="H2419" s="47" t="s">
        <v>3605</v>
      </c>
      <c r="I2419" s="47" t="s">
        <v>10043</v>
      </c>
    </row>
    <row r="2420" spans="1:9" ht="15">
      <c r="A2420" s="47">
        <v>7084</v>
      </c>
      <c r="B2420" s="47" t="s">
        <v>10047</v>
      </c>
      <c r="C2420" s="47" t="s">
        <v>10048</v>
      </c>
      <c r="D2420" s="47" t="s">
        <v>10049</v>
      </c>
      <c r="E2420" s="47"/>
      <c r="F2420" s="47"/>
      <c r="G2420" s="47"/>
      <c r="H2420" s="47" t="s">
        <v>3605</v>
      </c>
      <c r="I2420" s="47" t="s">
        <v>19497</v>
      </c>
    </row>
    <row r="2421" spans="1:9" ht="15">
      <c r="A2421" s="47">
        <v>7443</v>
      </c>
      <c r="B2421" s="47" t="s">
        <v>10050</v>
      </c>
      <c r="C2421" s="47" t="s">
        <v>10051</v>
      </c>
      <c r="D2421" s="47" t="s">
        <v>10052</v>
      </c>
      <c r="E2421" s="47"/>
      <c r="F2421" s="47"/>
      <c r="G2421" s="47"/>
      <c r="H2421" s="47" t="s">
        <v>3605</v>
      </c>
      <c r="I2421" s="47" t="s">
        <v>19498</v>
      </c>
    </row>
    <row r="2422" spans="1:9" ht="15">
      <c r="A2422" s="47">
        <v>7088</v>
      </c>
      <c r="B2422" s="47" t="s">
        <v>10053</v>
      </c>
      <c r="C2422" s="47" t="s">
        <v>10054</v>
      </c>
      <c r="D2422" s="47" t="s">
        <v>10055</v>
      </c>
      <c r="E2422" s="47"/>
      <c r="F2422" s="47"/>
      <c r="G2422" s="47"/>
      <c r="H2422" s="47" t="s">
        <v>3605</v>
      </c>
      <c r="I2422" s="47" t="s">
        <v>19499</v>
      </c>
    </row>
    <row r="2423" spans="1:9" ht="15">
      <c r="A2423" s="47">
        <v>7092</v>
      </c>
      <c r="B2423" s="47" t="s">
        <v>10056</v>
      </c>
      <c r="C2423" s="47" t="s">
        <v>10057</v>
      </c>
      <c r="D2423" s="47" t="s">
        <v>10058</v>
      </c>
      <c r="E2423" s="47"/>
      <c r="F2423" s="47"/>
      <c r="G2423" s="47"/>
      <c r="H2423" s="47" t="s">
        <v>3605</v>
      </c>
      <c r="I2423" s="47" t="s">
        <v>19500</v>
      </c>
    </row>
    <row r="2424" spans="1:9" ht="15">
      <c r="A2424" s="47">
        <v>7093</v>
      </c>
      <c r="B2424" s="47" t="s">
        <v>10059</v>
      </c>
      <c r="C2424" s="47" t="s">
        <v>10060</v>
      </c>
      <c r="D2424" s="47" t="s">
        <v>10061</v>
      </c>
      <c r="E2424" s="47"/>
      <c r="F2424" s="47"/>
      <c r="G2424" s="47"/>
      <c r="H2424" s="47" t="s">
        <v>3605</v>
      </c>
      <c r="I2424" s="47" t="s">
        <v>19501</v>
      </c>
    </row>
    <row r="2425" spans="1:9" ht="15">
      <c r="A2425" s="47">
        <v>7100</v>
      </c>
      <c r="B2425" s="47" t="s">
        <v>10062</v>
      </c>
      <c r="C2425" s="47" t="s">
        <v>10063</v>
      </c>
      <c r="D2425" s="47" t="s">
        <v>10064</v>
      </c>
      <c r="E2425" s="47"/>
      <c r="F2425" s="47"/>
      <c r="G2425" s="47"/>
      <c r="H2425" s="47" t="s">
        <v>3605</v>
      </c>
      <c r="I2425" s="47" t="s">
        <v>19502</v>
      </c>
    </row>
    <row r="2426" spans="1:9" ht="15">
      <c r="A2426" s="47">
        <v>7111</v>
      </c>
      <c r="B2426" s="47" t="s">
        <v>10065</v>
      </c>
      <c r="C2426" s="47" t="s">
        <v>10066</v>
      </c>
      <c r="D2426" s="47" t="s">
        <v>10067</v>
      </c>
      <c r="E2426" s="47"/>
      <c r="F2426" s="47"/>
      <c r="G2426" s="47"/>
      <c r="H2426" s="47" t="s">
        <v>3605</v>
      </c>
      <c r="I2426" s="47" t="s">
        <v>19503</v>
      </c>
    </row>
    <row r="2427" spans="1:9" ht="15">
      <c r="A2427" s="47">
        <v>7112</v>
      </c>
      <c r="B2427" s="47" t="s">
        <v>10068</v>
      </c>
      <c r="C2427" s="47" t="s">
        <v>10069</v>
      </c>
      <c r="D2427" s="47" t="s">
        <v>10070</v>
      </c>
      <c r="E2427" s="47"/>
      <c r="F2427" s="47"/>
      <c r="G2427" s="47"/>
      <c r="H2427" s="47" t="s">
        <v>3605</v>
      </c>
      <c r="I2427" s="47" t="s">
        <v>19504</v>
      </c>
    </row>
    <row r="2428" spans="1:9" ht="15">
      <c r="A2428" s="47">
        <v>7113</v>
      </c>
      <c r="B2428" s="47" t="s">
        <v>10071</v>
      </c>
      <c r="C2428" s="47" t="s">
        <v>10072</v>
      </c>
      <c r="D2428" s="47" t="s">
        <v>10073</v>
      </c>
      <c r="E2428" s="47"/>
      <c r="F2428" s="47"/>
      <c r="G2428" s="47"/>
      <c r="H2428" s="47" t="s">
        <v>3605</v>
      </c>
      <c r="I2428" s="47" t="s">
        <v>19505</v>
      </c>
    </row>
    <row r="2429" spans="1:9" ht="15">
      <c r="A2429" s="47">
        <v>7122</v>
      </c>
      <c r="B2429" s="47" t="s">
        <v>10074</v>
      </c>
      <c r="C2429" s="47" t="s">
        <v>10075</v>
      </c>
      <c r="D2429" s="47" t="s">
        <v>10076</v>
      </c>
      <c r="E2429" s="47"/>
      <c r="F2429" s="47"/>
      <c r="G2429" s="47"/>
      <c r="H2429" s="47" t="s">
        <v>3605</v>
      </c>
      <c r="I2429" s="47" t="s">
        <v>19506</v>
      </c>
    </row>
    <row r="2430" spans="1:9" ht="15">
      <c r="A2430" s="47">
        <v>7130</v>
      </c>
      <c r="B2430" s="47" t="s">
        <v>10077</v>
      </c>
      <c r="C2430" s="47" t="s">
        <v>10078</v>
      </c>
      <c r="D2430" s="47" t="s">
        <v>10079</v>
      </c>
      <c r="E2430" s="47"/>
      <c r="F2430" s="47"/>
      <c r="G2430" s="47"/>
      <c r="H2430" s="47" t="s">
        <v>3605</v>
      </c>
      <c r="I2430" s="47" t="s">
        <v>19507</v>
      </c>
    </row>
    <row r="2431" spans="1:9" ht="15">
      <c r="A2431" s="47">
        <v>7142</v>
      </c>
      <c r="B2431" s="47" t="s">
        <v>10080</v>
      </c>
      <c r="C2431" s="47" t="s">
        <v>10081</v>
      </c>
      <c r="D2431" s="47" t="s">
        <v>10082</v>
      </c>
      <c r="E2431" s="47"/>
      <c r="F2431" s="47"/>
      <c r="G2431" s="47"/>
      <c r="H2431" s="47" t="s">
        <v>3605</v>
      </c>
      <c r="I2431" s="47" t="s">
        <v>19508</v>
      </c>
    </row>
    <row r="2432" spans="1:9" ht="15">
      <c r="A2432" s="47">
        <v>7164</v>
      </c>
      <c r="B2432" s="47" t="s">
        <v>10083</v>
      </c>
      <c r="C2432" s="47" t="s">
        <v>10084</v>
      </c>
      <c r="D2432" s="47" t="s">
        <v>10085</v>
      </c>
      <c r="E2432" s="47"/>
      <c r="F2432" s="47"/>
      <c r="G2432" s="47"/>
      <c r="H2432" s="47" t="s">
        <v>3605</v>
      </c>
      <c r="I2432" s="47" t="s">
        <v>19509</v>
      </c>
    </row>
    <row r="2433" spans="1:9" ht="15">
      <c r="A2433" s="47">
        <v>7023</v>
      </c>
      <c r="B2433" s="47" t="s">
        <v>10086</v>
      </c>
      <c r="C2433" s="47" t="s">
        <v>10087</v>
      </c>
      <c r="D2433" s="47" t="s">
        <v>10088</v>
      </c>
      <c r="E2433" s="47"/>
      <c r="F2433" s="47"/>
      <c r="G2433" s="47"/>
      <c r="H2433" s="47" t="s">
        <v>3605</v>
      </c>
      <c r="I2433" s="47" t="s">
        <v>19510</v>
      </c>
    </row>
    <row r="2434" spans="1:9" ht="15">
      <c r="A2434" s="47">
        <v>7026</v>
      </c>
      <c r="B2434" s="47" t="s">
        <v>10089</v>
      </c>
      <c r="C2434" s="47" t="s">
        <v>10090</v>
      </c>
      <c r="D2434" s="47" t="s">
        <v>10091</v>
      </c>
      <c r="E2434" s="47"/>
      <c r="F2434" s="47"/>
      <c r="G2434" s="47"/>
      <c r="H2434" s="47" t="s">
        <v>3605</v>
      </c>
      <c r="I2434" s="47" t="s">
        <v>19511</v>
      </c>
    </row>
    <row r="2435" spans="1:9" ht="15">
      <c r="A2435" s="47" t="s">
        <v>10092</v>
      </c>
      <c r="B2435" s="47" t="s">
        <v>10093</v>
      </c>
      <c r="C2435" s="47" t="s">
        <v>10094</v>
      </c>
      <c r="D2435" s="47" t="s">
        <v>10095</v>
      </c>
      <c r="E2435" s="47"/>
      <c r="F2435" s="47"/>
      <c r="G2435" s="47"/>
      <c r="H2435" s="47" t="s">
        <v>3605</v>
      </c>
      <c r="I2435" s="47" t="s">
        <v>10092</v>
      </c>
    </row>
    <row r="2436" spans="1:9" ht="15">
      <c r="A2436" s="47" t="s">
        <v>10096</v>
      </c>
      <c r="B2436" s="47" t="s">
        <v>10097</v>
      </c>
      <c r="C2436" s="47" t="s">
        <v>10098</v>
      </c>
      <c r="D2436" s="47" t="s">
        <v>10099</v>
      </c>
      <c r="E2436" s="47"/>
      <c r="F2436" s="47"/>
      <c r="G2436" s="47"/>
      <c r="H2436" s="47" t="s">
        <v>3605</v>
      </c>
      <c r="I2436" s="47" t="s">
        <v>10096</v>
      </c>
    </row>
    <row r="2437" spans="1:9" ht="15">
      <c r="A2437" s="47">
        <v>7484</v>
      </c>
      <c r="B2437" s="47" t="s">
        <v>10100</v>
      </c>
      <c r="C2437" s="47" t="s">
        <v>10101</v>
      </c>
      <c r="D2437" s="47" t="s">
        <v>10102</v>
      </c>
      <c r="E2437" s="47"/>
      <c r="F2437" s="47"/>
      <c r="G2437" s="47"/>
      <c r="H2437" s="47" t="s">
        <v>3605</v>
      </c>
      <c r="I2437" s="47" t="s">
        <v>19512</v>
      </c>
    </row>
    <row r="2438" spans="1:9" ht="15">
      <c r="A2438" s="47" t="s">
        <v>10103</v>
      </c>
      <c r="B2438" s="47" t="s">
        <v>10104</v>
      </c>
      <c r="C2438" s="47" t="s">
        <v>10105</v>
      </c>
      <c r="D2438" s="47" t="s">
        <v>10106</v>
      </c>
      <c r="E2438" s="47"/>
      <c r="F2438" s="47"/>
      <c r="G2438" s="47"/>
      <c r="H2438" s="47" t="s">
        <v>3605</v>
      </c>
      <c r="I2438" s="47" t="s">
        <v>10103</v>
      </c>
    </row>
    <row r="2439" spans="1:9" ht="15">
      <c r="A2439" s="47">
        <v>7489</v>
      </c>
      <c r="B2439" s="47" t="s">
        <v>10107</v>
      </c>
      <c r="C2439" s="47" t="s">
        <v>10108</v>
      </c>
      <c r="D2439" s="47" t="s">
        <v>10109</v>
      </c>
      <c r="E2439" s="47"/>
      <c r="F2439" s="47"/>
      <c r="G2439" s="47"/>
      <c r="H2439" s="47" t="s">
        <v>3605</v>
      </c>
      <c r="I2439" s="47" t="s">
        <v>19513</v>
      </c>
    </row>
    <row r="2440" spans="1:9" ht="15">
      <c r="A2440" s="47">
        <v>7490</v>
      </c>
      <c r="B2440" s="47" t="s">
        <v>10110</v>
      </c>
      <c r="C2440" s="47" t="s">
        <v>10111</v>
      </c>
      <c r="D2440" s="47" t="s">
        <v>10112</v>
      </c>
      <c r="E2440" s="47"/>
      <c r="F2440" s="47"/>
      <c r="G2440" s="47"/>
      <c r="H2440" s="47" t="s">
        <v>3605</v>
      </c>
      <c r="I2440" s="47" t="s">
        <v>19514</v>
      </c>
    </row>
    <row r="2441" spans="1:9" ht="15">
      <c r="A2441" s="47">
        <v>93700</v>
      </c>
      <c r="B2441" s="47" t="s">
        <v>10113</v>
      </c>
      <c r="C2441" s="47" t="s">
        <v>10114</v>
      </c>
      <c r="D2441" s="47" t="s">
        <v>10115</v>
      </c>
      <c r="E2441" s="47"/>
      <c r="F2441" s="47"/>
      <c r="G2441" s="47"/>
      <c r="H2441" s="47" t="s">
        <v>3605</v>
      </c>
      <c r="I2441" s="47" t="s">
        <v>19515</v>
      </c>
    </row>
    <row r="2442" spans="1:9" ht="15">
      <c r="A2442" s="47" t="s">
        <v>10116</v>
      </c>
      <c r="B2442" s="47" t="s">
        <v>10117</v>
      </c>
      <c r="C2442" s="47" t="s">
        <v>10118</v>
      </c>
      <c r="D2442" s="47" t="s">
        <v>10119</v>
      </c>
      <c r="E2442" s="47"/>
      <c r="F2442" s="47"/>
      <c r="G2442" s="47"/>
      <c r="H2442" s="47" t="s">
        <v>3605</v>
      </c>
      <c r="I2442" s="47" t="s">
        <v>10116</v>
      </c>
    </row>
    <row r="2443" spans="1:9" ht="15">
      <c r="A2443" s="47" t="s">
        <v>10120</v>
      </c>
      <c r="B2443" s="47" t="s">
        <v>10121</v>
      </c>
      <c r="C2443" s="47" t="s">
        <v>10122</v>
      </c>
      <c r="D2443" s="47" t="s">
        <v>10123</v>
      </c>
      <c r="E2443" s="47"/>
      <c r="F2443" s="47"/>
      <c r="G2443" s="47"/>
      <c r="H2443" s="47" t="s">
        <v>3605</v>
      </c>
      <c r="I2443" s="47" t="s">
        <v>10120</v>
      </c>
    </row>
    <row r="2444" spans="1:9" ht="15">
      <c r="A2444" s="47" t="s">
        <v>10124</v>
      </c>
      <c r="B2444" s="47" t="s">
        <v>10125</v>
      </c>
      <c r="C2444" s="47" t="s">
        <v>10126</v>
      </c>
      <c r="D2444" s="47" t="s">
        <v>10127</v>
      </c>
      <c r="E2444" s="47"/>
      <c r="F2444" s="47"/>
      <c r="G2444" s="47"/>
      <c r="H2444" s="47" t="s">
        <v>3605</v>
      </c>
      <c r="I2444" s="47" t="s">
        <v>10124</v>
      </c>
    </row>
    <row r="2445" spans="1:9" ht="15">
      <c r="A2445" s="47" t="s">
        <v>10128</v>
      </c>
      <c r="B2445" s="47" t="s">
        <v>10129</v>
      </c>
      <c r="C2445" s="47" t="s">
        <v>10130</v>
      </c>
      <c r="D2445" s="47" t="s">
        <v>10131</v>
      </c>
      <c r="E2445" s="47"/>
      <c r="F2445" s="47"/>
      <c r="G2445" s="47"/>
      <c r="H2445" s="47" t="s">
        <v>3605</v>
      </c>
      <c r="I2445" s="47" t="s">
        <v>10128</v>
      </c>
    </row>
    <row r="2446" spans="1:9" ht="15">
      <c r="A2446" s="47" t="s">
        <v>10132</v>
      </c>
      <c r="B2446" s="47" t="s">
        <v>10133</v>
      </c>
      <c r="C2446" s="47" t="s">
        <v>10134</v>
      </c>
      <c r="D2446" s="47" t="s">
        <v>10135</v>
      </c>
      <c r="E2446" s="47"/>
      <c r="F2446" s="47"/>
      <c r="G2446" s="47"/>
      <c r="H2446" s="47" t="s">
        <v>3605</v>
      </c>
      <c r="I2446" s="47" t="s">
        <v>10132</v>
      </c>
    </row>
    <row r="2447" spans="1:9" ht="15">
      <c r="A2447" s="47" t="s">
        <v>10136</v>
      </c>
      <c r="B2447" s="47" t="s">
        <v>10137</v>
      </c>
      <c r="C2447" s="47" t="s">
        <v>10138</v>
      </c>
      <c r="D2447" s="47" t="s">
        <v>10139</v>
      </c>
      <c r="E2447" s="47"/>
      <c r="F2447" s="47"/>
      <c r="G2447" s="47"/>
      <c r="H2447" s="47" t="s">
        <v>3605</v>
      </c>
      <c r="I2447" s="47" t="s">
        <v>10136</v>
      </c>
    </row>
    <row r="2448" spans="1:9" ht="15">
      <c r="A2448" s="47" t="s">
        <v>10140</v>
      </c>
      <c r="B2448" s="47" t="s">
        <v>10141</v>
      </c>
      <c r="C2448" s="47" t="s">
        <v>10142</v>
      </c>
      <c r="D2448" s="47" t="s">
        <v>10143</v>
      </c>
      <c r="E2448" s="47"/>
      <c r="F2448" s="47"/>
      <c r="G2448" s="47"/>
      <c r="H2448" s="47" t="s">
        <v>3605</v>
      </c>
      <c r="I2448" s="47" t="s">
        <v>10140</v>
      </c>
    </row>
    <row r="2449" spans="1:9" ht="15">
      <c r="A2449" s="47" t="s">
        <v>10144</v>
      </c>
      <c r="B2449" s="47" t="s">
        <v>10145</v>
      </c>
      <c r="C2449" s="47" t="s">
        <v>10146</v>
      </c>
      <c r="D2449" s="47" t="s">
        <v>10147</v>
      </c>
      <c r="E2449" s="47"/>
      <c r="F2449" s="47"/>
      <c r="G2449" s="47"/>
      <c r="H2449" s="47" t="s">
        <v>3605</v>
      </c>
      <c r="I2449" s="47" t="s">
        <v>10144</v>
      </c>
    </row>
    <row r="2450" spans="1:9" ht="15">
      <c r="A2450" s="47" t="s">
        <v>10148</v>
      </c>
      <c r="B2450" s="47" t="s">
        <v>10149</v>
      </c>
      <c r="C2450" s="47" t="s">
        <v>10150</v>
      </c>
      <c r="D2450" s="47" t="s">
        <v>10151</v>
      </c>
      <c r="E2450" s="47"/>
      <c r="F2450" s="47"/>
      <c r="G2450" s="47"/>
      <c r="H2450" s="47" t="s">
        <v>3605</v>
      </c>
      <c r="I2450" s="47" t="s">
        <v>10148</v>
      </c>
    </row>
    <row r="2451" spans="1:9" ht="15">
      <c r="A2451" s="47" t="s">
        <v>10152</v>
      </c>
      <c r="B2451" s="47" t="s">
        <v>10153</v>
      </c>
      <c r="C2451" s="47" t="s">
        <v>10154</v>
      </c>
      <c r="D2451" s="47" t="s">
        <v>10155</v>
      </c>
      <c r="E2451" s="47"/>
      <c r="F2451" s="47"/>
      <c r="G2451" s="47"/>
      <c r="H2451" s="47" t="s">
        <v>3605</v>
      </c>
      <c r="I2451" s="47" t="s">
        <v>10152</v>
      </c>
    </row>
    <row r="2452" spans="1:9" ht="15">
      <c r="A2452" s="47" t="s">
        <v>10156</v>
      </c>
      <c r="B2452" s="47" t="s">
        <v>10157</v>
      </c>
      <c r="C2452" s="47" t="s">
        <v>10158</v>
      </c>
      <c r="D2452" s="47" t="s">
        <v>10159</v>
      </c>
      <c r="E2452" s="47"/>
      <c r="F2452" s="47"/>
      <c r="G2452" s="47"/>
      <c r="H2452" s="47" t="s">
        <v>3605</v>
      </c>
      <c r="I2452" s="47" t="s">
        <v>10156</v>
      </c>
    </row>
    <row r="2453" spans="1:9" ht="15">
      <c r="A2453" s="47" t="s">
        <v>10160</v>
      </c>
      <c r="B2453" s="47" t="s">
        <v>10161</v>
      </c>
      <c r="C2453" s="47" t="s">
        <v>10162</v>
      </c>
      <c r="D2453" s="47" t="s">
        <v>10163</v>
      </c>
      <c r="E2453" s="47"/>
      <c r="F2453" s="47"/>
      <c r="G2453" s="47"/>
      <c r="H2453" s="47" t="s">
        <v>3605</v>
      </c>
      <c r="I2453" s="47" t="s">
        <v>10160</v>
      </c>
    </row>
    <row r="2454" spans="1:9" ht="15">
      <c r="A2454" s="47" t="s">
        <v>10164</v>
      </c>
      <c r="B2454" s="47" t="s">
        <v>10165</v>
      </c>
      <c r="C2454" s="47" t="s">
        <v>10166</v>
      </c>
      <c r="D2454" s="47" t="s">
        <v>10167</v>
      </c>
      <c r="E2454" s="47"/>
      <c r="F2454" s="47"/>
      <c r="G2454" s="47"/>
      <c r="H2454" s="47" t="s">
        <v>3605</v>
      </c>
      <c r="I2454" s="47" t="s">
        <v>10164</v>
      </c>
    </row>
    <row r="2455" spans="1:9" ht="15">
      <c r="A2455" s="47" t="s">
        <v>10168</v>
      </c>
      <c r="B2455" s="47" t="s">
        <v>10169</v>
      </c>
      <c r="C2455" s="47" t="s">
        <v>10170</v>
      </c>
      <c r="D2455" s="47" t="s">
        <v>10171</v>
      </c>
      <c r="E2455" s="47"/>
      <c r="F2455" s="47"/>
      <c r="G2455" s="47"/>
      <c r="H2455" s="47" t="s">
        <v>3605</v>
      </c>
      <c r="I2455" s="47" t="s">
        <v>10168</v>
      </c>
    </row>
    <row r="2456" spans="1:9" ht="15">
      <c r="A2456" s="47" t="s">
        <v>10172</v>
      </c>
      <c r="B2456" s="47" t="s">
        <v>10173</v>
      </c>
      <c r="C2456" s="47" t="s">
        <v>10174</v>
      </c>
      <c r="D2456" s="47" t="s">
        <v>10175</v>
      </c>
      <c r="E2456" s="47"/>
      <c r="F2456" s="47"/>
      <c r="G2456" s="47"/>
      <c r="H2456" s="47" t="s">
        <v>3605</v>
      </c>
      <c r="I2456" s="47" t="s">
        <v>10172</v>
      </c>
    </row>
    <row r="2457" spans="1:9" ht="15">
      <c r="A2457" s="47" t="s">
        <v>10176</v>
      </c>
      <c r="B2457" s="47" t="s">
        <v>10177</v>
      </c>
      <c r="C2457" s="47" t="s">
        <v>10178</v>
      </c>
      <c r="D2457" s="47" t="s">
        <v>10179</v>
      </c>
      <c r="E2457" s="47"/>
      <c r="F2457" s="47"/>
      <c r="G2457" s="47"/>
      <c r="H2457" s="47" t="s">
        <v>3605</v>
      </c>
      <c r="I2457" s="47" t="s">
        <v>10176</v>
      </c>
    </row>
    <row r="2458" spans="1:9" ht="15">
      <c r="A2458" s="47" t="s">
        <v>10180</v>
      </c>
      <c r="B2458" s="47" t="s">
        <v>10181</v>
      </c>
      <c r="C2458" s="47" t="s">
        <v>10182</v>
      </c>
      <c r="D2458" s="47" t="s">
        <v>10183</v>
      </c>
      <c r="E2458" s="47"/>
      <c r="F2458" s="47"/>
      <c r="G2458" s="47"/>
      <c r="H2458" s="47" t="s">
        <v>3605</v>
      </c>
      <c r="I2458" s="47" t="s">
        <v>10180</v>
      </c>
    </row>
    <row r="2459" spans="1:9" ht="15">
      <c r="A2459" s="47" t="s">
        <v>10184</v>
      </c>
      <c r="B2459" s="47" t="s">
        <v>10185</v>
      </c>
      <c r="C2459" s="47" t="s">
        <v>10186</v>
      </c>
      <c r="D2459" s="47" t="s">
        <v>10187</v>
      </c>
      <c r="E2459" s="47"/>
      <c r="F2459" s="47"/>
      <c r="G2459" s="47"/>
      <c r="H2459" s="47" t="s">
        <v>3605</v>
      </c>
      <c r="I2459" s="47" t="s">
        <v>10184</v>
      </c>
    </row>
    <row r="2460" spans="1:9" ht="15">
      <c r="A2460" s="47" t="s">
        <v>10188</v>
      </c>
      <c r="B2460" s="47" t="s">
        <v>10189</v>
      </c>
      <c r="C2460" s="47" t="s">
        <v>10190</v>
      </c>
      <c r="D2460" s="47" t="s">
        <v>10191</v>
      </c>
      <c r="E2460" s="47"/>
      <c r="F2460" s="47"/>
      <c r="G2460" s="47"/>
      <c r="H2460" s="47" t="s">
        <v>3605</v>
      </c>
      <c r="I2460" s="47" t="s">
        <v>10188</v>
      </c>
    </row>
    <row r="2461" spans="1:9" ht="15">
      <c r="A2461" s="47" t="s">
        <v>10192</v>
      </c>
      <c r="B2461" s="47" t="s">
        <v>10193</v>
      </c>
      <c r="C2461" s="47" t="s">
        <v>10194</v>
      </c>
      <c r="D2461" s="47" t="s">
        <v>10195</v>
      </c>
      <c r="E2461" s="47"/>
      <c r="F2461" s="47"/>
      <c r="G2461" s="47"/>
      <c r="H2461" s="47" t="s">
        <v>3605</v>
      </c>
      <c r="I2461" s="47" t="s">
        <v>10192</v>
      </c>
    </row>
    <row r="2462" spans="1:9" ht="15">
      <c r="A2462" s="47" t="s">
        <v>10196</v>
      </c>
      <c r="B2462" s="47" t="s">
        <v>10197</v>
      </c>
      <c r="C2462" s="47" t="s">
        <v>10198</v>
      </c>
      <c r="D2462" s="47" t="s">
        <v>10199</v>
      </c>
      <c r="E2462" s="47"/>
      <c r="F2462" s="47"/>
      <c r="G2462" s="47"/>
      <c r="H2462" s="47" t="s">
        <v>3605</v>
      </c>
      <c r="I2462" s="47" t="s">
        <v>10196</v>
      </c>
    </row>
    <row r="2463" spans="1:9" ht="15">
      <c r="A2463" s="47" t="s">
        <v>10200</v>
      </c>
      <c r="B2463" s="47" t="s">
        <v>10201</v>
      </c>
      <c r="C2463" s="47" t="s">
        <v>10202</v>
      </c>
      <c r="D2463" s="47" t="s">
        <v>10203</v>
      </c>
      <c r="E2463" s="47"/>
      <c r="F2463" s="47"/>
      <c r="G2463" s="47"/>
      <c r="H2463" s="47" t="s">
        <v>3605</v>
      </c>
      <c r="I2463" s="47" t="s">
        <v>10200</v>
      </c>
    </row>
    <row r="2464" spans="1:9" ht="15">
      <c r="A2464" s="47" t="s">
        <v>10204</v>
      </c>
      <c r="B2464" s="47" t="s">
        <v>10205</v>
      </c>
      <c r="C2464" s="47" t="s">
        <v>10206</v>
      </c>
      <c r="D2464" s="47" t="s">
        <v>10207</v>
      </c>
      <c r="E2464" s="47"/>
      <c r="F2464" s="47"/>
      <c r="G2464" s="47"/>
      <c r="H2464" s="47" t="s">
        <v>3605</v>
      </c>
      <c r="I2464" s="47" t="s">
        <v>10204</v>
      </c>
    </row>
    <row r="2465" spans="1:9" ht="15">
      <c r="A2465" s="47">
        <v>7190</v>
      </c>
      <c r="B2465" s="47" t="s">
        <v>10208</v>
      </c>
      <c r="C2465" s="47" t="s">
        <v>10209</v>
      </c>
      <c r="D2465" s="47" t="s">
        <v>10210</v>
      </c>
      <c r="E2465" s="47"/>
      <c r="F2465" s="47"/>
      <c r="G2465" s="47"/>
      <c r="H2465" s="47" t="s">
        <v>3605</v>
      </c>
      <c r="I2465" s="47" t="s">
        <v>19516</v>
      </c>
    </row>
    <row r="2466" spans="1:9" ht="15">
      <c r="A2466" s="47">
        <v>7191</v>
      </c>
      <c r="B2466" s="47" t="s">
        <v>10211</v>
      </c>
      <c r="C2466" s="47" t="s">
        <v>10212</v>
      </c>
      <c r="D2466" s="47" t="s">
        <v>9196</v>
      </c>
      <c r="E2466" s="47"/>
      <c r="F2466" s="47"/>
      <c r="G2466" s="47"/>
      <c r="H2466" s="47" t="s">
        <v>3605</v>
      </c>
      <c r="I2466" s="47" t="s">
        <v>19517</v>
      </c>
    </row>
    <row r="2467" spans="1:9" ht="15">
      <c r="A2467" s="47">
        <v>7213</v>
      </c>
      <c r="B2467" s="47" t="s">
        <v>10213</v>
      </c>
      <c r="C2467" s="47" t="s">
        <v>10214</v>
      </c>
      <c r="D2467" s="47" t="s">
        <v>10215</v>
      </c>
      <c r="E2467" s="47"/>
      <c r="F2467" s="47"/>
      <c r="G2467" s="47"/>
      <c r="H2467" s="47" t="s">
        <v>3605</v>
      </c>
      <c r="I2467" s="47" t="s">
        <v>19518</v>
      </c>
    </row>
    <row r="2468" spans="1:9" ht="15">
      <c r="A2468" s="47" t="s">
        <v>10216</v>
      </c>
      <c r="B2468" s="47" t="s">
        <v>10217</v>
      </c>
      <c r="C2468" s="47" t="s">
        <v>10218</v>
      </c>
      <c r="D2468" s="47" t="s">
        <v>10219</v>
      </c>
      <c r="E2468" s="47"/>
      <c r="F2468" s="47"/>
      <c r="G2468" s="47"/>
      <c r="H2468" s="47" t="s">
        <v>3605</v>
      </c>
      <c r="I2468" s="47" t="s">
        <v>10216</v>
      </c>
    </row>
    <row r="2469" spans="1:9" ht="15">
      <c r="A2469" s="47" t="s">
        <v>10220</v>
      </c>
      <c r="B2469" s="47" t="s">
        <v>10221</v>
      </c>
      <c r="C2469" s="47" t="s">
        <v>10222</v>
      </c>
      <c r="D2469" s="47" t="s">
        <v>10223</v>
      </c>
      <c r="E2469" s="47"/>
      <c r="F2469" s="47"/>
      <c r="G2469" s="47"/>
      <c r="H2469" s="47" t="s">
        <v>3605</v>
      </c>
      <c r="I2469" s="47" t="s">
        <v>10220</v>
      </c>
    </row>
    <row r="2470" spans="1:9" ht="15">
      <c r="A2470" s="47">
        <v>10236</v>
      </c>
      <c r="B2470" s="47" t="s">
        <v>10224</v>
      </c>
      <c r="C2470" s="47" t="s">
        <v>10225</v>
      </c>
      <c r="D2470" s="47" t="s">
        <v>10226</v>
      </c>
      <c r="E2470" s="47"/>
      <c r="F2470" s="47"/>
      <c r="G2470" s="47"/>
      <c r="H2470" s="47" t="s">
        <v>3605</v>
      </c>
      <c r="I2470" s="47" t="s">
        <v>19519</v>
      </c>
    </row>
    <row r="2471" spans="1:9" ht="15">
      <c r="A2471" s="47">
        <v>10801</v>
      </c>
      <c r="B2471" s="47" t="s">
        <v>10227</v>
      </c>
      <c r="C2471" s="47" t="s">
        <v>10228</v>
      </c>
      <c r="D2471" s="47" t="s">
        <v>10229</v>
      </c>
      <c r="E2471" s="47"/>
      <c r="F2471" s="47"/>
      <c r="G2471" s="47"/>
      <c r="H2471" s="47" t="s">
        <v>3605</v>
      </c>
      <c r="I2471" s="47" t="s">
        <v>19520</v>
      </c>
    </row>
    <row r="2472" spans="1:9" ht="15">
      <c r="A2472" s="47">
        <v>7180</v>
      </c>
      <c r="B2472" s="47" t="s">
        <v>10230</v>
      </c>
      <c r="C2472" s="47" t="s">
        <v>10231</v>
      </c>
      <c r="D2472" s="47" t="s">
        <v>10232</v>
      </c>
      <c r="E2472" s="47"/>
      <c r="F2472" s="47"/>
      <c r="G2472" s="47"/>
      <c r="H2472" s="47" t="s">
        <v>3605</v>
      </c>
      <c r="I2472" s="47" t="s">
        <v>19521</v>
      </c>
    </row>
    <row r="2473" spans="1:9" ht="15">
      <c r="A2473" s="47" t="s">
        <v>10233</v>
      </c>
      <c r="B2473" s="47" t="s">
        <v>10234</v>
      </c>
      <c r="C2473" s="47" t="s">
        <v>10235</v>
      </c>
      <c r="D2473" s="47" t="s">
        <v>10236</v>
      </c>
      <c r="E2473" s="47"/>
      <c r="F2473" s="47"/>
      <c r="G2473" s="47"/>
      <c r="H2473" s="47" t="s">
        <v>3605</v>
      </c>
      <c r="I2473" s="47" t="s">
        <v>10233</v>
      </c>
    </row>
    <row r="2474" spans="1:9" ht="15">
      <c r="A2474" s="47" t="s">
        <v>10237</v>
      </c>
      <c r="B2474" s="47" t="s">
        <v>10238</v>
      </c>
      <c r="C2474" s="47" t="s">
        <v>10239</v>
      </c>
      <c r="D2474" s="47" t="s">
        <v>10240</v>
      </c>
      <c r="E2474" s="47"/>
      <c r="F2474" s="47"/>
      <c r="G2474" s="47"/>
      <c r="H2474" s="47" t="s">
        <v>3605</v>
      </c>
      <c r="I2474" s="47" t="s">
        <v>10237</v>
      </c>
    </row>
    <row r="2475" spans="1:9" ht="15">
      <c r="A2475" s="47">
        <v>7174</v>
      </c>
      <c r="B2475" s="47" t="s">
        <v>10241</v>
      </c>
      <c r="C2475" s="47" t="s">
        <v>10242</v>
      </c>
      <c r="D2475" s="47" t="s">
        <v>10243</v>
      </c>
      <c r="E2475" s="47"/>
      <c r="F2475" s="47"/>
      <c r="G2475" s="47"/>
      <c r="H2475" s="47" t="s">
        <v>3605</v>
      </c>
      <c r="I2475" s="47" t="s">
        <v>19522</v>
      </c>
    </row>
    <row r="2476" spans="1:9" ht="15">
      <c r="A2476" s="47" t="s">
        <v>10244</v>
      </c>
      <c r="B2476" s="47" t="s">
        <v>10245</v>
      </c>
      <c r="C2476" s="47" t="s">
        <v>10246</v>
      </c>
      <c r="D2476" s="47" t="s">
        <v>10247</v>
      </c>
      <c r="E2476" s="47"/>
      <c r="F2476" s="47"/>
      <c r="G2476" s="47"/>
      <c r="H2476" s="47" t="s">
        <v>3605</v>
      </c>
      <c r="I2476" s="47" t="s">
        <v>10244</v>
      </c>
    </row>
    <row r="2477" spans="1:9" ht="15">
      <c r="A2477" s="47" t="s">
        <v>10248</v>
      </c>
      <c r="B2477" s="47" t="s">
        <v>10249</v>
      </c>
      <c r="C2477" s="47" t="s">
        <v>10250</v>
      </c>
      <c r="D2477" s="47" t="s">
        <v>10251</v>
      </c>
      <c r="E2477" s="47"/>
      <c r="F2477" s="47"/>
      <c r="G2477" s="47"/>
      <c r="H2477" s="47" t="s">
        <v>3605</v>
      </c>
      <c r="I2477" s="47" t="s">
        <v>10248</v>
      </c>
    </row>
    <row r="2478" spans="1:9" ht="15">
      <c r="A2478" s="47" t="s">
        <v>10252</v>
      </c>
      <c r="B2478" s="47" t="s">
        <v>10253</v>
      </c>
      <c r="C2478" s="47" t="s">
        <v>10254</v>
      </c>
      <c r="D2478" s="47" t="s">
        <v>10240</v>
      </c>
      <c r="E2478" s="47"/>
      <c r="F2478" s="47"/>
      <c r="G2478" s="47"/>
      <c r="H2478" s="47" t="s">
        <v>3605</v>
      </c>
      <c r="I2478" s="47" t="s">
        <v>10252</v>
      </c>
    </row>
    <row r="2479" spans="1:9" ht="15">
      <c r="A2479" s="47" t="s">
        <v>10255</v>
      </c>
      <c r="B2479" s="47" t="s">
        <v>10256</v>
      </c>
      <c r="C2479" s="47" t="s">
        <v>10257</v>
      </c>
      <c r="D2479" s="47" t="s">
        <v>10167</v>
      </c>
      <c r="E2479" s="47"/>
      <c r="F2479" s="47"/>
      <c r="G2479" s="47"/>
      <c r="H2479" s="47" t="s">
        <v>3605</v>
      </c>
      <c r="I2479" s="47" t="s">
        <v>10255</v>
      </c>
    </row>
    <row r="2480" spans="1:9" ht="15">
      <c r="A2480" s="47" t="s">
        <v>10258</v>
      </c>
      <c r="B2480" s="47" t="s">
        <v>10259</v>
      </c>
      <c r="C2480" s="47" t="s">
        <v>10260</v>
      </c>
      <c r="D2480" s="47" t="s">
        <v>10261</v>
      </c>
      <c r="E2480" s="47"/>
      <c r="F2480" s="47"/>
      <c r="G2480" s="47"/>
      <c r="H2480" s="47" t="s">
        <v>3605</v>
      </c>
      <c r="I2480" s="47" t="s">
        <v>10258</v>
      </c>
    </row>
    <row r="2481" spans="1:9" ht="15">
      <c r="A2481" s="47" t="s">
        <v>10262</v>
      </c>
      <c r="B2481" s="47" t="s">
        <v>10263</v>
      </c>
      <c r="C2481" s="47" t="s">
        <v>10264</v>
      </c>
      <c r="D2481" s="47" t="s">
        <v>10265</v>
      </c>
      <c r="E2481" s="47"/>
      <c r="F2481" s="47"/>
      <c r="G2481" s="47"/>
      <c r="H2481" s="47" t="s">
        <v>3605</v>
      </c>
      <c r="I2481" s="47" t="s">
        <v>10262</v>
      </c>
    </row>
    <row r="2482" spans="1:9" ht="15">
      <c r="A2482" s="47" t="s">
        <v>10266</v>
      </c>
      <c r="B2482" s="47" t="s">
        <v>10267</v>
      </c>
      <c r="C2482" s="47" t="s">
        <v>10268</v>
      </c>
      <c r="D2482" s="47" t="s">
        <v>10269</v>
      </c>
      <c r="E2482" s="47"/>
      <c r="F2482" s="47"/>
      <c r="G2482" s="47"/>
      <c r="H2482" s="47" t="s">
        <v>3605</v>
      </c>
      <c r="I2482" s="47" t="s">
        <v>10266</v>
      </c>
    </row>
    <row r="2483" spans="1:9" ht="15">
      <c r="A2483" s="47" t="s">
        <v>10270</v>
      </c>
      <c r="B2483" s="47" t="s">
        <v>10271</v>
      </c>
      <c r="C2483" s="47" t="s">
        <v>10272</v>
      </c>
      <c r="D2483" s="47" t="s">
        <v>10273</v>
      </c>
      <c r="E2483" s="47"/>
      <c r="F2483" s="47"/>
      <c r="G2483" s="47"/>
      <c r="H2483" s="47" t="s">
        <v>3605</v>
      </c>
      <c r="I2483" s="47" t="s">
        <v>10270</v>
      </c>
    </row>
    <row r="2484" spans="1:9" ht="15">
      <c r="A2484" s="47" t="s">
        <v>10274</v>
      </c>
      <c r="B2484" s="47" t="s">
        <v>10275</v>
      </c>
      <c r="C2484" s="47" t="s">
        <v>10276</v>
      </c>
      <c r="D2484" s="47" t="s">
        <v>10277</v>
      </c>
      <c r="E2484" s="47"/>
      <c r="F2484" s="47"/>
      <c r="G2484" s="47"/>
      <c r="H2484" s="47" t="s">
        <v>3605</v>
      </c>
      <c r="I2484" s="47" t="s">
        <v>10274</v>
      </c>
    </row>
    <row r="2485" spans="1:9" ht="15">
      <c r="A2485" s="47" t="s">
        <v>10278</v>
      </c>
      <c r="B2485" s="47" t="s">
        <v>10279</v>
      </c>
      <c r="C2485" s="47" t="s">
        <v>10280</v>
      </c>
      <c r="D2485" s="47" t="s">
        <v>10281</v>
      </c>
      <c r="E2485" s="47"/>
      <c r="F2485" s="47"/>
      <c r="G2485" s="47"/>
      <c r="H2485" s="47" t="s">
        <v>3605</v>
      </c>
      <c r="I2485" s="47" t="s">
        <v>10278</v>
      </c>
    </row>
    <row r="2486" spans="1:9" ht="15">
      <c r="A2486" s="47" t="s">
        <v>10282</v>
      </c>
      <c r="B2486" s="47" t="s">
        <v>10283</v>
      </c>
      <c r="C2486" s="47" t="s">
        <v>10284</v>
      </c>
      <c r="D2486" s="47" t="s">
        <v>10285</v>
      </c>
      <c r="E2486" s="47"/>
      <c r="F2486" s="47"/>
      <c r="G2486" s="47"/>
      <c r="H2486" s="47" t="s">
        <v>3605</v>
      </c>
      <c r="I2486" s="47" t="s">
        <v>10282</v>
      </c>
    </row>
    <row r="2487" spans="1:9" ht="15">
      <c r="A2487" s="47" t="s">
        <v>10286</v>
      </c>
      <c r="B2487" s="47" t="s">
        <v>10287</v>
      </c>
      <c r="C2487" s="47" t="s">
        <v>10288</v>
      </c>
      <c r="D2487" s="47" t="s">
        <v>10289</v>
      </c>
      <c r="E2487" s="47"/>
      <c r="F2487" s="47"/>
      <c r="G2487" s="47"/>
      <c r="H2487" s="47" t="s">
        <v>3605</v>
      </c>
      <c r="I2487" s="47" t="s">
        <v>10286</v>
      </c>
    </row>
    <row r="2488" spans="1:9" ht="15">
      <c r="A2488" s="47">
        <v>7483</v>
      </c>
      <c r="B2488" s="47" t="s">
        <v>10290</v>
      </c>
      <c r="C2488" s="47" t="s">
        <v>10291</v>
      </c>
      <c r="D2488" s="47" t="s">
        <v>4105</v>
      </c>
      <c r="E2488" s="47"/>
      <c r="F2488" s="47"/>
      <c r="G2488" s="47"/>
      <c r="H2488" s="47" t="s">
        <v>3605</v>
      </c>
      <c r="I2488" s="47" t="s">
        <v>19523</v>
      </c>
    </row>
    <row r="2489" spans="1:9" ht="15">
      <c r="A2489" s="47" t="s">
        <v>1210</v>
      </c>
      <c r="B2489" s="47" t="s">
        <v>10292</v>
      </c>
      <c r="C2489" s="47" t="s">
        <v>10293</v>
      </c>
      <c r="D2489" s="47" t="s">
        <v>10294</v>
      </c>
      <c r="E2489" s="47"/>
      <c r="F2489" s="47"/>
      <c r="G2489" s="47"/>
      <c r="H2489" s="47" t="s">
        <v>3605</v>
      </c>
      <c r="I2489" s="47" t="s">
        <v>1210</v>
      </c>
    </row>
    <row r="2490" spans="1:9" ht="15">
      <c r="A2490" s="47" t="s">
        <v>10295</v>
      </c>
      <c r="B2490" s="47" t="s">
        <v>10296</v>
      </c>
      <c r="C2490" s="47" t="s">
        <v>10297</v>
      </c>
      <c r="D2490" s="47" t="s">
        <v>10298</v>
      </c>
      <c r="E2490" s="47"/>
      <c r="F2490" s="47"/>
      <c r="G2490" s="47"/>
      <c r="H2490" s="47" t="s">
        <v>3605</v>
      </c>
      <c r="I2490" s="47" t="s">
        <v>10295</v>
      </c>
    </row>
    <row r="2491" spans="1:9" ht="15">
      <c r="A2491" s="47" t="s">
        <v>10299</v>
      </c>
      <c r="B2491" s="47" t="s">
        <v>10300</v>
      </c>
      <c r="C2491" s="47" t="s">
        <v>10301</v>
      </c>
      <c r="D2491" s="47" t="s">
        <v>10302</v>
      </c>
      <c r="E2491" s="47"/>
      <c r="F2491" s="47"/>
      <c r="G2491" s="47"/>
      <c r="H2491" s="47" t="s">
        <v>3605</v>
      </c>
      <c r="I2491" s="47" t="s">
        <v>10299</v>
      </c>
    </row>
    <row r="2492" spans="1:9" ht="15">
      <c r="A2492" s="47" t="s">
        <v>10303</v>
      </c>
      <c r="B2492" s="47" t="s">
        <v>10304</v>
      </c>
      <c r="C2492" s="47" t="s">
        <v>10305</v>
      </c>
      <c r="D2492" s="47" t="s">
        <v>10306</v>
      </c>
      <c r="E2492" s="47"/>
      <c r="F2492" s="47"/>
      <c r="G2492" s="47"/>
      <c r="H2492" s="47" t="s">
        <v>3605</v>
      </c>
      <c r="I2492" s="47" t="s">
        <v>10303</v>
      </c>
    </row>
    <row r="2493" spans="1:9" ht="15">
      <c r="A2493" s="47" t="s">
        <v>10307</v>
      </c>
      <c r="B2493" s="47" t="s">
        <v>10308</v>
      </c>
      <c r="C2493" s="47" t="s">
        <v>10309</v>
      </c>
      <c r="D2493" s="47" t="s">
        <v>10012</v>
      </c>
      <c r="E2493" s="47"/>
      <c r="F2493" s="47"/>
      <c r="G2493" s="47"/>
      <c r="H2493" s="47" t="s">
        <v>3605</v>
      </c>
      <c r="I2493" s="47" t="s">
        <v>10307</v>
      </c>
    </row>
    <row r="2494" spans="1:9" ht="15">
      <c r="A2494" s="47" t="s">
        <v>10310</v>
      </c>
      <c r="B2494" s="47" t="s">
        <v>10311</v>
      </c>
      <c r="C2494" s="47" t="s">
        <v>10312</v>
      </c>
      <c r="D2494" s="47" t="s">
        <v>10313</v>
      </c>
      <c r="E2494" s="47"/>
      <c r="F2494" s="47"/>
      <c r="G2494" s="47"/>
      <c r="H2494" s="47" t="s">
        <v>3605</v>
      </c>
      <c r="I2494" s="47" t="s">
        <v>10310</v>
      </c>
    </row>
    <row r="2495" spans="1:9" ht="15">
      <c r="A2495" s="47" t="s">
        <v>10314</v>
      </c>
      <c r="B2495" s="47" t="s">
        <v>10315</v>
      </c>
      <c r="C2495" s="47" t="s">
        <v>10316</v>
      </c>
      <c r="D2495" s="47" t="s">
        <v>10317</v>
      </c>
      <c r="E2495" s="47"/>
      <c r="F2495" s="47"/>
      <c r="G2495" s="47"/>
      <c r="H2495" s="47" t="s">
        <v>3605</v>
      </c>
      <c r="I2495" s="47" t="s">
        <v>10314</v>
      </c>
    </row>
    <row r="2496" spans="1:9" ht="15">
      <c r="A2496" s="47" t="s">
        <v>10318</v>
      </c>
      <c r="B2496" s="47" t="s">
        <v>10319</v>
      </c>
      <c r="C2496" s="47" t="s">
        <v>10320</v>
      </c>
      <c r="D2496" s="47" t="s">
        <v>10321</v>
      </c>
      <c r="E2496" s="47"/>
      <c r="F2496" s="47"/>
      <c r="G2496" s="47"/>
      <c r="H2496" s="47" t="s">
        <v>3605</v>
      </c>
      <c r="I2496" s="47" t="s">
        <v>10318</v>
      </c>
    </row>
    <row r="2497" spans="1:9" ht="15">
      <c r="A2497" s="47" t="s">
        <v>10322</v>
      </c>
      <c r="B2497" s="47" t="s">
        <v>10323</v>
      </c>
      <c r="C2497" s="47" t="s">
        <v>10324</v>
      </c>
      <c r="D2497" s="47" t="s">
        <v>10325</v>
      </c>
      <c r="E2497" s="47"/>
      <c r="F2497" s="47"/>
      <c r="G2497" s="47"/>
      <c r="H2497" s="47" t="s">
        <v>3605</v>
      </c>
      <c r="I2497" s="47" t="s">
        <v>10322</v>
      </c>
    </row>
    <row r="2498" spans="1:9" ht="15">
      <c r="A2498" s="47" t="s">
        <v>10326</v>
      </c>
      <c r="B2498" s="47" t="s">
        <v>10327</v>
      </c>
      <c r="C2498" s="47" t="s">
        <v>10328</v>
      </c>
      <c r="D2498" s="47" t="s">
        <v>10329</v>
      </c>
      <c r="E2498" s="47"/>
      <c r="F2498" s="47"/>
      <c r="G2498" s="47"/>
      <c r="H2498" s="47" t="s">
        <v>3605</v>
      </c>
      <c r="I2498" s="47" t="s">
        <v>10326</v>
      </c>
    </row>
    <row r="2499" spans="1:9" ht="15">
      <c r="A2499" s="47" t="s">
        <v>10330</v>
      </c>
      <c r="B2499" s="47" t="s">
        <v>10331</v>
      </c>
      <c r="C2499" s="47" t="s">
        <v>10332</v>
      </c>
      <c r="D2499" s="47" t="s">
        <v>10333</v>
      </c>
      <c r="E2499" s="47"/>
      <c r="F2499" s="47"/>
      <c r="G2499" s="47"/>
      <c r="H2499" s="47" t="s">
        <v>3605</v>
      </c>
      <c r="I2499" s="47" t="s">
        <v>10330</v>
      </c>
    </row>
    <row r="2500" spans="1:9" ht="15">
      <c r="A2500" s="47" t="s">
        <v>10334</v>
      </c>
      <c r="B2500" s="47" t="s">
        <v>10335</v>
      </c>
      <c r="C2500" s="47" t="s">
        <v>10336</v>
      </c>
      <c r="D2500" s="47" t="s">
        <v>10337</v>
      </c>
      <c r="E2500" s="47"/>
      <c r="F2500" s="47"/>
      <c r="G2500" s="47"/>
      <c r="H2500" s="47" t="s">
        <v>3605</v>
      </c>
      <c r="I2500" s="47" t="s">
        <v>10334</v>
      </c>
    </row>
    <row r="2501" spans="1:9" ht="15">
      <c r="A2501" s="47" t="s">
        <v>10338</v>
      </c>
      <c r="B2501" s="47" t="s">
        <v>10339</v>
      </c>
      <c r="C2501" s="47" t="s">
        <v>10340</v>
      </c>
      <c r="D2501" s="47" t="s">
        <v>10341</v>
      </c>
      <c r="E2501" s="47"/>
      <c r="F2501" s="47"/>
      <c r="G2501" s="47"/>
      <c r="H2501" s="47" t="s">
        <v>3605</v>
      </c>
      <c r="I2501" s="47" t="s">
        <v>10338</v>
      </c>
    </row>
    <row r="2502" spans="1:9" ht="15">
      <c r="A2502" s="47" t="s">
        <v>10342</v>
      </c>
      <c r="B2502" s="47" t="s">
        <v>10343</v>
      </c>
      <c r="C2502" s="47" t="s">
        <v>10344</v>
      </c>
      <c r="D2502" s="47" t="s">
        <v>10345</v>
      </c>
      <c r="E2502" s="47"/>
      <c r="F2502" s="47"/>
      <c r="G2502" s="47"/>
      <c r="H2502" s="47" t="s">
        <v>3605</v>
      </c>
      <c r="I2502" s="47" t="s">
        <v>10342</v>
      </c>
    </row>
    <row r="2503" spans="1:9" ht="15">
      <c r="A2503" s="47" t="s">
        <v>10346</v>
      </c>
      <c r="B2503" s="47" t="s">
        <v>10347</v>
      </c>
      <c r="C2503" s="47" t="s">
        <v>10348</v>
      </c>
      <c r="D2503" s="47" t="s">
        <v>10349</v>
      </c>
      <c r="E2503" s="47"/>
      <c r="F2503" s="47"/>
      <c r="G2503" s="47"/>
      <c r="H2503" s="47" t="s">
        <v>3605</v>
      </c>
      <c r="I2503" s="47" t="s">
        <v>10346</v>
      </c>
    </row>
    <row r="2504" spans="1:9" ht="15">
      <c r="A2504" s="47" t="s">
        <v>10350</v>
      </c>
      <c r="B2504" s="47" t="s">
        <v>10351</v>
      </c>
      <c r="C2504" s="47" t="s">
        <v>10352</v>
      </c>
      <c r="D2504" s="47" t="s">
        <v>10353</v>
      </c>
      <c r="E2504" s="47"/>
      <c r="F2504" s="47"/>
      <c r="G2504" s="47"/>
      <c r="H2504" s="47" t="s">
        <v>3605</v>
      </c>
      <c r="I2504" s="47" t="s">
        <v>10350</v>
      </c>
    </row>
    <row r="2505" spans="1:9" ht="15">
      <c r="A2505" s="47" t="s">
        <v>10354</v>
      </c>
      <c r="B2505" s="47" t="s">
        <v>10355</v>
      </c>
      <c r="C2505" s="47" t="s">
        <v>10356</v>
      </c>
      <c r="D2505" s="47" t="s">
        <v>10357</v>
      </c>
      <c r="E2505" s="47"/>
      <c r="F2505" s="47"/>
      <c r="G2505" s="47"/>
      <c r="H2505" s="47" t="s">
        <v>3605</v>
      </c>
      <c r="I2505" s="47" t="s">
        <v>10354</v>
      </c>
    </row>
    <row r="2506" spans="1:9" ht="15">
      <c r="A2506" s="47" t="s">
        <v>10358</v>
      </c>
      <c r="B2506" s="47" t="s">
        <v>10359</v>
      </c>
      <c r="C2506" s="47" t="s">
        <v>10360</v>
      </c>
      <c r="D2506" s="47" t="s">
        <v>10361</v>
      </c>
      <c r="E2506" s="47"/>
      <c r="F2506" s="47"/>
      <c r="G2506" s="47"/>
      <c r="H2506" s="47" t="s">
        <v>3605</v>
      </c>
      <c r="I2506" s="47" t="s">
        <v>10358</v>
      </c>
    </row>
    <row r="2507" spans="1:9" ht="15">
      <c r="A2507" s="47" t="s">
        <v>10362</v>
      </c>
      <c r="B2507" s="47" t="s">
        <v>10363</v>
      </c>
      <c r="C2507" s="47" t="s">
        <v>10364</v>
      </c>
      <c r="D2507" s="47" t="s">
        <v>10365</v>
      </c>
      <c r="E2507" s="47"/>
      <c r="F2507" s="47"/>
      <c r="G2507" s="47"/>
      <c r="H2507" s="47" t="s">
        <v>3605</v>
      </c>
      <c r="I2507" s="47" t="s">
        <v>10362</v>
      </c>
    </row>
    <row r="2508" spans="1:9" ht="15">
      <c r="A2508" s="47" t="s">
        <v>10366</v>
      </c>
      <c r="B2508" s="47" t="s">
        <v>10367</v>
      </c>
      <c r="C2508" s="47" t="s">
        <v>10368</v>
      </c>
      <c r="D2508" s="47" t="s">
        <v>10369</v>
      </c>
      <c r="E2508" s="47"/>
      <c r="F2508" s="47"/>
      <c r="G2508" s="47"/>
      <c r="H2508" s="47" t="s">
        <v>3605</v>
      </c>
      <c r="I2508" s="47" t="s">
        <v>10366</v>
      </c>
    </row>
    <row r="2509" spans="1:9" ht="15">
      <c r="A2509" s="47" t="s">
        <v>10370</v>
      </c>
      <c r="B2509" s="47" t="s">
        <v>10371</v>
      </c>
      <c r="C2509" s="47" t="s">
        <v>10372</v>
      </c>
      <c r="D2509" s="47" t="s">
        <v>10265</v>
      </c>
      <c r="E2509" s="47"/>
      <c r="F2509" s="47"/>
      <c r="G2509" s="47"/>
      <c r="H2509" s="47" t="s">
        <v>3605</v>
      </c>
      <c r="I2509" s="47" t="s">
        <v>10370</v>
      </c>
    </row>
    <row r="2510" spans="1:9" ht="15">
      <c r="A2510" s="47" t="s">
        <v>10373</v>
      </c>
      <c r="B2510" s="47" t="s">
        <v>10374</v>
      </c>
      <c r="C2510" s="47" t="s">
        <v>10375</v>
      </c>
      <c r="D2510" s="47" t="s">
        <v>10376</v>
      </c>
      <c r="E2510" s="47"/>
      <c r="F2510" s="47"/>
      <c r="G2510" s="47"/>
      <c r="H2510" s="47" t="s">
        <v>3605</v>
      </c>
      <c r="I2510" s="47" t="s">
        <v>10373</v>
      </c>
    </row>
    <row r="2511" spans="1:9" ht="15">
      <c r="A2511" s="47" t="s">
        <v>10377</v>
      </c>
      <c r="B2511" s="47" t="s">
        <v>10378</v>
      </c>
      <c r="C2511" s="47" t="s">
        <v>10379</v>
      </c>
      <c r="D2511" s="47" t="s">
        <v>10380</v>
      </c>
      <c r="E2511" s="47"/>
      <c r="F2511" s="47"/>
      <c r="G2511" s="47"/>
      <c r="H2511" s="47" t="s">
        <v>3605</v>
      </c>
      <c r="I2511" s="47" t="s">
        <v>10377</v>
      </c>
    </row>
    <row r="2512" spans="1:9" ht="15">
      <c r="A2512" s="47" t="s">
        <v>10381</v>
      </c>
      <c r="B2512" s="47" t="s">
        <v>10382</v>
      </c>
      <c r="C2512" s="47" t="s">
        <v>10383</v>
      </c>
      <c r="D2512" s="47" t="s">
        <v>10384</v>
      </c>
      <c r="E2512" s="47"/>
      <c r="F2512" s="47"/>
      <c r="G2512" s="47"/>
      <c r="H2512" s="47" t="s">
        <v>3605</v>
      </c>
      <c r="I2512" s="47" t="s">
        <v>10381</v>
      </c>
    </row>
    <row r="2513" spans="1:9" ht="15">
      <c r="A2513" s="47" t="s">
        <v>10385</v>
      </c>
      <c r="B2513" s="47" t="s">
        <v>10386</v>
      </c>
      <c r="C2513" s="47" t="s">
        <v>10387</v>
      </c>
      <c r="D2513" s="47" t="s">
        <v>9459</v>
      </c>
      <c r="E2513" s="47"/>
      <c r="F2513" s="47"/>
      <c r="G2513" s="47"/>
      <c r="H2513" s="47" t="s">
        <v>3605</v>
      </c>
      <c r="I2513" s="47" t="s">
        <v>10385</v>
      </c>
    </row>
    <row r="2514" spans="1:9" ht="15">
      <c r="A2514" s="47" t="s">
        <v>10388</v>
      </c>
      <c r="B2514" s="47" t="s">
        <v>10389</v>
      </c>
      <c r="C2514" s="47" t="s">
        <v>10390</v>
      </c>
      <c r="D2514" s="47" t="s">
        <v>10391</v>
      </c>
      <c r="E2514" s="47"/>
      <c r="F2514" s="47"/>
      <c r="G2514" s="47"/>
      <c r="H2514" s="47" t="s">
        <v>3605</v>
      </c>
      <c r="I2514" s="47" t="s">
        <v>10388</v>
      </c>
    </row>
    <row r="2515" spans="1:9" ht="15">
      <c r="A2515" s="47" t="s">
        <v>10392</v>
      </c>
      <c r="B2515" s="47" t="s">
        <v>10393</v>
      </c>
      <c r="C2515" s="47" t="s">
        <v>10394</v>
      </c>
      <c r="D2515" s="47" t="s">
        <v>10395</v>
      </c>
      <c r="E2515" s="47"/>
      <c r="F2515" s="47"/>
      <c r="G2515" s="47"/>
      <c r="H2515" s="47" t="s">
        <v>3605</v>
      </c>
      <c r="I2515" s="47" t="s">
        <v>10392</v>
      </c>
    </row>
    <row r="2516" spans="1:9" ht="15">
      <c r="A2516" s="47" t="s">
        <v>10396</v>
      </c>
      <c r="B2516" s="47" t="s">
        <v>10397</v>
      </c>
      <c r="C2516" s="47" t="s">
        <v>10398</v>
      </c>
      <c r="D2516" s="47" t="s">
        <v>10399</v>
      </c>
      <c r="E2516" s="47"/>
      <c r="F2516" s="47"/>
      <c r="G2516" s="47"/>
      <c r="H2516" s="47" t="s">
        <v>3605</v>
      </c>
      <c r="I2516" s="47" t="s">
        <v>10396</v>
      </c>
    </row>
    <row r="2517" spans="1:9" ht="15">
      <c r="A2517" s="47" t="s">
        <v>10400</v>
      </c>
      <c r="B2517" s="47" t="s">
        <v>10401</v>
      </c>
      <c r="C2517" s="47" t="s">
        <v>10402</v>
      </c>
      <c r="D2517" s="47" t="s">
        <v>10403</v>
      </c>
      <c r="E2517" s="47"/>
      <c r="F2517" s="47"/>
      <c r="G2517" s="47"/>
      <c r="H2517" s="47" t="s">
        <v>3605</v>
      </c>
      <c r="I2517" s="47" t="s">
        <v>10400</v>
      </c>
    </row>
    <row r="2518" spans="1:9" ht="15">
      <c r="A2518" s="47" t="s">
        <v>10404</v>
      </c>
      <c r="B2518" s="47" t="s">
        <v>10405</v>
      </c>
      <c r="C2518" s="47" t="s">
        <v>10406</v>
      </c>
      <c r="D2518" s="47" t="s">
        <v>10407</v>
      </c>
      <c r="E2518" s="47"/>
      <c r="F2518" s="47"/>
      <c r="G2518" s="47"/>
      <c r="H2518" s="47" t="s">
        <v>3605</v>
      </c>
      <c r="I2518" s="47" t="s">
        <v>10404</v>
      </c>
    </row>
    <row r="2519" spans="1:9" ht="15">
      <c r="A2519" s="47" t="s">
        <v>10408</v>
      </c>
      <c r="B2519" s="47" t="s">
        <v>10409</v>
      </c>
      <c r="C2519" s="47" t="s">
        <v>10410</v>
      </c>
      <c r="D2519" s="47" t="s">
        <v>10411</v>
      </c>
      <c r="E2519" s="47"/>
      <c r="F2519" s="47"/>
      <c r="G2519" s="47"/>
      <c r="H2519" s="47" t="s">
        <v>3605</v>
      </c>
      <c r="I2519" s="47" t="s">
        <v>10408</v>
      </c>
    </row>
    <row r="2520" spans="1:9" ht="15">
      <c r="A2520" s="47" t="s">
        <v>10412</v>
      </c>
      <c r="B2520" s="47" t="s">
        <v>10413</v>
      </c>
      <c r="C2520" s="47" t="s">
        <v>10414</v>
      </c>
      <c r="D2520" s="47" t="s">
        <v>10415</v>
      </c>
      <c r="E2520" s="47"/>
      <c r="F2520" s="47"/>
      <c r="G2520" s="47"/>
      <c r="H2520" s="47" t="s">
        <v>3605</v>
      </c>
      <c r="I2520" s="47" t="s">
        <v>10412</v>
      </c>
    </row>
    <row r="2521" spans="1:9" ht="15">
      <c r="A2521" s="47" t="s">
        <v>10416</v>
      </c>
      <c r="B2521" s="47" t="s">
        <v>10417</v>
      </c>
      <c r="C2521" s="47" t="s">
        <v>10418</v>
      </c>
      <c r="D2521" s="47" t="s">
        <v>10419</v>
      </c>
      <c r="E2521" s="47"/>
      <c r="F2521" s="47"/>
      <c r="G2521" s="47"/>
      <c r="H2521" s="47" t="s">
        <v>3605</v>
      </c>
      <c r="I2521" s="47" t="s">
        <v>10416</v>
      </c>
    </row>
    <row r="2522" spans="1:9" ht="15">
      <c r="A2522" s="47" t="s">
        <v>10420</v>
      </c>
      <c r="B2522" s="47" t="s">
        <v>10421</v>
      </c>
      <c r="C2522" s="47" t="s">
        <v>10422</v>
      </c>
      <c r="D2522" s="47" t="s">
        <v>10423</v>
      </c>
      <c r="E2522" s="47"/>
      <c r="F2522" s="47"/>
      <c r="G2522" s="47"/>
      <c r="H2522" s="47" t="s">
        <v>3605</v>
      </c>
      <c r="I2522" s="47" t="s">
        <v>10420</v>
      </c>
    </row>
    <row r="2523" spans="1:9" ht="15">
      <c r="A2523" s="47" t="s">
        <v>10424</v>
      </c>
      <c r="B2523" s="47" t="s">
        <v>10425</v>
      </c>
      <c r="C2523" s="47" t="s">
        <v>10426</v>
      </c>
      <c r="D2523" s="47" t="s">
        <v>10191</v>
      </c>
      <c r="E2523" s="47"/>
      <c r="F2523" s="47"/>
      <c r="G2523" s="47"/>
      <c r="H2523" s="47" t="s">
        <v>3605</v>
      </c>
      <c r="I2523" s="47" t="s">
        <v>10424</v>
      </c>
    </row>
    <row r="2524" spans="1:9" ht="15">
      <c r="A2524" s="47" t="s">
        <v>10427</v>
      </c>
      <c r="B2524" s="47" t="s">
        <v>10428</v>
      </c>
      <c r="C2524" s="47" t="s">
        <v>10429</v>
      </c>
      <c r="D2524" s="47" t="s">
        <v>10430</v>
      </c>
      <c r="E2524" s="47"/>
      <c r="F2524" s="47"/>
      <c r="G2524" s="47"/>
      <c r="H2524" s="47" t="s">
        <v>3605</v>
      </c>
      <c r="I2524" s="47" t="s">
        <v>10427</v>
      </c>
    </row>
    <row r="2525" spans="1:9" ht="15">
      <c r="A2525" s="47" t="s">
        <v>10431</v>
      </c>
      <c r="B2525" s="47" t="s">
        <v>10432</v>
      </c>
      <c r="C2525" s="47" t="s">
        <v>10433</v>
      </c>
      <c r="D2525" s="47" t="s">
        <v>10434</v>
      </c>
      <c r="E2525" s="47"/>
      <c r="F2525" s="47"/>
      <c r="G2525" s="47"/>
      <c r="H2525" s="47" t="s">
        <v>3605</v>
      </c>
      <c r="I2525" s="47" t="s">
        <v>10431</v>
      </c>
    </row>
    <row r="2526" spans="1:9" ht="15">
      <c r="A2526" s="47" t="s">
        <v>10435</v>
      </c>
      <c r="B2526" s="47" t="s">
        <v>10436</v>
      </c>
      <c r="C2526" s="47" t="s">
        <v>10437</v>
      </c>
      <c r="D2526" s="47" t="s">
        <v>10438</v>
      </c>
      <c r="E2526" s="47"/>
      <c r="F2526" s="47"/>
      <c r="G2526" s="47"/>
      <c r="H2526" s="47" t="s">
        <v>3605</v>
      </c>
      <c r="I2526" s="47" t="s">
        <v>10435</v>
      </c>
    </row>
    <row r="2527" spans="1:9" ht="15">
      <c r="A2527" s="47" t="s">
        <v>10439</v>
      </c>
      <c r="B2527" s="47" t="s">
        <v>10440</v>
      </c>
      <c r="C2527" s="47" t="s">
        <v>10441</v>
      </c>
      <c r="D2527" s="47" t="s">
        <v>10442</v>
      </c>
      <c r="E2527" s="47"/>
      <c r="F2527" s="47"/>
      <c r="G2527" s="47"/>
      <c r="H2527" s="47" t="s">
        <v>3605</v>
      </c>
      <c r="I2527" s="47" t="s">
        <v>10439</v>
      </c>
    </row>
    <row r="2528" spans="1:9" ht="15">
      <c r="A2528" s="47" t="s">
        <v>10443</v>
      </c>
      <c r="B2528" s="47" t="s">
        <v>10444</v>
      </c>
      <c r="C2528" s="47" t="s">
        <v>10445</v>
      </c>
      <c r="D2528" s="47" t="s">
        <v>10446</v>
      </c>
      <c r="E2528" s="47"/>
      <c r="F2528" s="47"/>
      <c r="G2528" s="47"/>
      <c r="H2528" s="47" t="s">
        <v>3605</v>
      </c>
      <c r="I2528" s="47" t="s">
        <v>10443</v>
      </c>
    </row>
    <row r="2529" spans="1:9" ht="15">
      <c r="A2529" s="47" t="s">
        <v>10447</v>
      </c>
      <c r="B2529" s="47" t="s">
        <v>10448</v>
      </c>
      <c r="C2529" s="47" t="s">
        <v>10449</v>
      </c>
      <c r="D2529" s="47" t="s">
        <v>10450</v>
      </c>
      <c r="E2529" s="47"/>
      <c r="F2529" s="47"/>
      <c r="G2529" s="47"/>
      <c r="H2529" s="47" t="s">
        <v>3605</v>
      </c>
      <c r="I2529" s="47" t="s">
        <v>10447</v>
      </c>
    </row>
    <row r="2530" spans="1:9" ht="15">
      <c r="A2530" s="47" t="s">
        <v>10451</v>
      </c>
      <c r="B2530" s="47" t="s">
        <v>10452</v>
      </c>
      <c r="C2530" s="47" t="s">
        <v>10453</v>
      </c>
      <c r="D2530" s="47" t="s">
        <v>10454</v>
      </c>
      <c r="E2530" s="47"/>
      <c r="F2530" s="47"/>
      <c r="G2530" s="47"/>
      <c r="H2530" s="47" t="s">
        <v>3605</v>
      </c>
      <c r="I2530" s="47" t="s">
        <v>10451</v>
      </c>
    </row>
    <row r="2531" spans="1:9" ht="15">
      <c r="A2531" s="47" t="s">
        <v>10455</v>
      </c>
      <c r="B2531" s="47" t="s">
        <v>10456</v>
      </c>
      <c r="C2531" s="47" t="s">
        <v>10457</v>
      </c>
      <c r="D2531" s="47" t="s">
        <v>10345</v>
      </c>
      <c r="E2531" s="47"/>
      <c r="F2531" s="47"/>
      <c r="G2531" s="47"/>
      <c r="H2531" s="47" t="s">
        <v>3605</v>
      </c>
      <c r="I2531" s="47" t="s">
        <v>10455</v>
      </c>
    </row>
    <row r="2532" spans="1:9" ht="15">
      <c r="A2532" s="47" t="s">
        <v>10458</v>
      </c>
      <c r="B2532" s="47" t="s">
        <v>10459</v>
      </c>
      <c r="C2532" s="47" t="s">
        <v>10460</v>
      </c>
      <c r="D2532" s="47" t="s">
        <v>10349</v>
      </c>
      <c r="E2532" s="47"/>
      <c r="F2532" s="47"/>
      <c r="G2532" s="47"/>
      <c r="H2532" s="47" t="s">
        <v>3605</v>
      </c>
      <c r="I2532" s="47" t="s">
        <v>10458</v>
      </c>
    </row>
    <row r="2533" spans="1:9" ht="15">
      <c r="A2533" s="47" t="s">
        <v>10461</v>
      </c>
      <c r="B2533" s="47" t="s">
        <v>10462</v>
      </c>
      <c r="C2533" s="47" t="s">
        <v>10463</v>
      </c>
      <c r="D2533" s="47" t="s">
        <v>10464</v>
      </c>
      <c r="E2533" s="47"/>
      <c r="F2533" s="47"/>
      <c r="G2533" s="47"/>
      <c r="H2533" s="47" t="s">
        <v>3605</v>
      </c>
      <c r="I2533" s="47" t="s">
        <v>10461</v>
      </c>
    </row>
    <row r="2534" spans="1:9" ht="15">
      <c r="A2534" s="47" t="s">
        <v>10465</v>
      </c>
      <c r="B2534" s="47" t="s">
        <v>10466</v>
      </c>
      <c r="C2534" s="47" t="s">
        <v>10467</v>
      </c>
      <c r="D2534" s="47" t="s">
        <v>10468</v>
      </c>
      <c r="E2534" s="47"/>
      <c r="F2534" s="47"/>
      <c r="G2534" s="47"/>
      <c r="H2534" s="47" t="s">
        <v>3605</v>
      </c>
      <c r="I2534" s="47" t="s">
        <v>10465</v>
      </c>
    </row>
    <row r="2535" spans="1:9" ht="15">
      <c r="A2535" s="47">
        <v>7701</v>
      </c>
      <c r="B2535" s="47" t="s">
        <v>10469</v>
      </c>
      <c r="C2535" s="47" t="s">
        <v>10470</v>
      </c>
      <c r="D2535" s="47" t="s">
        <v>10471</v>
      </c>
      <c r="E2535" s="47"/>
      <c r="F2535" s="47"/>
      <c r="G2535" s="47"/>
      <c r="H2535" s="47" t="s">
        <v>3605</v>
      </c>
      <c r="I2535" s="47" t="s">
        <v>19524</v>
      </c>
    </row>
    <row r="2536" spans="1:9" ht="15">
      <c r="A2536" s="47">
        <v>7702</v>
      </c>
      <c r="B2536" s="47" t="s">
        <v>10472</v>
      </c>
      <c r="C2536" s="47" t="s">
        <v>10473</v>
      </c>
      <c r="D2536" s="47" t="s">
        <v>10474</v>
      </c>
      <c r="E2536" s="47"/>
      <c r="F2536" s="47"/>
      <c r="G2536" s="47"/>
      <c r="H2536" s="47" t="s">
        <v>3605</v>
      </c>
      <c r="I2536" s="47" t="s">
        <v>19525</v>
      </c>
    </row>
    <row r="2537" spans="1:9" ht="15">
      <c r="A2537" s="47" t="s">
        <v>10475</v>
      </c>
      <c r="B2537" s="47" t="s">
        <v>10476</v>
      </c>
      <c r="C2537" s="47" t="s">
        <v>10477</v>
      </c>
      <c r="D2537" s="47" t="s">
        <v>10478</v>
      </c>
      <c r="E2537" s="47"/>
      <c r="F2537" s="47"/>
      <c r="G2537" s="47"/>
      <c r="H2537" s="47" t="s">
        <v>3605</v>
      </c>
      <c r="I2537" s="47" t="s">
        <v>10475</v>
      </c>
    </row>
    <row r="2538" spans="1:9" ht="15">
      <c r="A2538" s="47" t="s">
        <v>10479</v>
      </c>
      <c r="B2538" s="47" t="s">
        <v>10480</v>
      </c>
      <c r="C2538" s="47" t="s">
        <v>10481</v>
      </c>
      <c r="D2538" s="47" t="s">
        <v>10482</v>
      </c>
      <c r="E2538" s="47"/>
      <c r="F2538" s="47"/>
      <c r="G2538" s="47"/>
      <c r="H2538" s="47" t="s">
        <v>3605</v>
      </c>
      <c r="I2538" s="47" t="s">
        <v>10479</v>
      </c>
    </row>
    <row r="2539" spans="1:9" ht="15">
      <c r="A2539" s="47" t="s">
        <v>10483</v>
      </c>
      <c r="B2539" s="47" t="s">
        <v>10484</v>
      </c>
      <c r="C2539" s="47" t="s">
        <v>10485</v>
      </c>
      <c r="D2539" s="47" t="s">
        <v>10486</v>
      </c>
      <c r="E2539" s="47"/>
      <c r="F2539" s="47"/>
      <c r="G2539" s="47"/>
      <c r="H2539" s="47" t="s">
        <v>3605</v>
      </c>
      <c r="I2539" s="47" t="s">
        <v>10483</v>
      </c>
    </row>
    <row r="2540" spans="1:9" ht="15">
      <c r="A2540" s="47" t="s">
        <v>10487</v>
      </c>
      <c r="B2540" s="47" t="s">
        <v>10488</v>
      </c>
      <c r="C2540" s="47" t="s">
        <v>10489</v>
      </c>
      <c r="D2540" s="47" t="s">
        <v>10490</v>
      </c>
      <c r="E2540" s="47"/>
      <c r="F2540" s="47"/>
      <c r="G2540" s="47"/>
      <c r="H2540" s="47" t="s">
        <v>3605</v>
      </c>
      <c r="I2540" s="47" t="s">
        <v>10487</v>
      </c>
    </row>
    <row r="2541" spans="1:9" ht="15">
      <c r="A2541" s="47" t="s">
        <v>10491</v>
      </c>
      <c r="B2541" s="47" t="s">
        <v>10492</v>
      </c>
      <c r="C2541" s="47" t="s">
        <v>10493</v>
      </c>
      <c r="D2541" s="47" t="s">
        <v>10494</v>
      </c>
      <c r="E2541" s="47"/>
      <c r="F2541" s="47"/>
      <c r="G2541" s="47"/>
      <c r="H2541" s="47" t="s">
        <v>3605</v>
      </c>
      <c r="I2541" s="47" t="s">
        <v>10491</v>
      </c>
    </row>
    <row r="2542" spans="1:9" ht="15">
      <c r="A2542" s="47" t="s">
        <v>10495</v>
      </c>
      <c r="B2542" s="47" t="s">
        <v>10496</v>
      </c>
      <c r="C2542" s="47" t="s">
        <v>10497</v>
      </c>
      <c r="D2542" s="47" t="s">
        <v>10498</v>
      </c>
      <c r="E2542" s="47"/>
      <c r="F2542" s="47"/>
      <c r="G2542" s="47"/>
      <c r="H2542" s="47" t="s">
        <v>3605</v>
      </c>
      <c r="I2542" s="47" t="s">
        <v>10495</v>
      </c>
    </row>
    <row r="2543" spans="1:9" ht="15">
      <c r="A2543" s="47" t="s">
        <v>10499</v>
      </c>
      <c r="B2543" s="47" t="s">
        <v>10500</v>
      </c>
      <c r="C2543" s="47" t="s">
        <v>10501</v>
      </c>
      <c r="D2543" s="47" t="s">
        <v>10502</v>
      </c>
      <c r="E2543" s="47"/>
      <c r="F2543" s="47"/>
      <c r="G2543" s="47"/>
      <c r="H2543" s="47" t="s">
        <v>3605</v>
      </c>
      <c r="I2543" s="47" t="s">
        <v>10499</v>
      </c>
    </row>
    <row r="2544" spans="1:9" ht="15">
      <c r="A2544" s="47">
        <v>7444</v>
      </c>
      <c r="B2544" s="47" t="s">
        <v>10503</v>
      </c>
      <c r="C2544" s="47" t="s">
        <v>10504</v>
      </c>
      <c r="D2544" s="47" t="s">
        <v>10505</v>
      </c>
      <c r="E2544" s="47"/>
      <c r="F2544" s="47"/>
      <c r="G2544" s="47"/>
      <c r="H2544" s="47" t="s">
        <v>3605</v>
      </c>
      <c r="I2544" s="47" t="s">
        <v>19526</v>
      </c>
    </row>
    <row r="2545" spans="1:9" ht="15">
      <c r="A2545" s="47">
        <v>7464</v>
      </c>
      <c r="B2545" s="47" t="s">
        <v>10506</v>
      </c>
      <c r="C2545" s="47" t="s">
        <v>10507</v>
      </c>
      <c r="D2545" s="47" t="s">
        <v>10508</v>
      </c>
      <c r="E2545" s="47"/>
      <c r="F2545" s="47"/>
      <c r="G2545" s="47"/>
      <c r="H2545" s="47" t="s">
        <v>3605</v>
      </c>
      <c r="I2545" s="47" t="s">
        <v>19527</v>
      </c>
    </row>
    <row r="2546" spans="1:9" ht="15">
      <c r="A2546" s="47">
        <v>7700</v>
      </c>
      <c r="B2546" s="47" t="s">
        <v>10509</v>
      </c>
      <c r="C2546" s="47" t="s">
        <v>10510</v>
      </c>
      <c r="D2546" s="47" t="s">
        <v>10511</v>
      </c>
      <c r="E2546" s="47"/>
      <c r="F2546" s="47" t="s">
        <v>3603</v>
      </c>
      <c r="G2546" s="47" t="s">
        <v>3604</v>
      </c>
      <c r="H2546" s="47" t="s">
        <v>3605</v>
      </c>
      <c r="I2546" s="47" t="s">
        <v>19528</v>
      </c>
    </row>
    <row r="2547" spans="1:9" ht="15">
      <c r="A2547" s="47">
        <v>7170</v>
      </c>
      <c r="B2547" s="47" t="s">
        <v>10512</v>
      </c>
      <c r="C2547" s="47" t="s">
        <v>10513</v>
      </c>
      <c r="D2547" s="47" t="s">
        <v>10514</v>
      </c>
      <c r="E2547" s="47"/>
      <c r="F2547" s="47"/>
      <c r="G2547" s="47"/>
      <c r="H2547" s="47" t="s">
        <v>3605</v>
      </c>
      <c r="I2547" s="47" t="s">
        <v>19529</v>
      </c>
    </row>
    <row r="2548" spans="1:9" ht="15">
      <c r="A2548" s="47" t="s">
        <v>10515</v>
      </c>
      <c r="B2548" s="47" t="s">
        <v>10516</v>
      </c>
      <c r="C2548" s="47" t="s">
        <v>10517</v>
      </c>
      <c r="D2548" s="47" t="s">
        <v>10518</v>
      </c>
      <c r="E2548" s="47"/>
      <c r="F2548" s="47"/>
      <c r="G2548" s="47"/>
      <c r="H2548" s="47" t="s">
        <v>3605</v>
      </c>
      <c r="I2548" s="47" t="s">
        <v>10515</v>
      </c>
    </row>
    <row r="2549" spans="1:9" ht="15">
      <c r="A2549" s="47" t="s">
        <v>10519</v>
      </c>
      <c r="B2549" s="47" t="s">
        <v>10520</v>
      </c>
      <c r="C2549" s="47" t="s">
        <v>10521</v>
      </c>
      <c r="D2549" s="47" t="s">
        <v>10522</v>
      </c>
      <c r="E2549" s="47"/>
      <c r="F2549" s="47"/>
      <c r="G2549" s="47"/>
      <c r="H2549" s="47" t="s">
        <v>3605</v>
      </c>
      <c r="I2549" s="47" t="s">
        <v>10519</v>
      </c>
    </row>
    <row r="2550" spans="1:9" ht="15">
      <c r="A2550" s="47" t="s">
        <v>10523</v>
      </c>
      <c r="B2550" s="47" t="s">
        <v>10524</v>
      </c>
      <c r="C2550" s="47" t="s">
        <v>10525</v>
      </c>
      <c r="D2550" s="47" t="s">
        <v>10526</v>
      </c>
      <c r="E2550" s="47"/>
      <c r="F2550" s="47"/>
      <c r="G2550" s="47"/>
      <c r="H2550" s="47" t="s">
        <v>3605</v>
      </c>
      <c r="I2550" s="47" t="s">
        <v>10523</v>
      </c>
    </row>
    <row r="2551" spans="1:9" ht="15">
      <c r="A2551" s="47" t="s">
        <v>10527</v>
      </c>
      <c r="B2551" s="47" t="s">
        <v>10528</v>
      </c>
      <c r="C2551" s="47" t="s">
        <v>10529</v>
      </c>
      <c r="D2551" s="47" t="s">
        <v>10530</v>
      </c>
      <c r="E2551" s="47"/>
      <c r="F2551" s="47"/>
      <c r="G2551" s="47"/>
      <c r="H2551" s="47" t="s">
        <v>3605</v>
      </c>
      <c r="I2551" s="47" t="s">
        <v>10527</v>
      </c>
    </row>
    <row r="2552" spans="1:9" ht="15">
      <c r="A2552" s="47">
        <v>7001</v>
      </c>
      <c r="B2552" s="47" t="s">
        <v>10531</v>
      </c>
      <c r="C2552" s="47" t="s">
        <v>10532</v>
      </c>
      <c r="D2552" s="47" t="s">
        <v>10533</v>
      </c>
      <c r="E2552" s="47"/>
      <c r="F2552" s="47"/>
      <c r="G2552" s="47"/>
      <c r="H2552" s="47" t="s">
        <v>3605</v>
      </c>
      <c r="I2552" s="47" t="s">
        <v>19530</v>
      </c>
    </row>
    <row r="2553" spans="1:9" ht="15">
      <c r="A2553" s="47">
        <v>7003</v>
      </c>
      <c r="B2553" s="47" t="s">
        <v>10534</v>
      </c>
      <c r="C2553" s="47" t="s">
        <v>10535</v>
      </c>
      <c r="D2553" s="47" t="s">
        <v>10536</v>
      </c>
      <c r="E2553" s="47"/>
      <c r="F2553" s="47"/>
      <c r="G2553" s="47"/>
      <c r="H2553" s="47" t="s">
        <v>3605</v>
      </c>
      <c r="I2553" s="47" t="s">
        <v>19531</v>
      </c>
    </row>
    <row r="2554" spans="1:9" ht="15">
      <c r="A2554" s="47">
        <v>7004</v>
      </c>
      <c r="B2554" s="47" t="s">
        <v>10537</v>
      </c>
      <c r="C2554" s="47" t="s">
        <v>10538</v>
      </c>
      <c r="D2554" s="47" t="s">
        <v>10539</v>
      </c>
      <c r="E2554" s="47"/>
      <c r="F2554" s="47"/>
      <c r="G2554" s="47"/>
      <c r="H2554" s="47" t="s">
        <v>3605</v>
      </c>
      <c r="I2554" s="47" t="s">
        <v>19532</v>
      </c>
    </row>
    <row r="2555" spans="1:9" ht="15">
      <c r="A2555" s="47">
        <v>7006</v>
      </c>
      <c r="B2555" s="47" t="s">
        <v>10540</v>
      </c>
      <c r="C2555" s="47" t="s">
        <v>10541</v>
      </c>
      <c r="D2555" s="47" t="s">
        <v>10542</v>
      </c>
      <c r="E2555" s="47"/>
      <c r="F2555" s="47"/>
      <c r="G2555" s="47"/>
      <c r="H2555" s="47" t="s">
        <v>3605</v>
      </c>
      <c r="I2555" s="47" t="s">
        <v>19533</v>
      </c>
    </row>
    <row r="2556" spans="1:9" ht="15">
      <c r="A2556" s="47">
        <v>7022</v>
      </c>
      <c r="B2556" s="47" t="s">
        <v>10543</v>
      </c>
      <c r="C2556" s="47" t="s">
        <v>10544</v>
      </c>
      <c r="D2556" s="47" t="s">
        <v>10545</v>
      </c>
      <c r="E2556" s="47"/>
      <c r="F2556" s="47"/>
      <c r="G2556" s="47"/>
      <c r="H2556" s="47" t="s">
        <v>3605</v>
      </c>
      <c r="I2556" s="47" t="s">
        <v>19534</v>
      </c>
    </row>
    <row r="2557" spans="1:9" ht="15">
      <c r="A2557" s="47">
        <v>7032</v>
      </c>
      <c r="B2557" s="47" t="s">
        <v>10546</v>
      </c>
      <c r="C2557" s="47" t="s">
        <v>10547</v>
      </c>
      <c r="D2557" s="47" t="s">
        <v>10548</v>
      </c>
      <c r="E2557" s="47"/>
      <c r="F2557" s="47"/>
      <c r="G2557" s="47"/>
      <c r="H2557" s="47" t="s">
        <v>3605</v>
      </c>
      <c r="I2557" s="47" t="s">
        <v>19535</v>
      </c>
    </row>
    <row r="2558" spans="1:9" ht="15">
      <c r="A2558" s="47" t="s">
        <v>10549</v>
      </c>
      <c r="B2558" s="47" t="s">
        <v>10550</v>
      </c>
      <c r="C2558" s="47" t="s">
        <v>10551</v>
      </c>
      <c r="D2558" s="47" t="s">
        <v>10552</v>
      </c>
      <c r="E2558" s="47"/>
      <c r="F2558" s="47"/>
      <c r="G2558" s="47"/>
      <c r="H2558" s="47" t="s">
        <v>3605</v>
      </c>
      <c r="I2558" s="47" t="s">
        <v>10549</v>
      </c>
    </row>
    <row r="2559" spans="1:9" ht="15">
      <c r="A2559" s="47">
        <v>17911</v>
      </c>
      <c r="B2559" s="47" t="s">
        <v>10553</v>
      </c>
      <c r="C2559" s="47" t="s">
        <v>10554</v>
      </c>
      <c r="D2559" s="47" t="s">
        <v>10555</v>
      </c>
      <c r="E2559" s="47"/>
      <c r="F2559" s="47"/>
      <c r="G2559" s="47"/>
      <c r="H2559" s="47" t="s">
        <v>3605</v>
      </c>
      <c r="I2559" s="47" t="s">
        <v>19536</v>
      </c>
    </row>
    <row r="2560" spans="1:9" ht="15">
      <c r="A2560" s="47">
        <v>17912</v>
      </c>
      <c r="B2560" s="47" t="s">
        <v>10556</v>
      </c>
      <c r="C2560" s="47" t="s">
        <v>10557</v>
      </c>
      <c r="D2560" s="47" t="s">
        <v>10558</v>
      </c>
      <c r="E2560" s="47"/>
      <c r="F2560" s="47"/>
      <c r="G2560" s="47"/>
      <c r="H2560" s="47" t="s">
        <v>3605</v>
      </c>
      <c r="I2560" s="47" t="s">
        <v>19537</v>
      </c>
    </row>
    <row r="2561" spans="1:9" ht="15">
      <c r="A2561" s="47">
        <v>17913</v>
      </c>
      <c r="B2561" s="47" t="s">
        <v>10559</v>
      </c>
      <c r="C2561" s="47" t="s">
        <v>10560</v>
      </c>
      <c r="D2561" s="47" t="s">
        <v>10561</v>
      </c>
      <c r="E2561" s="47"/>
      <c r="F2561" s="47"/>
      <c r="G2561" s="47"/>
      <c r="H2561" s="47" t="s">
        <v>3605</v>
      </c>
      <c r="I2561" s="47" t="s">
        <v>19538</v>
      </c>
    </row>
    <row r="2562" spans="1:9" ht="15">
      <c r="A2562" s="47">
        <v>17914</v>
      </c>
      <c r="B2562" s="47" t="s">
        <v>10562</v>
      </c>
      <c r="C2562" s="47" t="s">
        <v>10563</v>
      </c>
      <c r="D2562" s="47" t="s">
        <v>10564</v>
      </c>
      <c r="E2562" s="47"/>
      <c r="F2562" s="47"/>
      <c r="G2562" s="47"/>
      <c r="H2562" s="47" t="s">
        <v>3605</v>
      </c>
      <c r="I2562" s="47" t="s">
        <v>19539</v>
      </c>
    </row>
    <row r="2563" spans="1:9" ht="15">
      <c r="A2563" s="47">
        <v>7227</v>
      </c>
      <c r="B2563" s="47" t="s">
        <v>10565</v>
      </c>
      <c r="C2563" s="47" t="s">
        <v>10566</v>
      </c>
      <c r="D2563" s="47" t="s">
        <v>10567</v>
      </c>
      <c r="E2563" s="47"/>
      <c r="F2563" s="47"/>
      <c r="G2563" s="47"/>
      <c r="H2563" s="47" t="s">
        <v>3605</v>
      </c>
      <c r="I2563" s="47" t="s">
        <v>19540</v>
      </c>
    </row>
    <row r="2564" spans="1:9" ht="15">
      <c r="A2564" s="47">
        <v>10143</v>
      </c>
      <c r="B2564" s="47" t="s">
        <v>10568</v>
      </c>
      <c r="C2564" s="47" t="s">
        <v>10569</v>
      </c>
      <c r="D2564" s="47" t="s">
        <v>10570</v>
      </c>
      <c r="E2564" s="47"/>
      <c r="F2564" s="47"/>
      <c r="G2564" s="47"/>
      <c r="H2564" s="47" t="s">
        <v>3605</v>
      </c>
      <c r="I2564" s="47" t="s">
        <v>19541</v>
      </c>
    </row>
    <row r="2565" spans="1:9" ht="15">
      <c r="A2565" s="47">
        <v>11602</v>
      </c>
      <c r="B2565" s="47" t="s">
        <v>10571</v>
      </c>
      <c r="C2565" s="47" t="s">
        <v>10572</v>
      </c>
      <c r="D2565" s="47" t="s">
        <v>10573</v>
      </c>
      <c r="E2565" s="47"/>
      <c r="F2565" s="47"/>
      <c r="G2565" s="47"/>
      <c r="H2565" s="47" t="s">
        <v>3605</v>
      </c>
      <c r="I2565" s="47" t="s">
        <v>19542</v>
      </c>
    </row>
    <row r="2566" spans="1:9" ht="15">
      <c r="A2566" s="47">
        <v>11904</v>
      </c>
      <c r="B2566" s="47" t="s">
        <v>10574</v>
      </c>
      <c r="C2566" s="47" t="s">
        <v>10575</v>
      </c>
      <c r="D2566" s="47" t="s">
        <v>10576</v>
      </c>
      <c r="E2566" s="47"/>
      <c r="F2566" s="47"/>
      <c r="G2566" s="47"/>
      <c r="H2566" s="47" t="s">
        <v>3605</v>
      </c>
      <c r="I2566" s="47" t="s">
        <v>19543</v>
      </c>
    </row>
    <row r="2567" spans="1:9" ht="15">
      <c r="A2567" s="47" t="s">
        <v>3485</v>
      </c>
      <c r="B2567" s="47" t="s">
        <v>10577</v>
      </c>
      <c r="C2567" s="47" t="s">
        <v>10578</v>
      </c>
      <c r="D2567" s="47" t="s">
        <v>10579</v>
      </c>
      <c r="E2567" s="47"/>
      <c r="F2567" s="47"/>
      <c r="G2567" s="47"/>
      <c r="H2567" s="47" t="s">
        <v>3605</v>
      </c>
      <c r="I2567" s="47" t="s">
        <v>3485</v>
      </c>
    </row>
    <row r="2568" spans="1:9" ht="15">
      <c r="A2568" s="47">
        <v>11912</v>
      </c>
      <c r="B2568" s="47" t="s">
        <v>10580</v>
      </c>
      <c r="C2568" s="47" t="s">
        <v>10581</v>
      </c>
      <c r="D2568" s="47" t="s">
        <v>10582</v>
      </c>
      <c r="E2568" s="47"/>
      <c r="F2568" s="47"/>
      <c r="G2568" s="47"/>
      <c r="H2568" s="47" t="s">
        <v>3605</v>
      </c>
      <c r="I2568" s="47" t="s">
        <v>19544</v>
      </c>
    </row>
    <row r="2569" spans="1:9" ht="15">
      <c r="A2569" s="47" t="s">
        <v>3489</v>
      </c>
      <c r="B2569" s="47" t="s">
        <v>10583</v>
      </c>
      <c r="C2569" s="47" t="s">
        <v>10584</v>
      </c>
      <c r="D2569" s="47" t="s">
        <v>10585</v>
      </c>
      <c r="E2569" s="47"/>
      <c r="F2569" s="47"/>
      <c r="G2569" s="47"/>
      <c r="H2569" s="47" t="s">
        <v>3605</v>
      </c>
      <c r="I2569" s="47" t="s">
        <v>3489</v>
      </c>
    </row>
    <row r="2570" spans="1:9" ht="15">
      <c r="A2570" s="47">
        <v>11913</v>
      </c>
      <c r="B2570" s="47" t="s">
        <v>10586</v>
      </c>
      <c r="C2570" s="47" t="s">
        <v>10587</v>
      </c>
      <c r="D2570" s="47" t="s">
        <v>10588</v>
      </c>
      <c r="E2570" s="47"/>
      <c r="F2570" s="47"/>
      <c r="G2570" s="47"/>
      <c r="H2570" s="47" t="s">
        <v>3605</v>
      </c>
      <c r="I2570" s="47" t="s">
        <v>19545</v>
      </c>
    </row>
    <row r="2571" spans="1:9" ht="15">
      <c r="A2571" s="47">
        <v>11914</v>
      </c>
      <c r="B2571" s="47" t="s">
        <v>10589</v>
      </c>
      <c r="C2571" s="47" t="s">
        <v>10590</v>
      </c>
      <c r="D2571" s="47" t="s">
        <v>10591</v>
      </c>
      <c r="E2571" s="47"/>
      <c r="F2571" s="47"/>
      <c r="G2571" s="47"/>
      <c r="H2571" s="47" t="s">
        <v>3605</v>
      </c>
      <c r="I2571" s="47" t="s">
        <v>19546</v>
      </c>
    </row>
    <row r="2572" spans="1:9" ht="15">
      <c r="A2572" s="47" t="s">
        <v>3493</v>
      </c>
      <c r="B2572" s="47" t="s">
        <v>10592</v>
      </c>
      <c r="C2572" s="47" t="s">
        <v>10593</v>
      </c>
      <c r="D2572" s="47" t="s">
        <v>10594</v>
      </c>
      <c r="E2572" s="47"/>
      <c r="F2572" s="47"/>
      <c r="G2572" s="47"/>
      <c r="H2572" s="47" t="s">
        <v>3605</v>
      </c>
      <c r="I2572" s="47" t="s">
        <v>3493</v>
      </c>
    </row>
    <row r="2573" spans="1:9" ht="15">
      <c r="A2573" s="47" t="s">
        <v>10595</v>
      </c>
      <c r="B2573" s="47" t="s">
        <v>10596</v>
      </c>
      <c r="C2573" s="47" t="s">
        <v>10597</v>
      </c>
      <c r="D2573" s="47" t="s">
        <v>10598</v>
      </c>
      <c r="E2573" s="47"/>
      <c r="F2573" s="47"/>
      <c r="G2573" s="47"/>
      <c r="H2573" s="47" t="s">
        <v>3605</v>
      </c>
      <c r="I2573" s="47" t="s">
        <v>10595</v>
      </c>
    </row>
    <row r="2574" spans="1:9" ht="15">
      <c r="A2574" s="47" t="s">
        <v>10599</v>
      </c>
      <c r="B2574" s="47" t="s">
        <v>10600</v>
      </c>
      <c r="C2574" s="47" t="s">
        <v>10601</v>
      </c>
      <c r="D2574" s="47" t="s">
        <v>10602</v>
      </c>
      <c r="E2574" s="47"/>
      <c r="F2574" s="47"/>
      <c r="G2574" s="47"/>
      <c r="H2574" s="47" t="s">
        <v>3605</v>
      </c>
      <c r="I2574" s="47" t="s">
        <v>10599</v>
      </c>
    </row>
    <row r="2575" spans="1:9" ht="15">
      <c r="A2575" s="47">
        <v>11916</v>
      </c>
      <c r="B2575" s="47" t="s">
        <v>10603</v>
      </c>
      <c r="C2575" s="47" t="s">
        <v>10604</v>
      </c>
      <c r="D2575" s="47" t="s">
        <v>10605</v>
      </c>
      <c r="E2575" s="47"/>
      <c r="F2575" s="47"/>
      <c r="G2575" s="47"/>
      <c r="H2575" s="47" t="s">
        <v>3605</v>
      </c>
      <c r="I2575" s="47" t="s">
        <v>19547</v>
      </c>
    </row>
    <row r="2576" spans="1:9" ht="15">
      <c r="A2576" s="47">
        <v>11917</v>
      </c>
      <c r="B2576" s="47" t="s">
        <v>10606</v>
      </c>
      <c r="C2576" s="47" t="s">
        <v>10607</v>
      </c>
      <c r="D2576" s="47" t="s">
        <v>10608</v>
      </c>
      <c r="E2576" s="47"/>
      <c r="F2576" s="47"/>
      <c r="G2576" s="47"/>
      <c r="H2576" s="47" t="s">
        <v>3605</v>
      </c>
      <c r="I2576" s="47" t="s">
        <v>19548</v>
      </c>
    </row>
    <row r="2577" spans="1:9" ht="15">
      <c r="A2577" s="47" t="s">
        <v>3500</v>
      </c>
      <c r="B2577" s="47" t="s">
        <v>10609</v>
      </c>
      <c r="C2577" s="47" t="s">
        <v>10610</v>
      </c>
      <c r="D2577" s="47" t="s">
        <v>10611</v>
      </c>
      <c r="E2577" s="47"/>
      <c r="F2577" s="47"/>
      <c r="G2577" s="47"/>
      <c r="H2577" s="47" t="s">
        <v>3605</v>
      </c>
      <c r="I2577" s="47" t="s">
        <v>3500</v>
      </c>
    </row>
    <row r="2578" spans="1:9" ht="15">
      <c r="A2578" s="47">
        <v>11918</v>
      </c>
      <c r="B2578" s="47" t="s">
        <v>10612</v>
      </c>
      <c r="C2578" s="47" t="s">
        <v>10613</v>
      </c>
      <c r="D2578" s="47" t="s">
        <v>10614</v>
      </c>
      <c r="E2578" s="47"/>
      <c r="F2578" s="47"/>
      <c r="G2578" s="47"/>
      <c r="H2578" s="47" t="s">
        <v>3605</v>
      </c>
      <c r="I2578" s="47" t="s">
        <v>19549</v>
      </c>
    </row>
    <row r="2579" spans="1:9" ht="15">
      <c r="A2579" s="47" t="s">
        <v>3503</v>
      </c>
      <c r="B2579" s="47" t="s">
        <v>10615</v>
      </c>
      <c r="C2579" s="47" t="s">
        <v>10616</v>
      </c>
      <c r="D2579" s="47" t="s">
        <v>10617</v>
      </c>
      <c r="E2579" s="47"/>
      <c r="F2579" s="47"/>
      <c r="G2579" s="47"/>
      <c r="H2579" s="47" t="s">
        <v>3605</v>
      </c>
      <c r="I2579" s="47" t="s">
        <v>3503</v>
      </c>
    </row>
    <row r="2580" spans="1:9" ht="15">
      <c r="A2580" s="47">
        <v>11919</v>
      </c>
      <c r="B2580" s="47" t="s">
        <v>10618</v>
      </c>
      <c r="C2580" s="47" t="s">
        <v>10619</v>
      </c>
      <c r="D2580" s="47" t="s">
        <v>10620</v>
      </c>
      <c r="E2580" s="47"/>
      <c r="F2580" s="47"/>
      <c r="G2580" s="47"/>
      <c r="H2580" s="47" t="s">
        <v>3605</v>
      </c>
      <c r="I2580" s="47" t="s">
        <v>19550</v>
      </c>
    </row>
    <row r="2581" spans="1:9" ht="15">
      <c r="A2581" s="47" t="s">
        <v>3506</v>
      </c>
      <c r="B2581" s="47" t="s">
        <v>10621</v>
      </c>
      <c r="C2581" s="47" t="s">
        <v>10622</v>
      </c>
      <c r="D2581" s="47" t="s">
        <v>10623</v>
      </c>
      <c r="E2581" s="47"/>
      <c r="F2581" s="47"/>
      <c r="G2581" s="47"/>
      <c r="H2581" s="47" t="s">
        <v>3605</v>
      </c>
      <c r="I2581" s="47" t="s">
        <v>3506</v>
      </c>
    </row>
    <row r="2582" spans="1:9" ht="15">
      <c r="A2582" s="47">
        <v>11921</v>
      </c>
      <c r="B2582" s="47" t="s">
        <v>10624</v>
      </c>
      <c r="C2582" s="47" t="s">
        <v>10625</v>
      </c>
      <c r="D2582" s="47" t="s">
        <v>10626</v>
      </c>
      <c r="E2582" s="47"/>
      <c r="F2582" s="47"/>
      <c r="G2582" s="47"/>
      <c r="H2582" s="47" t="s">
        <v>3605</v>
      </c>
      <c r="I2582" s="47" t="s">
        <v>19551</v>
      </c>
    </row>
    <row r="2583" spans="1:9" ht="15">
      <c r="A2583" s="47">
        <v>11922</v>
      </c>
      <c r="B2583" s="47" t="s">
        <v>10627</v>
      </c>
      <c r="C2583" s="47" t="s">
        <v>10628</v>
      </c>
      <c r="D2583" s="47" t="s">
        <v>10629</v>
      </c>
      <c r="E2583" s="47"/>
      <c r="F2583" s="47"/>
      <c r="G2583" s="47"/>
      <c r="H2583" s="47" t="s">
        <v>3605</v>
      </c>
      <c r="I2583" s="47" t="s">
        <v>19552</v>
      </c>
    </row>
    <row r="2584" spans="1:9" ht="15">
      <c r="A2584" s="47" t="s">
        <v>3512</v>
      </c>
      <c r="B2584" s="47" t="s">
        <v>10630</v>
      </c>
      <c r="C2584" s="47" t="s">
        <v>10631</v>
      </c>
      <c r="D2584" s="47" t="s">
        <v>10632</v>
      </c>
      <c r="E2584" s="47"/>
      <c r="F2584" s="47"/>
      <c r="G2584" s="47"/>
      <c r="H2584" s="47" t="s">
        <v>3605</v>
      </c>
      <c r="I2584" s="47" t="s">
        <v>3512</v>
      </c>
    </row>
    <row r="2585" spans="1:9" ht="15">
      <c r="A2585" s="47">
        <v>93003</v>
      </c>
      <c r="B2585" s="47" t="s">
        <v>10633</v>
      </c>
      <c r="C2585" s="47" t="s">
        <v>10634</v>
      </c>
      <c r="D2585" s="47" t="s">
        <v>10635</v>
      </c>
      <c r="E2585" s="47"/>
      <c r="F2585" s="47"/>
      <c r="G2585" s="47"/>
      <c r="H2585" s="47" t="s">
        <v>3605</v>
      </c>
      <c r="I2585" s="47" t="s">
        <v>19553</v>
      </c>
    </row>
    <row r="2586" spans="1:9" ht="15">
      <c r="A2586" s="47">
        <v>93004</v>
      </c>
      <c r="B2586" s="47" t="s">
        <v>10636</v>
      </c>
      <c r="C2586" s="47" t="s">
        <v>10637</v>
      </c>
      <c r="D2586" s="47" t="s">
        <v>10638</v>
      </c>
      <c r="E2586" s="47"/>
      <c r="F2586" s="47"/>
      <c r="G2586" s="47"/>
      <c r="H2586" s="47" t="s">
        <v>3605</v>
      </c>
      <c r="I2586" s="47" t="s">
        <v>19554</v>
      </c>
    </row>
    <row r="2587" spans="1:9" ht="15">
      <c r="A2587" s="47">
        <v>93007</v>
      </c>
      <c r="B2587" s="47" t="s">
        <v>10639</v>
      </c>
      <c r="C2587" s="47" t="s">
        <v>10640</v>
      </c>
      <c r="D2587" s="47" t="s">
        <v>10641</v>
      </c>
      <c r="E2587" s="47"/>
      <c r="F2587" s="47"/>
      <c r="G2587" s="47"/>
      <c r="H2587" s="47" t="s">
        <v>3605</v>
      </c>
      <c r="I2587" s="47" t="s">
        <v>19555</v>
      </c>
    </row>
    <row r="2588" spans="1:9" ht="15">
      <c r="A2588" s="47">
        <v>93009</v>
      </c>
      <c r="B2588" s="47" t="s">
        <v>10642</v>
      </c>
      <c r="C2588" s="47" t="s">
        <v>10643</v>
      </c>
      <c r="D2588" s="47" t="s">
        <v>10644</v>
      </c>
      <c r="E2588" s="47"/>
      <c r="F2588" s="47"/>
      <c r="G2588" s="47"/>
      <c r="H2588" s="47" t="s">
        <v>3605</v>
      </c>
      <c r="I2588" s="47" t="s">
        <v>19556</v>
      </c>
    </row>
    <row r="2589" spans="1:9" ht="15">
      <c r="A2589" s="47" t="s">
        <v>10645</v>
      </c>
      <c r="B2589" s="47" t="s">
        <v>10646</v>
      </c>
      <c r="C2589" s="47" t="s">
        <v>10647</v>
      </c>
      <c r="D2589" s="47" t="s">
        <v>10648</v>
      </c>
      <c r="E2589" s="47"/>
      <c r="F2589" s="47"/>
      <c r="G2589" s="47"/>
      <c r="H2589" s="47" t="s">
        <v>3605</v>
      </c>
      <c r="I2589" s="47" t="s">
        <v>10645</v>
      </c>
    </row>
    <row r="2590" spans="1:9" ht="15">
      <c r="A2590" s="47">
        <v>93024</v>
      </c>
      <c r="B2590" s="47" t="s">
        <v>10649</v>
      </c>
      <c r="C2590" s="47" t="s">
        <v>10650</v>
      </c>
      <c r="D2590" s="47" t="s">
        <v>10651</v>
      </c>
      <c r="E2590" s="47"/>
      <c r="F2590" s="47"/>
      <c r="G2590" s="47"/>
      <c r="H2590" s="47" t="s">
        <v>3605</v>
      </c>
      <c r="I2590" s="47" t="s">
        <v>19557</v>
      </c>
    </row>
    <row r="2591" spans="1:9" ht="15">
      <c r="A2591" s="47" t="s">
        <v>3518</v>
      </c>
      <c r="B2591" s="47" t="s">
        <v>10652</v>
      </c>
      <c r="C2591" s="47" t="s">
        <v>10653</v>
      </c>
      <c r="D2591" s="47" t="s">
        <v>10654</v>
      </c>
      <c r="E2591" s="47"/>
      <c r="F2591" s="47"/>
      <c r="G2591" s="47"/>
      <c r="H2591" s="47" t="s">
        <v>3605</v>
      </c>
      <c r="I2591" s="47" t="s">
        <v>3518</v>
      </c>
    </row>
    <row r="2592" spans="1:9" ht="15">
      <c r="A2592" s="47" t="s">
        <v>10655</v>
      </c>
      <c r="B2592" s="47" t="s">
        <v>10656</v>
      </c>
      <c r="C2592" s="47" t="s">
        <v>10657</v>
      </c>
      <c r="D2592" s="47" t="s">
        <v>10658</v>
      </c>
      <c r="E2592" s="47"/>
      <c r="F2592" s="47"/>
      <c r="G2592" s="47"/>
      <c r="H2592" s="47" t="s">
        <v>3605</v>
      </c>
      <c r="I2592" s="47" t="s">
        <v>10655</v>
      </c>
    </row>
    <row r="2593" spans="1:9" ht="15">
      <c r="A2593" s="47">
        <v>93034</v>
      </c>
      <c r="B2593" s="47" t="s">
        <v>10659</v>
      </c>
      <c r="C2593" s="47" t="s">
        <v>10660</v>
      </c>
      <c r="D2593" s="47" t="s">
        <v>10661</v>
      </c>
      <c r="E2593" s="47"/>
      <c r="F2593" s="47"/>
      <c r="G2593" s="47"/>
      <c r="H2593" s="47" t="s">
        <v>3605</v>
      </c>
      <c r="I2593" s="47" t="s">
        <v>19558</v>
      </c>
    </row>
    <row r="2594" spans="1:9" ht="15">
      <c r="A2594" s="47" t="s">
        <v>10662</v>
      </c>
      <c r="B2594" s="47" t="s">
        <v>10663</v>
      </c>
      <c r="C2594" s="47" t="s">
        <v>10664</v>
      </c>
      <c r="D2594" s="47" t="s">
        <v>10665</v>
      </c>
      <c r="E2594" s="47"/>
      <c r="F2594" s="47"/>
      <c r="G2594" s="47"/>
      <c r="H2594" s="47" t="s">
        <v>3605</v>
      </c>
      <c r="I2594" s="47" t="s">
        <v>10662</v>
      </c>
    </row>
    <row r="2595" spans="1:9" ht="15">
      <c r="A2595" s="47">
        <v>93036</v>
      </c>
      <c r="B2595" s="47" t="s">
        <v>10666</v>
      </c>
      <c r="C2595" s="47" t="s">
        <v>10667</v>
      </c>
      <c r="D2595" s="47" t="s">
        <v>10668</v>
      </c>
      <c r="E2595" s="47"/>
      <c r="F2595" s="47"/>
      <c r="G2595" s="47"/>
      <c r="H2595" s="47" t="s">
        <v>3605</v>
      </c>
      <c r="I2595" s="47" t="s">
        <v>19559</v>
      </c>
    </row>
    <row r="2596" spans="1:9" ht="15">
      <c r="A2596" s="47">
        <v>93037</v>
      </c>
      <c r="B2596" s="47" t="s">
        <v>10669</v>
      </c>
      <c r="C2596" s="47" t="s">
        <v>10670</v>
      </c>
      <c r="D2596" s="47" t="s">
        <v>10671</v>
      </c>
      <c r="E2596" s="47"/>
      <c r="F2596" s="47"/>
      <c r="G2596" s="47"/>
      <c r="H2596" s="47" t="s">
        <v>3605</v>
      </c>
      <c r="I2596" s="47" t="s">
        <v>19560</v>
      </c>
    </row>
    <row r="2597" spans="1:9" ht="15">
      <c r="A2597" s="47">
        <v>93038</v>
      </c>
      <c r="B2597" s="47" t="s">
        <v>10672</v>
      </c>
      <c r="C2597" s="47" t="s">
        <v>10673</v>
      </c>
      <c r="D2597" s="47" t="s">
        <v>10674</v>
      </c>
      <c r="E2597" s="47"/>
      <c r="F2597" s="47"/>
      <c r="G2597" s="47"/>
      <c r="H2597" s="47" t="s">
        <v>3605</v>
      </c>
      <c r="I2597" s="47" t="s">
        <v>19561</v>
      </c>
    </row>
    <row r="2598" spans="1:9" ht="15">
      <c r="A2598" s="47">
        <v>93039</v>
      </c>
      <c r="B2598" s="47" t="s">
        <v>10675</v>
      </c>
      <c r="C2598" s="47" t="s">
        <v>10676</v>
      </c>
      <c r="D2598" s="47" t="s">
        <v>10677</v>
      </c>
      <c r="E2598" s="47"/>
      <c r="F2598" s="47"/>
      <c r="G2598" s="47"/>
      <c r="H2598" s="47" t="s">
        <v>3605</v>
      </c>
      <c r="I2598" s="47" t="s">
        <v>19562</v>
      </c>
    </row>
    <row r="2599" spans="1:9" ht="15">
      <c r="A2599" s="47">
        <v>93041</v>
      </c>
      <c r="B2599" s="47" t="s">
        <v>10678</v>
      </c>
      <c r="C2599" s="47" t="s">
        <v>10679</v>
      </c>
      <c r="D2599" s="47" t="s">
        <v>10680</v>
      </c>
      <c r="E2599" s="47"/>
      <c r="F2599" s="47"/>
      <c r="G2599" s="47"/>
      <c r="H2599" s="47" t="s">
        <v>3605</v>
      </c>
      <c r="I2599" s="47" t="s">
        <v>19563</v>
      </c>
    </row>
    <row r="2600" spans="1:9" ht="15">
      <c r="A2600" s="47">
        <v>93042</v>
      </c>
      <c r="B2600" s="47" t="s">
        <v>10681</v>
      </c>
      <c r="C2600" s="47" t="s">
        <v>10682</v>
      </c>
      <c r="D2600" s="47" t="s">
        <v>10683</v>
      </c>
      <c r="E2600" s="47"/>
      <c r="F2600" s="47"/>
      <c r="G2600" s="47"/>
      <c r="H2600" s="47" t="s">
        <v>3605</v>
      </c>
      <c r="I2600" s="47" t="s">
        <v>19564</v>
      </c>
    </row>
    <row r="2601" spans="1:9" ht="15">
      <c r="A2601" s="47">
        <v>93043</v>
      </c>
      <c r="B2601" s="47" t="s">
        <v>10684</v>
      </c>
      <c r="C2601" s="47" t="s">
        <v>10685</v>
      </c>
      <c r="D2601" s="47" t="s">
        <v>10686</v>
      </c>
      <c r="E2601" s="47"/>
      <c r="F2601" s="47"/>
      <c r="G2601" s="47"/>
      <c r="H2601" s="47" t="s">
        <v>3605</v>
      </c>
      <c r="I2601" s="47" t="s">
        <v>19565</v>
      </c>
    </row>
    <row r="2602" spans="1:9" ht="15">
      <c r="A2602" s="47" t="s">
        <v>10687</v>
      </c>
      <c r="B2602" s="47" t="s">
        <v>10688</v>
      </c>
      <c r="C2602" s="47" t="s">
        <v>10689</v>
      </c>
      <c r="D2602" s="47" t="s">
        <v>10690</v>
      </c>
      <c r="E2602" s="47"/>
      <c r="F2602" s="47"/>
      <c r="G2602" s="47"/>
      <c r="H2602" s="47" t="s">
        <v>3605</v>
      </c>
      <c r="I2602" s="47" t="s">
        <v>10687</v>
      </c>
    </row>
    <row r="2603" spans="1:9" ht="15">
      <c r="A2603" s="47" t="s">
        <v>10691</v>
      </c>
      <c r="B2603" s="47" t="s">
        <v>10692</v>
      </c>
      <c r="C2603" s="47" t="s">
        <v>10693</v>
      </c>
      <c r="D2603" s="47" t="s">
        <v>10694</v>
      </c>
      <c r="E2603" s="47"/>
      <c r="F2603" s="47"/>
      <c r="G2603" s="47"/>
      <c r="H2603" s="47" t="s">
        <v>3605</v>
      </c>
      <c r="I2603" s="47" t="s">
        <v>10691</v>
      </c>
    </row>
    <row r="2604" spans="1:9" ht="15">
      <c r="A2604" s="47">
        <v>2030</v>
      </c>
      <c r="B2604" s="47" t="s">
        <v>10695</v>
      </c>
      <c r="C2604" s="47" t="s">
        <v>10696</v>
      </c>
      <c r="D2604" s="47" t="s">
        <v>10697</v>
      </c>
      <c r="E2604" s="47"/>
      <c r="F2604" s="47"/>
      <c r="G2604" s="47"/>
      <c r="H2604" s="47" t="s">
        <v>3605</v>
      </c>
      <c r="I2604" s="47" t="s">
        <v>19566</v>
      </c>
    </row>
    <row r="2605" spans="1:9" ht="15">
      <c r="A2605" s="47">
        <v>3020</v>
      </c>
      <c r="B2605" s="47" t="s">
        <v>10698</v>
      </c>
      <c r="C2605" s="47" t="s">
        <v>10699</v>
      </c>
      <c r="D2605" s="47" t="s">
        <v>10700</v>
      </c>
      <c r="E2605" s="47"/>
      <c r="F2605" s="47"/>
      <c r="G2605" s="47"/>
      <c r="H2605" s="47" t="s">
        <v>3605</v>
      </c>
      <c r="I2605" s="47" t="s">
        <v>19567</v>
      </c>
    </row>
    <row r="2606" spans="1:9" ht="15">
      <c r="A2606" s="47" t="s">
        <v>10701</v>
      </c>
      <c r="B2606" s="47" t="s">
        <v>10702</v>
      </c>
      <c r="C2606" s="47" t="s">
        <v>10703</v>
      </c>
      <c r="D2606" s="47" t="s">
        <v>10704</v>
      </c>
      <c r="E2606" s="47"/>
      <c r="F2606" s="47"/>
      <c r="G2606" s="47"/>
      <c r="H2606" s="47" t="s">
        <v>3605</v>
      </c>
      <c r="I2606" s="47" t="s">
        <v>10701</v>
      </c>
    </row>
    <row r="2607" spans="1:9" ht="15">
      <c r="A2607" s="47">
        <v>93022</v>
      </c>
      <c r="B2607" s="47" t="s">
        <v>10705</v>
      </c>
      <c r="C2607" s="47" t="s">
        <v>10706</v>
      </c>
      <c r="D2607" s="47" t="s">
        <v>10707</v>
      </c>
      <c r="E2607" s="47"/>
      <c r="F2607" s="47"/>
      <c r="G2607" s="47"/>
      <c r="H2607" s="47" t="s">
        <v>3605</v>
      </c>
      <c r="I2607" s="47" t="s">
        <v>19568</v>
      </c>
    </row>
    <row r="2608" spans="1:9" ht="15">
      <c r="A2608" s="47">
        <v>10263</v>
      </c>
      <c r="B2608" s="47" t="s">
        <v>10708</v>
      </c>
      <c r="C2608" s="47" t="s">
        <v>10709</v>
      </c>
      <c r="D2608" s="47" t="s">
        <v>10710</v>
      </c>
      <c r="E2608" s="47"/>
      <c r="F2608" s="47"/>
      <c r="G2608" s="47"/>
      <c r="H2608" s="47" t="s">
        <v>3605</v>
      </c>
      <c r="I2608" s="47" t="s">
        <v>19569</v>
      </c>
    </row>
    <row r="2609" spans="1:9" ht="15">
      <c r="A2609" s="47">
        <v>113700</v>
      </c>
      <c r="B2609" s="47" t="s">
        <v>10711</v>
      </c>
      <c r="C2609" s="47" t="s">
        <v>10712</v>
      </c>
      <c r="D2609" s="47" t="s">
        <v>10713</v>
      </c>
      <c r="E2609" s="47"/>
      <c r="F2609" s="47"/>
      <c r="G2609" s="47"/>
      <c r="H2609" s="47" t="s">
        <v>3605</v>
      </c>
      <c r="I2609" s="47" t="s">
        <v>19570</v>
      </c>
    </row>
    <row r="2610" spans="1:9" ht="15">
      <c r="A2610" s="47">
        <v>2018</v>
      </c>
      <c r="B2610" s="47" t="s">
        <v>10714</v>
      </c>
      <c r="C2610" s="47" t="s">
        <v>10715</v>
      </c>
      <c r="D2610" s="47" t="s">
        <v>10716</v>
      </c>
      <c r="E2610" s="47"/>
      <c r="F2610" s="47"/>
      <c r="G2610" s="47"/>
      <c r="H2610" s="47" t="s">
        <v>3605</v>
      </c>
      <c r="I2610" s="47" t="s">
        <v>19571</v>
      </c>
    </row>
    <row r="2611" spans="1:9" ht="15">
      <c r="A2611" s="47">
        <v>110010</v>
      </c>
      <c r="B2611" s="47" t="s">
        <v>10717</v>
      </c>
      <c r="C2611" s="47" t="s">
        <v>10718</v>
      </c>
      <c r="D2611" s="47" t="s">
        <v>10719</v>
      </c>
      <c r="E2611" s="47"/>
      <c r="F2611" s="47"/>
      <c r="G2611" s="47"/>
      <c r="H2611" s="47" t="s">
        <v>3605</v>
      </c>
      <c r="I2611" s="47" t="s">
        <v>19572</v>
      </c>
    </row>
    <row r="2612" spans="1:9" ht="15">
      <c r="A2612" s="47">
        <v>110011</v>
      </c>
      <c r="B2612" s="47" t="s">
        <v>10720</v>
      </c>
      <c r="C2612" s="47" t="s">
        <v>10721</v>
      </c>
      <c r="D2612" s="47" t="s">
        <v>10722</v>
      </c>
      <c r="E2612" s="47"/>
      <c r="F2612" s="47"/>
      <c r="G2612" s="47"/>
      <c r="H2612" s="47" t="s">
        <v>3605</v>
      </c>
      <c r="I2612" s="47" t="s">
        <v>19573</v>
      </c>
    </row>
    <row r="2613" spans="1:9" ht="15">
      <c r="A2613" s="47">
        <v>110012</v>
      </c>
      <c r="B2613" s="47" t="s">
        <v>10723</v>
      </c>
      <c r="C2613" s="47" t="s">
        <v>10724</v>
      </c>
      <c r="D2613" s="47" t="s">
        <v>10725</v>
      </c>
      <c r="E2613" s="47"/>
      <c r="F2613" s="47"/>
      <c r="G2613" s="47"/>
      <c r="H2613" s="47" t="s">
        <v>3605</v>
      </c>
      <c r="I2613" s="47" t="s">
        <v>19574</v>
      </c>
    </row>
    <row r="2614" spans="1:9" ht="15">
      <c r="A2614" s="47">
        <v>110013</v>
      </c>
      <c r="B2614" s="47" t="s">
        <v>10726</v>
      </c>
      <c r="C2614" s="47" t="s">
        <v>10727</v>
      </c>
      <c r="D2614" s="47" t="s">
        <v>10728</v>
      </c>
      <c r="E2614" s="47"/>
      <c r="F2614" s="47"/>
      <c r="G2614" s="47"/>
      <c r="H2614" s="47" t="s">
        <v>3605</v>
      </c>
      <c r="I2614" s="47" t="s">
        <v>19575</v>
      </c>
    </row>
    <row r="2615" spans="1:9" ht="15">
      <c r="A2615" s="47">
        <v>110014</v>
      </c>
      <c r="B2615" s="47" t="s">
        <v>10729</v>
      </c>
      <c r="C2615" s="47" t="s">
        <v>10730</v>
      </c>
      <c r="D2615" s="47" t="s">
        <v>10731</v>
      </c>
      <c r="E2615" s="47"/>
      <c r="F2615" s="47"/>
      <c r="G2615" s="47"/>
      <c r="H2615" s="47" t="s">
        <v>3605</v>
      </c>
      <c r="I2615" s="47" t="s">
        <v>19576</v>
      </c>
    </row>
    <row r="2616" spans="1:9" ht="15">
      <c r="A2616" s="47">
        <v>110016</v>
      </c>
      <c r="B2616" s="47" t="s">
        <v>10732</v>
      </c>
      <c r="C2616" s="47" t="s">
        <v>10733</v>
      </c>
      <c r="D2616" s="47" t="s">
        <v>10734</v>
      </c>
      <c r="E2616" s="47"/>
      <c r="F2616" s="47"/>
      <c r="G2616" s="47"/>
      <c r="H2616" s="47" t="s">
        <v>3605</v>
      </c>
      <c r="I2616" s="47" t="s">
        <v>19577</v>
      </c>
    </row>
    <row r="2617" spans="1:9" ht="15">
      <c r="A2617" s="47">
        <v>110017</v>
      </c>
      <c r="B2617" s="47" t="s">
        <v>10735</v>
      </c>
      <c r="C2617" s="47" t="s">
        <v>10736</v>
      </c>
      <c r="D2617" s="47" t="s">
        <v>10737</v>
      </c>
      <c r="E2617" s="47"/>
      <c r="F2617" s="47"/>
      <c r="G2617" s="47"/>
      <c r="H2617" s="47" t="s">
        <v>3605</v>
      </c>
      <c r="I2617" s="47" t="s">
        <v>19578</v>
      </c>
    </row>
    <row r="2618" spans="1:9" ht="15">
      <c r="A2618" s="47">
        <v>110018</v>
      </c>
      <c r="B2618" s="47" t="s">
        <v>10738</v>
      </c>
      <c r="C2618" s="47" t="s">
        <v>10739</v>
      </c>
      <c r="D2618" s="47" t="s">
        <v>10740</v>
      </c>
      <c r="E2618" s="47"/>
      <c r="F2618" s="47"/>
      <c r="G2618" s="47"/>
      <c r="H2618" s="47" t="s">
        <v>3605</v>
      </c>
      <c r="I2618" s="47" t="s">
        <v>19579</v>
      </c>
    </row>
    <row r="2619" spans="1:9" ht="15">
      <c r="A2619" s="47" t="s">
        <v>10741</v>
      </c>
      <c r="B2619" s="47" t="s">
        <v>10742</v>
      </c>
      <c r="C2619" s="47" t="s">
        <v>10743</v>
      </c>
      <c r="D2619" s="47" t="s">
        <v>10744</v>
      </c>
      <c r="E2619" s="47"/>
      <c r="F2619" s="47"/>
      <c r="G2619" s="47"/>
      <c r="H2619" s="47" t="s">
        <v>3605</v>
      </c>
      <c r="I2619" s="47" t="s">
        <v>10741</v>
      </c>
    </row>
    <row r="2620" spans="1:9" ht="15">
      <c r="A2620" s="47" t="s">
        <v>10745</v>
      </c>
      <c r="B2620" s="47" t="s">
        <v>10746</v>
      </c>
      <c r="C2620" s="47" t="s">
        <v>10747</v>
      </c>
      <c r="D2620" s="47" t="s">
        <v>10748</v>
      </c>
      <c r="E2620" s="47"/>
      <c r="F2620" s="47"/>
      <c r="G2620" s="47"/>
      <c r="H2620" s="47" t="s">
        <v>3605</v>
      </c>
      <c r="I2620" s="47" t="s">
        <v>10745</v>
      </c>
    </row>
    <row r="2621" spans="1:9" ht="15">
      <c r="A2621" s="47" t="s">
        <v>10749</v>
      </c>
      <c r="B2621" s="47" t="s">
        <v>10750</v>
      </c>
      <c r="C2621" s="47" t="s">
        <v>10751</v>
      </c>
      <c r="D2621" s="47" t="s">
        <v>10752</v>
      </c>
      <c r="E2621" s="47"/>
      <c r="F2621" s="47"/>
      <c r="G2621" s="47"/>
      <c r="H2621" s="47" t="s">
        <v>3605</v>
      </c>
      <c r="I2621" s="47" t="s">
        <v>10749</v>
      </c>
    </row>
    <row r="2622" spans="1:9" ht="15">
      <c r="A2622" s="47" t="s">
        <v>10753</v>
      </c>
      <c r="B2622" s="47" t="s">
        <v>10754</v>
      </c>
      <c r="C2622" s="47" t="s">
        <v>10755</v>
      </c>
      <c r="D2622" s="47" t="s">
        <v>10756</v>
      </c>
      <c r="E2622" s="47"/>
      <c r="F2622" s="47"/>
      <c r="G2622" s="47"/>
      <c r="H2622" s="47" t="s">
        <v>3605</v>
      </c>
      <c r="I2622" s="47" t="s">
        <v>10753</v>
      </c>
    </row>
    <row r="2623" spans="1:9" ht="15">
      <c r="A2623" s="47" t="s">
        <v>10757</v>
      </c>
      <c r="B2623" s="47" t="s">
        <v>10758</v>
      </c>
      <c r="C2623" s="47" t="s">
        <v>10759</v>
      </c>
      <c r="D2623" s="47" t="s">
        <v>10760</v>
      </c>
      <c r="E2623" s="47"/>
      <c r="F2623" s="47"/>
      <c r="G2623" s="47"/>
      <c r="H2623" s="47" t="s">
        <v>3605</v>
      </c>
      <c r="I2623" s="47" t="s">
        <v>10757</v>
      </c>
    </row>
    <row r="2624" spans="1:9" ht="15">
      <c r="A2624" s="47" t="s">
        <v>10761</v>
      </c>
      <c r="B2624" s="47" t="s">
        <v>10762</v>
      </c>
      <c r="C2624" s="47" t="s">
        <v>10763</v>
      </c>
      <c r="D2624" s="47" t="s">
        <v>10764</v>
      </c>
      <c r="E2624" s="47"/>
      <c r="F2624" s="47"/>
      <c r="G2624" s="47"/>
      <c r="H2624" s="47" t="s">
        <v>3605</v>
      </c>
      <c r="I2624" s="47" t="s">
        <v>10761</v>
      </c>
    </row>
    <row r="2625" spans="1:9" ht="15">
      <c r="A2625" s="47" t="s">
        <v>10765</v>
      </c>
      <c r="B2625" s="47" t="s">
        <v>10766</v>
      </c>
      <c r="C2625" s="47" t="s">
        <v>10767</v>
      </c>
      <c r="D2625" s="47" t="s">
        <v>10768</v>
      </c>
      <c r="E2625" s="47"/>
      <c r="F2625" s="47"/>
      <c r="G2625" s="47"/>
      <c r="H2625" s="47" t="s">
        <v>3605</v>
      </c>
      <c r="I2625" s="47" t="s">
        <v>10765</v>
      </c>
    </row>
    <row r="2626" spans="1:9" ht="15">
      <c r="A2626" s="47">
        <v>10487</v>
      </c>
      <c r="B2626" s="47" t="s">
        <v>2000</v>
      </c>
      <c r="C2626" s="47" t="s">
        <v>10769</v>
      </c>
      <c r="D2626" s="47" t="s">
        <v>10770</v>
      </c>
      <c r="E2626" s="47"/>
      <c r="F2626" s="47"/>
      <c r="G2626" s="47"/>
      <c r="H2626" s="47" t="s">
        <v>3605</v>
      </c>
      <c r="I2626" s="47" t="s">
        <v>19580</v>
      </c>
    </row>
    <row r="2627" spans="1:9" ht="15">
      <c r="A2627" s="47" t="s">
        <v>10771</v>
      </c>
      <c r="B2627" s="47" t="s">
        <v>10772</v>
      </c>
      <c r="C2627" s="47" t="s">
        <v>10773</v>
      </c>
      <c r="D2627" s="47" t="s">
        <v>10774</v>
      </c>
      <c r="E2627" s="47"/>
      <c r="F2627" s="47"/>
      <c r="G2627" s="47"/>
      <c r="H2627" s="47" t="s">
        <v>3605</v>
      </c>
      <c r="I2627" s="47" t="s">
        <v>10771</v>
      </c>
    </row>
    <row r="2628" spans="1:9" ht="15">
      <c r="A2628" s="47" t="s">
        <v>10775</v>
      </c>
      <c r="B2628" s="47" t="s">
        <v>10776</v>
      </c>
      <c r="C2628" s="47" t="s">
        <v>10777</v>
      </c>
      <c r="D2628" s="47" t="s">
        <v>10778</v>
      </c>
      <c r="E2628" s="47"/>
      <c r="F2628" s="47"/>
      <c r="G2628" s="47"/>
      <c r="H2628" s="47" t="s">
        <v>3605</v>
      </c>
      <c r="I2628" s="47" t="s">
        <v>10775</v>
      </c>
    </row>
    <row r="2629" spans="1:9" ht="15">
      <c r="A2629" s="47" t="s">
        <v>10779</v>
      </c>
      <c r="B2629" s="47" t="s">
        <v>10780</v>
      </c>
      <c r="C2629" s="47" t="s">
        <v>10781</v>
      </c>
      <c r="D2629" s="47" t="s">
        <v>10782</v>
      </c>
      <c r="E2629" s="47"/>
      <c r="F2629" s="47"/>
      <c r="G2629" s="47"/>
      <c r="H2629" s="47" t="s">
        <v>3605</v>
      </c>
      <c r="I2629" s="47" t="s">
        <v>10779</v>
      </c>
    </row>
    <row r="2630" spans="1:9" ht="15">
      <c r="A2630" s="47" t="s">
        <v>10783</v>
      </c>
      <c r="B2630" s="47" t="s">
        <v>10784</v>
      </c>
      <c r="C2630" s="47" t="s">
        <v>10785</v>
      </c>
      <c r="D2630" s="47" t="s">
        <v>10786</v>
      </c>
      <c r="E2630" s="47"/>
      <c r="F2630" s="47"/>
      <c r="G2630" s="47"/>
      <c r="H2630" s="47" t="s">
        <v>3605</v>
      </c>
      <c r="I2630" s="47" t="s">
        <v>10783</v>
      </c>
    </row>
    <row r="2631" spans="1:9" ht="15">
      <c r="A2631" s="47" t="s">
        <v>10787</v>
      </c>
      <c r="B2631" s="47" t="s">
        <v>10788</v>
      </c>
      <c r="C2631" s="47" t="s">
        <v>10789</v>
      </c>
      <c r="D2631" s="47" t="s">
        <v>10790</v>
      </c>
      <c r="E2631" s="47"/>
      <c r="F2631" s="47"/>
      <c r="G2631" s="47"/>
      <c r="H2631" s="47" t="s">
        <v>3605</v>
      </c>
      <c r="I2631" s="47" t="s">
        <v>10787</v>
      </c>
    </row>
    <row r="2632" spans="1:9" ht="15">
      <c r="A2632" s="47" t="s">
        <v>10791</v>
      </c>
      <c r="B2632" s="47" t="s">
        <v>10792</v>
      </c>
      <c r="C2632" s="47" t="s">
        <v>10793</v>
      </c>
      <c r="D2632" s="47" t="s">
        <v>10115</v>
      </c>
      <c r="E2632" s="47"/>
      <c r="F2632" s="47"/>
      <c r="G2632" s="47"/>
      <c r="H2632" s="47" t="s">
        <v>3605</v>
      </c>
      <c r="I2632" s="47" t="s">
        <v>10791</v>
      </c>
    </row>
    <row r="2633" spans="1:9" ht="15">
      <c r="A2633" s="47" t="s">
        <v>10794</v>
      </c>
      <c r="B2633" s="47" t="s">
        <v>10795</v>
      </c>
      <c r="C2633" s="47" t="s">
        <v>10796</v>
      </c>
      <c r="D2633" s="47" t="s">
        <v>10797</v>
      </c>
      <c r="E2633" s="47"/>
      <c r="F2633" s="47"/>
      <c r="G2633" s="47"/>
      <c r="H2633" s="47" t="s">
        <v>3605</v>
      </c>
      <c r="I2633" s="47" t="s">
        <v>10794</v>
      </c>
    </row>
    <row r="2634" spans="1:9" ht="15">
      <c r="A2634" s="47" t="s">
        <v>10798</v>
      </c>
      <c r="B2634" s="47" t="s">
        <v>10799</v>
      </c>
      <c r="C2634" s="47" t="s">
        <v>10800</v>
      </c>
      <c r="D2634" s="47" t="s">
        <v>10801</v>
      </c>
      <c r="E2634" s="47"/>
      <c r="F2634" s="47"/>
      <c r="G2634" s="47"/>
      <c r="H2634" s="47" t="s">
        <v>3605</v>
      </c>
      <c r="I2634" s="47" t="s">
        <v>10798</v>
      </c>
    </row>
    <row r="2635" spans="1:9" ht="15">
      <c r="A2635" s="47">
        <v>113297</v>
      </c>
      <c r="B2635" s="47" t="s">
        <v>10802</v>
      </c>
      <c r="C2635" s="47" t="s">
        <v>10803</v>
      </c>
      <c r="D2635" s="47" t="s">
        <v>10804</v>
      </c>
      <c r="E2635" s="47"/>
      <c r="F2635" s="47"/>
      <c r="G2635" s="47"/>
      <c r="H2635" s="47" t="s">
        <v>3605</v>
      </c>
      <c r="I2635" s="47" t="s">
        <v>19581</v>
      </c>
    </row>
    <row r="2636" spans="1:9" ht="15">
      <c r="A2636" s="47">
        <v>113298</v>
      </c>
      <c r="B2636" s="47" t="s">
        <v>10805</v>
      </c>
      <c r="C2636" s="47" t="s">
        <v>10806</v>
      </c>
      <c r="D2636" s="47" t="s">
        <v>10807</v>
      </c>
      <c r="E2636" s="47"/>
      <c r="F2636" s="47"/>
      <c r="G2636" s="47"/>
      <c r="H2636" s="47" t="s">
        <v>3605</v>
      </c>
      <c r="I2636" s="47" t="s">
        <v>19582</v>
      </c>
    </row>
    <row r="2637" spans="1:9" ht="15">
      <c r="A2637" s="47">
        <v>113302</v>
      </c>
      <c r="B2637" s="47" t="s">
        <v>10808</v>
      </c>
      <c r="C2637" s="47" t="s">
        <v>10809</v>
      </c>
      <c r="D2637" s="47" t="s">
        <v>10810</v>
      </c>
      <c r="E2637" s="47"/>
      <c r="F2637" s="47"/>
      <c r="G2637" s="47"/>
      <c r="H2637" s="47" t="s">
        <v>3605</v>
      </c>
      <c r="I2637" s="47" t="s">
        <v>19583</v>
      </c>
    </row>
    <row r="2638" spans="1:9" ht="15">
      <c r="A2638" s="47" t="s">
        <v>10811</v>
      </c>
      <c r="B2638" s="47" t="s">
        <v>10812</v>
      </c>
      <c r="C2638" s="47" t="s">
        <v>10813</v>
      </c>
      <c r="D2638" s="47" t="s">
        <v>10814</v>
      </c>
      <c r="E2638" s="47"/>
      <c r="F2638" s="47"/>
      <c r="G2638" s="47"/>
      <c r="H2638" s="47" t="s">
        <v>3605</v>
      </c>
      <c r="I2638" s="47" t="s">
        <v>10811</v>
      </c>
    </row>
    <row r="2639" spans="1:9" ht="15">
      <c r="A2639" s="47" t="s">
        <v>3526</v>
      </c>
      <c r="B2639" s="47" t="s">
        <v>10815</v>
      </c>
      <c r="C2639" s="47" t="s">
        <v>10816</v>
      </c>
      <c r="D2639" s="47" t="s">
        <v>10817</v>
      </c>
      <c r="E2639" s="47"/>
      <c r="F2639" s="47"/>
      <c r="G2639" s="47"/>
      <c r="H2639" s="47" t="s">
        <v>3605</v>
      </c>
      <c r="I2639" s="47" t="s">
        <v>3526</v>
      </c>
    </row>
    <row r="2640" spans="1:9" ht="15">
      <c r="A2640" s="47" t="s">
        <v>10818</v>
      </c>
      <c r="B2640" s="47" t="s">
        <v>10819</v>
      </c>
      <c r="C2640" s="47" t="s">
        <v>10820</v>
      </c>
      <c r="D2640" s="47" t="s">
        <v>10821</v>
      </c>
      <c r="E2640" s="47"/>
      <c r="F2640" s="47"/>
      <c r="G2640" s="47"/>
      <c r="H2640" s="47" t="s">
        <v>3605</v>
      </c>
      <c r="I2640" s="47" t="s">
        <v>10818</v>
      </c>
    </row>
    <row r="2641" spans="1:9" ht="15">
      <c r="A2641" s="47" t="s">
        <v>10822</v>
      </c>
      <c r="B2641" s="47" t="s">
        <v>10823</v>
      </c>
      <c r="C2641" s="47" t="s">
        <v>10824</v>
      </c>
      <c r="D2641" s="47" t="s">
        <v>10825</v>
      </c>
      <c r="E2641" s="47"/>
      <c r="F2641" s="47"/>
      <c r="G2641" s="47"/>
      <c r="H2641" s="47" t="s">
        <v>3605</v>
      </c>
      <c r="I2641" s="47" t="s">
        <v>10822</v>
      </c>
    </row>
    <row r="2642" spans="1:9" ht="15">
      <c r="A2642" s="47" t="s">
        <v>10826</v>
      </c>
      <c r="B2642" s="47" t="s">
        <v>10827</v>
      </c>
      <c r="C2642" s="47" t="s">
        <v>10828</v>
      </c>
      <c r="D2642" s="47" t="s">
        <v>10829</v>
      </c>
      <c r="E2642" s="47"/>
      <c r="F2642" s="47"/>
      <c r="G2642" s="47"/>
      <c r="H2642" s="47" t="s">
        <v>3605</v>
      </c>
      <c r="I2642" s="47" t="s">
        <v>10826</v>
      </c>
    </row>
    <row r="2643" spans="1:9" ht="15">
      <c r="A2643" s="47" t="s">
        <v>10830</v>
      </c>
      <c r="B2643" s="47" t="s">
        <v>10831</v>
      </c>
      <c r="C2643" s="47" t="s">
        <v>10832</v>
      </c>
      <c r="D2643" s="47" t="s">
        <v>10833</v>
      </c>
      <c r="E2643" s="47"/>
      <c r="F2643" s="47"/>
      <c r="G2643" s="47"/>
      <c r="H2643" s="47" t="s">
        <v>3605</v>
      </c>
      <c r="I2643" s="47" t="s">
        <v>10830</v>
      </c>
    </row>
    <row r="2644" spans="1:9" ht="15">
      <c r="A2644" s="47" t="s">
        <v>10834</v>
      </c>
      <c r="B2644" s="47" t="s">
        <v>10835</v>
      </c>
      <c r="C2644" s="47" t="s">
        <v>10836</v>
      </c>
      <c r="D2644" s="47" t="s">
        <v>10837</v>
      </c>
      <c r="E2644" s="47"/>
      <c r="F2644" s="47"/>
      <c r="G2644" s="47"/>
      <c r="H2644" s="47" t="s">
        <v>3605</v>
      </c>
      <c r="I2644" s="47" t="s">
        <v>10834</v>
      </c>
    </row>
    <row r="2645" spans="1:9" ht="15">
      <c r="A2645" s="47" t="s">
        <v>10838</v>
      </c>
      <c r="B2645" s="47" t="s">
        <v>10839</v>
      </c>
      <c r="C2645" s="47" t="s">
        <v>10840</v>
      </c>
      <c r="D2645" s="47" t="s">
        <v>10841</v>
      </c>
      <c r="E2645" s="47"/>
      <c r="F2645" s="47"/>
      <c r="G2645" s="47"/>
      <c r="H2645" s="47" t="s">
        <v>3605</v>
      </c>
      <c r="I2645" s="47" t="s">
        <v>10838</v>
      </c>
    </row>
    <row r="2646" spans="1:9" ht="15">
      <c r="A2646" s="47" t="s">
        <v>10842</v>
      </c>
      <c r="B2646" s="47" t="s">
        <v>10843</v>
      </c>
      <c r="C2646" s="47" t="s">
        <v>10844</v>
      </c>
      <c r="D2646" s="47" t="s">
        <v>9240</v>
      </c>
      <c r="E2646" s="47"/>
      <c r="F2646" s="47"/>
      <c r="G2646" s="47"/>
      <c r="H2646" s="47" t="s">
        <v>3605</v>
      </c>
      <c r="I2646" s="47" t="s">
        <v>10842</v>
      </c>
    </row>
    <row r="2647" spans="1:9" ht="15">
      <c r="A2647" s="47" t="s">
        <v>10845</v>
      </c>
      <c r="B2647" s="47" t="s">
        <v>10846</v>
      </c>
      <c r="C2647" s="47" t="s">
        <v>10847</v>
      </c>
      <c r="D2647" s="47" t="s">
        <v>10848</v>
      </c>
      <c r="E2647" s="47"/>
      <c r="F2647" s="47"/>
      <c r="G2647" s="47"/>
      <c r="H2647" s="47" t="s">
        <v>3605</v>
      </c>
      <c r="I2647" s="47" t="s">
        <v>10845</v>
      </c>
    </row>
    <row r="2648" spans="1:9" ht="15">
      <c r="A2648" s="47" t="s">
        <v>10849</v>
      </c>
      <c r="B2648" s="47" t="s">
        <v>10850</v>
      </c>
      <c r="C2648" s="47" t="s">
        <v>10851</v>
      </c>
      <c r="D2648" s="47" t="s">
        <v>10852</v>
      </c>
      <c r="E2648" s="47"/>
      <c r="F2648" s="47"/>
      <c r="G2648" s="47"/>
      <c r="H2648" s="47" t="s">
        <v>3605</v>
      </c>
      <c r="I2648" s="47" t="s">
        <v>10849</v>
      </c>
    </row>
    <row r="2649" spans="1:9" ht="15">
      <c r="A2649" s="47" t="s">
        <v>10853</v>
      </c>
      <c r="B2649" s="47" t="s">
        <v>10854</v>
      </c>
      <c r="C2649" s="47" t="s">
        <v>10855</v>
      </c>
      <c r="D2649" s="47" t="s">
        <v>10856</v>
      </c>
      <c r="E2649" s="47"/>
      <c r="F2649" s="47"/>
      <c r="G2649" s="47"/>
      <c r="H2649" s="47" t="s">
        <v>3605</v>
      </c>
      <c r="I2649" s="47" t="s">
        <v>10853</v>
      </c>
    </row>
    <row r="2650" spans="1:9" ht="15">
      <c r="A2650" s="47" t="s">
        <v>1212</v>
      </c>
      <c r="B2650" s="47" t="s">
        <v>10857</v>
      </c>
      <c r="C2650" s="47" t="s">
        <v>10858</v>
      </c>
      <c r="D2650" s="47" t="s">
        <v>10859</v>
      </c>
      <c r="E2650" s="47"/>
      <c r="F2650" s="47"/>
      <c r="G2650" s="47"/>
      <c r="H2650" s="47" t="s">
        <v>3605</v>
      </c>
      <c r="I2650" s="47" t="s">
        <v>1212</v>
      </c>
    </row>
    <row r="2651" spans="1:9" ht="15">
      <c r="A2651" s="47" t="s">
        <v>3446</v>
      </c>
      <c r="B2651" s="47" t="s">
        <v>10860</v>
      </c>
      <c r="C2651" s="47" t="s">
        <v>10861</v>
      </c>
      <c r="D2651" s="47" t="s">
        <v>10862</v>
      </c>
      <c r="E2651" s="47"/>
      <c r="F2651" s="47"/>
      <c r="G2651" s="47"/>
      <c r="H2651" s="47" t="s">
        <v>3605</v>
      </c>
      <c r="I2651" s="47" t="s">
        <v>3446</v>
      </c>
    </row>
    <row r="2652" spans="1:9" ht="15">
      <c r="A2652" s="47" t="s">
        <v>10863</v>
      </c>
      <c r="B2652" s="47" t="s">
        <v>10864</v>
      </c>
      <c r="C2652" s="47" t="s">
        <v>10865</v>
      </c>
      <c r="D2652" s="47" t="s">
        <v>10866</v>
      </c>
      <c r="E2652" s="47"/>
      <c r="F2652" s="47"/>
      <c r="G2652" s="47"/>
      <c r="H2652" s="47" t="s">
        <v>3605</v>
      </c>
      <c r="I2652" s="47" t="s">
        <v>10863</v>
      </c>
    </row>
    <row r="2653" spans="1:9" ht="15">
      <c r="A2653" s="47" t="s">
        <v>10867</v>
      </c>
      <c r="B2653" s="47" t="s">
        <v>10868</v>
      </c>
      <c r="C2653" s="47" t="s">
        <v>10869</v>
      </c>
      <c r="D2653" s="47" t="s">
        <v>10870</v>
      </c>
      <c r="E2653" s="47"/>
      <c r="F2653" s="47"/>
      <c r="G2653" s="47"/>
      <c r="H2653" s="47" t="s">
        <v>3605</v>
      </c>
      <c r="I2653" s="47" t="s">
        <v>10867</v>
      </c>
    </row>
    <row r="2654" spans="1:9" ht="15">
      <c r="A2654" s="47" t="s">
        <v>10871</v>
      </c>
      <c r="B2654" s="47" t="s">
        <v>10872</v>
      </c>
      <c r="C2654" s="47" t="s">
        <v>10873</v>
      </c>
      <c r="D2654" s="47" t="s">
        <v>10874</v>
      </c>
      <c r="E2654" s="47"/>
      <c r="F2654" s="47"/>
      <c r="G2654" s="47"/>
      <c r="H2654" s="47" t="s">
        <v>3605</v>
      </c>
      <c r="I2654" s="47" t="s">
        <v>10871</v>
      </c>
    </row>
    <row r="2655" spans="1:9" ht="15">
      <c r="A2655" s="47" t="s">
        <v>3496</v>
      </c>
      <c r="B2655" s="47" t="s">
        <v>10875</v>
      </c>
      <c r="C2655" s="47" t="s">
        <v>10876</v>
      </c>
      <c r="D2655" s="47" t="s">
        <v>10877</v>
      </c>
      <c r="E2655" s="47"/>
      <c r="F2655" s="47"/>
      <c r="G2655" s="47"/>
      <c r="H2655" s="47" t="s">
        <v>3605</v>
      </c>
      <c r="I2655" s="47" t="s">
        <v>3496</v>
      </c>
    </row>
    <row r="2656" spans="1:9" ht="15">
      <c r="A2656" s="47" t="s">
        <v>10878</v>
      </c>
      <c r="B2656" s="47" t="s">
        <v>10879</v>
      </c>
      <c r="C2656" s="47" t="s">
        <v>10880</v>
      </c>
      <c r="D2656" s="47" t="s">
        <v>10881</v>
      </c>
      <c r="E2656" s="47"/>
      <c r="F2656" s="47"/>
      <c r="G2656" s="47"/>
      <c r="H2656" s="47" t="s">
        <v>3605</v>
      </c>
      <c r="I2656" s="47" t="s">
        <v>10878</v>
      </c>
    </row>
    <row r="2657" spans="1:9" ht="15">
      <c r="A2657" s="47" t="s">
        <v>10882</v>
      </c>
      <c r="B2657" s="47" t="s">
        <v>10883</v>
      </c>
      <c r="C2657" s="47" t="s">
        <v>10884</v>
      </c>
      <c r="D2657" s="47" t="s">
        <v>10885</v>
      </c>
      <c r="E2657" s="47"/>
      <c r="F2657" s="47"/>
      <c r="G2657" s="47"/>
      <c r="H2657" s="47" t="s">
        <v>3605</v>
      </c>
      <c r="I2657" s="47" t="s">
        <v>10882</v>
      </c>
    </row>
    <row r="2658" spans="1:9" ht="15">
      <c r="A2658" s="47" t="s">
        <v>10886</v>
      </c>
      <c r="B2658" s="47" t="s">
        <v>10887</v>
      </c>
      <c r="C2658" s="47" t="s">
        <v>10888</v>
      </c>
      <c r="D2658" s="47" t="s">
        <v>10889</v>
      </c>
      <c r="E2658" s="47"/>
      <c r="F2658" s="47"/>
      <c r="G2658" s="47"/>
      <c r="H2658" s="47" t="s">
        <v>3605</v>
      </c>
      <c r="I2658" s="47" t="s">
        <v>10886</v>
      </c>
    </row>
    <row r="2659" spans="1:9" ht="15">
      <c r="A2659" s="47" t="s">
        <v>10890</v>
      </c>
      <c r="B2659" s="47" t="s">
        <v>10891</v>
      </c>
      <c r="C2659" s="47" t="s">
        <v>10892</v>
      </c>
      <c r="D2659" s="47" t="s">
        <v>10893</v>
      </c>
      <c r="E2659" s="47"/>
      <c r="F2659" s="47"/>
      <c r="G2659" s="47"/>
      <c r="H2659" s="47" t="s">
        <v>3605</v>
      </c>
      <c r="I2659" s="47" t="s">
        <v>10890</v>
      </c>
    </row>
    <row r="2660" spans="1:9" ht="15">
      <c r="A2660" s="47" t="s">
        <v>10894</v>
      </c>
      <c r="B2660" s="47" t="s">
        <v>10895</v>
      </c>
      <c r="C2660" s="47" t="s">
        <v>10896</v>
      </c>
      <c r="D2660" s="47" t="s">
        <v>10897</v>
      </c>
      <c r="E2660" s="47"/>
      <c r="F2660" s="47"/>
      <c r="G2660" s="47"/>
      <c r="H2660" s="47" t="s">
        <v>3605</v>
      </c>
      <c r="I2660" s="47" t="s">
        <v>10894</v>
      </c>
    </row>
    <row r="2661" spans="1:9" ht="15">
      <c r="A2661" s="47" t="s">
        <v>10898</v>
      </c>
      <c r="B2661" s="47" t="s">
        <v>10899</v>
      </c>
      <c r="C2661" s="47" t="s">
        <v>10900</v>
      </c>
      <c r="D2661" s="47" t="s">
        <v>10901</v>
      </c>
      <c r="E2661" s="47"/>
      <c r="F2661" s="47"/>
      <c r="G2661" s="47"/>
      <c r="H2661" s="47" t="s">
        <v>3605</v>
      </c>
      <c r="I2661" s="47" t="s">
        <v>10898</v>
      </c>
    </row>
    <row r="2662" spans="1:9" ht="15">
      <c r="A2662" s="47" t="s">
        <v>10902</v>
      </c>
      <c r="B2662" s="47" t="s">
        <v>10903</v>
      </c>
      <c r="C2662" s="47" t="s">
        <v>10904</v>
      </c>
      <c r="D2662" s="47" t="s">
        <v>10905</v>
      </c>
      <c r="E2662" s="47"/>
      <c r="F2662" s="47"/>
      <c r="G2662" s="47"/>
      <c r="H2662" s="47" t="s">
        <v>3605</v>
      </c>
      <c r="I2662" s="47" t="s">
        <v>10902</v>
      </c>
    </row>
    <row r="2663" spans="1:9" ht="15">
      <c r="A2663" s="47" t="s">
        <v>10906</v>
      </c>
      <c r="B2663" s="47" t="s">
        <v>10907</v>
      </c>
      <c r="C2663" s="47" t="s">
        <v>10908</v>
      </c>
      <c r="D2663" s="47" t="s">
        <v>10909</v>
      </c>
      <c r="E2663" s="47"/>
      <c r="F2663" s="47"/>
      <c r="G2663" s="47"/>
      <c r="H2663" s="47" t="s">
        <v>3605</v>
      </c>
      <c r="I2663" s="47" t="s">
        <v>10906</v>
      </c>
    </row>
    <row r="2664" spans="1:9" ht="15">
      <c r="A2664" s="47" t="s">
        <v>10910</v>
      </c>
      <c r="B2664" s="47" t="s">
        <v>10911</v>
      </c>
      <c r="C2664" s="47" t="s">
        <v>10912</v>
      </c>
      <c r="D2664" s="47" t="s">
        <v>9810</v>
      </c>
      <c r="E2664" s="47"/>
      <c r="F2664" s="47"/>
      <c r="G2664" s="47"/>
      <c r="H2664" s="47" t="s">
        <v>3605</v>
      </c>
      <c r="I2664" s="47" t="s">
        <v>10910</v>
      </c>
    </row>
    <row r="2665" spans="1:9" ht="15">
      <c r="A2665" s="47" t="s">
        <v>10913</v>
      </c>
      <c r="B2665" s="47" t="s">
        <v>10914</v>
      </c>
      <c r="C2665" s="47" t="s">
        <v>10915</v>
      </c>
      <c r="D2665" s="47" t="s">
        <v>10916</v>
      </c>
      <c r="E2665" s="47"/>
      <c r="F2665" s="47"/>
      <c r="G2665" s="47"/>
      <c r="H2665" s="47" t="s">
        <v>3605</v>
      </c>
      <c r="I2665" s="47" t="s">
        <v>10913</v>
      </c>
    </row>
    <row r="2666" spans="1:9" ht="15">
      <c r="A2666" s="47" t="s">
        <v>10917</v>
      </c>
      <c r="B2666" s="47" t="s">
        <v>10918</v>
      </c>
      <c r="C2666" s="47" t="s">
        <v>10919</v>
      </c>
      <c r="D2666" s="47" t="s">
        <v>10920</v>
      </c>
      <c r="E2666" s="47"/>
      <c r="F2666" s="47"/>
      <c r="G2666" s="47"/>
      <c r="H2666" s="47" t="s">
        <v>3605</v>
      </c>
      <c r="I2666" s="47" t="s">
        <v>10917</v>
      </c>
    </row>
    <row r="2667" spans="1:9" ht="15">
      <c r="A2667" s="47" t="s">
        <v>10921</v>
      </c>
      <c r="B2667" s="47" t="s">
        <v>10922</v>
      </c>
      <c r="C2667" s="47" t="s">
        <v>10923</v>
      </c>
      <c r="D2667" s="47" t="s">
        <v>10924</v>
      </c>
      <c r="E2667" s="47"/>
      <c r="F2667" s="47"/>
      <c r="G2667" s="47"/>
      <c r="H2667" s="47" t="s">
        <v>3605</v>
      </c>
      <c r="I2667" s="47" t="s">
        <v>10921</v>
      </c>
    </row>
    <row r="2668" spans="1:9" ht="15">
      <c r="A2668" s="47" t="s">
        <v>10925</v>
      </c>
      <c r="B2668" s="47" t="s">
        <v>10926</v>
      </c>
      <c r="C2668" s="47" t="s">
        <v>10927</v>
      </c>
      <c r="D2668" s="47" t="s">
        <v>10928</v>
      </c>
      <c r="E2668" s="47"/>
      <c r="F2668" s="47"/>
      <c r="G2668" s="47"/>
      <c r="H2668" s="47" t="s">
        <v>3605</v>
      </c>
      <c r="I2668" s="47" t="s">
        <v>10925</v>
      </c>
    </row>
    <row r="2669" spans="1:9" ht="15">
      <c r="A2669" s="47" t="s">
        <v>10929</v>
      </c>
      <c r="B2669" s="47" t="s">
        <v>10930</v>
      </c>
      <c r="C2669" s="47" t="s">
        <v>10931</v>
      </c>
      <c r="D2669" s="47" t="s">
        <v>10932</v>
      </c>
      <c r="E2669" s="47"/>
      <c r="F2669" s="47"/>
      <c r="G2669" s="47"/>
      <c r="H2669" s="47" t="s">
        <v>3605</v>
      </c>
      <c r="I2669" s="47" t="s">
        <v>10929</v>
      </c>
    </row>
    <row r="2670" spans="1:9" ht="15">
      <c r="A2670" s="47" t="s">
        <v>10933</v>
      </c>
      <c r="B2670" s="47" t="s">
        <v>10934</v>
      </c>
      <c r="C2670" s="47" t="s">
        <v>10935</v>
      </c>
      <c r="D2670" s="47" t="s">
        <v>10936</v>
      </c>
      <c r="E2670" s="47"/>
      <c r="F2670" s="47"/>
      <c r="G2670" s="47"/>
      <c r="H2670" s="47" t="s">
        <v>3605</v>
      </c>
      <c r="I2670" s="47" t="s">
        <v>10933</v>
      </c>
    </row>
    <row r="2671" spans="1:9" ht="15">
      <c r="A2671" s="47" t="s">
        <v>10937</v>
      </c>
      <c r="B2671" s="47" t="s">
        <v>10938</v>
      </c>
      <c r="C2671" s="47" t="s">
        <v>10939</v>
      </c>
      <c r="D2671" s="47" t="s">
        <v>10940</v>
      </c>
      <c r="E2671" s="47"/>
      <c r="F2671" s="47"/>
      <c r="G2671" s="47"/>
      <c r="H2671" s="47" t="s">
        <v>3605</v>
      </c>
      <c r="I2671" s="47" t="s">
        <v>10937</v>
      </c>
    </row>
    <row r="2672" spans="1:9" ht="15">
      <c r="A2672" s="47" t="s">
        <v>10941</v>
      </c>
      <c r="B2672" s="47" t="s">
        <v>10942</v>
      </c>
      <c r="C2672" s="47" t="s">
        <v>10943</v>
      </c>
      <c r="D2672" s="47" t="s">
        <v>10944</v>
      </c>
      <c r="E2672" s="47"/>
      <c r="F2672" s="47"/>
      <c r="G2672" s="47"/>
      <c r="H2672" s="47" t="s">
        <v>3605</v>
      </c>
      <c r="I2672" s="47" t="s">
        <v>10941</v>
      </c>
    </row>
    <row r="2673" spans="1:9" ht="15">
      <c r="A2673" s="47" t="s">
        <v>10945</v>
      </c>
      <c r="B2673" s="47" t="s">
        <v>10946</v>
      </c>
      <c r="C2673" s="47" t="s">
        <v>10947</v>
      </c>
      <c r="D2673" s="47" t="s">
        <v>10948</v>
      </c>
      <c r="E2673" s="47"/>
      <c r="F2673" s="47"/>
      <c r="G2673" s="47"/>
      <c r="H2673" s="47" t="s">
        <v>3605</v>
      </c>
      <c r="I2673" s="47" t="s">
        <v>10945</v>
      </c>
    </row>
    <row r="2674" spans="1:9" ht="15">
      <c r="A2674" s="47" t="s">
        <v>10949</v>
      </c>
      <c r="B2674" s="47" t="s">
        <v>10950</v>
      </c>
      <c r="C2674" s="47" t="s">
        <v>10951</v>
      </c>
      <c r="D2674" s="47" t="s">
        <v>10952</v>
      </c>
      <c r="E2674" s="47"/>
      <c r="F2674" s="47"/>
      <c r="G2674" s="47"/>
      <c r="H2674" s="47" t="s">
        <v>3605</v>
      </c>
      <c r="I2674" s="47" t="s">
        <v>10949</v>
      </c>
    </row>
    <row r="2675" spans="1:9" ht="15">
      <c r="A2675" s="47" t="s">
        <v>10953</v>
      </c>
      <c r="B2675" s="47" t="s">
        <v>10954</v>
      </c>
      <c r="C2675" s="47" t="s">
        <v>10955</v>
      </c>
      <c r="D2675" s="47" t="s">
        <v>10956</v>
      </c>
      <c r="E2675" s="47"/>
      <c r="F2675" s="47"/>
      <c r="G2675" s="47"/>
      <c r="H2675" s="47" t="s">
        <v>3605</v>
      </c>
      <c r="I2675" s="47" t="s">
        <v>10953</v>
      </c>
    </row>
    <row r="2676" spans="1:9" ht="15">
      <c r="A2676" s="47" t="s">
        <v>10957</v>
      </c>
      <c r="B2676" s="47" t="s">
        <v>10958</v>
      </c>
      <c r="C2676" s="47" t="s">
        <v>10959</v>
      </c>
      <c r="D2676" s="47" t="s">
        <v>10960</v>
      </c>
      <c r="E2676" s="47"/>
      <c r="F2676" s="47"/>
      <c r="G2676" s="47"/>
      <c r="H2676" s="47" t="s">
        <v>3605</v>
      </c>
      <c r="I2676" s="47" t="s">
        <v>10957</v>
      </c>
    </row>
    <row r="2677" spans="1:9" ht="15">
      <c r="A2677" s="47" t="s">
        <v>10961</v>
      </c>
      <c r="B2677" s="47" t="s">
        <v>10962</v>
      </c>
      <c r="C2677" s="47" t="s">
        <v>10963</v>
      </c>
      <c r="D2677" s="47" t="s">
        <v>10964</v>
      </c>
      <c r="E2677" s="47"/>
      <c r="F2677" s="47"/>
      <c r="G2677" s="47"/>
      <c r="H2677" s="47" t="s">
        <v>3605</v>
      </c>
      <c r="I2677" s="47" t="s">
        <v>10961</v>
      </c>
    </row>
    <row r="2678" spans="1:9" ht="15">
      <c r="A2678" s="47" t="s">
        <v>10965</v>
      </c>
      <c r="B2678" s="47" t="s">
        <v>10966</v>
      </c>
      <c r="C2678" s="47" t="s">
        <v>10967</v>
      </c>
      <c r="D2678" s="47" t="s">
        <v>10968</v>
      </c>
      <c r="E2678" s="47"/>
      <c r="F2678" s="47"/>
      <c r="G2678" s="47"/>
      <c r="H2678" s="47" t="s">
        <v>3605</v>
      </c>
      <c r="I2678" s="47" t="s">
        <v>10965</v>
      </c>
    </row>
    <row r="2679" spans="1:9" ht="15">
      <c r="A2679" s="47" t="s">
        <v>10969</v>
      </c>
      <c r="B2679" s="47" t="s">
        <v>10970</v>
      </c>
      <c r="C2679" s="47" t="s">
        <v>10971</v>
      </c>
      <c r="D2679" s="47" t="s">
        <v>10972</v>
      </c>
      <c r="E2679" s="47"/>
      <c r="F2679" s="47"/>
      <c r="G2679" s="47"/>
      <c r="H2679" s="47" t="s">
        <v>3605</v>
      </c>
      <c r="I2679" s="47" t="s">
        <v>10969</v>
      </c>
    </row>
    <row r="2680" spans="1:9" ht="15">
      <c r="A2680" s="47" t="s">
        <v>10973</v>
      </c>
      <c r="B2680" s="47" t="s">
        <v>10974</v>
      </c>
      <c r="C2680" s="47" t="s">
        <v>10975</v>
      </c>
      <c r="D2680" s="47" t="s">
        <v>10976</v>
      </c>
      <c r="E2680" s="47"/>
      <c r="F2680" s="47"/>
      <c r="G2680" s="47"/>
      <c r="H2680" s="47" t="s">
        <v>3605</v>
      </c>
      <c r="I2680" s="47" t="s">
        <v>10973</v>
      </c>
    </row>
    <row r="2681" spans="1:9" ht="15">
      <c r="A2681" s="47" t="s">
        <v>10977</v>
      </c>
      <c r="B2681" s="47" t="s">
        <v>10978</v>
      </c>
      <c r="C2681" s="47" t="s">
        <v>10979</v>
      </c>
      <c r="D2681" s="47" t="s">
        <v>10980</v>
      </c>
      <c r="E2681" s="47"/>
      <c r="F2681" s="47"/>
      <c r="G2681" s="47"/>
      <c r="H2681" s="47" t="s">
        <v>3605</v>
      </c>
      <c r="I2681" s="47" t="s">
        <v>10977</v>
      </c>
    </row>
    <row r="2682" spans="1:9" ht="15">
      <c r="A2682" s="47" t="s">
        <v>10981</v>
      </c>
      <c r="B2682" s="47" t="s">
        <v>10982</v>
      </c>
      <c r="C2682" s="47" t="s">
        <v>10983</v>
      </c>
      <c r="D2682" s="47" t="s">
        <v>10984</v>
      </c>
      <c r="E2682" s="47"/>
      <c r="F2682" s="47"/>
      <c r="G2682" s="47"/>
      <c r="H2682" s="47" t="s">
        <v>3605</v>
      </c>
      <c r="I2682" s="47" t="s">
        <v>10981</v>
      </c>
    </row>
    <row r="2683" spans="1:9" ht="15">
      <c r="A2683" s="47" t="s">
        <v>10985</v>
      </c>
      <c r="B2683" s="47" t="s">
        <v>10986</v>
      </c>
      <c r="C2683" s="47" t="s">
        <v>10987</v>
      </c>
      <c r="D2683" s="47" t="s">
        <v>10988</v>
      </c>
      <c r="E2683" s="47"/>
      <c r="F2683" s="47"/>
      <c r="G2683" s="47"/>
      <c r="H2683" s="47" t="s">
        <v>3605</v>
      </c>
      <c r="I2683" s="47" t="s">
        <v>10985</v>
      </c>
    </row>
    <row r="2684" spans="1:9" ht="15">
      <c r="A2684" s="47" t="s">
        <v>10989</v>
      </c>
      <c r="B2684" s="47" t="s">
        <v>10990</v>
      </c>
      <c r="C2684" s="47" t="s">
        <v>10991</v>
      </c>
      <c r="D2684" s="47" t="s">
        <v>10992</v>
      </c>
      <c r="E2684" s="47"/>
      <c r="F2684" s="47"/>
      <c r="G2684" s="47"/>
      <c r="H2684" s="47" t="s">
        <v>3605</v>
      </c>
      <c r="I2684" s="47" t="s">
        <v>10989</v>
      </c>
    </row>
    <row r="2685" spans="1:9" ht="15">
      <c r="A2685" s="47" t="s">
        <v>10993</v>
      </c>
      <c r="B2685" s="47" t="s">
        <v>10994</v>
      </c>
      <c r="C2685" s="47" t="s">
        <v>10995</v>
      </c>
      <c r="D2685" s="47" t="s">
        <v>10996</v>
      </c>
      <c r="E2685" s="47"/>
      <c r="F2685" s="47"/>
      <c r="G2685" s="47"/>
      <c r="H2685" s="47" t="s">
        <v>3605</v>
      </c>
      <c r="I2685" s="47" t="s">
        <v>10993</v>
      </c>
    </row>
    <row r="2686" spans="1:9" ht="15">
      <c r="A2686" s="47" t="s">
        <v>10997</v>
      </c>
      <c r="B2686" s="47" t="s">
        <v>10998</v>
      </c>
      <c r="C2686" s="47" t="s">
        <v>10999</v>
      </c>
      <c r="D2686" s="47" t="s">
        <v>11000</v>
      </c>
      <c r="E2686" s="47"/>
      <c r="F2686" s="47"/>
      <c r="G2686" s="47"/>
      <c r="H2686" s="47" t="s">
        <v>3605</v>
      </c>
      <c r="I2686" s="47" t="s">
        <v>10997</v>
      </c>
    </row>
    <row r="2687" spans="1:9" ht="15">
      <c r="A2687" s="47" t="s">
        <v>11001</v>
      </c>
      <c r="B2687" s="47" t="s">
        <v>11002</v>
      </c>
      <c r="C2687" s="47" t="s">
        <v>11003</v>
      </c>
      <c r="D2687" s="47" t="s">
        <v>11004</v>
      </c>
      <c r="E2687" s="47"/>
      <c r="F2687" s="47"/>
      <c r="G2687" s="47"/>
      <c r="H2687" s="47" t="s">
        <v>3605</v>
      </c>
      <c r="I2687" s="47" t="s">
        <v>11001</v>
      </c>
    </row>
    <row r="2688" spans="1:9" ht="15">
      <c r="A2688" s="47" t="s">
        <v>11005</v>
      </c>
      <c r="B2688" s="47" t="s">
        <v>11006</v>
      </c>
      <c r="C2688" s="47" t="s">
        <v>11007</v>
      </c>
      <c r="D2688" s="47" t="s">
        <v>11008</v>
      </c>
      <c r="E2688" s="47"/>
      <c r="F2688" s="47"/>
      <c r="G2688" s="47"/>
      <c r="H2688" s="47" t="s">
        <v>3605</v>
      </c>
      <c r="I2688" s="47" t="s">
        <v>11005</v>
      </c>
    </row>
    <row r="2689" spans="1:9" ht="15">
      <c r="A2689" s="47" t="s">
        <v>11009</v>
      </c>
      <c r="B2689" s="47" t="s">
        <v>11010</v>
      </c>
      <c r="C2689" s="47" t="s">
        <v>11011</v>
      </c>
      <c r="D2689" s="47" t="s">
        <v>11012</v>
      </c>
      <c r="E2689" s="47"/>
      <c r="F2689" s="47"/>
      <c r="G2689" s="47"/>
      <c r="H2689" s="47" t="s">
        <v>3605</v>
      </c>
      <c r="I2689" s="47" t="s">
        <v>11009</v>
      </c>
    </row>
    <row r="2690" spans="1:9" ht="15">
      <c r="A2690" s="47" t="s">
        <v>11013</v>
      </c>
      <c r="B2690" s="47" t="s">
        <v>11014</v>
      </c>
      <c r="C2690" s="47" t="s">
        <v>11015</v>
      </c>
      <c r="D2690" s="47" t="s">
        <v>11016</v>
      </c>
      <c r="E2690" s="47"/>
      <c r="F2690" s="47"/>
      <c r="G2690" s="47"/>
      <c r="H2690" s="47" t="s">
        <v>3605</v>
      </c>
      <c r="I2690" s="47" t="s">
        <v>11013</v>
      </c>
    </row>
    <row r="2691" spans="1:9" ht="15">
      <c r="A2691" s="47" t="s">
        <v>11017</v>
      </c>
      <c r="B2691" s="47" t="s">
        <v>11018</v>
      </c>
      <c r="C2691" s="47" t="s">
        <v>11019</v>
      </c>
      <c r="D2691" s="47" t="s">
        <v>11020</v>
      </c>
      <c r="E2691" s="47"/>
      <c r="F2691" s="47"/>
      <c r="G2691" s="47"/>
      <c r="H2691" s="47" t="s">
        <v>3605</v>
      </c>
      <c r="I2691" s="47" t="s">
        <v>11017</v>
      </c>
    </row>
    <row r="2692" spans="1:9" ht="15">
      <c r="A2692" s="47" t="s">
        <v>11021</v>
      </c>
      <c r="B2692" s="47" t="s">
        <v>11022</v>
      </c>
      <c r="C2692" s="47" t="s">
        <v>11023</v>
      </c>
      <c r="D2692" s="47" t="s">
        <v>11024</v>
      </c>
      <c r="E2692" s="47"/>
      <c r="F2692" s="47"/>
      <c r="G2692" s="47"/>
      <c r="H2692" s="47" t="s">
        <v>3605</v>
      </c>
      <c r="I2692" s="47" t="s">
        <v>11021</v>
      </c>
    </row>
    <row r="2693" spans="1:9" ht="15">
      <c r="A2693" s="47" t="s">
        <v>11025</v>
      </c>
      <c r="B2693" s="47" t="s">
        <v>11026</v>
      </c>
      <c r="C2693" s="47" t="s">
        <v>11027</v>
      </c>
      <c r="D2693" s="47" t="s">
        <v>11028</v>
      </c>
      <c r="E2693" s="47"/>
      <c r="F2693" s="47"/>
      <c r="G2693" s="47"/>
      <c r="H2693" s="47" t="s">
        <v>3605</v>
      </c>
      <c r="I2693" s="47" t="s">
        <v>11025</v>
      </c>
    </row>
    <row r="2694" spans="1:9" ht="15">
      <c r="A2694" s="47" t="s">
        <v>11029</v>
      </c>
      <c r="B2694" s="47" t="s">
        <v>11030</v>
      </c>
      <c r="C2694" s="47" t="s">
        <v>11031</v>
      </c>
      <c r="D2694" s="47" t="s">
        <v>11032</v>
      </c>
      <c r="E2694" s="47"/>
      <c r="F2694" s="47"/>
      <c r="G2694" s="47"/>
      <c r="H2694" s="47" t="s">
        <v>3605</v>
      </c>
      <c r="I2694" s="47" t="s">
        <v>11029</v>
      </c>
    </row>
    <row r="2695" spans="1:9" ht="15">
      <c r="A2695" s="47" t="s">
        <v>11033</v>
      </c>
      <c r="B2695" s="47" t="s">
        <v>11034</v>
      </c>
      <c r="C2695" s="47" t="s">
        <v>11035</v>
      </c>
      <c r="D2695" s="47" t="s">
        <v>11032</v>
      </c>
      <c r="E2695" s="47"/>
      <c r="F2695" s="47"/>
      <c r="G2695" s="47"/>
      <c r="H2695" s="47" t="s">
        <v>3605</v>
      </c>
      <c r="I2695" s="47" t="s">
        <v>11033</v>
      </c>
    </row>
    <row r="2696" spans="1:9" ht="15">
      <c r="A2696" s="47" t="s">
        <v>11036</v>
      </c>
      <c r="B2696" s="47" t="s">
        <v>11037</v>
      </c>
      <c r="C2696" s="47" t="s">
        <v>11038</v>
      </c>
      <c r="D2696" s="47" t="s">
        <v>11039</v>
      </c>
      <c r="E2696" s="47"/>
      <c r="F2696" s="47"/>
      <c r="G2696" s="47"/>
      <c r="H2696" s="47" t="s">
        <v>3605</v>
      </c>
      <c r="I2696" s="47" t="s">
        <v>11036</v>
      </c>
    </row>
    <row r="2697" spans="1:9" ht="15">
      <c r="A2697" s="47" t="s">
        <v>11040</v>
      </c>
      <c r="B2697" s="47" t="s">
        <v>11041</v>
      </c>
      <c r="C2697" s="47" t="s">
        <v>11042</v>
      </c>
      <c r="D2697" s="47" t="s">
        <v>11043</v>
      </c>
      <c r="E2697" s="47"/>
      <c r="F2697" s="47"/>
      <c r="G2697" s="47"/>
      <c r="H2697" s="47" t="s">
        <v>3605</v>
      </c>
      <c r="I2697" s="47" t="s">
        <v>11040</v>
      </c>
    </row>
    <row r="2698" spans="1:9" ht="15">
      <c r="A2698" s="47" t="s">
        <v>11044</v>
      </c>
      <c r="B2698" s="47" t="s">
        <v>11045</v>
      </c>
      <c r="C2698" s="47" t="s">
        <v>11046</v>
      </c>
      <c r="D2698" s="47" t="s">
        <v>11047</v>
      </c>
      <c r="E2698" s="47"/>
      <c r="F2698" s="47"/>
      <c r="G2698" s="47"/>
      <c r="H2698" s="47" t="s">
        <v>3605</v>
      </c>
      <c r="I2698" s="47" t="s">
        <v>11044</v>
      </c>
    </row>
    <row r="2699" spans="1:9" ht="15">
      <c r="A2699" s="47" t="s">
        <v>11048</v>
      </c>
      <c r="B2699" s="47" t="s">
        <v>11049</v>
      </c>
      <c r="C2699" s="47" t="s">
        <v>11050</v>
      </c>
      <c r="D2699" s="47" t="s">
        <v>11051</v>
      </c>
      <c r="E2699" s="47"/>
      <c r="F2699" s="47"/>
      <c r="G2699" s="47"/>
      <c r="H2699" s="47" t="s">
        <v>3605</v>
      </c>
      <c r="I2699" s="47" t="s">
        <v>11048</v>
      </c>
    </row>
    <row r="2700" spans="1:9" ht="15">
      <c r="A2700" s="47" t="s">
        <v>11052</v>
      </c>
      <c r="B2700" s="47" t="s">
        <v>11053</v>
      </c>
      <c r="C2700" s="47" t="s">
        <v>11054</v>
      </c>
      <c r="D2700" s="47" t="s">
        <v>11055</v>
      </c>
      <c r="E2700" s="47"/>
      <c r="F2700" s="47"/>
      <c r="G2700" s="47"/>
      <c r="H2700" s="47" t="s">
        <v>3605</v>
      </c>
      <c r="I2700" s="47" t="s">
        <v>11052</v>
      </c>
    </row>
    <row r="2701" spans="1:9" ht="15">
      <c r="A2701" s="47" t="s">
        <v>11056</v>
      </c>
      <c r="B2701" s="47" t="s">
        <v>11057</v>
      </c>
      <c r="C2701" s="47" t="s">
        <v>11058</v>
      </c>
      <c r="D2701" s="47" t="s">
        <v>11059</v>
      </c>
      <c r="E2701" s="47"/>
      <c r="F2701" s="47"/>
      <c r="G2701" s="47"/>
      <c r="H2701" s="47" t="s">
        <v>3605</v>
      </c>
      <c r="I2701" s="47" t="s">
        <v>11056</v>
      </c>
    </row>
    <row r="2702" spans="1:9" ht="15">
      <c r="A2702" s="47" t="s">
        <v>11060</v>
      </c>
      <c r="B2702" s="47" t="s">
        <v>11061</v>
      </c>
      <c r="C2702" s="47" t="s">
        <v>11062</v>
      </c>
      <c r="D2702" s="47" t="s">
        <v>11063</v>
      </c>
      <c r="E2702" s="47"/>
      <c r="F2702" s="47"/>
      <c r="G2702" s="47"/>
      <c r="H2702" s="47" t="s">
        <v>3605</v>
      </c>
      <c r="I2702" s="47" t="s">
        <v>11060</v>
      </c>
    </row>
    <row r="2703" spans="1:9" ht="15">
      <c r="A2703" s="47" t="s">
        <v>11064</v>
      </c>
      <c r="B2703" s="47" t="s">
        <v>11065</v>
      </c>
      <c r="C2703" s="47" t="s">
        <v>11066</v>
      </c>
      <c r="D2703" s="47" t="s">
        <v>11067</v>
      </c>
      <c r="E2703" s="47"/>
      <c r="F2703" s="47"/>
      <c r="G2703" s="47"/>
      <c r="H2703" s="47" t="s">
        <v>3605</v>
      </c>
      <c r="I2703" s="47" t="s">
        <v>11064</v>
      </c>
    </row>
    <row r="2704" spans="1:9" ht="15">
      <c r="A2704" s="47" t="s">
        <v>11068</v>
      </c>
      <c r="B2704" s="47" t="s">
        <v>11069</v>
      </c>
      <c r="C2704" s="47" t="s">
        <v>11070</v>
      </c>
      <c r="D2704" s="47" t="s">
        <v>11071</v>
      </c>
      <c r="E2704" s="47"/>
      <c r="F2704" s="47"/>
      <c r="G2704" s="47"/>
      <c r="H2704" s="47" t="s">
        <v>3605</v>
      </c>
      <c r="I2704" s="47" t="s">
        <v>11068</v>
      </c>
    </row>
    <row r="2705" spans="1:9" ht="15">
      <c r="A2705" s="47" t="s">
        <v>11072</v>
      </c>
      <c r="B2705" s="47" t="s">
        <v>11073</v>
      </c>
      <c r="C2705" s="47" t="s">
        <v>11074</v>
      </c>
      <c r="D2705" s="47" t="s">
        <v>10395</v>
      </c>
      <c r="E2705" s="47"/>
      <c r="F2705" s="47"/>
      <c r="G2705" s="47"/>
      <c r="H2705" s="47" t="s">
        <v>3605</v>
      </c>
      <c r="I2705" s="47" t="s">
        <v>11072</v>
      </c>
    </row>
    <row r="2706" spans="1:9" ht="15">
      <c r="A2706" s="47" t="s">
        <v>11075</v>
      </c>
      <c r="B2706" s="47" t="s">
        <v>11076</v>
      </c>
      <c r="C2706" s="47" t="s">
        <v>11077</v>
      </c>
      <c r="D2706" s="47" t="s">
        <v>11078</v>
      </c>
      <c r="E2706" s="47"/>
      <c r="F2706" s="47"/>
      <c r="G2706" s="47"/>
      <c r="H2706" s="47" t="s">
        <v>3605</v>
      </c>
      <c r="I2706" s="47" t="s">
        <v>11075</v>
      </c>
    </row>
    <row r="2707" spans="1:9" ht="15">
      <c r="A2707" s="47" t="s">
        <v>11079</v>
      </c>
      <c r="B2707" s="47" t="s">
        <v>11080</v>
      </c>
      <c r="C2707" s="47" t="s">
        <v>11081</v>
      </c>
      <c r="D2707" s="47" t="s">
        <v>11082</v>
      </c>
      <c r="E2707" s="47"/>
      <c r="F2707" s="47" t="s">
        <v>4253</v>
      </c>
      <c r="G2707" s="47" t="s">
        <v>4254</v>
      </c>
      <c r="H2707" s="47" t="s">
        <v>3605</v>
      </c>
      <c r="I2707" s="47" t="s">
        <v>11079</v>
      </c>
    </row>
    <row r="2708" spans="1:9" ht="15">
      <c r="A2708" s="47" t="s">
        <v>11083</v>
      </c>
      <c r="B2708" s="47" t="s">
        <v>5357</v>
      </c>
      <c r="C2708" s="47" t="s">
        <v>11084</v>
      </c>
      <c r="D2708" s="47" t="s">
        <v>11085</v>
      </c>
      <c r="E2708" s="47"/>
      <c r="F2708" s="47"/>
      <c r="G2708" s="47"/>
      <c r="H2708" s="47" t="s">
        <v>3605</v>
      </c>
      <c r="I2708" s="47" t="s">
        <v>11083</v>
      </c>
    </row>
    <row r="2709" spans="1:9" ht="15">
      <c r="A2709" s="47" t="s">
        <v>11086</v>
      </c>
      <c r="B2709" s="47" t="s">
        <v>11087</v>
      </c>
      <c r="C2709" s="47" t="s">
        <v>11088</v>
      </c>
      <c r="D2709" s="47" t="s">
        <v>11089</v>
      </c>
      <c r="E2709" s="47"/>
      <c r="F2709" s="47" t="s">
        <v>4253</v>
      </c>
      <c r="G2709" s="47" t="s">
        <v>4254</v>
      </c>
      <c r="H2709" s="47" t="s">
        <v>3605</v>
      </c>
      <c r="I2709" s="47" t="s">
        <v>11086</v>
      </c>
    </row>
    <row r="2710" spans="1:9" ht="15">
      <c r="A2710" s="47" t="s">
        <v>11090</v>
      </c>
      <c r="B2710" s="47" t="s">
        <v>11091</v>
      </c>
      <c r="C2710" s="47" t="s">
        <v>11092</v>
      </c>
      <c r="D2710" s="47" t="s">
        <v>11093</v>
      </c>
      <c r="E2710" s="47"/>
      <c r="F2710" s="47"/>
      <c r="G2710" s="47"/>
      <c r="H2710" s="47" t="s">
        <v>3605</v>
      </c>
      <c r="I2710" s="47" t="s">
        <v>11090</v>
      </c>
    </row>
    <row r="2711" spans="1:9" ht="15">
      <c r="A2711" s="47" t="s">
        <v>11094</v>
      </c>
      <c r="B2711" s="47" t="s">
        <v>11095</v>
      </c>
      <c r="C2711" s="47" t="s">
        <v>11096</v>
      </c>
      <c r="D2711" s="47" t="s">
        <v>11097</v>
      </c>
      <c r="E2711" s="47"/>
      <c r="F2711" s="47" t="s">
        <v>4253</v>
      </c>
      <c r="G2711" s="47" t="s">
        <v>4254</v>
      </c>
      <c r="H2711" s="47" t="s">
        <v>3605</v>
      </c>
      <c r="I2711" s="47" t="s">
        <v>11094</v>
      </c>
    </row>
    <row r="2712" spans="1:9" ht="15">
      <c r="A2712" s="47" t="s">
        <v>2159</v>
      </c>
      <c r="B2712" s="47" t="s">
        <v>2160</v>
      </c>
      <c r="C2712" s="47" t="s">
        <v>11098</v>
      </c>
      <c r="D2712" s="47" t="s">
        <v>11099</v>
      </c>
      <c r="E2712" s="47"/>
      <c r="F2712" s="47"/>
      <c r="G2712" s="47"/>
      <c r="H2712" s="47" t="s">
        <v>3605</v>
      </c>
      <c r="I2712" s="47" t="s">
        <v>2159</v>
      </c>
    </row>
    <row r="2713" spans="1:9" ht="15">
      <c r="A2713" s="47" t="s">
        <v>11100</v>
      </c>
      <c r="B2713" s="47" t="s">
        <v>11101</v>
      </c>
      <c r="C2713" s="47" t="s">
        <v>11102</v>
      </c>
      <c r="D2713" s="47" t="s">
        <v>11103</v>
      </c>
      <c r="E2713" s="47"/>
      <c r="F2713" s="47"/>
      <c r="G2713" s="47"/>
      <c r="H2713" s="47" t="s">
        <v>3605</v>
      </c>
      <c r="I2713" s="47" t="s">
        <v>11100</v>
      </c>
    </row>
    <row r="2714" spans="1:9" ht="15">
      <c r="A2714" s="47" t="s">
        <v>11104</v>
      </c>
      <c r="B2714" s="47" t="s">
        <v>11105</v>
      </c>
      <c r="C2714" s="47" t="s">
        <v>11106</v>
      </c>
      <c r="D2714" s="47" t="s">
        <v>11107</v>
      </c>
      <c r="E2714" s="47"/>
      <c r="F2714" s="47"/>
      <c r="G2714" s="47"/>
      <c r="H2714" s="47" t="s">
        <v>3605</v>
      </c>
      <c r="I2714" s="47" t="s">
        <v>11104</v>
      </c>
    </row>
    <row r="2715" spans="1:9" ht="15">
      <c r="A2715" s="47" t="s">
        <v>11108</v>
      </c>
      <c r="B2715" s="47" t="s">
        <v>11109</v>
      </c>
      <c r="C2715" s="47" t="s">
        <v>11110</v>
      </c>
      <c r="D2715" s="47" t="s">
        <v>11111</v>
      </c>
      <c r="E2715" s="47"/>
      <c r="F2715" s="47" t="s">
        <v>6426</v>
      </c>
      <c r="G2715" s="47" t="s">
        <v>6427</v>
      </c>
      <c r="H2715" s="47" t="s">
        <v>3605</v>
      </c>
      <c r="I2715" s="47" t="s">
        <v>11108</v>
      </c>
    </row>
    <row r="2716" spans="1:9" ht="15">
      <c r="A2716" s="47" t="s">
        <v>11112</v>
      </c>
      <c r="B2716" s="47" t="s">
        <v>11113</v>
      </c>
      <c r="C2716" s="47" t="s">
        <v>11114</v>
      </c>
      <c r="D2716" s="47" t="s">
        <v>11115</v>
      </c>
      <c r="E2716" s="47"/>
      <c r="F2716" s="47"/>
      <c r="G2716" s="47"/>
      <c r="H2716" s="47" t="s">
        <v>3605</v>
      </c>
      <c r="I2716" s="47" t="s">
        <v>11112</v>
      </c>
    </row>
    <row r="2717" spans="1:9" ht="15">
      <c r="A2717" s="47" t="s">
        <v>11116</v>
      </c>
      <c r="B2717" s="47" t="s">
        <v>11117</v>
      </c>
      <c r="C2717" s="47" t="s">
        <v>11118</v>
      </c>
      <c r="D2717" s="47" t="s">
        <v>11119</v>
      </c>
      <c r="E2717" s="47"/>
      <c r="F2717" s="47" t="s">
        <v>6426</v>
      </c>
      <c r="G2717" s="47" t="s">
        <v>6427</v>
      </c>
      <c r="H2717" s="47" t="s">
        <v>3605</v>
      </c>
      <c r="I2717" s="47" t="s">
        <v>11116</v>
      </c>
    </row>
    <row r="2718" spans="1:9" ht="15">
      <c r="A2718" s="47" t="s">
        <v>11120</v>
      </c>
      <c r="B2718" s="47" t="s">
        <v>11121</v>
      </c>
      <c r="C2718" s="47" t="s">
        <v>11122</v>
      </c>
      <c r="D2718" s="47" t="s">
        <v>11123</v>
      </c>
      <c r="E2718" s="47"/>
      <c r="F2718" s="47" t="s">
        <v>4253</v>
      </c>
      <c r="G2718" s="47" t="s">
        <v>4254</v>
      </c>
      <c r="H2718" s="47" t="s">
        <v>3605</v>
      </c>
      <c r="I2718" s="47" t="s">
        <v>11120</v>
      </c>
    </row>
    <row r="2719" spans="1:9" ht="15">
      <c r="A2719" s="47" t="s">
        <v>11124</v>
      </c>
      <c r="B2719" s="47" t="s">
        <v>11125</v>
      </c>
      <c r="C2719" s="47" t="s">
        <v>11126</v>
      </c>
      <c r="D2719" s="47" t="s">
        <v>11127</v>
      </c>
      <c r="E2719" s="47"/>
      <c r="F2719" s="47" t="s">
        <v>6426</v>
      </c>
      <c r="G2719" s="47" t="s">
        <v>6427</v>
      </c>
      <c r="H2719" s="47" t="s">
        <v>3605</v>
      </c>
      <c r="I2719" s="47" t="s">
        <v>11124</v>
      </c>
    </row>
    <row r="2720" spans="1:9" ht="15">
      <c r="A2720" s="47" t="s">
        <v>11128</v>
      </c>
      <c r="B2720" s="47" t="s">
        <v>11129</v>
      </c>
      <c r="C2720" s="47" t="s">
        <v>11130</v>
      </c>
      <c r="D2720" s="47" t="s">
        <v>11131</v>
      </c>
      <c r="E2720" s="47"/>
      <c r="F2720" s="47" t="s">
        <v>6426</v>
      </c>
      <c r="G2720" s="47" t="s">
        <v>6427</v>
      </c>
      <c r="H2720" s="47" t="s">
        <v>3605</v>
      </c>
      <c r="I2720" s="47" t="s">
        <v>11128</v>
      </c>
    </row>
    <row r="2721" spans="1:9" ht="15">
      <c r="A2721" s="47" t="s">
        <v>2163</v>
      </c>
      <c r="B2721" s="47" t="s">
        <v>2164</v>
      </c>
      <c r="C2721" s="47" t="s">
        <v>11132</v>
      </c>
      <c r="D2721" s="47" t="s">
        <v>11133</v>
      </c>
      <c r="E2721" s="47"/>
      <c r="F2721" s="47"/>
      <c r="G2721" s="47"/>
      <c r="H2721" s="47" t="s">
        <v>3605</v>
      </c>
      <c r="I2721" s="47" t="s">
        <v>2163</v>
      </c>
    </row>
    <row r="2722" spans="1:9" ht="15">
      <c r="A2722" s="47" t="s">
        <v>11134</v>
      </c>
      <c r="B2722" s="47" t="s">
        <v>11135</v>
      </c>
      <c r="C2722" s="47" t="s">
        <v>11136</v>
      </c>
      <c r="D2722" s="47" t="s">
        <v>11137</v>
      </c>
      <c r="E2722" s="47"/>
      <c r="F2722" s="47"/>
      <c r="G2722" s="47"/>
      <c r="H2722" s="47" t="s">
        <v>3605</v>
      </c>
      <c r="I2722" s="47" t="s">
        <v>11134</v>
      </c>
    </row>
    <row r="2723" spans="1:9" ht="15">
      <c r="A2723" s="47" t="s">
        <v>11138</v>
      </c>
      <c r="B2723" s="47" t="s">
        <v>11139</v>
      </c>
      <c r="C2723" s="47" t="s">
        <v>11140</v>
      </c>
      <c r="D2723" s="47" t="s">
        <v>11141</v>
      </c>
      <c r="E2723" s="47"/>
      <c r="F2723" s="47" t="s">
        <v>4253</v>
      </c>
      <c r="G2723" s="47" t="s">
        <v>4254</v>
      </c>
      <c r="H2723" s="47" t="s">
        <v>3605</v>
      </c>
      <c r="I2723" s="47" t="s">
        <v>11138</v>
      </c>
    </row>
    <row r="2724" spans="1:9" ht="15">
      <c r="A2724" s="47" t="s">
        <v>11142</v>
      </c>
      <c r="B2724" s="47" t="s">
        <v>11143</v>
      </c>
      <c r="C2724" s="47" t="s">
        <v>11144</v>
      </c>
      <c r="D2724" s="47" t="s">
        <v>11145</v>
      </c>
      <c r="E2724" s="47"/>
      <c r="F2724" s="47"/>
      <c r="G2724" s="47"/>
      <c r="H2724" s="47" t="s">
        <v>3605</v>
      </c>
      <c r="I2724" s="47" t="s">
        <v>11142</v>
      </c>
    </row>
    <row r="2725" spans="1:9" ht="15">
      <c r="A2725" s="47" t="s">
        <v>11146</v>
      </c>
      <c r="B2725" s="47" t="s">
        <v>11147</v>
      </c>
      <c r="C2725" s="47" t="s">
        <v>11148</v>
      </c>
      <c r="D2725" s="47" t="s">
        <v>11149</v>
      </c>
      <c r="E2725" s="47"/>
      <c r="F2725" s="47"/>
      <c r="G2725" s="47"/>
      <c r="H2725" s="47" t="s">
        <v>3605</v>
      </c>
      <c r="I2725" s="47" t="s">
        <v>11146</v>
      </c>
    </row>
    <row r="2726" spans="1:9" ht="15">
      <c r="A2726" s="47" t="s">
        <v>11150</v>
      </c>
      <c r="B2726" s="47" t="s">
        <v>11151</v>
      </c>
      <c r="C2726" s="47" t="s">
        <v>11152</v>
      </c>
      <c r="D2726" s="47" t="s">
        <v>11153</v>
      </c>
      <c r="E2726" s="47"/>
      <c r="F2726" s="47"/>
      <c r="G2726" s="47"/>
      <c r="H2726" s="47" t="s">
        <v>3605</v>
      </c>
      <c r="I2726" s="47" t="s">
        <v>11150</v>
      </c>
    </row>
    <row r="2727" spans="1:9" ht="15">
      <c r="A2727" s="47" t="s">
        <v>11154</v>
      </c>
      <c r="B2727" s="47" t="s">
        <v>11155</v>
      </c>
      <c r="C2727" s="47" t="s">
        <v>11156</v>
      </c>
      <c r="D2727" s="47" t="s">
        <v>11157</v>
      </c>
      <c r="E2727" s="47"/>
      <c r="F2727" s="47" t="s">
        <v>6426</v>
      </c>
      <c r="G2727" s="47" t="s">
        <v>6427</v>
      </c>
      <c r="H2727" s="47" t="s">
        <v>3605</v>
      </c>
      <c r="I2727" s="47" t="s">
        <v>11154</v>
      </c>
    </row>
    <row r="2728" spans="1:9" ht="15">
      <c r="A2728" s="47" t="s">
        <v>11158</v>
      </c>
      <c r="B2728" s="47" t="s">
        <v>11159</v>
      </c>
      <c r="C2728" s="47" t="s">
        <v>11160</v>
      </c>
      <c r="D2728" s="47" t="s">
        <v>11161</v>
      </c>
      <c r="E2728" s="47"/>
      <c r="F2728" s="47"/>
      <c r="G2728" s="47"/>
      <c r="H2728" s="47" t="s">
        <v>3605</v>
      </c>
      <c r="I2728" s="47" t="s">
        <v>11158</v>
      </c>
    </row>
    <row r="2729" spans="1:9" ht="15">
      <c r="A2729" s="47" t="s">
        <v>11162</v>
      </c>
      <c r="B2729" s="47" t="s">
        <v>11163</v>
      </c>
      <c r="C2729" s="47" t="s">
        <v>11164</v>
      </c>
      <c r="D2729" s="47" t="s">
        <v>11165</v>
      </c>
      <c r="E2729" s="47"/>
      <c r="F2729" s="47"/>
      <c r="G2729" s="47"/>
      <c r="H2729" s="47" t="s">
        <v>3605</v>
      </c>
      <c r="I2729" s="47" t="s">
        <v>11162</v>
      </c>
    </row>
    <row r="2730" spans="1:9" ht="15">
      <c r="A2730" s="47" t="s">
        <v>11166</v>
      </c>
      <c r="B2730" s="47" t="s">
        <v>11167</v>
      </c>
      <c r="C2730" s="47" t="s">
        <v>11168</v>
      </c>
      <c r="D2730" s="47" t="s">
        <v>11169</v>
      </c>
      <c r="E2730" s="47"/>
      <c r="F2730" s="47"/>
      <c r="G2730" s="47"/>
      <c r="H2730" s="47" t="s">
        <v>3605</v>
      </c>
      <c r="I2730" s="47" t="s">
        <v>11166</v>
      </c>
    </row>
    <row r="2731" spans="1:9" ht="15">
      <c r="A2731" s="47" t="s">
        <v>11170</v>
      </c>
      <c r="B2731" s="47" t="s">
        <v>11171</v>
      </c>
      <c r="C2731" s="47" t="s">
        <v>11172</v>
      </c>
      <c r="D2731" s="47" t="s">
        <v>11173</v>
      </c>
      <c r="E2731" s="47"/>
      <c r="F2731" s="47"/>
      <c r="G2731" s="47"/>
      <c r="H2731" s="47" t="s">
        <v>3605</v>
      </c>
      <c r="I2731" s="47" t="s">
        <v>11170</v>
      </c>
    </row>
    <row r="2732" spans="1:9" ht="15">
      <c r="A2732" s="47" t="s">
        <v>11174</v>
      </c>
      <c r="B2732" s="47" t="s">
        <v>11175</v>
      </c>
      <c r="C2732" s="47" t="s">
        <v>11176</v>
      </c>
      <c r="D2732" s="47" t="s">
        <v>11177</v>
      </c>
      <c r="E2732" s="47"/>
      <c r="F2732" s="47"/>
      <c r="G2732" s="47"/>
      <c r="H2732" s="47" t="s">
        <v>3605</v>
      </c>
      <c r="I2732" s="47" t="s">
        <v>11174</v>
      </c>
    </row>
    <row r="2733" spans="1:9" ht="15">
      <c r="A2733" s="47" t="s">
        <v>11178</v>
      </c>
      <c r="B2733" s="47" t="s">
        <v>11179</v>
      </c>
      <c r="C2733" s="47" t="s">
        <v>11180</v>
      </c>
      <c r="D2733" s="47" t="s">
        <v>11181</v>
      </c>
      <c r="E2733" s="47"/>
      <c r="F2733" s="47"/>
      <c r="G2733" s="47"/>
      <c r="H2733" s="47" t="s">
        <v>3605</v>
      </c>
      <c r="I2733" s="47" t="s">
        <v>11178</v>
      </c>
    </row>
    <row r="2734" spans="1:9" ht="15">
      <c r="A2734" s="47" t="s">
        <v>11182</v>
      </c>
      <c r="B2734" s="47" t="s">
        <v>11183</v>
      </c>
      <c r="C2734" s="47" t="s">
        <v>11184</v>
      </c>
      <c r="D2734" s="47" t="s">
        <v>11185</v>
      </c>
      <c r="E2734" s="47"/>
      <c r="F2734" s="47"/>
      <c r="G2734" s="47"/>
      <c r="H2734" s="47" t="s">
        <v>3605</v>
      </c>
      <c r="I2734" s="47" t="s">
        <v>11182</v>
      </c>
    </row>
    <row r="2735" spans="1:9" ht="15">
      <c r="A2735" s="47" t="s">
        <v>11186</v>
      </c>
      <c r="B2735" s="47" t="s">
        <v>11187</v>
      </c>
      <c r="C2735" s="47" t="s">
        <v>11188</v>
      </c>
      <c r="D2735" s="47" t="s">
        <v>11189</v>
      </c>
      <c r="E2735" s="47"/>
      <c r="F2735" s="47"/>
      <c r="G2735" s="47"/>
      <c r="H2735" s="47" t="s">
        <v>3605</v>
      </c>
      <c r="I2735" s="47" t="s">
        <v>11186</v>
      </c>
    </row>
    <row r="2736" spans="1:9" ht="15">
      <c r="A2736" s="47" t="s">
        <v>11190</v>
      </c>
      <c r="B2736" s="47" t="s">
        <v>11191</v>
      </c>
      <c r="C2736" s="47" t="s">
        <v>11192</v>
      </c>
      <c r="D2736" s="47" t="s">
        <v>11193</v>
      </c>
      <c r="E2736" s="47"/>
      <c r="F2736" s="47"/>
      <c r="G2736" s="47"/>
      <c r="H2736" s="47" t="s">
        <v>3605</v>
      </c>
      <c r="I2736" s="47" t="s">
        <v>11190</v>
      </c>
    </row>
    <row r="2737" spans="1:9" ht="15">
      <c r="A2737" s="47" t="s">
        <v>11194</v>
      </c>
      <c r="B2737" s="47" t="s">
        <v>11195</v>
      </c>
      <c r="C2737" s="47" t="s">
        <v>11196</v>
      </c>
      <c r="D2737" s="47" t="s">
        <v>11197</v>
      </c>
      <c r="E2737" s="47"/>
      <c r="F2737" s="47"/>
      <c r="G2737" s="47"/>
      <c r="H2737" s="47" t="s">
        <v>3605</v>
      </c>
      <c r="I2737" s="47" t="s">
        <v>11194</v>
      </c>
    </row>
    <row r="2738" spans="1:9" ht="15">
      <c r="A2738" s="47" t="s">
        <v>11198</v>
      </c>
      <c r="B2738" s="47" t="s">
        <v>11199</v>
      </c>
      <c r="C2738" s="47" t="s">
        <v>11200</v>
      </c>
      <c r="D2738" s="47" t="s">
        <v>11201</v>
      </c>
      <c r="E2738" s="47"/>
      <c r="F2738" s="47"/>
      <c r="G2738" s="47"/>
      <c r="H2738" s="47" t="s">
        <v>3605</v>
      </c>
      <c r="I2738" s="47" t="s">
        <v>11198</v>
      </c>
    </row>
    <row r="2739" spans="1:9" ht="15">
      <c r="A2739" s="47" t="s">
        <v>11202</v>
      </c>
      <c r="B2739" s="47" t="s">
        <v>11203</v>
      </c>
      <c r="C2739" s="47" t="s">
        <v>11204</v>
      </c>
      <c r="D2739" s="47" t="s">
        <v>11205</v>
      </c>
      <c r="E2739" s="47"/>
      <c r="F2739" s="47"/>
      <c r="G2739" s="47"/>
      <c r="H2739" s="47" t="s">
        <v>3605</v>
      </c>
      <c r="I2739" s="47" t="s">
        <v>11202</v>
      </c>
    </row>
    <row r="2740" spans="1:9" ht="15">
      <c r="A2740" s="47" t="s">
        <v>11206</v>
      </c>
      <c r="B2740" s="47" t="s">
        <v>11207</v>
      </c>
      <c r="C2740" s="47" t="s">
        <v>11208</v>
      </c>
      <c r="D2740" s="47" t="s">
        <v>11209</v>
      </c>
      <c r="E2740" s="47"/>
      <c r="F2740" s="47"/>
      <c r="G2740" s="47"/>
      <c r="H2740" s="47" t="s">
        <v>3605</v>
      </c>
      <c r="I2740" s="47" t="s">
        <v>11206</v>
      </c>
    </row>
    <row r="2741" spans="1:9" ht="15">
      <c r="A2741" s="47" t="s">
        <v>11210</v>
      </c>
      <c r="B2741" s="47" t="s">
        <v>11211</v>
      </c>
      <c r="C2741" s="47" t="s">
        <v>11212</v>
      </c>
      <c r="D2741" s="47" t="s">
        <v>11213</v>
      </c>
      <c r="E2741" s="47"/>
      <c r="F2741" s="47"/>
      <c r="G2741" s="47"/>
      <c r="H2741" s="47" t="s">
        <v>3605</v>
      </c>
      <c r="I2741" s="47" t="s">
        <v>11210</v>
      </c>
    </row>
    <row r="2742" spans="1:9" ht="15">
      <c r="A2742" s="47" t="s">
        <v>11214</v>
      </c>
      <c r="B2742" s="47" t="s">
        <v>11215</v>
      </c>
      <c r="C2742" s="47" t="s">
        <v>11216</v>
      </c>
      <c r="D2742" s="47" t="s">
        <v>11217</v>
      </c>
      <c r="E2742" s="47"/>
      <c r="F2742" s="47"/>
      <c r="G2742" s="47"/>
      <c r="H2742" s="47" t="s">
        <v>3605</v>
      </c>
      <c r="I2742" s="47" t="s">
        <v>11214</v>
      </c>
    </row>
    <row r="2743" spans="1:9" ht="15">
      <c r="A2743" s="47" t="s">
        <v>11218</v>
      </c>
      <c r="B2743" s="47" t="s">
        <v>11219</v>
      </c>
      <c r="C2743" s="47" t="s">
        <v>11220</v>
      </c>
      <c r="D2743" s="47" t="s">
        <v>11221</v>
      </c>
      <c r="E2743" s="47"/>
      <c r="F2743" s="47"/>
      <c r="G2743" s="47"/>
      <c r="H2743" s="47" t="s">
        <v>3605</v>
      </c>
      <c r="I2743" s="47" t="s">
        <v>11218</v>
      </c>
    </row>
    <row r="2744" spans="1:9" ht="15">
      <c r="A2744" s="47" t="s">
        <v>2486</v>
      </c>
      <c r="B2744" s="47" t="s">
        <v>11222</v>
      </c>
      <c r="C2744" s="47" t="s">
        <v>11223</v>
      </c>
      <c r="D2744" s="47" t="s">
        <v>11224</v>
      </c>
      <c r="E2744" s="47"/>
      <c r="F2744" s="47"/>
      <c r="G2744" s="47"/>
      <c r="H2744" s="47" t="s">
        <v>3605</v>
      </c>
      <c r="I2744" s="47" t="s">
        <v>2486</v>
      </c>
    </row>
    <row r="2745" spans="1:9" ht="15">
      <c r="A2745" s="47" t="s">
        <v>2488</v>
      </c>
      <c r="B2745" s="47" t="s">
        <v>11225</v>
      </c>
      <c r="C2745" s="47" t="s">
        <v>11226</v>
      </c>
      <c r="D2745" s="47" t="s">
        <v>11227</v>
      </c>
      <c r="E2745" s="47"/>
      <c r="F2745" s="47"/>
      <c r="G2745" s="47"/>
      <c r="H2745" s="47" t="s">
        <v>3605</v>
      </c>
      <c r="I2745" s="47" t="s">
        <v>2488</v>
      </c>
    </row>
    <row r="2746" spans="1:9" ht="15">
      <c r="A2746" s="47" t="s">
        <v>11228</v>
      </c>
      <c r="B2746" s="47" t="s">
        <v>11229</v>
      </c>
      <c r="C2746" s="47" t="s">
        <v>11230</v>
      </c>
      <c r="D2746" s="47" t="s">
        <v>11231</v>
      </c>
      <c r="E2746" s="47"/>
      <c r="F2746" s="47"/>
      <c r="G2746" s="47"/>
      <c r="H2746" s="47" t="s">
        <v>3605</v>
      </c>
      <c r="I2746" s="47" t="s">
        <v>11228</v>
      </c>
    </row>
    <row r="2747" spans="1:9" ht="15">
      <c r="A2747" s="47" t="s">
        <v>11232</v>
      </c>
      <c r="B2747" s="47" t="s">
        <v>11233</v>
      </c>
      <c r="C2747" s="47" t="s">
        <v>11234</v>
      </c>
      <c r="D2747" s="47" t="s">
        <v>11235</v>
      </c>
      <c r="E2747" s="47"/>
      <c r="F2747" s="47"/>
      <c r="G2747" s="47"/>
      <c r="H2747" s="47" t="s">
        <v>3605</v>
      </c>
      <c r="I2747" s="47" t="s">
        <v>11232</v>
      </c>
    </row>
    <row r="2748" spans="1:9" ht="15">
      <c r="A2748" s="47" t="s">
        <v>11236</v>
      </c>
      <c r="B2748" s="47" t="s">
        <v>11237</v>
      </c>
      <c r="C2748" s="47" t="s">
        <v>11238</v>
      </c>
      <c r="D2748" s="47" t="s">
        <v>11239</v>
      </c>
      <c r="E2748" s="47"/>
      <c r="F2748" s="47" t="s">
        <v>4253</v>
      </c>
      <c r="G2748" s="47" t="s">
        <v>4254</v>
      </c>
      <c r="H2748" s="47" t="s">
        <v>3605</v>
      </c>
      <c r="I2748" s="47" t="s">
        <v>11236</v>
      </c>
    </row>
    <row r="2749" spans="1:9" ht="15">
      <c r="A2749" s="47" t="s">
        <v>11240</v>
      </c>
      <c r="B2749" s="47" t="s">
        <v>11241</v>
      </c>
      <c r="C2749" s="47" t="s">
        <v>11242</v>
      </c>
      <c r="D2749" s="47" t="s">
        <v>11243</v>
      </c>
      <c r="E2749" s="47"/>
      <c r="F2749" s="47" t="s">
        <v>4253</v>
      </c>
      <c r="G2749" s="47" t="s">
        <v>4254</v>
      </c>
      <c r="H2749" s="47" t="s">
        <v>3605</v>
      </c>
      <c r="I2749" s="47" t="s">
        <v>11240</v>
      </c>
    </row>
    <row r="2750" spans="1:9" ht="15">
      <c r="A2750" s="47" t="s">
        <v>11244</v>
      </c>
      <c r="B2750" s="47" t="s">
        <v>11245</v>
      </c>
      <c r="C2750" s="47" t="s">
        <v>11246</v>
      </c>
      <c r="D2750" s="47" t="s">
        <v>11247</v>
      </c>
      <c r="E2750" s="47"/>
      <c r="F2750" s="47"/>
      <c r="G2750" s="47"/>
      <c r="H2750" s="47" t="s">
        <v>3605</v>
      </c>
      <c r="I2750" s="47" t="s">
        <v>11244</v>
      </c>
    </row>
    <row r="2751" spans="1:9" ht="15">
      <c r="A2751" s="47" t="s">
        <v>11248</v>
      </c>
      <c r="B2751" s="47" t="s">
        <v>11249</v>
      </c>
      <c r="C2751" s="47" t="s">
        <v>11250</v>
      </c>
      <c r="D2751" s="47" t="s">
        <v>11247</v>
      </c>
      <c r="E2751" s="47"/>
      <c r="F2751" s="47"/>
      <c r="G2751" s="47"/>
      <c r="H2751" s="47" t="s">
        <v>3605</v>
      </c>
      <c r="I2751" s="47" t="s">
        <v>11248</v>
      </c>
    </row>
    <row r="2752" spans="1:9" ht="15">
      <c r="A2752" s="47" t="s">
        <v>11251</v>
      </c>
      <c r="B2752" s="47" t="s">
        <v>11252</v>
      </c>
      <c r="C2752" s="47" t="s">
        <v>11253</v>
      </c>
      <c r="D2752" s="47" t="s">
        <v>11254</v>
      </c>
      <c r="E2752" s="47"/>
      <c r="F2752" s="47" t="s">
        <v>6426</v>
      </c>
      <c r="G2752" s="47" t="s">
        <v>6427</v>
      </c>
      <c r="H2752" s="47" t="s">
        <v>3605</v>
      </c>
      <c r="I2752" s="47" t="s">
        <v>11251</v>
      </c>
    </row>
    <row r="2753" spans="1:9" ht="15">
      <c r="A2753" s="47" t="s">
        <v>11255</v>
      </c>
      <c r="B2753" s="47" t="s">
        <v>11256</v>
      </c>
      <c r="C2753" s="47" t="s">
        <v>11257</v>
      </c>
      <c r="D2753" s="47" t="s">
        <v>11258</v>
      </c>
      <c r="E2753" s="47"/>
      <c r="F2753" s="47" t="s">
        <v>6426</v>
      </c>
      <c r="G2753" s="47" t="s">
        <v>6427</v>
      </c>
      <c r="H2753" s="47" t="s">
        <v>3605</v>
      </c>
      <c r="I2753" s="47" t="s">
        <v>11255</v>
      </c>
    </row>
    <row r="2754" spans="1:9" ht="15">
      <c r="A2754" s="47" t="s">
        <v>11259</v>
      </c>
      <c r="B2754" s="47" t="s">
        <v>11260</v>
      </c>
      <c r="C2754" s="47" t="s">
        <v>11261</v>
      </c>
      <c r="D2754" s="47" t="s">
        <v>11262</v>
      </c>
      <c r="E2754" s="47"/>
      <c r="F2754" s="47" t="s">
        <v>6426</v>
      </c>
      <c r="G2754" s="47" t="s">
        <v>6427</v>
      </c>
      <c r="H2754" s="47" t="s">
        <v>3605</v>
      </c>
      <c r="I2754" s="47" t="s">
        <v>11259</v>
      </c>
    </row>
    <row r="2755" spans="1:9" ht="15">
      <c r="A2755" s="47" t="s">
        <v>11263</v>
      </c>
      <c r="B2755" s="47" t="s">
        <v>11264</v>
      </c>
      <c r="C2755" s="47" t="s">
        <v>11265</v>
      </c>
      <c r="D2755" s="47" t="s">
        <v>11266</v>
      </c>
      <c r="E2755" s="47"/>
      <c r="F2755" s="47" t="s">
        <v>6426</v>
      </c>
      <c r="G2755" s="47" t="s">
        <v>6427</v>
      </c>
      <c r="H2755" s="47" t="s">
        <v>3605</v>
      </c>
      <c r="I2755" s="47" t="s">
        <v>11263</v>
      </c>
    </row>
    <row r="2756" spans="1:9" ht="15">
      <c r="A2756" s="47" t="s">
        <v>11267</v>
      </c>
      <c r="B2756" s="47" t="s">
        <v>11268</v>
      </c>
      <c r="C2756" s="47" t="s">
        <v>11269</v>
      </c>
      <c r="D2756" s="47" t="s">
        <v>11270</v>
      </c>
      <c r="E2756" s="47"/>
      <c r="F2756" s="47" t="s">
        <v>6426</v>
      </c>
      <c r="G2756" s="47" t="s">
        <v>6427</v>
      </c>
      <c r="H2756" s="47" t="s">
        <v>3605</v>
      </c>
      <c r="I2756" s="47" t="s">
        <v>11267</v>
      </c>
    </row>
    <row r="2757" spans="1:9" ht="15">
      <c r="A2757" s="47" t="s">
        <v>11271</v>
      </c>
      <c r="B2757" s="47" t="s">
        <v>11272</v>
      </c>
      <c r="C2757" s="47" t="s">
        <v>11273</v>
      </c>
      <c r="D2757" s="47" t="s">
        <v>11274</v>
      </c>
      <c r="E2757" s="47"/>
      <c r="F2757" s="47" t="s">
        <v>6426</v>
      </c>
      <c r="G2757" s="47" t="s">
        <v>6427</v>
      </c>
      <c r="H2757" s="47" t="s">
        <v>3605</v>
      </c>
      <c r="I2757" s="47" t="s">
        <v>11271</v>
      </c>
    </row>
    <row r="2758" spans="1:9" ht="15">
      <c r="A2758" s="47" t="s">
        <v>11275</v>
      </c>
      <c r="B2758" s="47" t="s">
        <v>11276</v>
      </c>
      <c r="C2758" s="47" t="s">
        <v>11277</v>
      </c>
      <c r="D2758" s="47" t="s">
        <v>11278</v>
      </c>
      <c r="E2758" s="47"/>
      <c r="F2758" s="47"/>
      <c r="G2758" s="47"/>
      <c r="H2758" s="47" t="s">
        <v>3605</v>
      </c>
      <c r="I2758" s="47" t="s">
        <v>11275</v>
      </c>
    </row>
    <row r="2759" spans="1:9" ht="15">
      <c r="A2759" s="47" t="s">
        <v>11279</v>
      </c>
      <c r="B2759" s="47" t="s">
        <v>11280</v>
      </c>
      <c r="C2759" s="47" t="s">
        <v>11281</v>
      </c>
      <c r="D2759" s="47" t="s">
        <v>11282</v>
      </c>
      <c r="E2759" s="47"/>
      <c r="F2759" s="47" t="s">
        <v>6426</v>
      </c>
      <c r="G2759" s="47" t="s">
        <v>6427</v>
      </c>
      <c r="H2759" s="47" t="s">
        <v>3605</v>
      </c>
      <c r="I2759" s="47" t="s">
        <v>11279</v>
      </c>
    </row>
    <row r="2760" spans="1:9" ht="15">
      <c r="A2760" s="47" t="s">
        <v>11283</v>
      </c>
      <c r="B2760" s="47" t="s">
        <v>11284</v>
      </c>
      <c r="C2760" s="47" t="s">
        <v>11285</v>
      </c>
      <c r="D2760" s="47" t="s">
        <v>11286</v>
      </c>
      <c r="E2760" s="47"/>
      <c r="F2760" s="47"/>
      <c r="G2760" s="47"/>
      <c r="H2760" s="47" t="s">
        <v>3605</v>
      </c>
      <c r="I2760" s="47" t="s">
        <v>11283</v>
      </c>
    </row>
    <row r="2761" spans="1:9" ht="15">
      <c r="A2761" s="47" t="s">
        <v>11287</v>
      </c>
      <c r="B2761" s="47" t="s">
        <v>11288</v>
      </c>
      <c r="C2761" s="47" t="s">
        <v>11289</v>
      </c>
      <c r="D2761" s="47" t="s">
        <v>11290</v>
      </c>
      <c r="E2761" s="47"/>
      <c r="F2761" s="47" t="s">
        <v>4253</v>
      </c>
      <c r="G2761" s="47" t="s">
        <v>4254</v>
      </c>
      <c r="H2761" s="47" t="s">
        <v>3605</v>
      </c>
      <c r="I2761" s="47" t="s">
        <v>11287</v>
      </c>
    </row>
    <row r="2762" spans="1:9" ht="15">
      <c r="A2762" s="47" t="s">
        <v>11292</v>
      </c>
      <c r="B2762" s="47" t="s">
        <v>11293</v>
      </c>
      <c r="C2762" s="47" t="s">
        <v>11294</v>
      </c>
      <c r="D2762" s="47" t="s">
        <v>708</v>
      </c>
      <c r="E2762" s="47"/>
      <c r="F2762" s="47"/>
      <c r="G2762" s="47"/>
      <c r="H2762" s="47" t="s">
        <v>3605</v>
      </c>
      <c r="I2762" s="47" t="s">
        <v>11292</v>
      </c>
    </row>
    <row r="2763" spans="1:9" ht="15">
      <c r="A2763" s="47" t="s">
        <v>1214</v>
      </c>
      <c r="B2763" s="47" t="s">
        <v>11295</v>
      </c>
      <c r="C2763" s="47" t="s">
        <v>11296</v>
      </c>
      <c r="D2763" s="47" t="s">
        <v>11297</v>
      </c>
      <c r="E2763" s="47"/>
      <c r="F2763" s="47" t="s">
        <v>4253</v>
      </c>
      <c r="G2763" s="47" t="s">
        <v>4254</v>
      </c>
      <c r="H2763" s="47" t="s">
        <v>3605</v>
      </c>
      <c r="I2763" s="47" t="s">
        <v>1214</v>
      </c>
    </row>
    <row r="2764" spans="1:9" ht="15">
      <c r="A2764" s="47" t="s">
        <v>3449</v>
      </c>
      <c r="B2764" s="47" t="s">
        <v>11298</v>
      </c>
      <c r="C2764" s="47" t="s">
        <v>11299</v>
      </c>
      <c r="D2764" s="47" t="s">
        <v>11300</v>
      </c>
      <c r="E2764" s="47"/>
      <c r="F2764" s="47"/>
      <c r="G2764" s="47"/>
      <c r="H2764" s="47" t="s">
        <v>3605</v>
      </c>
      <c r="I2764" s="47" t="s">
        <v>3449</v>
      </c>
    </row>
    <row r="2765" spans="1:9" ht="15">
      <c r="A2765" s="47" t="s">
        <v>11301</v>
      </c>
      <c r="B2765" s="47" t="s">
        <v>11302</v>
      </c>
      <c r="C2765" s="47" t="s">
        <v>11303</v>
      </c>
      <c r="D2765" s="47" t="s">
        <v>11304</v>
      </c>
      <c r="E2765" s="47"/>
      <c r="F2765" s="47" t="s">
        <v>4253</v>
      </c>
      <c r="G2765" s="47" t="s">
        <v>4254</v>
      </c>
      <c r="H2765" s="47" t="s">
        <v>3605</v>
      </c>
      <c r="I2765" s="47" t="s">
        <v>11301</v>
      </c>
    </row>
    <row r="2766" spans="1:9" ht="15">
      <c r="A2766" s="47" t="s">
        <v>11305</v>
      </c>
      <c r="B2766" s="47" t="s">
        <v>11306</v>
      </c>
      <c r="C2766" s="47" t="s">
        <v>11307</v>
      </c>
      <c r="D2766" s="47" t="s">
        <v>11308</v>
      </c>
      <c r="E2766" s="47"/>
      <c r="F2766" s="47"/>
      <c r="G2766" s="47"/>
      <c r="H2766" s="47" t="s">
        <v>3605</v>
      </c>
      <c r="I2766" s="47" t="s">
        <v>11305</v>
      </c>
    </row>
    <row r="2767" spans="1:9" ht="15">
      <c r="A2767" s="47" t="s">
        <v>11309</v>
      </c>
      <c r="B2767" s="47" t="s">
        <v>11310</v>
      </c>
      <c r="C2767" s="47" t="s">
        <v>11311</v>
      </c>
      <c r="D2767" s="47" t="s">
        <v>11312</v>
      </c>
      <c r="E2767" s="47"/>
      <c r="F2767" s="47" t="s">
        <v>6426</v>
      </c>
      <c r="G2767" s="47" t="s">
        <v>6427</v>
      </c>
      <c r="H2767" s="47" t="s">
        <v>3605</v>
      </c>
      <c r="I2767" s="47" t="s">
        <v>11309</v>
      </c>
    </row>
    <row r="2768" spans="1:9" ht="15">
      <c r="A2768" s="47" t="s">
        <v>11313</v>
      </c>
      <c r="B2768" s="47" t="s">
        <v>11314</v>
      </c>
      <c r="C2768" s="47" t="s">
        <v>11315</v>
      </c>
      <c r="D2768" s="47" t="s">
        <v>11316</v>
      </c>
      <c r="E2768" s="47"/>
      <c r="F2768" s="47" t="s">
        <v>6426</v>
      </c>
      <c r="G2768" s="47" t="s">
        <v>6427</v>
      </c>
      <c r="H2768" s="47" t="s">
        <v>3605</v>
      </c>
      <c r="I2768" s="47" t="s">
        <v>11313</v>
      </c>
    </row>
    <row r="2769" spans="1:9" ht="15">
      <c r="A2769" s="47" t="s">
        <v>11317</v>
      </c>
      <c r="B2769" s="47" t="s">
        <v>11318</v>
      </c>
      <c r="C2769" s="47" t="s">
        <v>11319</v>
      </c>
      <c r="D2769" s="47" t="s">
        <v>11320</v>
      </c>
      <c r="E2769" s="47"/>
      <c r="F2769" s="47" t="s">
        <v>6426</v>
      </c>
      <c r="G2769" s="47" t="s">
        <v>6427</v>
      </c>
      <c r="H2769" s="47" t="s">
        <v>3605</v>
      </c>
      <c r="I2769" s="47" t="s">
        <v>11317</v>
      </c>
    </row>
    <row r="2770" spans="1:9" ht="15">
      <c r="A2770" s="47" t="s">
        <v>11321</v>
      </c>
      <c r="B2770" s="47" t="s">
        <v>11322</v>
      </c>
      <c r="C2770" s="47" t="s">
        <v>11323</v>
      </c>
      <c r="D2770" s="47" t="s">
        <v>11324</v>
      </c>
      <c r="E2770" s="47"/>
      <c r="F2770" s="47" t="s">
        <v>6426</v>
      </c>
      <c r="G2770" s="47" t="s">
        <v>6427</v>
      </c>
      <c r="H2770" s="47" t="s">
        <v>3605</v>
      </c>
      <c r="I2770" s="47" t="s">
        <v>11321</v>
      </c>
    </row>
    <row r="2771" spans="1:9" ht="15">
      <c r="A2771" s="47" t="s">
        <v>11325</v>
      </c>
      <c r="B2771" s="47" t="s">
        <v>11326</v>
      </c>
      <c r="C2771" s="47" t="s">
        <v>11327</v>
      </c>
      <c r="D2771" s="47" t="s">
        <v>11328</v>
      </c>
      <c r="E2771" s="47"/>
      <c r="F2771" s="47" t="s">
        <v>6426</v>
      </c>
      <c r="G2771" s="47" t="s">
        <v>6427</v>
      </c>
      <c r="H2771" s="47" t="s">
        <v>3605</v>
      </c>
      <c r="I2771" s="47" t="s">
        <v>11325</v>
      </c>
    </row>
    <row r="2772" spans="1:9" ht="15">
      <c r="A2772" s="47" t="s">
        <v>11329</v>
      </c>
      <c r="B2772" s="47" t="s">
        <v>11330</v>
      </c>
      <c r="C2772" s="47" t="s">
        <v>11331</v>
      </c>
      <c r="D2772" s="47" t="s">
        <v>11332</v>
      </c>
      <c r="E2772" s="47"/>
      <c r="F2772" s="47" t="s">
        <v>6426</v>
      </c>
      <c r="G2772" s="47" t="s">
        <v>6427</v>
      </c>
      <c r="H2772" s="47" t="s">
        <v>3605</v>
      </c>
      <c r="I2772" s="47" t="s">
        <v>11329</v>
      </c>
    </row>
    <row r="2773" spans="1:9" ht="15">
      <c r="A2773" s="47" t="s">
        <v>11333</v>
      </c>
      <c r="B2773" s="47" t="s">
        <v>11334</v>
      </c>
      <c r="C2773" s="47" t="s">
        <v>11335</v>
      </c>
      <c r="D2773" s="47" t="s">
        <v>11336</v>
      </c>
      <c r="E2773" s="47"/>
      <c r="F2773" s="47"/>
      <c r="G2773" s="47"/>
      <c r="H2773" s="47" t="s">
        <v>3605</v>
      </c>
      <c r="I2773" s="47" t="s">
        <v>11333</v>
      </c>
    </row>
    <row r="2774" spans="1:9" ht="15">
      <c r="A2774" s="47" t="s">
        <v>11337</v>
      </c>
      <c r="B2774" s="47" t="s">
        <v>11338</v>
      </c>
      <c r="C2774" s="47" t="s">
        <v>11339</v>
      </c>
      <c r="D2774" s="47" t="s">
        <v>11340</v>
      </c>
      <c r="E2774" s="47"/>
      <c r="F2774" s="47" t="s">
        <v>6426</v>
      </c>
      <c r="G2774" s="47" t="s">
        <v>6427</v>
      </c>
      <c r="H2774" s="47" t="s">
        <v>3605</v>
      </c>
      <c r="I2774" s="47" t="s">
        <v>11337</v>
      </c>
    </row>
    <row r="2775" spans="1:9" ht="15">
      <c r="A2775" s="47" t="s">
        <v>11341</v>
      </c>
      <c r="B2775" s="47" t="s">
        <v>11342</v>
      </c>
      <c r="C2775" s="47" t="s">
        <v>11343</v>
      </c>
      <c r="D2775" s="47" t="s">
        <v>11344</v>
      </c>
      <c r="E2775" s="47"/>
      <c r="F2775" s="47" t="s">
        <v>6426</v>
      </c>
      <c r="G2775" s="47" t="s">
        <v>6427</v>
      </c>
      <c r="H2775" s="47" t="s">
        <v>3605</v>
      </c>
      <c r="I2775" s="47" t="s">
        <v>11341</v>
      </c>
    </row>
    <row r="2776" spans="1:9" ht="15">
      <c r="A2776" s="47" t="s">
        <v>11346</v>
      </c>
      <c r="B2776" s="47" t="s">
        <v>11347</v>
      </c>
      <c r="C2776" s="47" t="s">
        <v>11348</v>
      </c>
      <c r="D2776" s="47" t="s">
        <v>11349</v>
      </c>
      <c r="E2776" s="47"/>
      <c r="F2776" s="47"/>
      <c r="G2776" s="47"/>
      <c r="H2776" s="47" t="s">
        <v>3605</v>
      </c>
      <c r="I2776" s="47" t="s">
        <v>11346</v>
      </c>
    </row>
    <row r="2777" spans="1:9" ht="15">
      <c r="A2777" s="47" t="s">
        <v>11350</v>
      </c>
      <c r="B2777" s="47" t="s">
        <v>11351</v>
      </c>
      <c r="C2777" s="47" t="s">
        <v>11352</v>
      </c>
      <c r="D2777" s="47" t="s">
        <v>11353</v>
      </c>
      <c r="E2777" s="47"/>
      <c r="F2777" s="47"/>
      <c r="G2777" s="47"/>
      <c r="H2777" s="47" t="s">
        <v>3605</v>
      </c>
      <c r="I2777" s="47" t="s">
        <v>11350</v>
      </c>
    </row>
    <row r="2778" spans="1:9" ht="15">
      <c r="A2778" s="47" t="s">
        <v>11354</v>
      </c>
      <c r="B2778" s="47" t="s">
        <v>11355</v>
      </c>
      <c r="C2778" s="47" t="s">
        <v>11356</v>
      </c>
      <c r="D2778" s="47" t="s">
        <v>11357</v>
      </c>
      <c r="E2778" s="47"/>
      <c r="F2778" s="47" t="s">
        <v>6426</v>
      </c>
      <c r="G2778" s="47" t="s">
        <v>6427</v>
      </c>
      <c r="H2778" s="47" t="s">
        <v>3605</v>
      </c>
      <c r="I2778" s="47" t="s">
        <v>11354</v>
      </c>
    </row>
    <row r="2779" spans="1:9" ht="15">
      <c r="A2779" s="47" t="s">
        <v>11358</v>
      </c>
      <c r="B2779" s="47" t="s">
        <v>11359</v>
      </c>
      <c r="C2779" s="47" t="s">
        <v>11360</v>
      </c>
      <c r="D2779" s="47" t="s">
        <v>11361</v>
      </c>
      <c r="E2779" s="47"/>
      <c r="F2779" s="47" t="s">
        <v>6426</v>
      </c>
      <c r="G2779" s="47" t="s">
        <v>6427</v>
      </c>
      <c r="H2779" s="47" t="s">
        <v>3605</v>
      </c>
      <c r="I2779" s="47" t="s">
        <v>11358</v>
      </c>
    </row>
    <row r="2780" spans="1:9" ht="15">
      <c r="A2780" s="47" t="s">
        <v>11362</v>
      </c>
      <c r="B2780" s="47" t="s">
        <v>11363</v>
      </c>
      <c r="C2780" s="47" t="s">
        <v>11364</v>
      </c>
      <c r="D2780" s="47" t="s">
        <v>11365</v>
      </c>
      <c r="E2780" s="47"/>
      <c r="F2780" s="47"/>
      <c r="G2780" s="47"/>
      <c r="H2780" s="47" t="s">
        <v>3605</v>
      </c>
      <c r="I2780" s="47" t="s">
        <v>11362</v>
      </c>
    </row>
    <row r="2781" spans="1:9" ht="15">
      <c r="A2781" s="47" t="s">
        <v>11366</v>
      </c>
      <c r="B2781" s="47" t="s">
        <v>11367</v>
      </c>
      <c r="C2781" s="47" t="s">
        <v>11368</v>
      </c>
      <c r="D2781" s="47" t="s">
        <v>11369</v>
      </c>
      <c r="E2781" s="47"/>
      <c r="F2781" s="47" t="s">
        <v>6426</v>
      </c>
      <c r="G2781" s="47" t="s">
        <v>6427</v>
      </c>
      <c r="H2781" s="47" t="s">
        <v>3605</v>
      </c>
      <c r="I2781" s="47" t="s">
        <v>11366</v>
      </c>
    </row>
    <row r="2782" spans="1:9" ht="15">
      <c r="A2782" s="47" t="s">
        <v>11370</v>
      </c>
      <c r="B2782" s="47" t="s">
        <v>11371</v>
      </c>
      <c r="C2782" s="47" t="s">
        <v>11372</v>
      </c>
      <c r="D2782" s="47" t="s">
        <v>11373</v>
      </c>
      <c r="E2782" s="47"/>
      <c r="F2782" s="47" t="s">
        <v>6426</v>
      </c>
      <c r="G2782" s="47" t="s">
        <v>6427</v>
      </c>
      <c r="H2782" s="47" t="s">
        <v>3605</v>
      </c>
      <c r="I2782" s="47" t="s">
        <v>11370</v>
      </c>
    </row>
    <row r="2783" spans="1:9" ht="15">
      <c r="A2783" s="47" t="s">
        <v>11374</v>
      </c>
      <c r="B2783" s="47" t="s">
        <v>11375</v>
      </c>
      <c r="C2783" s="47" t="s">
        <v>11376</v>
      </c>
      <c r="D2783" s="47" t="s">
        <v>11377</v>
      </c>
      <c r="E2783" s="47"/>
      <c r="F2783" s="47" t="s">
        <v>4253</v>
      </c>
      <c r="G2783" s="47" t="s">
        <v>4254</v>
      </c>
      <c r="H2783" s="47" t="s">
        <v>3605</v>
      </c>
      <c r="I2783" s="47" t="s">
        <v>11374</v>
      </c>
    </row>
    <row r="2784" spans="1:9" ht="15">
      <c r="A2784" s="47" t="s">
        <v>11378</v>
      </c>
      <c r="B2784" s="47" t="s">
        <v>11379</v>
      </c>
      <c r="C2784" s="47" t="s">
        <v>11380</v>
      </c>
      <c r="D2784" s="47" t="s">
        <v>11381</v>
      </c>
      <c r="E2784" s="47"/>
      <c r="F2784" s="47"/>
      <c r="G2784" s="47"/>
      <c r="H2784" s="47" t="s">
        <v>3605</v>
      </c>
      <c r="I2784" s="47" t="s">
        <v>11378</v>
      </c>
    </row>
    <row r="2785" spans="1:9" ht="15">
      <c r="A2785" s="47" t="s">
        <v>11382</v>
      </c>
      <c r="B2785" s="47" t="s">
        <v>11383</v>
      </c>
      <c r="C2785" s="47" t="s">
        <v>11384</v>
      </c>
      <c r="D2785" s="47" t="s">
        <v>11385</v>
      </c>
      <c r="E2785" s="47"/>
      <c r="F2785" s="47" t="s">
        <v>4253</v>
      </c>
      <c r="G2785" s="47" t="s">
        <v>4254</v>
      </c>
      <c r="H2785" s="47" t="s">
        <v>3605</v>
      </c>
      <c r="I2785" s="47" t="s">
        <v>11382</v>
      </c>
    </row>
    <row r="2786" spans="1:9" ht="15">
      <c r="A2786" s="47">
        <v>4160</v>
      </c>
      <c r="B2786" s="47" t="s">
        <v>11386</v>
      </c>
      <c r="C2786" s="47" t="s">
        <v>11387</v>
      </c>
      <c r="D2786" s="47" t="s">
        <v>11388</v>
      </c>
      <c r="E2786" s="47"/>
      <c r="F2786" s="47"/>
      <c r="G2786" s="47"/>
      <c r="H2786" s="47" t="s">
        <v>3605</v>
      </c>
      <c r="I2786" s="47" t="s">
        <v>19584</v>
      </c>
    </row>
    <row r="2787" spans="1:9" ht="15">
      <c r="A2787" s="47">
        <v>93900</v>
      </c>
      <c r="B2787" s="47" t="s">
        <v>11389</v>
      </c>
      <c r="C2787" s="47" t="s">
        <v>11390</v>
      </c>
      <c r="D2787" s="47" t="s">
        <v>11391</v>
      </c>
      <c r="E2787" s="47"/>
      <c r="F2787" s="47"/>
      <c r="G2787" s="47"/>
      <c r="H2787" s="47" t="s">
        <v>3605</v>
      </c>
      <c r="I2787" s="47" t="s">
        <v>19585</v>
      </c>
    </row>
    <row r="2788" spans="1:9" ht="15">
      <c r="A2788" s="47">
        <v>117000</v>
      </c>
      <c r="B2788" s="47" t="s">
        <v>11392</v>
      </c>
      <c r="C2788" s="47" t="s">
        <v>11393</v>
      </c>
      <c r="D2788" s="47" t="s">
        <v>11394</v>
      </c>
      <c r="E2788" s="47"/>
      <c r="F2788" s="47"/>
      <c r="G2788" s="47"/>
      <c r="H2788" s="47" t="s">
        <v>3605</v>
      </c>
      <c r="I2788" s="47" t="s">
        <v>19586</v>
      </c>
    </row>
    <row r="2789" spans="1:9" ht="15">
      <c r="A2789" s="47" t="s">
        <v>11395</v>
      </c>
      <c r="B2789" s="47" t="s">
        <v>11396</v>
      </c>
      <c r="C2789" s="47" t="s">
        <v>11397</v>
      </c>
      <c r="D2789" s="47" t="s">
        <v>11398</v>
      </c>
      <c r="E2789" s="47"/>
      <c r="F2789" s="47"/>
      <c r="G2789" s="47"/>
      <c r="H2789" s="47" t="s">
        <v>3605</v>
      </c>
      <c r="I2789" s="47" t="s">
        <v>11395</v>
      </c>
    </row>
    <row r="2790" spans="1:9" ht="15">
      <c r="A2790" s="47" t="s">
        <v>11399</v>
      </c>
      <c r="B2790" s="47" t="s">
        <v>11400</v>
      </c>
      <c r="C2790" s="47" t="s">
        <v>11401</v>
      </c>
      <c r="D2790" s="47" t="s">
        <v>11402</v>
      </c>
      <c r="E2790" s="47"/>
      <c r="F2790" s="47"/>
      <c r="G2790" s="47"/>
      <c r="H2790" s="47" t="s">
        <v>3605</v>
      </c>
      <c r="I2790" s="47" t="s">
        <v>11399</v>
      </c>
    </row>
    <row r="2791" spans="1:9" ht="15">
      <c r="A2791" s="47" t="s">
        <v>11403</v>
      </c>
      <c r="B2791" s="47" t="s">
        <v>11404</v>
      </c>
      <c r="C2791" s="47" t="s">
        <v>11405</v>
      </c>
      <c r="D2791" s="47" t="s">
        <v>11406</v>
      </c>
      <c r="E2791" s="47"/>
      <c r="F2791" s="47"/>
      <c r="G2791" s="47"/>
      <c r="H2791" s="47" t="s">
        <v>3605</v>
      </c>
      <c r="I2791" s="47" t="s">
        <v>11403</v>
      </c>
    </row>
    <row r="2792" spans="1:9" ht="15">
      <c r="A2792" s="47" t="s">
        <v>11407</v>
      </c>
      <c r="B2792" s="47" t="s">
        <v>11408</v>
      </c>
      <c r="C2792" s="47" t="s">
        <v>11409</v>
      </c>
      <c r="D2792" s="47" t="s">
        <v>11410</v>
      </c>
      <c r="E2792" s="47"/>
      <c r="F2792" s="47"/>
      <c r="G2792" s="47"/>
      <c r="H2792" s="47" t="s">
        <v>3605</v>
      </c>
      <c r="I2792" s="47" t="s">
        <v>11407</v>
      </c>
    </row>
    <row r="2793" spans="1:9" ht="15">
      <c r="A2793" s="47" t="s">
        <v>11411</v>
      </c>
      <c r="B2793" s="47" t="s">
        <v>11412</v>
      </c>
      <c r="C2793" s="47" t="s">
        <v>11413</v>
      </c>
      <c r="D2793" s="47" t="s">
        <v>11414</v>
      </c>
      <c r="E2793" s="47"/>
      <c r="F2793" s="47"/>
      <c r="G2793" s="47"/>
      <c r="H2793" s="47" t="s">
        <v>3605</v>
      </c>
      <c r="I2793" s="47" t="s">
        <v>11411</v>
      </c>
    </row>
    <row r="2794" spans="1:9" ht="15">
      <c r="A2794" s="47" t="s">
        <v>11415</v>
      </c>
      <c r="B2794" s="47" t="s">
        <v>11416</v>
      </c>
      <c r="C2794" s="47" t="s">
        <v>11417</v>
      </c>
      <c r="D2794" s="47" t="s">
        <v>11418</v>
      </c>
      <c r="E2794" s="47"/>
      <c r="F2794" s="47"/>
      <c r="G2794" s="47"/>
      <c r="H2794" s="47" t="s">
        <v>3605</v>
      </c>
      <c r="I2794" s="47" t="s">
        <v>11415</v>
      </c>
    </row>
    <row r="2795" spans="1:9" ht="15">
      <c r="A2795" s="47" t="s">
        <v>11419</v>
      </c>
      <c r="B2795" s="47" t="s">
        <v>11420</v>
      </c>
      <c r="C2795" s="47" t="s">
        <v>11421</v>
      </c>
      <c r="D2795" s="47" t="s">
        <v>11422</v>
      </c>
      <c r="E2795" s="47"/>
      <c r="F2795" s="47"/>
      <c r="G2795" s="47"/>
      <c r="H2795" s="47" t="s">
        <v>3605</v>
      </c>
      <c r="I2795" s="47" t="s">
        <v>11419</v>
      </c>
    </row>
    <row r="2796" spans="1:9" ht="15">
      <c r="A2796" s="47" t="s">
        <v>11423</v>
      </c>
      <c r="B2796" s="47" t="s">
        <v>11424</v>
      </c>
      <c r="C2796" s="47" t="s">
        <v>11425</v>
      </c>
      <c r="D2796" s="47" t="s">
        <v>11426</v>
      </c>
      <c r="E2796" s="47"/>
      <c r="F2796" s="47"/>
      <c r="G2796" s="47"/>
      <c r="H2796" s="47" t="s">
        <v>3605</v>
      </c>
      <c r="I2796" s="47" t="s">
        <v>11423</v>
      </c>
    </row>
    <row r="2797" spans="1:9" ht="15">
      <c r="A2797" s="47" t="s">
        <v>11427</v>
      </c>
      <c r="B2797" s="47" t="s">
        <v>11428</v>
      </c>
      <c r="C2797" s="47" t="s">
        <v>11429</v>
      </c>
      <c r="D2797" s="47" t="s">
        <v>11430</v>
      </c>
      <c r="E2797" s="47"/>
      <c r="F2797" s="47"/>
      <c r="G2797" s="47"/>
      <c r="H2797" s="47" t="s">
        <v>3605</v>
      </c>
      <c r="I2797" s="47" t="s">
        <v>11427</v>
      </c>
    </row>
    <row r="2798" spans="1:9" ht="15">
      <c r="A2798" s="47" t="s">
        <v>11431</v>
      </c>
      <c r="B2798" s="47" t="s">
        <v>11432</v>
      </c>
      <c r="C2798" s="47" t="s">
        <v>11433</v>
      </c>
      <c r="D2798" s="47" t="s">
        <v>11434</v>
      </c>
      <c r="E2798" s="47"/>
      <c r="F2798" s="47"/>
      <c r="G2798" s="47"/>
      <c r="H2798" s="47" t="s">
        <v>3605</v>
      </c>
      <c r="I2798" s="47" t="s">
        <v>11431</v>
      </c>
    </row>
    <row r="2799" spans="1:9" ht="15">
      <c r="A2799" s="47">
        <v>7027</v>
      </c>
      <c r="B2799" s="47" t="s">
        <v>11435</v>
      </c>
      <c r="C2799" s="47" t="s">
        <v>11436</v>
      </c>
      <c r="D2799" s="47" t="s">
        <v>11437</v>
      </c>
      <c r="E2799" s="47"/>
      <c r="F2799" s="47"/>
      <c r="G2799" s="47"/>
      <c r="H2799" s="47" t="s">
        <v>3605</v>
      </c>
      <c r="I2799" s="47" t="s">
        <v>19587</v>
      </c>
    </row>
    <row r="2800" spans="1:9" ht="15">
      <c r="A2800" s="47" t="s">
        <v>11438</v>
      </c>
      <c r="B2800" s="47" t="s">
        <v>11439</v>
      </c>
      <c r="C2800" s="47" t="s">
        <v>11440</v>
      </c>
      <c r="D2800" s="47" t="s">
        <v>11441</v>
      </c>
      <c r="E2800" s="47"/>
      <c r="F2800" s="47"/>
      <c r="G2800" s="47"/>
      <c r="H2800" s="47" t="s">
        <v>3605</v>
      </c>
      <c r="I2800" s="47" t="s">
        <v>11438</v>
      </c>
    </row>
    <row r="2801" spans="1:9" ht="15">
      <c r="A2801" s="47" t="s">
        <v>11442</v>
      </c>
      <c r="B2801" s="47" t="s">
        <v>11443</v>
      </c>
      <c r="C2801" s="47" t="s">
        <v>11444</v>
      </c>
      <c r="D2801" s="47" t="s">
        <v>11445</v>
      </c>
      <c r="E2801" s="47"/>
      <c r="F2801" s="47"/>
      <c r="G2801" s="47"/>
      <c r="H2801" s="47" t="s">
        <v>3605</v>
      </c>
      <c r="I2801" s="47" t="s">
        <v>11442</v>
      </c>
    </row>
    <row r="2802" spans="1:9" ht="15">
      <c r="A2802" s="47" t="s">
        <v>11446</v>
      </c>
      <c r="B2802" s="47" t="s">
        <v>11447</v>
      </c>
      <c r="C2802" s="47" t="s">
        <v>11448</v>
      </c>
      <c r="D2802" s="47" t="s">
        <v>11449</v>
      </c>
      <c r="E2802" s="47"/>
      <c r="F2802" s="47"/>
      <c r="G2802" s="47"/>
      <c r="H2802" s="47" t="s">
        <v>3605</v>
      </c>
      <c r="I2802" s="47" t="s">
        <v>11446</v>
      </c>
    </row>
    <row r="2803" spans="1:9" ht="15">
      <c r="A2803" s="47" t="s">
        <v>11450</v>
      </c>
      <c r="B2803" s="47" t="s">
        <v>11451</v>
      </c>
      <c r="C2803" s="47" t="s">
        <v>11452</v>
      </c>
      <c r="D2803" s="47" t="s">
        <v>11453</v>
      </c>
      <c r="E2803" s="47"/>
      <c r="F2803" s="47"/>
      <c r="G2803" s="47"/>
      <c r="H2803" s="47" t="s">
        <v>3605</v>
      </c>
      <c r="I2803" s="47" t="s">
        <v>11450</v>
      </c>
    </row>
    <row r="2804" spans="1:9" ht="15">
      <c r="A2804" s="47" t="s">
        <v>11454</v>
      </c>
      <c r="B2804" s="47" t="s">
        <v>11455</v>
      </c>
      <c r="C2804" s="47" t="s">
        <v>11456</v>
      </c>
      <c r="D2804" s="47" t="s">
        <v>11457</v>
      </c>
      <c r="E2804" s="47"/>
      <c r="F2804" s="47"/>
      <c r="G2804" s="47"/>
      <c r="H2804" s="47" t="s">
        <v>3605</v>
      </c>
      <c r="I2804" s="47" t="s">
        <v>11454</v>
      </c>
    </row>
    <row r="2805" spans="1:9" ht="15">
      <c r="A2805" s="47" t="s">
        <v>11458</v>
      </c>
      <c r="B2805" s="47" t="s">
        <v>11459</v>
      </c>
      <c r="C2805" s="47" t="s">
        <v>11460</v>
      </c>
      <c r="D2805" s="47" t="s">
        <v>11461</v>
      </c>
      <c r="E2805" s="47"/>
      <c r="F2805" s="47"/>
      <c r="G2805" s="47"/>
      <c r="H2805" s="47" t="s">
        <v>3605</v>
      </c>
      <c r="I2805" s="47" t="s">
        <v>11458</v>
      </c>
    </row>
    <row r="2806" spans="1:9" ht="15">
      <c r="A2806" s="47" t="s">
        <v>11462</v>
      </c>
      <c r="B2806" s="47" t="s">
        <v>11463</v>
      </c>
      <c r="C2806" s="47" t="s">
        <v>11464</v>
      </c>
      <c r="D2806" s="47" t="s">
        <v>11465</v>
      </c>
      <c r="E2806" s="47"/>
      <c r="F2806" s="47"/>
      <c r="G2806" s="47"/>
      <c r="H2806" s="47" t="s">
        <v>3605</v>
      </c>
      <c r="I2806" s="47" t="s">
        <v>11462</v>
      </c>
    </row>
    <row r="2807" spans="1:9" ht="15">
      <c r="A2807" s="47" t="s">
        <v>11466</v>
      </c>
      <c r="B2807" s="47" t="s">
        <v>11467</v>
      </c>
      <c r="C2807" s="47" t="s">
        <v>11468</v>
      </c>
      <c r="D2807" s="47" t="s">
        <v>11469</v>
      </c>
      <c r="E2807" s="47"/>
      <c r="F2807" s="47"/>
      <c r="G2807" s="47"/>
      <c r="H2807" s="47" t="s">
        <v>3605</v>
      </c>
      <c r="I2807" s="47" t="s">
        <v>11466</v>
      </c>
    </row>
    <row r="2808" spans="1:9" ht="15">
      <c r="A2808" s="47" t="s">
        <v>11470</v>
      </c>
      <c r="B2808" s="47" t="s">
        <v>11471</v>
      </c>
      <c r="C2808" s="47" t="s">
        <v>11472</v>
      </c>
      <c r="D2808" s="47" t="s">
        <v>11473</v>
      </c>
      <c r="E2808" s="47"/>
      <c r="F2808" s="47"/>
      <c r="G2808" s="47"/>
      <c r="H2808" s="47" t="s">
        <v>3605</v>
      </c>
      <c r="I2808" s="47" t="s">
        <v>11470</v>
      </c>
    </row>
    <row r="2809" spans="1:9" ht="15">
      <c r="A2809" s="47" t="s">
        <v>11474</v>
      </c>
      <c r="B2809" s="47" t="s">
        <v>11475</v>
      </c>
      <c r="C2809" s="47" t="s">
        <v>11476</v>
      </c>
      <c r="D2809" s="47" t="s">
        <v>11477</v>
      </c>
      <c r="E2809" s="47"/>
      <c r="F2809" s="47"/>
      <c r="G2809" s="47"/>
      <c r="H2809" s="47" t="s">
        <v>3605</v>
      </c>
      <c r="I2809" s="47" t="s">
        <v>11474</v>
      </c>
    </row>
    <row r="2810" spans="1:9" ht="15">
      <c r="A2810" s="47" t="s">
        <v>11478</v>
      </c>
      <c r="B2810" s="47" t="s">
        <v>11479</v>
      </c>
      <c r="C2810" s="47" t="s">
        <v>11480</v>
      </c>
      <c r="D2810" s="47" t="s">
        <v>11481</v>
      </c>
      <c r="E2810" s="47"/>
      <c r="F2810" s="47"/>
      <c r="G2810" s="47"/>
      <c r="H2810" s="47" t="s">
        <v>3605</v>
      </c>
      <c r="I2810" s="47" t="s">
        <v>11478</v>
      </c>
    </row>
    <row r="2811" spans="1:9" ht="15">
      <c r="A2811" s="47" t="s">
        <v>11482</v>
      </c>
      <c r="B2811" s="47" t="s">
        <v>11483</v>
      </c>
      <c r="C2811" s="47" t="s">
        <v>11484</v>
      </c>
      <c r="D2811" s="47" t="s">
        <v>11485</v>
      </c>
      <c r="E2811" s="47"/>
      <c r="F2811" s="47"/>
      <c r="G2811" s="47"/>
      <c r="H2811" s="47" t="s">
        <v>3605</v>
      </c>
      <c r="I2811" s="47" t="s">
        <v>11482</v>
      </c>
    </row>
    <row r="2812" spans="1:9" ht="15">
      <c r="A2812" s="47" t="s">
        <v>11486</v>
      </c>
      <c r="B2812" s="47" t="s">
        <v>11487</v>
      </c>
      <c r="C2812" s="47" t="s">
        <v>11488</v>
      </c>
      <c r="D2812" s="47" t="s">
        <v>11489</v>
      </c>
      <c r="E2812" s="47"/>
      <c r="F2812" s="47"/>
      <c r="G2812" s="47"/>
      <c r="H2812" s="47" t="s">
        <v>3605</v>
      </c>
      <c r="I2812" s="47" t="s">
        <v>11486</v>
      </c>
    </row>
    <row r="2813" spans="1:9" ht="15">
      <c r="A2813" s="47" t="s">
        <v>11490</v>
      </c>
      <c r="B2813" s="47" t="s">
        <v>11491</v>
      </c>
      <c r="C2813" s="47" t="s">
        <v>11492</v>
      </c>
      <c r="D2813" s="47" t="s">
        <v>11493</v>
      </c>
      <c r="E2813" s="47"/>
      <c r="F2813" s="47"/>
      <c r="G2813" s="47"/>
      <c r="H2813" s="47" t="s">
        <v>3605</v>
      </c>
      <c r="I2813" s="47" t="s">
        <v>11490</v>
      </c>
    </row>
    <row r="2814" spans="1:9" ht="15">
      <c r="A2814" s="47" t="s">
        <v>11494</v>
      </c>
      <c r="B2814" s="47" t="s">
        <v>11495</v>
      </c>
      <c r="C2814" s="47" t="s">
        <v>11496</v>
      </c>
      <c r="D2814" s="47" t="s">
        <v>11497</v>
      </c>
      <c r="E2814" s="47"/>
      <c r="F2814" s="47"/>
      <c r="G2814" s="47"/>
      <c r="H2814" s="47" t="s">
        <v>3605</v>
      </c>
      <c r="I2814" s="47" t="s">
        <v>11494</v>
      </c>
    </row>
    <row r="2815" spans="1:9" ht="15">
      <c r="A2815" s="47" t="s">
        <v>11498</v>
      </c>
      <c r="B2815" s="47" t="s">
        <v>11499</v>
      </c>
      <c r="C2815" s="47" t="s">
        <v>11500</v>
      </c>
      <c r="D2815" s="47" t="s">
        <v>11501</v>
      </c>
      <c r="E2815" s="47"/>
      <c r="F2815" s="47"/>
      <c r="G2815" s="47"/>
      <c r="H2815" s="47" t="s">
        <v>3605</v>
      </c>
      <c r="I2815" s="47" t="s">
        <v>11498</v>
      </c>
    </row>
    <row r="2816" spans="1:9" ht="15">
      <c r="A2816" s="47" t="s">
        <v>11502</v>
      </c>
      <c r="B2816" s="47" t="s">
        <v>11503</v>
      </c>
      <c r="C2816" s="47" t="s">
        <v>11504</v>
      </c>
      <c r="D2816" s="47" t="s">
        <v>11505</v>
      </c>
      <c r="E2816" s="47"/>
      <c r="F2816" s="47"/>
      <c r="G2816" s="47"/>
      <c r="H2816" s="47" t="s">
        <v>3605</v>
      </c>
      <c r="I2816" s="47" t="s">
        <v>11502</v>
      </c>
    </row>
    <row r="2817" spans="1:9" ht="15">
      <c r="A2817" s="47" t="s">
        <v>11506</v>
      </c>
      <c r="B2817" s="47" t="s">
        <v>11507</v>
      </c>
      <c r="C2817" s="47" t="s">
        <v>11508</v>
      </c>
      <c r="D2817" s="47" t="s">
        <v>11509</v>
      </c>
      <c r="E2817" s="47"/>
      <c r="F2817" s="47"/>
      <c r="G2817" s="47"/>
      <c r="H2817" s="47" t="s">
        <v>3605</v>
      </c>
      <c r="I2817" s="47" t="s">
        <v>11506</v>
      </c>
    </row>
    <row r="2818" spans="1:9" ht="15">
      <c r="A2818" s="47" t="s">
        <v>11510</v>
      </c>
      <c r="B2818" s="47" t="s">
        <v>11511</v>
      </c>
      <c r="C2818" s="47" t="s">
        <v>11512</v>
      </c>
      <c r="D2818" s="47" t="s">
        <v>11513</v>
      </c>
      <c r="E2818" s="47"/>
      <c r="F2818" s="47"/>
      <c r="G2818" s="47"/>
      <c r="H2818" s="47" t="s">
        <v>3605</v>
      </c>
      <c r="I2818" s="47" t="s">
        <v>11510</v>
      </c>
    </row>
    <row r="2819" spans="1:9" ht="15">
      <c r="A2819" s="47" t="s">
        <v>11514</v>
      </c>
      <c r="B2819" s="47" t="s">
        <v>11515</v>
      </c>
      <c r="C2819" s="47" t="s">
        <v>11516</v>
      </c>
      <c r="D2819" s="47" t="s">
        <v>11517</v>
      </c>
      <c r="E2819" s="47"/>
      <c r="F2819" s="47"/>
      <c r="G2819" s="47"/>
      <c r="H2819" s="47" t="s">
        <v>3605</v>
      </c>
      <c r="I2819" s="47" t="s">
        <v>11514</v>
      </c>
    </row>
    <row r="2820" spans="1:9" ht="15">
      <c r="A2820" s="47" t="s">
        <v>11518</v>
      </c>
      <c r="B2820" s="47" t="s">
        <v>11519</v>
      </c>
      <c r="C2820" s="47" t="s">
        <v>11520</v>
      </c>
      <c r="D2820" s="47" t="s">
        <v>11521</v>
      </c>
      <c r="E2820" s="47"/>
      <c r="F2820" s="47"/>
      <c r="G2820" s="47"/>
      <c r="H2820" s="47" t="s">
        <v>3605</v>
      </c>
      <c r="I2820" s="47" t="s">
        <v>11518</v>
      </c>
    </row>
    <row r="2821" spans="1:9" ht="15">
      <c r="A2821" s="47" t="s">
        <v>11522</v>
      </c>
      <c r="B2821" s="47" t="s">
        <v>11523</v>
      </c>
      <c r="C2821" s="47" t="s">
        <v>11524</v>
      </c>
      <c r="D2821" s="47" t="s">
        <v>11525</v>
      </c>
      <c r="E2821" s="47"/>
      <c r="F2821" s="47"/>
      <c r="G2821" s="47"/>
      <c r="H2821" s="47" t="s">
        <v>3605</v>
      </c>
      <c r="I2821" s="47" t="s">
        <v>11522</v>
      </c>
    </row>
    <row r="2822" spans="1:9" ht="15">
      <c r="A2822" s="47" t="s">
        <v>11526</v>
      </c>
      <c r="B2822" s="47" t="s">
        <v>11527</v>
      </c>
      <c r="C2822" s="47" t="s">
        <v>11528</v>
      </c>
      <c r="D2822" s="47" t="s">
        <v>11529</v>
      </c>
      <c r="E2822" s="47"/>
      <c r="F2822" s="47"/>
      <c r="G2822" s="47"/>
      <c r="H2822" s="47" t="s">
        <v>3605</v>
      </c>
      <c r="I2822" s="47" t="s">
        <v>11526</v>
      </c>
    </row>
    <row r="2823" spans="1:9" ht="15">
      <c r="A2823" s="47" t="s">
        <v>11530</v>
      </c>
      <c r="B2823" s="47" t="s">
        <v>11531</v>
      </c>
      <c r="C2823" s="47" t="s">
        <v>11532</v>
      </c>
      <c r="D2823" s="47" t="s">
        <v>11533</v>
      </c>
      <c r="E2823" s="47"/>
      <c r="F2823" s="47"/>
      <c r="G2823" s="47"/>
      <c r="H2823" s="47" t="s">
        <v>3605</v>
      </c>
      <c r="I2823" s="47" t="s">
        <v>11530</v>
      </c>
    </row>
    <row r="2824" spans="1:9" ht="15">
      <c r="A2824" s="47" t="s">
        <v>11534</v>
      </c>
      <c r="B2824" s="47" t="s">
        <v>11535</v>
      </c>
      <c r="C2824" s="47" t="s">
        <v>11536</v>
      </c>
      <c r="D2824" s="47" t="s">
        <v>11537</v>
      </c>
      <c r="E2824" s="47"/>
      <c r="F2824" s="47"/>
      <c r="G2824" s="47"/>
      <c r="H2824" s="47" t="s">
        <v>3605</v>
      </c>
      <c r="I2824" s="47" t="s">
        <v>11534</v>
      </c>
    </row>
    <row r="2825" spans="1:9" ht="15">
      <c r="A2825" s="47">
        <v>7406</v>
      </c>
      <c r="B2825" s="47" t="s">
        <v>11538</v>
      </c>
      <c r="C2825" s="47" t="s">
        <v>11539</v>
      </c>
      <c r="D2825" s="47" t="s">
        <v>11540</v>
      </c>
      <c r="E2825" s="47"/>
      <c r="F2825" s="47"/>
      <c r="G2825" s="47"/>
      <c r="H2825" s="47" t="s">
        <v>3605</v>
      </c>
      <c r="I2825" s="47" t="s">
        <v>19588</v>
      </c>
    </row>
    <row r="2826" spans="1:9" ht="15">
      <c r="A2826" s="47">
        <v>7446</v>
      </c>
      <c r="B2826" s="47" t="s">
        <v>11541</v>
      </c>
      <c r="C2826" s="47" t="s">
        <v>11542</v>
      </c>
      <c r="D2826" s="47" t="s">
        <v>11543</v>
      </c>
      <c r="E2826" s="47"/>
      <c r="F2826" s="47"/>
      <c r="G2826" s="47"/>
      <c r="H2826" s="47" t="s">
        <v>3605</v>
      </c>
      <c r="I2826" s="47" t="s">
        <v>19589</v>
      </c>
    </row>
    <row r="2827" spans="1:9" ht="15">
      <c r="A2827" s="47">
        <v>7486</v>
      </c>
      <c r="B2827" s="47" t="s">
        <v>11544</v>
      </c>
      <c r="C2827" s="47" t="s">
        <v>11545</v>
      </c>
      <c r="D2827" s="47" t="s">
        <v>11546</v>
      </c>
      <c r="E2827" s="47"/>
      <c r="F2827" s="47"/>
      <c r="G2827" s="47"/>
      <c r="H2827" s="47" t="s">
        <v>3605</v>
      </c>
      <c r="I2827" s="47" t="s">
        <v>19590</v>
      </c>
    </row>
    <row r="2828" spans="1:9" ht="15">
      <c r="A2828" s="47" t="s">
        <v>11547</v>
      </c>
      <c r="B2828" s="47" t="s">
        <v>11548</v>
      </c>
      <c r="C2828" s="47" t="s">
        <v>11549</v>
      </c>
      <c r="D2828" s="47" t="s">
        <v>11550</v>
      </c>
      <c r="E2828" s="47"/>
      <c r="F2828" s="47" t="s">
        <v>4253</v>
      </c>
      <c r="G2828" s="47" t="s">
        <v>4254</v>
      </c>
      <c r="H2828" s="47" t="s">
        <v>3605</v>
      </c>
      <c r="I2828" s="47" t="s">
        <v>11547</v>
      </c>
    </row>
    <row r="2829" spans="1:9" ht="15">
      <c r="A2829" s="47" t="s">
        <v>11551</v>
      </c>
      <c r="B2829" s="47" t="s">
        <v>11552</v>
      </c>
      <c r="C2829" s="47" t="s">
        <v>11553</v>
      </c>
      <c r="D2829" s="47" t="s">
        <v>11554</v>
      </c>
      <c r="E2829" s="47"/>
      <c r="F2829" s="47"/>
      <c r="G2829" s="47"/>
      <c r="H2829" s="47" t="s">
        <v>3605</v>
      </c>
      <c r="I2829" s="47" t="s">
        <v>11551</v>
      </c>
    </row>
    <row r="2830" spans="1:9" ht="15">
      <c r="A2830" s="47" t="s">
        <v>11555</v>
      </c>
      <c r="B2830" s="47" t="s">
        <v>11556</v>
      </c>
      <c r="C2830" s="47" t="s">
        <v>11557</v>
      </c>
      <c r="D2830" s="47" t="s">
        <v>11558</v>
      </c>
      <c r="E2830" s="47"/>
      <c r="F2830" s="47"/>
      <c r="G2830" s="47"/>
      <c r="H2830" s="47" t="s">
        <v>3605</v>
      </c>
      <c r="I2830" s="47" t="s">
        <v>11555</v>
      </c>
    </row>
    <row r="2831" spans="1:9" ht="15">
      <c r="A2831" s="47" t="s">
        <v>11559</v>
      </c>
      <c r="B2831" s="47" t="s">
        <v>11560</v>
      </c>
      <c r="C2831" s="47" t="s">
        <v>11561</v>
      </c>
      <c r="D2831" s="47" t="s">
        <v>11562</v>
      </c>
      <c r="E2831" s="47"/>
      <c r="F2831" s="47" t="s">
        <v>4253</v>
      </c>
      <c r="G2831" s="47" t="s">
        <v>4254</v>
      </c>
      <c r="H2831" s="47" t="s">
        <v>3605</v>
      </c>
      <c r="I2831" s="47" t="s">
        <v>11559</v>
      </c>
    </row>
    <row r="2832" spans="1:9" ht="15">
      <c r="A2832" s="47">
        <v>7218</v>
      </c>
      <c r="B2832" s="47" t="s">
        <v>11563</v>
      </c>
      <c r="C2832" s="47" t="s">
        <v>11564</v>
      </c>
      <c r="D2832" s="47" t="s">
        <v>11565</v>
      </c>
      <c r="E2832" s="47"/>
      <c r="F2832" s="47"/>
      <c r="G2832" s="47"/>
      <c r="H2832" s="47" t="s">
        <v>3605</v>
      </c>
      <c r="I2832" s="47" t="s">
        <v>19591</v>
      </c>
    </row>
    <row r="2833" spans="1:9" ht="15">
      <c r="A2833" s="47" t="s">
        <v>11566</v>
      </c>
      <c r="B2833" s="47" t="s">
        <v>11567</v>
      </c>
      <c r="C2833" s="47" t="s">
        <v>11568</v>
      </c>
      <c r="D2833" s="47" t="s">
        <v>11569</v>
      </c>
      <c r="E2833" s="47"/>
      <c r="F2833" s="47"/>
      <c r="G2833" s="47"/>
      <c r="H2833" s="47" t="s">
        <v>3605</v>
      </c>
      <c r="I2833" s="47" t="s">
        <v>11566</v>
      </c>
    </row>
    <row r="2834" spans="1:9" ht="15">
      <c r="A2834" s="47" t="s">
        <v>11570</v>
      </c>
      <c r="B2834" s="47" t="s">
        <v>11571</v>
      </c>
      <c r="C2834" s="47" t="s">
        <v>11572</v>
      </c>
      <c r="D2834" s="47" t="s">
        <v>11573</v>
      </c>
      <c r="E2834" s="47"/>
      <c r="F2834" s="47"/>
      <c r="G2834" s="47"/>
      <c r="H2834" s="47" t="s">
        <v>3605</v>
      </c>
      <c r="I2834" s="47" t="s">
        <v>11570</v>
      </c>
    </row>
    <row r="2835" spans="1:9" ht="15">
      <c r="A2835" s="47">
        <v>7232</v>
      </c>
      <c r="B2835" s="47" t="s">
        <v>11574</v>
      </c>
      <c r="C2835" s="47" t="s">
        <v>11575</v>
      </c>
      <c r="D2835" s="47" t="s">
        <v>11576</v>
      </c>
      <c r="E2835" s="47"/>
      <c r="F2835" s="47"/>
      <c r="G2835" s="47"/>
      <c r="H2835" s="47" t="s">
        <v>3605</v>
      </c>
      <c r="I2835" s="47" t="s">
        <v>19592</v>
      </c>
    </row>
    <row r="2836" spans="1:9" ht="15">
      <c r="A2836" s="47" t="s">
        <v>11577</v>
      </c>
      <c r="B2836" s="47" t="s">
        <v>11578</v>
      </c>
      <c r="C2836" s="47" t="s">
        <v>11579</v>
      </c>
      <c r="D2836" s="47" t="s">
        <v>11580</v>
      </c>
      <c r="E2836" s="47"/>
      <c r="F2836" s="47"/>
      <c r="G2836" s="47"/>
      <c r="H2836" s="47" t="s">
        <v>3605</v>
      </c>
      <c r="I2836" s="47" t="s">
        <v>11577</v>
      </c>
    </row>
    <row r="2837" spans="1:9" ht="15">
      <c r="A2837" s="47" t="s">
        <v>11581</v>
      </c>
      <c r="B2837" s="47" t="s">
        <v>11582</v>
      </c>
      <c r="C2837" s="47" t="s">
        <v>11583</v>
      </c>
      <c r="D2837" s="47" t="s">
        <v>11584</v>
      </c>
      <c r="E2837" s="47"/>
      <c r="F2837" s="47"/>
      <c r="G2837" s="47"/>
      <c r="H2837" s="47" t="s">
        <v>3605</v>
      </c>
      <c r="I2837" s="47" t="s">
        <v>11581</v>
      </c>
    </row>
    <row r="2838" spans="1:9" ht="15">
      <c r="A2838" s="47" t="s">
        <v>11585</v>
      </c>
      <c r="B2838" s="47" t="s">
        <v>11586</v>
      </c>
      <c r="C2838" s="47" t="s">
        <v>11587</v>
      </c>
      <c r="D2838" s="47" t="s">
        <v>11588</v>
      </c>
      <c r="E2838" s="47"/>
      <c r="F2838" s="47"/>
      <c r="G2838" s="47"/>
      <c r="H2838" s="47" t="s">
        <v>3605</v>
      </c>
      <c r="I2838" s="47" t="s">
        <v>11585</v>
      </c>
    </row>
    <row r="2839" spans="1:9" ht="15">
      <c r="A2839" s="47" t="s">
        <v>0</v>
      </c>
      <c r="B2839" s="47" t="s">
        <v>11589</v>
      </c>
      <c r="C2839" s="47" t="s">
        <v>11590</v>
      </c>
      <c r="D2839" s="47" t="s">
        <v>11591</v>
      </c>
      <c r="E2839" s="47"/>
      <c r="F2839" s="47" t="s">
        <v>3603</v>
      </c>
      <c r="G2839" s="47" t="s">
        <v>3604</v>
      </c>
      <c r="H2839" s="47" t="s">
        <v>3605</v>
      </c>
      <c r="I2839" s="47" t="s">
        <v>0</v>
      </c>
    </row>
    <row r="2840" spans="1:9" ht="15">
      <c r="A2840" s="47" t="s">
        <v>2300</v>
      </c>
      <c r="B2840" s="47" t="s">
        <v>2301</v>
      </c>
      <c r="C2840" s="47" t="s">
        <v>11592</v>
      </c>
      <c r="D2840" s="47" t="s">
        <v>11593</v>
      </c>
      <c r="E2840" s="47"/>
      <c r="F2840" s="47"/>
      <c r="G2840" s="47"/>
      <c r="H2840" s="47" t="s">
        <v>3605</v>
      </c>
      <c r="I2840" s="47" t="s">
        <v>2300</v>
      </c>
    </row>
    <row r="2841" spans="1:9" ht="15">
      <c r="A2841" s="47" t="s">
        <v>539</v>
      </c>
      <c r="B2841" s="47" t="s">
        <v>11594</v>
      </c>
      <c r="C2841" s="47" t="s">
        <v>11595</v>
      </c>
      <c r="D2841" s="47" t="s">
        <v>11596</v>
      </c>
      <c r="E2841" s="47"/>
      <c r="F2841" s="47"/>
      <c r="G2841" s="47"/>
      <c r="H2841" s="47" t="s">
        <v>3605</v>
      </c>
      <c r="I2841" s="47" t="s">
        <v>539</v>
      </c>
    </row>
    <row r="2842" spans="1:9" ht="15">
      <c r="A2842" s="47" t="s">
        <v>551</v>
      </c>
      <c r="B2842" s="47" t="s">
        <v>11597</v>
      </c>
      <c r="C2842" s="47" t="s">
        <v>11598</v>
      </c>
      <c r="D2842" s="47" t="s">
        <v>11599</v>
      </c>
      <c r="E2842" s="47"/>
      <c r="F2842" s="47"/>
      <c r="G2842" s="47"/>
      <c r="H2842" s="47" t="s">
        <v>3605</v>
      </c>
      <c r="I2842" s="47" t="s">
        <v>551</v>
      </c>
    </row>
    <row r="2843" spans="1:9" ht="15">
      <c r="A2843" s="47" t="s">
        <v>559</v>
      </c>
      <c r="B2843" s="47" t="s">
        <v>11600</v>
      </c>
      <c r="C2843" s="47" t="s">
        <v>11601</v>
      </c>
      <c r="D2843" s="47" t="s">
        <v>11602</v>
      </c>
      <c r="E2843" s="47"/>
      <c r="F2843" s="47"/>
      <c r="G2843" s="47"/>
      <c r="H2843" s="47" t="s">
        <v>3605</v>
      </c>
      <c r="I2843" s="47" t="s">
        <v>559</v>
      </c>
    </row>
    <row r="2844" spans="1:9" ht="15">
      <c r="A2844" s="47" t="s">
        <v>11603</v>
      </c>
      <c r="B2844" s="47" t="s">
        <v>11604</v>
      </c>
      <c r="C2844" s="47" t="s">
        <v>11605</v>
      </c>
      <c r="D2844" s="47" t="s">
        <v>11606</v>
      </c>
      <c r="E2844" s="47"/>
      <c r="F2844" s="47"/>
      <c r="G2844" s="47"/>
      <c r="H2844" s="47" t="s">
        <v>3605</v>
      </c>
      <c r="I2844" s="47" t="s">
        <v>11603</v>
      </c>
    </row>
    <row r="2845" spans="1:9" ht="15">
      <c r="A2845" s="47">
        <v>7242</v>
      </c>
      <c r="B2845" s="47" t="s">
        <v>11607</v>
      </c>
      <c r="C2845" s="47" t="s">
        <v>11608</v>
      </c>
      <c r="D2845" s="47" t="s">
        <v>11609</v>
      </c>
      <c r="E2845" s="47"/>
      <c r="F2845" s="47"/>
      <c r="G2845" s="47"/>
      <c r="H2845" s="47" t="s">
        <v>3605</v>
      </c>
      <c r="I2845" s="47" t="s">
        <v>19593</v>
      </c>
    </row>
    <row r="2846" spans="1:9" ht="15">
      <c r="A2846" s="47" t="s">
        <v>1910</v>
      </c>
      <c r="B2846" s="47" t="s">
        <v>11610</v>
      </c>
      <c r="C2846" s="47" t="s">
        <v>11611</v>
      </c>
      <c r="D2846" s="47" t="s">
        <v>7763</v>
      </c>
      <c r="E2846" s="47"/>
      <c r="F2846" s="47" t="s">
        <v>3603</v>
      </c>
      <c r="G2846" s="47" t="s">
        <v>3604</v>
      </c>
      <c r="H2846" s="47" t="s">
        <v>3605</v>
      </c>
      <c r="I2846" s="47" t="s">
        <v>1910</v>
      </c>
    </row>
    <row r="2847" spans="1:9" ht="15">
      <c r="A2847" s="47" t="s">
        <v>11612</v>
      </c>
      <c r="B2847" s="47" t="s">
        <v>11613</v>
      </c>
      <c r="C2847" s="47" t="s">
        <v>11614</v>
      </c>
      <c r="D2847" s="47" t="s">
        <v>11615</v>
      </c>
      <c r="E2847" s="47"/>
      <c r="F2847" s="47" t="s">
        <v>4253</v>
      </c>
      <c r="G2847" s="47" t="s">
        <v>4254</v>
      </c>
      <c r="H2847" s="47" t="s">
        <v>3605</v>
      </c>
      <c r="I2847" s="47" t="s">
        <v>11612</v>
      </c>
    </row>
    <row r="2848" spans="1:9" ht="15">
      <c r="A2848" s="47" t="s">
        <v>1944</v>
      </c>
      <c r="B2848" s="47" t="s">
        <v>11616</v>
      </c>
      <c r="C2848" s="47" t="s">
        <v>11617</v>
      </c>
      <c r="D2848" s="47" t="s">
        <v>11618</v>
      </c>
      <c r="E2848" s="47"/>
      <c r="F2848" s="47" t="s">
        <v>3603</v>
      </c>
      <c r="G2848" s="47" t="s">
        <v>3604</v>
      </c>
      <c r="H2848" s="47" t="s">
        <v>3605</v>
      </c>
      <c r="I2848" s="47" t="s">
        <v>1944</v>
      </c>
    </row>
    <row r="2849" spans="1:9" ht="15">
      <c r="A2849" s="47" t="s">
        <v>11619</v>
      </c>
      <c r="B2849" s="47" t="s">
        <v>11620</v>
      </c>
      <c r="C2849" s="47" t="s">
        <v>11621</v>
      </c>
      <c r="D2849" s="47" t="s">
        <v>11622</v>
      </c>
      <c r="E2849" s="47"/>
      <c r="F2849" s="47"/>
      <c r="G2849" s="47"/>
      <c r="H2849" s="47" t="s">
        <v>3605</v>
      </c>
      <c r="I2849" s="47" t="s">
        <v>11619</v>
      </c>
    </row>
    <row r="2850" spans="1:9" ht="15">
      <c r="A2850" s="47" t="s">
        <v>2574</v>
      </c>
      <c r="B2850" s="47" t="s">
        <v>2575</v>
      </c>
      <c r="C2850" s="47" t="s">
        <v>11623</v>
      </c>
      <c r="D2850" s="47" t="s">
        <v>11624</v>
      </c>
      <c r="E2850" s="47"/>
      <c r="F2850" s="47"/>
      <c r="G2850" s="47"/>
      <c r="H2850" s="47" t="s">
        <v>3605</v>
      </c>
      <c r="I2850" s="47" t="s">
        <v>2574</v>
      </c>
    </row>
    <row r="2851" spans="1:9" ht="15">
      <c r="A2851" s="47">
        <v>7161</v>
      </c>
      <c r="B2851" s="47" t="s">
        <v>11625</v>
      </c>
      <c r="C2851" s="47" t="s">
        <v>11626</v>
      </c>
      <c r="D2851" s="47" t="s">
        <v>11627</v>
      </c>
      <c r="E2851" s="47"/>
      <c r="F2851" s="47"/>
      <c r="G2851" s="47"/>
      <c r="H2851" s="47" t="s">
        <v>3605</v>
      </c>
      <c r="I2851" s="47" t="s">
        <v>19594</v>
      </c>
    </row>
    <row r="2852" spans="1:9" ht="15">
      <c r="A2852" s="47" t="s">
        <v>2591</v>
      </c>
      <c r="B2852" s="47" t="s">
        <v>2592</v>
      </c>
      <c r="C2852" s="47" t="s">
        <v>11628</v>
      </c>
      <c r="D2852" s="47" t="s">
        <v>11629</v>
      </c>
      <c r="E2852" s="47"/>
      <c r="F2852" s="47"/>
      <c r="G2852" s="47"/>
      <c r="H2852" s="47" t="s">
        <v>3605</v>
      </c>
      <c r="I2852" s="47" t="s">
        <v>2591</v>
      </c>
    </row>
    <row r="2853" spans="1:9" ht="15">
      <c r="A2853" s="47">
        <v>7211</v>
      </c>
      <c r="B2853" s="47" t="s">
        <v>11630</v>
      </c>
      <c r="C2853" s="47" t="s">
        <v>11631</v>
      </c>
      <c r="D2853" s="47" t="s">
        <v>11632</v>
      </c>
      <c r="E2853" s="47"/>
      <c r="F2853" s="47"/>
      <c r="G2853" s="47"/>
      <c r="H2853" s="47" t="s">
        <v>3605</v>
      </c>
      <c r="I2853" s="47" t="s">
        <v>19595</v>
      </c>
    </row>
    <row r="2854" spans="1:9" ht="15">
      <c r="A2854" s="47">
        <v>7048</v>
      </c>
      <c r="B2854" s="47" t="s">
        <v>11633</v>
      </c>
      <c r="C2854" s="47" t="s">
        <v>11634</v>
      </c>
      <c r="D2854" s="47" t="s">
        <v>11635</v>
      </c>
      <c r="E2854" s="47"/>
      <c r="F2854" s="47"/>
      <c r="G2854" s="47"/>
      <c r="H2854" s="47" t="s">
        <v>3605</v>
      </c>
      <c r="I2854" s="47" t="s">
        <v>19596</v>
      </c>
    </row>
    <row r="2855" spans="1:9" ht="15">
      <c r="A2855" s="47" t="s">
        <v>2580</v>
      </c>
      <c r="B2855" s="47" t="s">
        <v>2581</v>
      </c>
      <c r="C2855" s="47" t="s">
        <v>11636</v>
      </c>
      <c r="D2855" s="47" t="s">
        <v>11637</v>
      </c>
      <c r="E2855" s="47"/>
      <c r="F2855" s="47"/>
      <c r="G2855" s="47"/>
      <c r="H2855" s="47" t="s">
        <v>3605</v>
      </c>
      <c r="I2855" s="47" t="s">
        <v>2580</v>
      </c>
    </row>
    <row r="2856" spans="1:9" ht="15">
      <c r="A2856" s="47" t="s">
        <v>2913</v>
      </c>
      <c r="B2856" s="47" t="s">
        <v>2914</v>
      </c>
      <c r="C2856" s="47" t="s">
        <v>11638</v>
      </c>
      <c r="D2856" s="47" t="s">
        <v>11639</v>
      </c>
      <c r="E2856" s="47"/>
      <c r="F2856" s="47"/>
      <c r="G2856" s="47"/>
      <c r="H2856" s="47" t="s">
        <v>3605</v>
      </c>
      <c r="I2856" s="47" t="s">
        <v>2913</v>
      </c>
    </row>
    <row r="2857" spans="1:9" ht="15">
      <c r="A2857" s="47" t="s">
        <v>3259</v>
      </c>
      <c r="B2857" s="47" t="s">
        <v>3260</v>
      </c>
      <c r="C2857" s="47" t="s">
        <v>11640</v>
      </c>
      <c r="D2857" s="47" t="s">
        <v>11641</v>
      </c>
      <c r="E2857" s="47"/>
      <c r="F2857" s="47"/>
      <c r="G2857" s="47"/>
      <c r="H2857" s="47" t="s">
        <v>3605</v>
      </c>
      <c r="I2857" s="47" t="s">
        <v>3259</v>
      </c>
    </row>
    <row r="2858" spans="1:9" ht="15">
      <c r="A2858" s="47" t="s">
        <v>3436</v>
      </c>
      <c r="B2858" s="47" t="s">
        <v>3437</v>
      </c>
      <c r="C2858" s="47" t="s">
        <v>11642</v>
      </c>
      <c r="D2858" s="47" t="s">
        <v>11643</v>
      </c>
      <c r="E2858" s="47"/>
      <c r="F2858" s="47"/>
      <c r="G2858" s="47"/>
      <c r="H2858" s="47" t="s">
        <v>3605</v>
      </c>
      <c r="I2858" s="47" t="s">
        <v>3436</v>
      </c>
    </row>
    <row r="2859" spans="1:9" ht="15">
      <c r="A2859" s="47">
        <v>7072</v>
      </c>
      <c r="B2859" s="47" t="s">
        <v>11644</v>
      </c>
      <c r="C2859" s="47" t="s">
        <v>11645</v>
      </c>
      <c r="D2859" s="47" t="s">
        <v>11646</v>
      </c>
      <c r="E2859" s="47"/>
      <c r="F2859" s="47"/>
      <c r="G2859" s="47"/>
      <c r="H2859" s="47" t="s">
        <v>3605</v>
      </c>
      <c r="I2859" s="47" t="s">
        <v>19597</v>
      </c>
    </row>
    <row r="2860" spans="1:9" ht="15">
      <c r="A2860" s="47">
        <v>7231</v>
      </c>
      <c r="B2860" s="47" t="s">
        <v>11647</v>
      </c>
      <c r="C2860" s="47" t="s">
        <v>11648</v>
      </c>
      <c r="D2860" s="47" t="s">
        <v>11649</v>
      </c>
      <c r="E2860" s="47"/>
      <c r="F2860" s="47"/>
      <c r="G2860" s="47"/>
      <c r="H2860" s="47" t="s">
        <v>3605</v>
      </c>
      <c r="I2860" s="47" t="s">
        <v>19598</v>
      </c>
    </row>
    <row r="2861" spans="1:9" ht="15">
      <c r="A2861" s="47" t="s">
        <v>3380</v>
      </c>
      <c r="B2861" s="47" t="s">
        <v>3381</v>
      </c>
      <c r="C2861" s="47" t="s">
        <v>11650</v>
      </c>
      <c r="D2861" s="47" t="s">
        <v>11651</v>
      </c>
      <c r="E2861" s="47"/>
      <c r="F2861" s="47"/>
      <c r="G2861" s="47"/>
      <c r="H2861" s="47" t="s">
        <v>3605</v>
      </c>
      <c r="I2861" s="47" t="s">
        <v>3380</v>
      </c>
    </row>
    <row r="2862" spans="1:9" ht="15">
      <c r="A2862" s="47" t="s">
        <v>575</v>
      </c>
      <c r="B2862" s="47" t="s">
        <v>11652</v>
      </c>
      <c r="C2862" s="47" t="s">
        <v>11653</v>
      </c>
      <c r="D2862" s="47" t="s">
        <v>11654</v>
      </c>
      <c r="E2862" s="47"/>
      <c r="F2862" s="47"/>
      <c r="G2862" s="47"/>
      <c r="H2862" s="47" t="s">
        <v>3605</v>
      </c>
      <c r="I2862" s="47" t="s">
        <v>575</v>
      </c>
    </row>
    <row r="2863" spans="1:9" ht="15">
      <c r="A2863" s="47" t="s">
        <v>2281</v>
      </c>
      <c r="B2863" s="47" t="s">
        <v>2282</v>
      </c>
      <c r="C2863" s="47" t="s">
        <v>11655</v>
      </c>
      <c r="D2863" s="47" t="s">
        <v>11656</v>
      </c>
      <c r="E2863" s="47"/>
      <c r="F2863" s="47"/>
      <c r="G2863" s="47"/>
      <c r="H2863" s="47" t="s">
        <v>3605</v>
      </c>
      <c r="I2863" s="47" t="s">
        <v>2281</v>
      </c>
    </row>
    <row r="2864" spans="1:9" ht="15">
      <c r="A2864" s="47">
        <v>7466</v>
      </c>
      <c r="B2864" s="47" t="s">
        <v>11657</v>
      </c>
      <c r="C2864" s="47" t="s">
        <v>11658</v>
      </c>
      <c r="D2864" s="47" t="s">
        <v>11659</v>
      </c>
      <c r="E2864" s="47"/>
      <c r="F2864" s="47"/>
      <c r="G2864" s="47"/>
      <c r="H2864" s="47" t="s">
        <v>3605</v>
      </c>
      <c r="I2864" s="47" t="s">
        <v>19599</v>
      </c>
    </row>
    <row r="2865" spans="1:9" ht="15">
      <c r="A2865" s="47" t="s">
        <v>2995</v>
      </c>
      <c r="B2865" s="47" t="s">
        <v>11660</v>
      </c>
      <c r="C2865" s="47" t="s">
        <v>4558</v>
      </c>
      <c r="D2865" s="47" t="s">
        <v>4559</v>
      </c>
      <c r="E2865" s="47"/>
      <c r="F2865" s="47"/>
      <c r="G2865" s="47"/>
      <c r="H2865" s="47" t="s">
        <v>3605</v>
      </c>
      <c r="I2865" s="47" t="s">
        <v>2995</v>
      </c>
    </row>
    <row r="2866" spans="1:9" ht="15">
      <c r="A2866" s="47" t="s">
        <v>169</v>
      </c>
      <c r="B2866" s="47" t="s">
        <v>11661</v>
      </c>
      <c r="C2866" s="47" t="s">
        <v>4558</v>
      </c>
      <c r="D2866" s="47" t="s">
        <v>4559</v>
      </c>
      <c r="E2866" s="47"/>
      <c r="F2866" s="47"/>
      <c r="G2866" s="47"/>
      <c r="H2866" s="47" t="s">
        <v>3605</v>
      </c>
      <c r="I2866" s="47" t="s">
        <v>169</v>
      </c>
    </row>
    <row r="2867" spans="1:9" ht="15">
      <c r="A2867" s="47">
        <v>7200</v>
      </c>
      <c r="B2867" s="47" t="s">
        <v>11662</v>
      </c>
      <c r="C2867" s="47" t="s">
        <v>11663</v>
      </c>
      <c r="D2867" s="47" t="s">
        <v>11664</v>
      </c>
      <c r="E2867" s="47"/>
      <c r="F2867" s="47"/>
      <c r="G2867" s="47"/>
      <c r="H2867" s="47" t="s">
        <v>3605</v>
      </c>
      <c r="I2867" s="47" t="s">
        <v>19600</v>
      </c>
    </row>
    <row r="2868" spans="1:9" ht="15">
      <c r="A2868" s="47">
        <v>7083</v>
      </c>
      <c r="B2868" s="47" t="s">
        <v>11665</v>
      </c>
      <c r="C2868" s="47" t="s">
        <v>11666</v>
      </c>
      <c r="D2868" s="47" t="s">
        <v>11667</v>
      </c>
      <c r="E2868" s="47"/>
      <c r="F2868" s="47"/>
      <c r="G2868" s="47"/>
      <c r="H2868" s="47" t="s">
        <v>3605</v>
      </c>
      <c r="I2868" s="47" t="s">
        <v>19601</v>
      </c>
    </row>
    <row r="2869" spans="1:9" ht="15">
      <c r="A2869" s="47" t="s">
        <v>171</v>
      </c>
      <c r="B2869" s="47" t="s">
        <v>11668</v>
      </c>
      <c r="C2869" s="47" t="s">
        <v>4558</v>
      </c>
      <c r="D2869" s="47" t="s">
        <v>4559</v>
      </c>
      <c r="E2869" s="47"/>
      <c r="F2869" s="47"/>
      <c r="G2869" s="47"/>
      <c r="H2869" s="47" t="s">
        <v>3605</v>
      </c>
      <c r="I2869" s="47" t="s">
        <v>171</v>
      </c>
    </row>
    <row r="2870" spans="1:9" ht="15">
      <c r="A2870" s="47" t="s">
        <v>11669</v>
      </c>
      <c r="B2870" s="47" t="s">
        <v>11670</v>
      </c>
      <c r="C2870" s="47" t="s">
        <v>11671</v>
      </c>
      <c r="D2870" s="47" t="s">
        <v>11672</v>
      </c>
      <c r="E2870" s="47"/>
      <c r="F2870" s="47"/>
      <c r="G2870" s="47"/>
      <c r="H2870" s="47" t="s">
        <v>3605</v>
      </c>
      <c r="I2870" s="47" t="s">
        <v>11669</v>
      </c>
    </row>
    <row r="2871" spans="1:9" ht="15">
      <c r="A2871" s="47" t="s">
        <v>11673</v>
      </c>
      <c r="B2871" s="47" t="s">
        <v>11674</v>
      </c>
      <c r="C2871" s="47" t="s">
        <v>11675</v>
      </c>
      <c r="D2871" s="47" t="s">
        <v>11676</v>
      </c>
      <c r="E2871" s="47"/>
      <c r="F2871" s="47"/>
      <c r="G2871" s="47"/>
      <c r="H2871" s="47" t="s">
        <v>3605</v>
      </c>
      <c r="I2871" s="47" t="s">
        <v>11673</v>
      </c>
    </row>
    <row r="2872" spans="1:9" ht="15">
      <c r="A2872" s="47">
        <v>7241</v>
      </c>
      <c r="B2872" s="47" t="s">
        <v>11677</v>
      </c>
      <c r="C2872" s="47" t="s">
        <v>11678</v>
      </c>
      <c r="D2872" s="47" t="s">
        <v>11679</v>
      </c>
      <c r="E2872" s="47"/>
      <c r="F2872" s="47"/>
      <c r="G2872" s="47"/>
      <c r="H2872" s="47" t="s">
        <v>3605</v>
      </c>
      <c r="I2872" s="47" t="s">
        <v>19602</v>
      </c>
    </row>
    <row r="2873" spans="1:9" ht="15">
      <c r="A2873" s="47" t="s">
        <v>393</v>
      </c>
      <c r="B2873" s="47" t="s">
        <v>11680</v>
      </c>
      <c r="C2873" s="47" t="s">
        <v>4558</v>
      </c>
      <c r="D2873" s="47" t="s">
        <v>4559</v>
      </c>
      <c r="E2873" s="47"/>
      <c r="F2873" s="47"/>
      <c r="G2873" s="47"/>
      <c r="H2873" s="47" t="s">
        <v>3605</v>
      </c>
      <c r="I2873" s="47" t="s">
        <v>393</v>
      </c>
    </row>
    <row r="2874" spans="1:9" ht="15">
      <c r="A2874" s="47" t="s">
        <v>396</v>
      </c>
      <c r="B2874" s="47" t="s">
        <v>11681</v>
      </c>
      <c r="C2874" s="47" t="s">
        <v>4558</v>
      </c>
      <c r="D2874" s="47" t="s">
        <v>4559</v>
      </c>
      <c r="E2874" s="47"/>
      <c r="F2874" s="47"/>
      <c r="G2874" s="47"/>
      <c r="H2874" s="47" t="s">
        <v>3605</v>
      </c>
      <c r="I2874" s="47" t="s">
        <v>396</v>
      </c>
    </row>
    <row r="2875" spans="1:9" ht="15">
      <c r="A2875" s="47" t="s">
        <v>397</v>
      </c>
      <c r="B2875" s="47" t="s">
        <v>11682</v>
      </c>
      <c r="C2875" s="47" t="s">
        <v>4558</v>
      </c>
      <c r="D2875" s="47" t="s">
        <v>4559</v>
      </c>
      <c r="E2875" s="47"/>
      <c r="F2875" s="47"/>
      <c r="G2875" s="47"/>
      <c r="H2875" s="47" t="s">
        <v>3605</v>
      </c>
      <c r="I2875" s="47" t="s">
        <v>397</v>
      </c>
    </row>
    <row r="2876" spans="1:9" ht="15">
      <c r="A2876" s="47" t="s">
        <v>11683</v>
      </c>
      <c r="B2876" s="47" t="s">
        <v>11684</v>
      </c>
      <c r="C2876" s="47" t="s">
        <v>11685</v>
      </c>
      <c r="D2876" s="47" t="s">
        <v>11686</v>
      </c>
      <c r="E2876" s="47"/>
      <c r="F2876" s="47"/>
      <c r="G2876" s="47"/>
      <c r="H2876" s="47" t="s">
        <v>3605</v>
      </c>
      <c r="I2876" s="47" t="s">
        <v>11683</v>
      </c>
    </row>
    <row r="2877" spans="1:9" ht="15">
      <c r="A2877" s="47" t="s">
        <v>398</v>
      </c>
      <c r="B2877" s="47" t="s">
        <v>11687</v>
      </c>
      <c r="C2877" s="47" t="s">
        <v>4558</v>
      </c>
      <c r="D2877" s="47" t="s">
        <v>4559</v>
      </c>
      <c r="E2877" s="47"/>
      <c r="F2877" s="47"/>
      <c r="G2877" s="47"/>
      <c r="H2877" s="47" t="s">
        <v>3605</v>
      </c>
      <c r="I2877" s="47" t="s">
        <v>398</v>
      </c>
    </row>
    <row r="2878" spans="1:9" ht="15">
      <c r="A2878" s="47">
        <v>7140</v>
      </c>
      <c r="B2878" s="47" t="s">
        <v>11688</v>
      </c>
      <c r="C2878" s="47" t="s">
        <v>11689</v>
      </c>
      <c r="D2878" s="47" t="s">
        <v>11690</v>
      </c>
      <c r="E2878" s="47"/>
      <c r="F2878" s="47"/>
      <c r="G2878" s="47"/>
      <c r="H2878" s="47" t="s">
        <v>3605</v>
      </c>
      <c r="I2878" s="47" t="s">
        <v>19603</v>
      </c>
    </row>
    <row r="2879" spans="1:9" ht="15">
      <c r="A2879" s="47">
        <v>7141</v>
      </c>
      <c r="B2879" s="47" t="s">
        <v>11691</v>
      </c>
      <c r="C2879" s="47" t="s">
        <v>11692</v>
      </c>
      <c r="D2879" s="47" t="s">
        <v>11693</v>
      </c>
      <c r="E2879" s="47"/>
      <c r="F2879" s="47"/>
      <c r="G2879" s="47"/>
      <c r="H2879" s="47" t="s">
        <v>3605</v>
      </c>
      <c r="I2879" s="47" t="s">
        <v>19604</v>
      </c>
    </row>
    <row r="2880" spans="1:9" ht="15">
      <c r="A2880" s="47" t="s">
        <v>450</v>
      </c>
      <c r="B2880" s="47" t="s">
        <v>11694</v>
      </c>
      <c r="C2880" s="47" t="s">
        <v>4558</v>
      </c>
      <c r="D2880" s="47" t="s">
        <v>4559</v>
      </c>
      <c r="E2880" s="47"/>
      <c r="F2880" s="47"/>
      <c r="G2880" s="47"/>
      <c r="H2880" s="47" t="s">
        <v>3605</v>
      </c>
      <c r="I2880" s="47" t="s">
        <v>450</v>
      </c>
    </row>
    <row r="2881" spans="1:9" ht="15">
      <c r="A2881" s="47" t="s">
        <v>11695</v>
      </c>
      <c r="B2881" s="47" t="s">
        <v>11696</v>
      </c>
      <c r="C2881" s="47" t="s">
        <v>11697</v>
      </c>
      <c r="D2881" s="47" t="s">
        <v>11698</v>
      </c>
      <c r="E2881" s="47"/>
      <c r="F2881" s="47"/>
      <c r="G2881" s="47"/>
      <c r="H2881" s="47" t="s">
        <v>3605</v>
      </c>
      <c r="I2881" s="47" t="s">
        <v>11695</v>
      </c>
    </row>
    <row r="2882" spans="1:9" ht="15">
      <c r="A2882" s="47" t="s">
        <v>11699</v>
      </c>
      <c r="B2882" s="47" t="s">
        <v>11700</v>
      </c>
      <c r="C2882" s="47" t="s">
        <v>11701</v>
      </c>
      <c r="D2882" s="47" t="s">
        <v>11702</v>
      </c>
      <c r="E2882" s="47"/>
      <c r="F2882" s="47"/>
      <c r="G2882" s="47"/>
      <c r="H2882" s="47" t="s">
        <v>3605</v>
      </c>
      <c r="I2882" s="47" t="s">
        <v>11699</v>
      </c>
    </row>
    <row r="2883" spans="1:9" ht="15">
      <c r="A2883" s="47" t="s">
        <v>451</v>
      </c>
      <c r="B2883" s="47" t="s">
        <v>11703</v>
      </c>
      <c r="C2883" s="47" t="s">
        <v>4558</v>
      </c>
      <c r="D2883" s="47" t="s">
        <v>4559</v>
      </c>
      <c r="E2883" s="47"/>
      <c r="F2883" s="47"/>
      <c r="G2883" s="47"/>
      <c r="H2883" s="47" t="s">
        <v>3605</v>
      </c>
      <c r="I2883" s="47" t="s">
        <v>451</v>
      </c>
    </row>
    <row r="2884" spans="1:9" ht="15">
      <c r="A2884" s="47" t="s">
        <v>11704</v>
      </c>
      <c r="B2884" s="47" t="s">
        <v>11705</v>
      </c>
      <c r="C2884" s="47" t="s">
        <v>11706</v>
      </c>
      <c r="D2884" s="47" t="s">
        <v>11707</v>
      </c>
      <c r="E2884" s="47"/>
      <c r="F2884" s="47"/>
      <c r="G2884" s="47"/>
      <c r="H2884" s="47" t="s">
        <v>3605</v>
      </c>
      <c r="I2884" s="47" t="s">
        <v>11704</v>
      </c>
    </row>
    <row r="2885" spans="1:9" ht="15">
      <c r="A2885" s="47" t="s">
        <v>452</v>
      </c>
      <c r="B2885" s="47" t="s">
        <v>11708</v>
      </c>
      <c r="C2885" s="47" t="s">
        <v>4558</v>
      </c>
      <c r="D2885" s="47" t="s">
        <v>4559</v>
      </c>
      <c r="E2885" s="47"/>
      <c r="F2885" s="47"/>
      <c r="G2885" s="47"/>
      <c r="H2885" s="47" t="s">
        <v>3605</v>
      </c>
      <c r="I2885" s="47" t="s">
        <v>452</v>
      </c>
    </row>
    <row r="2886" spans="1:9" ht="15">
      <c r="A2886" s="47" t="s">
        <v>453</v>
      </c>
      <c r="B2886" s="47" t="s">
        <v>11709</v>
      </c>
      <c r="C2886" s="47" t="s">
        <v>4558</v>
      </c>
      <c r="D2886" s="47" t="s">
        <v>4559</v>
      </c>
      <c r="E2886" s="47"/>
      <c r="F2886" s="47"/>
      <c r="G2886" s="47"/>
      <c r="H2886" s="47" t="s">
        <v>3605</v>
      </c>
      <c r="I2886" s="47" t="s">
        <v>453</v>
      </c>
    </row>
    <row r="2887" spans="1:9" ht="15">
      <c r="A2887" s="47" t="s">
        <v>454</v>
      </c>
      <c r="B2887" s="47" t="s">
        <v>11710</v>
      </c>
      <c r="C2887" s="47" t="s">
        <v>4558</v>
      </c>
      <c r="D2887" s="47" t="s">
        <v>4559</v>
      </c>
      <c r="E2887" s="47"/>
      <c r="F2887" s="47"/>
      <c r="G2887" s="47"/>
      <c r="H2887" s="47" t="s">
        <v>3605</v>
      </c>
      <c r="I2887" s="47" t="s">
        <v>454</v>
      </c>
    </row>
    <row r="2888" spans="1:9" ht="15">
      <c r="A2888" s="47" t="s">
        <v>455</v>
      </c>
      <c r="B2888" s="47" t="s">
        <v>11711</v>
      </c>
      <c r="C2888" s="47" t="s">
        <v>4558</v>
      </c>
      <c r="D2888" s="47" t="s">
        <v>4559</v>
      </c>
      <c r="E2888" s="47"/>
      <c r="F2888" s="47"/>
      <c r="G2888" s="47"/>
      <c r="H2888" s="47" t="s">
        <v>3605</v>
      </c>
      <c r="I2888" s="47" t="s">
        <v>455</v>
      </c>
    </row>
    <row r="2889" spans="1:9" ht="15">
      <c r="A2889" s="47" t="s">
        <v>3039</v>
      </c>
      <c r="B2889" s="47" t="s">
        <v>11712</v>
      </c>
      <c r="C2889" s="47" t="s">
        <v>4558</v>
      </c>
      <c r="D2889" s="47" t="s">
        <v>4559</v>
      </c>
      <c r="E2889" s="47"/>
      <c r="F2889" s="47"/>
      <c r="G2889" s="47"/>
      <c r="H2889" s="47" t="s">
        <v>3605</v>
      </c>
      <c r="I2889" s="47" t="s">
        <v>3039</v>
      </c>
    </row>
    <row r="2890" spans="1:9" ht="15">
      <c r="A2890" s="47" t="s">
        <v>3041</v>
      </c>
      <c r="B2890" s="47" t="s">
        <v>11713</v>
      </c>
      <c r="C2890" s="47" t="s">
        <v>4558</v>
      </c>
      <c r="D2890" s="47" t="s">
        <v>4559</v>
      </c>
      <c r="E2890" s="47"/>
      <c r="F2890" s="47"/>
      <c r="G2890" s="47"/>
      <c r="H2890" s="47" t="s">
        <v>3605</v>
      </c>
      <c r="I2890" s="47" t="s">
        <v>3041</v>
      </c>
    </row>
    <row r="2891" spans="1:9" ht="15">
      <c r="A2891" s="47" t="s">
        <v>11714</v>
      </c>
      <c r="B2891" s="47" t="s">
        <v>11715</v>
      </c>
      <c r="C2891" s="47" t="s">
        <v>11716</v>
      </c>
      <c r="D2891" s="47" t="s">
        <v>11717</v>
      </c>
      <c r="E2891" s="47"/>
      <c r="F2891" s="47" t="s">
        <v>4253</v>
      </c>
      <c r="G2891" s="47" t="s">
        <v>4254</v>
      </c>
      <c r="H2891" s="47" t="s">
        <v>3605</v>
      </c>
      <c r="I2891" s="47" t="s">
        <v>11714</v>
      </c>
    </row>
    <row r="2892" spans="1:9" ht="15">
      <c r="A2892" s="47" t="s">
        <v>456</v>
      </c>
      <c r="B2892" s="47" t="s">
        <v>11718</v>
      </c>
      <c r="C2892" s="47" t="s">
        <v>4558</v>
      </c>
      <c r="D2892" s="47" t="s">
        <v>4559</v>
      </c>
      <c r="E2892" s="47"/>
      <c r="F2892" s="47"/>
      <c r="G2892" s="47"/>
      <c r="H2892" s="47" t="s">
        <v>3605</v>
      </c>
      <c r="I2892" s="47" t="s">
        <v>456</v>
      </c>
    </row>
    <row r="2893" spans="1:9" ht="15">
      <c r="A2893" s="47" t="s">
        <v>457</v>
      </c>
      <c r="B2893" s="47" t="s">
        <v>11719</v>
      </c>
      <c r="C2893" s="47" t="s">
        <v>4558</v>
      </c>
      <c r="D2893" s="47" t="s">
        <v>4559</v>
      </c>
      <c r="E2893" s="47"/>
      <c r="F2893" s="47"/>
      <c r="G2893" s="47"/>
      <c r="H2893" s="47" t="s">
        <v>3605</v>
      </c>
      <c r="I2893" s="47" t="s">
        <v>457</v>
      </c>
    </row>
    <row r="2894" spans="1:9" ht="15">
      <c r="A2894" s="47" t="s">
        <v>458</v>
      </c>
      <c r="B2894" s="47" t="s">
        <v>11720</v>
      </c>
      <c r="C2894" s="47" t="s">
        <v>4558</v>
      </c>
      <c r="D2894" s="47" t="s">
        <v>4559</v>
      </c>
      <c r="E2894" s="47"/>
      <c r="F2894" s="47"/>
      <c r="G2894" s="47"/>
      <c r="H2894" s="47" t="s">
        <v>3605</v>
      </c>
      <c r="I2894" s="47" t="s">
        <v>458</v>
      </c>
    </row>
    <row r="2895" spans="1:9" ht="15">
      <c r="A2895" s="47">
        <v>7143</v>
      </c>
      <c r="B2895" s="47" t="s">
        <v>11721</v>
      </c>
      <c r="C2895" s="47" t="s">
        <v>11722</v>
      </c>
      <c r="D2895" s="47" t="s">
        <v>11723</v>
      </c>
      <c r="E2895" s="47"/>
      <c r="F2895" s="47"/>
      <c r="G2895" s="47"/>
      <c r="H2895" s="47" t="s">
        <v>3605</v>
      </c>
      <c r="I2895" s="47" t="s">
        <v>19605</v>
      </c>
    </row>
    <row r="2896" spans="1:9" ht="15">
      <c r="A2896" s="47" t="s">
        <v>459</v>
      </c>
      <c r="B2896" s="47" t="s">
        <v>11724</v>
      </c>
      <c r="C2896" s="47" t="s">
        <v>4558</v>
      </c>
      <c r="D2896" s="47" t="s">
        <v>4559</v>
      </c>
      <c r="E2896" s="47"/>
      <c r="F2896" s="47"/>
      <c r="G2896" s="47"/>
      <c r="H2896" s="47" t="s">
        <v>3605</v>
      </c>
      <c r="I2896" s="47" t="s">
        <v>459</v>
      </c>
    </row>
    <row r="2897" spans="1:9" ht="15">
      <c r="A2897" s="47">
        <v>7096</v>
      </c>
      <c r="B2897" s="47" t="s">
        <v>11725</v>
      </c>
      <c r="C2897" s="47" t="s">
        <v>11726</v>
      </c>
      <c r="D2897" s="47" t="s">
        <v>11727</v>
      </c>
      <c r="E2897" s="47"/>
      <c r="F2897" s="47"/>
      <c r="G2897" s="47"/>
      <c r="H2897" s="47" t="s">
        <v>3605</v>
      </c>
      <c r="I2897" s="47" t="s">
        <v>19606</v>
      </c>
    </row>
    <row r="2898" spans="1:9" ht="15">
      <c r="A2898" s="47">
        <v>7097</v>
      </c>
      <c r="B2898" s="47" t="s">
        <v>11728</v>
      </c>
      <c r="C2898" s="47" t="s">
        <v>11729</v>
      </c>
      <c r="D2898" s="47" t="s">
        <v>11730</v>
      </c>
      <c r="E2898" s="47"/>
      <c r="F2898" s="47"/>
      <c r="G2898" s="47"/>
      <c r="H2898" s="47" t="s">
        <v>3605</v>
      </c>
      <c r="I2898" s="47" t="s">
        <v>19607</v>
      </c>
    </row>
    <row r="2899" spans="1:9" ht="15">
      <c r="A2899" s="47" t="s">
        <v>3043</v>
      </c>
      <c r="B2899" s="47" t="s">
        <v>11731</v>
      </c>
      <c r="C2899" s="47" t="s">
        <v>4558</v>
      </c>
      <c r="D2899" s="47" t="s">
        <v>4559</v>
      </c>
      <c r="E2899" s="47"/>
      <c r="F2899" s="47"/>
      <c r="G2899" s="47"/>
      <c r="H2899" s="47" t="s">
        <v>3605</v>
      </c>
      <c r="I2899" s="47" t="s">
        <v>3043</v>
      </c>
    </row>
    <row r="2900" spans="1:9" ht="15">
      <c r="A2900" s="47" t="s">
        <v>460</v>
      </c>
      <c r="B2900" s="47" t="s">
        <v>11732</v>
      </c>
      <c r="C2900" s="47" t="s">
        <v>4558</v>
      </c>
      <c r="D2900" s="47" t="s">
        <v>4559</v>
      </c>
      <c r="E2900" s="47"/>
      <c r="F2900" s="47"/>
      <c r="G2900" s="47"/>
      <c r="H2900" s="47" t="s">
        <v>3605</v>
      </c>
      <c r="I2900" s="47" t="s">
        <v>460</v>
      </c>
    </row>
    <row r="2901" spans="1:9" ht="15">
      <c r="A2901" s="47" t="s">
        <v>1666</v>
      </c>
      <c r="B2901" s="47" t="s">
        <v>11733</v>
      </c>
      <c r="C2901" s="47" t="s">
        <v>4558</v>
      </c>
      <c r="D2901" s="47" t="s">
        <v>4559</v>
      </c>
      <c r="E2901" s="47"/>
      <c r="F2901" s="47"/>
      <c r="G2901" s="47"/>
      <c r="H2901" s="47" t="s">
        <v>3605</v>
      </c>
      <c r="I2901" s="47" t="s">
        <v>1666</v>
      </c>
    </row>
    <row r="2902" spans="1:9" ht="15">
      <c r="A2902" s="47" t="s">
        <v>461</v>
      </c>
      <c r="B2902" s="47" t="s">
        <v>11734</v>
      </c>
      <c r="C2902" s="47" t="s">
        <v>4558</v>
      </c>
      <c r="D2902" s="47" t="s">
        <v>4559</v>
      </c>
      <c r="E2902" s="47"/>
      <c r="F2902" s="47"/>
      <c r="G2902" s="47"/>
      <c r="H2902" s="47" t="s">
        <v>3605</v>
      </c>
      <c r="I2902" s="47" t="s">
        <v>461</v>
      </c>
    </row>
    <row r="2903" spans="1:9" ht="15">
      <c r="A2903" s="47">
        <v>6013</v>
      </c>
      <c r="B2903" s="47" t="s">
        <v>11735</v>
      </c>
      <c r="C2903" s="47" t="s">
        <v>11736</v>
      </c>
      <c r="D2903" s="47" t="s">
        <v>5190</v>
      </c>
      <c r="E2903" s="47"/>
      <c r="F2903" s="47" t="s">
        <v>3603</v>
      </c>
      <c r="G2903" s="47" t="s">
        <v>3604</v>
      </c>
      <c r="H2903" s="47" t="s">
        <v>3605</v>
      </c>
      <c r="I2903" s="47" t="s">
        <v>19608</v>
      </c>
    </row>
    <row r="2904" spans="1:9" ht="15">
      <c r="A2904" s="47" t="s">
        <v>462</v>
      </c>
      <c r="B2904" s="47" t="s">
        <v>11737</v>
      </c>
      <c r="C2904" s="47" t="s">
        <v>4558</v>
      </c>
      <c r="D2904" s="47" t="s">
        <v>4559</v>
      </c>
      <c r="E2904" s="47"/>
      <c r="F2904" s="47"/>
      <c r="G2904" s="47"/>
      <c r="H2904" s="47" t="s">
        <v>3605</v>
      </c>
      <c r="I2904" s="47" t="s">
        <v>462</v>
      </c>
    </row>
    <row r="2905" spans="1:9" ht="15">
      <c r="A2905" s="47" t="s">
        <v>11738</v>
      </c>
      <c r="B2905" s="47" t="s">
        <v>11739</v>
      </c>
      <c r="C2905" s="47" t="s">
        <v>11740</v>
      </c>
      <c r="D2905" s="47" t="s">
        <v>11741</v>
      </c>
      <c r="E2905" s="47"/>
      <c r="F2905" s="47"/>
      <c r="G2905" s="47"/>
      <c r="H2905" s="47" t="s">
        <v>3605</v>
      </c>
      <c r="I2905" s="47" t="s">
        <v>11738</v>
      </c>
    </row>
    <row r="2906" spans="1:9" ht="15">
      <c r="A2906" s="47" t="s">
        <v>11742</v>
      </c>
      <c r="B2906" s="47" t="s">
        <v>11743</v>
      </c>
      <c r="C2906" s="47" t="s">
        <v>11744</v>
      </c>
      <c r="D2906" s="47" t="s">
        <v>11745</v>
      </c>
      <c r="E2906" s="47"/>
      <c r="F2906" s="47"/>
      <c r="G2906" s="47"/>
      <c r="H2906" s="47" t="s">
        <v>3605</v>
      </c>
      <c r="I2906" s="47" t="s">
        <v>11742</v>
      </c>
    </row>
    <row r="2907" spans="1:9" ht="15">
      <c r="A2907" s="47" t="s">
        <v>3045</v>
      </c>
      <c r="B2907" s="47" t="s">
        <v>11746</v>
      </c>
      <c r="C2907" s="47" t="s">
        <v>4558</v>
      </c>
      <c r="D2907" s="47" t="s">
        <v>4559</v>
      </c>
      <c r="E2907" s="47"/>
      <c r="F2907" s="47"/>
      <c r="G2907" s="47"/>
      <c r="H2907" s="47" t="s">
        <v>3605</v>
      </c>
      <c r="I2907" s="47" t="s">
        <v>3045</v>
      </c>
    </row>
    <row r="2908" spans="1:9" ht="15">
      <c r="A2908" s="47" t="s">
        <v>11747</v>
      </c>
      <c r="B2908" s="47" t="s">
        <v>11748</v>
      </c>
      <c r="C2908" s="47" t="s">
        <v>11749</v>
      </c>
      <c r="D2908" s="47" t="s">
        <v>11750</v>
      </c>
      <c r="E2908" s="47"/>
      <c r="F2908" s="47"/>
      <c r="G2908" s="47"/>
      <c r="H2908" s="47" t="s">
        <v>3605</v>
      </c>
      <c r="I2908" s="47" t="s">
        <v>11747</v>
      </c>
    </row>
    <row r="2909" spans="1:9" ht="15">
      <c r="A2909" s="47" t="s">
        <v>463</v>
      </c>
      <c r="B2909" s="47" t="s">
        <v>11751</v>
      </c>
      <c r="C2909" s="47" t="s">
        <v>4558</v>
      </c>
      <c r="D2909" s="47" t="s">
        <v>4559</v>
      </c>
      <c r="E2909" s="47"/>
      <c r="F2909" s="47"/>
      <c r="G2909" s="47"/>
      <c r="H2909" s="47" t="s">
        <v>3605</v>
      </c>
      <c r="I2909" s="47" t="s">
        <v>463</v>
      </c>
    </row>
    <row r="2910" spans="1:9" ht="15">
      <c r="A2910" s="47" t="s">
        <v>11752</v>
      </c>
      <c r="B2910" s="47" t="s">
        <v>11753</v>
      </c>
      <c r="C2910" s="47" t="s">
        <v>11754</v>
      </c>
      <c r="D2910" s="47" t="s">
        <v>11755</v>
      </c>
      <c r="E2910" s="47"/>
      <c r="F2910" s="47"/>
      <c r="G2910" s="47"/>
      <c r="H2910" s="47" t="s">
        <v>3605</v>
      </c>
      <c r="I2910" s="47" t="s">
        <v>11752</v>
      </c>
    </row>
    <row r="2911" spans="1:9" ht="15">
      <c r="A2911" s="47">
        <v>7078</v>
      </c>
      <c r="B2911" s="47" t="s">
        <v>11756</v>
      </c>
      <c r="C2911" s="47" t="s">
        <v>11757</v>
      </c>
      <c r="D2911" s="47" t="s">
        <v>11758</v>
      </c>
      <c r="E2911" s="47"/>
      <c r="F2911" s="47"/>
      <c r="G2911" s="47"/>
      <c r="H2911" s="47" t="s">
        <v>3605</v>
      </c>
      <c r="I2911" s="47" t="s">
        <v>19609</v>
      </c>
    </row>
    <row r="2912" spans="1:9" ht="15">
      <c r="A2912" s="47" t="s">
        <v>464</v>
      </c>
      <c r="B2912" s="47" t="s">
        <v>11759</v>
      </c>
      <c r="C2912" s="47" t="s">
        <v>4558</v>
      </c>
      <c r="D2912" s="47" t="s">
        <v>4559</v>
      </c>
      <c r="E2912" s="47"/>
      <c r="F2912" s="47"/>
      <c r="G2912" s="47"/>
      <c r="H2912" s="47" t="s">
        <v>3605</v>
      </c>
      <c r="I2912" s="47" t="s">
        <v>464</v>
      </c>
    </row>
    <row r="2913" spans="1:9" ht="15">
      <c r="A2913" s="47" t="s">
        <v>11760</v>
      </c>
      <c r="B2913" s="47" t="s">
        <v>11761</v>
      </c>
      <c r="C2913" s="47" t="s">
        <v>11762</v>
      </c>
      <c r="D2913" s="47" t="s">
        <v>11763</v>
      </c>
      <c r="E2913" s="47"/>
      <c r="F2913" s="47"/>
      <c r="G2913" s="47"/>
      <c r="H2913" s="47" t="s">
        <v>3605</v>
      </c>
      <c r="I2913" s="47" t="s">
        <v>11760</v>
      </c>
    </row>
    <row r="2914" spans="1:9" ht="15">
      <c r="A2914" s="47" t="s">
        <v>11764</v>
      </c>
      <c r="B2914" s="47" t="s">
        <v>11765</v>
      </c>
      <c r="C2914" s="47" t="s">
        <v>11766</v>
      </c>
      <c r="D2914" s="47" t="s">
        <v>11767</v>
      </c>
      <c r="E2914" s="47"/>
      <c r="F2914" s="47"/>
      <c r="G2914" s="47"/>
      <c r="H2914" s="47" t="s">
        <v>3605</v>
      </c>
      <c r="I2914" s="47" t="s">
        <v>11764</v>
      </c>
    </row>
    <row r="2915" spans="1:9" ht="15">
      <c r="A2915" s="47" t="s">
        <v>465</v>
      </c>
      <c r="B2915" s="47" t="s">
        <v>11768</v>
      </c>
      <c r="C2915" s="47" t="s">
        <v>4558</v>
      </c>
      <c r="D2915" s="47" t="s">
        <v>4559</v>
      </c>
      <c r="E2915" s="47"/>
      <c r="F2915" s="47"/>
      <c r="G2915" s="47"/>
      <c r="H2915" s="47" t="s">
        <v>3605</v>
      </c>
      <c r="I2915" s="47" t="s">
        <v>465</v>
      </c>
    </row>
    <row r="2916" spans="1:9" ht="15">
      <c r="A2916" s="47" t="s">
        <v>11769</v>
      </c>
      <c r="B2916" s="47" t="s">
        <v>11770</v>
      </c>
      <c r="C2916" s="47" t="s">
        <v>11771</v>
      </c>
      <c r="D2916" s="47" t="s">
        <v>11772</v>
      </c>
      <c r="E2916" s="47"/>
      <c r="F2916" s="47"/>
      <c r="G2916" s="47"/>
      <c r="H2916" s="47" t="s">
        <v>3605</v>
      </c>
      <c r="I2916" s="47" t="s">
        <v>11769</v>
      </c>
    </row>
    <row r="2917" spans="1:9" ht="15">
      <c r="A2917" s="47" t="s">
        <v>11773</v>
      </c>
      <c r="B2917" s="47" t="s">
        <v>11774</v>
      </c>
      <c r="C2917" s="47" t="s">
        <v>11775</v>
      </c>
      <c r="D2917" s="47" t="s">
        <v>11776</v>
      </c>
      <c r="E2917" s="47"/>
      <c r="F2917" s="47"/>
      <c r="G2917" s="47"/>
      <c r="H2917" s="47" t="s">
        <v>3605</v>
      </c>
      <c r="I2917" s="47" t="s">
        <v>11773</v>
      </c>
    </row>
    <row r="2918" spans="1:9" ht="15">
      <c r="A2918" s="47" t="s">
        <v>466</v>
      </c>
      <c r="B2918" s="47" t="s">
        <v>11777</v>
      </c>
      <c r="C2918" s="47" t="s">
        <v>4558</v>
      </c>
      <c r="D2918" s="47" t="s">
        <v>4559</v>
      </c>
      <c r="E2918" s="47"/>
      <c r="F2918" s="47"/>
      <c r="G2918" s="47"/>
      <c r="H2918" s="47" t="s">
        <v>3605</v>
      </c>
      <c r="I2918" s="47" t="s">
        <v>466</v>
      </c>
    </row>
    <row r="2919" spans="1:9" ht="15">
      <c r="A2919" s="47" t="s">
        <v>11778</v>
      </c>
      <c r="B2919" s="47" t="s">
        <v>11779</v>
      </c>
      <c r="C2919" s="47" t="s">
        <v>11780</v>
      </c>
      <c r="D2919" s="47" t="s">
        <v>11781</v>
      </c>
      <c r="E2919" s="47"/>
      <c r="F2919" s="47"/>
      <c r="G2919" s="47"/>
      <c r="H2919" s="47" t="s">
        <v>3605</v>
      </c>
      <c r="I2919" s="47" t="s">
        <v>11778</v>
      </c>
    </row>
    <row r="2920" spans="1:9" ht="15">
      <c r="A2920" s="47" t="s">
        <v>11782</v>
      </c>
      <c r="B2920" s="47" t="s">
        <v>11783</v>
      </c>
      <c r="C2920" s="47" t="s">
        <v>11784</v>
      </c>
      <c r="D2920" s="47" t="s">
        <v>11785</v>
      </c>
      <c r="E2920" s="47"/>
      <c r="F2920" s="47"/>
      <c r="G2920" s="47"/>
      <c r="H2920" s="47" t="s">
        <v>3605</v>
      </c>
      <c r="I2920" s="47" t="s">
        <v>11782</v>
      </c>
    </row>
    <row r="2921" spans="1:9" ht="15">
      <c r="A2921" s="47">
        <v>10231</v>
      </c>
      <c r="B2921" s="47" t="s">
        <v>11786</v>
      </c>
      <c r="C2921" s="47" t="s">
        <v>11787</v>
      </c>
      <c r="D2921" s="47" t="s">
        <v>11788</v>
      </c>
      <c r="E2921" s="47"/>
      <c r="F2921" s="47" t="s">
        <v>3603</v>
      </c>
      <c r="G2921" s="47" t="s">
        <v>3604</v>
      </c>
      <c r="H2921" s="47" t="s">
        <v>3605</v>
      </c>
      <c r="I2921" s="47" t="s">
        <v>19610</v>
      </c>
    </row>
    <row r="2922" spans="1:9" ht="15">
      <c r="A2922" s="47" t="s">
        <v>473</v>
      </c>
      <c r="B2922" s="47" t="s">
        <v>11789</v>
      </c>
      <c r="C2922" s="47" t="s">
        <v>4558</v>
      </c>
      <c r="D2922" s="47" t="s">
        <v>4559</v>
      </c>
      <c r="E2922" s="47"/>
      <c r="F2922" s="47"/>
      <c r="G2922" s="47"/>
      <c r="H2922" s="47" t="s">
        <v>3605</v>
      </c>
      <c r="I2922" s="47" t="s">
        <v>473</v>
      </c>
    </row>
    <row r="2923" spans="1:9" ht="15">
      <c r="A2923" s="47" t="s">
        <v>11790</v>
      </c>
      <c r="B2923" s="47" t="s">
        <v>11791</v>
      </c>
      <c r="C2923" s="47" t="s">
        <v>11792</v>
      </c>
      <c r="D2923" s="47" t="s">
        <v>11793</v>
      </c>
      <c r="E2923" s="47"/>
      <c r="F2923" s="47"/>
      <c r="G2923" s="47"/>
      <c r="H2923" s="47" t="s">
        <v>3605</v>
      </c>
      <c r="I2923" s="47" t="s">
        <v>11790</v>
      </c>
    </row>
    <row r="2924" spans="1:9" ht="15">
      <c r="A2924" s="47" t="s">
        <v>11794</v>
      </c>
      <c r="B2924" s="47" t="s">
        <v>11795</v>
      </c>
      <c r="C2924" s="47" t="s">
        <v>11796</v>
      </c>
      <c r="D2924" s="47" t="s">
        <v>11797</v>
      </c>
      <c r="E2924" s="47"/>
      <c r="F2924" s="47"/>
      <c r="G2924" s="47"/>
      <c r="H2924" s="47" t="s">
        <v>3605</v>
      </c>
      <c r="I2924" s="47" t="s">
        <v>11794</v>
      </c>
    </row>
    <row r="2925" spans="1:9" ht="15">
      <c r="A2925" s="47" t="s">
        <v>474</v>
      </c>
      <c r="B2925" s="47" t="s">
        <v>11798</v>
      </c>
      <c r="C2925" s="47" t="s">
        <v>4558</v>
      </c>
      <c r="D2925" s="47" t="s">
        <v>4559</v>
      </c>
      <c r="E2925" s="47"/>
      <c r="F2925" s="47"/>
      <c r="G2925" s="47"/>
      <c r="H2925" s="47" t="s">
        <v>3605</v>
      </c>
      <c r="I2925" s="47" t="s">
        <v>474</v>
      </c>
    </row>
    <row r="2926" spans="1:9" ht="15">
      <c r="A2926" s="47" t="s">
        <v>11799</v>
      </c>
      <c r="B2926" s="47" t="s">
        <v>11800</v>
      </c>
      <c r="C2926" s="47" t="s">
        <v>11801</v>
      </c>
      <c r="D2926" s="47" t="s">
        <v>11802</v>
      </c>
      <c r="E2926" s="47"/>
      <c r="F2926" s="47"/>
      <c r="G2926" s="47"/>
      <c r="H2926" s="47" t="s">
        <v>3605</v>
      </c>
      <c r="I2926" s="47" t="s">
        <v>11799</v>
      </c>
    </row>
    <row r="2927" spans="1:9" ht="15">
      <c r="A2927" s="47">
        <v>7224</v>
      </c>
      <c r="B2927" s="47" t="s">
        <v>11803</v>
      </c>
      <c r="C2927" s="47" t="s">
        <v>11804</v>
      </c>
      <c r="D2927" s="47" t="s">
        <v>11805</v>
      </c>
      <c r="E2927" s="47"/>
      <c r="F2927" s="47"/>
      <c r="G2927" s="47"/>
      <c r="H2927" s="47" t="s">
        <v>3605</v>
      </c>
      <c r="I2927" s="47" t="s">
        <v>19611</v>
      </c>
    </row>
    <row r="2928" spans="1:9" ht="15">
      <c r="A2928" s="47" t="s">
        <v>477</v>
      </c>
      <c r="B2928" s="47" t="s">
        <v>11806</v>
      </c>
      <c r="C2928" s="47" t="s">
        <v>4558</v>
      </c>
      <c r="D2928" s="47" t="s">
        <v>4559</v>
      </c>
      <c r="E2928" s="47"/>
      <c r="F2928" s="47"/>
      <c r="G2928" s="47"/>
      <c r="H2928" s="47" t="s">
        <v>3605</v>
      </c>
      <c r="I2928" s="47" t="s">
        <v>477</v>
      </c>
    </row>
    <row r="2929" spans="1:9" ht="15">
      <c r="A2929" s="47" t="s">
        <v>3051</v>
      </c>
      <c r="B2929" s="47" t="s">
        <v>11807</v>
      </c>
      <c r="C2929" s="47" t="s">
        <v>4558</v>
      </c>
      <c r="D2929" s="47" t="s">
        <v>4559</v>
      </c>
      <c r="E2929" s="47"/>
      <c r="F2929" s="47"/>
      <c r="G2929" s="47"/>
      <c r="H2929" s="47" t="s">
        <v>3605</v>
      </c>
      <c r="I2929" s="47" t="s">
        <v>3051</v>
      </c>
    </row>
    <row r="2930" spans="1:9" ht="15">
      <c r="A2930" s="47" t="s">
        <v>488</v>
      </c>
      <c r="B2930" s="47" t="s">
        <v>11808</v>
      </c>
      <c r="C2930" s="47" t="s">
        <v>4558</v>
      </c>
      <c r="D2930" s="47" t="s">
        <v>4559</v>
      </c>
      <c r="E2930" s="47"/>
      <c r="F2930" s="47"/>
      <c r="G2930" s="47"/>
      <c r="H2930" s="47" t="s">
        <v>3605</v>
      </c>
      <c r="I2930" s="47" t="s">
        <v>488</v>
      </c>
    </row>
    <row r="2931" spans="1:9" ht="15">
      <c r="A2931" s="47" t="s">
        <v>489</v>
      </c>
      <c r="B2931" s="47" t="s">
        <v>11809</v>
      </c>
      <c r="C2931" s="47" t="s">
        <v>4558</v>
      </c>
      <c r="D2931" s="47" t="s">
        <v>4559</v>
      </c>
      <c r="E2931" s="47"/>
      <c r="F2931" s="47"/>
      <c r="G2931" s="47"/>
      <c r="H2931" s="47" t="s">
        <v>3605</v>
      </c>
      <c r="I2931" s="47" t="s">
        <v>489</v>
      </c>
    </row>
    <row r="2932" spans="1:9" ht="15">
      <c r="A2932" s="47" t="s">
        <v>11810</v>
      </c>
      <c r="B2932" s="47" t="s">
        <v>11811</v>
      </c>
      <c r="C2932" s="47" t="s">
        <v>11812</v>
      </c>
      <c r="D2932" s="47" t="s">
        <v>11813</v>
      </c>
      <c r="E2932" s="47"/>
      <c r="F2932" s="47"/>
      <c r="G2932" s="47"/>
      <c r="H2932" s="47" t="s">
        <v>3605</v>
      </c>
      <c r="I2932" s="47" t="s">
        <v>11810</v>
      </c>
    </row>
    <row r="2933" spans="1:9" ht="15">
      <c r="A2933" s="47">
        <v>113234</v>
      </c>
      <c r="B2933" s="47" t="s">
        <v>11814</v>
      </c>
      <c r="C2933" s="47" t="s">
        <v>11815</v>
      </c>
      <c r="D2933" s="47" t="s">
        <v>11816</v>
      </c>
      <c r="E2933" s="47"/>
      <c r="F2933" s="47" t="s">
        <v>3603</v>
      </c>
      <c r="G2933" s="47" t="s">
        <v>3604</v>
      </c>
      <c r="H2933" s="47" t="s">
        <v>3605</v>
      </c>
      <c r="I2933" s="47" t="s">
        <v>19612</v>
      </c>
    </row>
    <row r="2934" spans="1:9" ht="15">
      <c r="A2934" s="47" t="s">
        <v>492</v>
      </c>
      <c r="B2934" s="47" t="s">
        <v>11817</v>
      </c>
      <c r="C2934" s="47" t="s">
        <v>4558</v>
      </c>
      <c r="D2934" s="47" t="s">
        <v>4559</v>
      </c>
      <c r="E2934" s="47"/>
      <c r="F2934" s="47"/>
      <c r="G2934" s="47"/>
      <c r="H2934" s="47" t="s">
        <v>3605</v>
      </c>
      <c r="I2934" s="47" t="s">
        <v>492</v>
      </c>
    </row>
    <row r="2935" spans="1:9" ht="15">
      <c r="A2935" s="47" t="s">
        <v>498</v>
      </c>
      <c r="B2935" s="47" t="s">
        <v>11818</v>
      </c>
      <c r="C2935" s="47" t="s">
        <v>4558</v>
      </c>
      <c r="D2935" s="47" t="s">
        <v>4559</v>
      </c>
      <c r="E2935" s="47"/>
      <c r="F2935" s="47"/>
      <c r="G2935" s="47"/>
      <c r="H2935" s="47" t="s">
        <v>3605</v>
      </c>
      <c r="I2935" s="47" t="s">
        <v>498</v>
      </c>
    </row>
    <row r="2936" spans="1:9" ht="15">
      <c r="A2936" s="47" t="s">
        <v>11819</v>
      </c>
      <c r="B2936" s="47" t="s">
        <v>11820</v>
      </c>
      <c r="C2936" s="47" t="s">
        <v>11821</v>
      </c>
      <c r="D2936" s="47" t="s">
        <v>11822</v>
      </c>
      <c r="E2936" s="47"/>
      <c r="F2936" s="47"/>
      <c r="G2936" s="47"/>
      <c r="H2936" s="47" t="s">
        <v>3605</v>
      </c>
      <c r="I2936" s="47" t="s">
        <v>11819</v>
      </c>
    </row>
    <row r="2937" spans="1:9" ht="15">
      <c r="A2937" s="47" t="s">
        <v>11823</v>
      </c>
      <c r="B2937" s="47" t="s">
        <v>11824</v>
      </c>
      <c r="C2937" s="47" t="s">
        <v>11825</v>
      </c>
      <c r="D2937" s="47" t="s">
        <v>11826</v>
      </c>
      <c r="E2937" s="47"/>
      <c r="F2937" s="47"/>
      <c r="G2937" s="47"/>
      <c r="H2937" s="47" t="s">
        <v>3605</v>
      </c>
      <c r="I2937" s="47" t="s">
        <v>11823</v>
      </c>
    </row>
    <row r="2938" spans="1:9" ht="15">
      <c r="A2938" s="47" t="s">
        <v>3061</v>
      </c>
      <c r="B2938" s="47" t="s">
        <v>11827</v>
      </c>
      <c r="C2938" s="47" t="s">
        <v>4558</v>
      </c>
      <c r="D2938" s="47" t="s">
        <v>4559</v>
      </c>
      <c r="E2938" s="47"/>
      <c r="F2938" s="47"/>
      <c r="G2938" s="47"/>
      <c r="H2938" s="47" t="s">
        <v>3605</v>
      </c>
      <c r="I2938" s="47" t="s">
        <v>3061</v>
      </c>
    </row>
    <row r="2939" spans="1:9" ht="15">
      <c r="A2939" s="47" t="s">
        <v>499</v>
      </c>
      <c r="B2939" s="47" t="s">
        <v>11828</v>
      </c>
      <c r="C2939" s="47" t="s">
        <v>4558</v>
      </c>
      <c r="D2939" s="47" t="s">
        <v>4559</v>
      </c>
      <c r="E2939" s="47"/>
      <c r="F2939" s="47"/>
      <c r="G2939" s="47"/>
      <c r="H2939" s="47" t="s">
        <v>3605</v>
      </c>
      <c r="I2939" s="47" t="s">
        <v>499</v>
      </c>
    </row>
    <row r="2940" spans="1:9" ht="15">
      <c r="A2940" s="47" t="s">
        <v>3063</v>
      </c>
      <c r="B2940" s="47" t="s">
        <v>11829</v>
      </c>
      <c r="C2940" s="47" t="s">
        <v>4558</v>
      </c>
      <c r="D2940" s="47" t="s">
        <v>4559</v>
      </c>
      <c r="E2940" s="47"/>
      <c r="F2940" s="47"/>
      <c r="G2940" s="47"/>
      <c r="H2940" s="47" t="s">
        <v>3605</v>
      </c>
      <c r="I2940" s="47" t="s">
        <v>3063</v>
      </c>
    </row>
    <row r="2941" spans="1:9" ht="15">
      <c r="A2941" s="47" t="s">
        <v>3065</v>
      </c>
      <c r="B2941" s="47" t="s">
        <v>11830</v>
      </c>
      <c r="C2941" s="47" t="s">
        <v>4558</v>
      </c>
      <c r="D2941" s="47" t="s">
        <v>4559</v>
      </c>
      <c r="E2941" s="47"/>
      <c r="F2941" s="47"/>
      <c r="G2941" s="47"/>
      <c r="H2941" s="47" t="s">
        <v>3605</v>
      </c>
      <c r="I2941" s="47" t="s">
        <v>3065</v>
      </c>
    </row>
    <row r="2942" spans="1:9" ht="15">
      <c r="A2942" s="47" t="s">
        <v>11831</v>
      </c>
      <c r="B2942" s="47" t="s">
        <v>11832</v>
      </c>
      <c r="C2942" s="47" t="s">
        <v>11833</v>
      </c>
      <c r="D2942" s="47" t="s">
        <v>11834</v>
      </c>
      <c r="E2942" s="47"/>
      <c r="F2942" s="47"/>
      <c r="G2942" s="47"/>
      <c r="H2942" s="47" t="s">
        <v>3605</v>
      </c>
      <c r="I2942" s="47" t="s">
        <v>11831</v>
      </c>
    </row>
    <row r="2943" spans="1:9" ht="15">
      <c r="A2943" s="47" t="s">
        <v>506</v>
      </c>
      <c r="B2943" s="47" t="s">
        <v>11835</v>
      </c>
      <c r="C2943" s="47" t="s">
        <v>4558</v>
      </c>
      <c r="D2943" s="47" t="s">
        <v>4559</v>
      </c>
      <c r="E2943" s="47"/>
      <c r="F2943" s="47"/>
      <c r="G2943" s="47"/>
      <c r="H2943" s="47" t="s">
        <v>3605</v>
      </c>
      <c r="I2943" s="47" t="s">
        <v>506</v>
      </c>
    </row>
    <row r="2944" spans="1:9" ht="15">
      <c r="A2944" s="47" t="s">
        <v>507</v>
      </c>
      <c r="B2944" s="47" t="s">
        <v>11836</v>
      </c>
      <c r="C2944" s="47" t="s">
        <v>4558</v>
      </c>
      <c r="D2944" s="47" t="s">
        <v>4559</v>
      </c>
      <c r="E2944" s="47"/>
      <c r="F2944" s="47"/>
      <c r="G2944" s="47"/>
      <c r="H2944" s="47" t="s">
        <v>3605</v>
      </c>
      <c r="I2944" s="47" t="s">
        <v>507</v>
      </c>
    </row>
    <row r="2945" spans="1:9" ht="15">
      <c r="A2945" s="47" t="s">
        <v>510</v>
      </c>
      <c r="B2945" s="47" t="s">
        <v>11837</v>
      </c>
      <c r="C2945" s="47" t="s">
        <v>4558</v>
      </c>
      <c r="D2945" s="47" t="s">
        <v>4559</v>
      </c>
      <c r="E2945" s="47"/>
      <c r="F2945" s="47"/>
      <c r="G2945" s="47"/>
      <c r="H2945" s="47" t="s">
        <v>3605</v>
      </c>
      <c r="I2945" s="47" t="s">
        <v>510</v>
      </c>
    </row>
    <row r="2946" spans="1:9" ht="15">
      <c r="A2946" s="47" t="s">
        <v>514</v>
      </c>
      <c r="B2946" s="47" t="s">
        <v>11838</v>
      </c>
      <c r="C2946" s="47" t="s">
        <v>4558</v>
      </c>
      <c r="D2946" s="47" t="s">
        <v>4559</v>
      </c>
      <c r="E2946" s="47"/>
      <c r="F2946" s="47"/>
      <c r="G2946" s="47"/>
      <c r="H2946" s="47" t="s">
        <v>3605</v>
      </c>
      <c r="I2946" s="47" t="s">
        <v>514</v>
      </c>
    </row>
    <row r="2947" spans="1:9" ht="15">
      <c r="A2947" s="47">
        <v>113223</v>
      </c>
      <c r="B2947" s="47" t="s">
        <v>11839</v>
      </c>
      <c r="C2947" s="47" t="s">
        <v>11840</v>
      </c>
      <c r="D2947" s="47" t="s">
        <v>11841</v>
      </c>
      <c r="E2947" s="47"/>
      <c r="F2947" s="47" t="s">
        <v>3603</v>
      </c>
      <c r="G2947" s="47" t="s">
        <v>3604</v>
      </c>
      <c r="H2947" s="47" t="s">
        <v>3605</v>
      </c>
      <c r="I2947" s="47" t="s">
        <v>19613</v>
      </c>
    </row>
    <row r="2948" spans="1:9" ht="15">
      <c r="A2948" s="47">
        <v>118120</v>
      </c>
      <c r="B2948" s="47" t="s">
        <v>11842</v>
      </c>
      <c r="C2948" s="47" t="s">
        <v>11843</v>
      </c>
      <c r="D2948" s="47" t="s">
        <v>11844</v>
      </c>
      <c r="E2948" s="47"/>
      <c r="F2948" s="47"/>
      <c r="G2948" s="47"/>
      <c r="H2948" s="47" t="s">
        <v>3605</v>
      </c>
      <c r="I2948" s="47" t="s">
        <v>19614</v>
      </c>
    </row>
    <row r="2949" spans="1:9" ht="15">
      <c r="A2949" s="47">
        <v>13400</v>
      </c>
      <c r="B2949" s="47" t="s">
        <v>11845</v>
      </c>
      <c r="C2949" s="47" t="s">
        <v>11846</v>
      </c>
      <c r="D2949" s="47" t="s">
        <v>11847</v>
      </c>
      <c r="E2949" s="47"/>
      <c r="F2949" s="47" t="s">
        <v>3603</v>
      </c>
      <c r="G2949" s="47" t="s">
        <v>3604</v>
      </c>
      <c r="H2949" s="47" t="s">
        <v>3605</v>
      </c>
      <c r="I2949" s="47" t="s">
        <v>19615</v>
      </c>
    </row>
    <row r="2950" spans="1:9" ht="15">
      <c r="A2950" s="47" t="s">
        <v>11848</v>
      </c>
      <c r="B2950" s="47" t="s">
        <v>11849</v>
      </c>
      <c r="C2950" s="47" t="s">
        <v>11850</v>
      </c>
      <c r="D2950" s="47" t="s">
        <v>11851</v>
      </c>
      <c r="E2950" s="47"/>
      <c r="F2950" s="47"/>
      <c r="G2950" s="47"/>
      <c r="H2950" s="47" t="s">
        <v>3605</v>
      </c>
      <c r="I2950" s="47" t="s">
        <v>11848</v>
      </c>
    </row>
    <row r="2951" spans="1:9" ht="15">
      <c r="A2951" s="47" t="s">
        <v>515</v>
      </c>
      <c r="B2951" s="47" t="s">
        <v>11852</v>
      </c>
      <c r="C2951" s="47" t="s">
        <v>4558</v>
      </c>
      <c r="D2951" s="47" t="s">
        <v>4559</v>
      </c>
      <c r="E2951" s="47"/>
      <c r="F2951" s="47"/>
      <c r="G2951" s="47"/>
      <c r="H2951" s="47" t="s">
        <v>3605</v>
      </c>
      <c r="I2951" s="47" t="s">
        <v>515</v>
      </c>
    </row>
    <row r="2952" spans="1:9" ht="15">
      <c r="A2952" s="47" t="s">
        <v>11853</v>
      </c>
      <c r="B2952" s="47" t="s">
        <v>11854</v>
      </c>
      <c r="C2952" s="47" t="s">
        <v>11855</v>
      </c>
      <c r="D2952" s="47" t="s">
        <v>11856</v>
      </c>
      <c r="E2952" s="47"/>
      <c r="F2952" s="47"/>
      <c r="G2952" s="47"/>
      <c r="H2952" s="47" t="s">
        <v>3605</v>
      </c>
      <c r="I2952" s="47" t="s">
        <v>11853</v>
      </c>
    </row>
    <row r="2953" spans="1:9" ht="15">
      <c r="A2953" s="47" t="s">
        <v>11857</v>
      </c>
      <c r="B2953" s="47" t="s">
        <v>11858</v>
      </c>
      <c r="C2953" s="47" t="s">
        <v>11859</v>
      </c>
      <c r="D2953" s="47" t="s">
        <v>11860</v>
      </c>
      <c r="E2953" s="47"/>
      <c r="F2953" s="47"/>
      <c r="G2953" s="47"/>
      <c r="H2953" s="47" t="s">
        <v>3605</v>
      </c>
      <c r="I2953" s="47" t="s">
        <v>11857</v>
      </c>
    </row>
    <row r="2954" spans="1:9" ht="15">
      <c r="A2954" s="47" t="s">
        <v>11861</v>
      </c>
      <c r="B2954" s="47" t="s">
        <v>11862</v>
      </c>
      <c r="C2954" s="47" t="s">
        <v>11863</v>
      </c>
      <c r="D2954" s="47" t="s">
        <v>11864</v>
      </c>
      <c r="E2954" s="47"/>
      <c r="F2954" s="47"/>
      <c r="G2954" s="47"/>
      <c r="H2954" s="47" t="s">
        <v>3605</v>
      </c>
      <c r="I2954" s="47" t="s">
        <v>11861</v>
      </c>
    </row>
    <row r="2955" spans="1:9" ht="15">
      <c r="A2955" s="47" t="s">
        <v>11865</v>
      </c>
      <c r="B2955" s="47" t="s">
        <v>11866</v>
      </c>
      <c r="C2955" s="47" t="s">
        <v>11867</v>
      </c>
      <c r="D2955" s="47" t="s">
        <v>11868</v>
      </c>
      <c r="E2955" s="47"/>
      <c r="F2955" s="47"/>
      <c r="G2955" s="47"/>
      <c r="H2955" s="47" t="s">
        <v>3605</v>
      </c>
      <c r="I2955" s="47" t="s">
        <v>11865</v>
      </c>
    </row>
    <row r="2956" spans="1:9" ht="15">
      <c r="A2956" s="47" t="s">
        <v>11869</v>
      </c>
      <c r="B2956" s="47" t="s">
        <v>11870</v>
      </c>
      <c r="C2956" s="47" t="s">
        <v>11871</v>
      </c>
      <c r="D2956" s="47" t="s">
        <v>11872</v>
      </c>
      <c r="E2956" s="47"/>
      <c r="F2956" s="47"/>
      <c r="G2956" s="47"/>
      <c r="H2956" s="47" t="s">
        <v>3605</v>
      </c>
      <c r="I2956" s="47" t="s">
        <v>11869</v>
      </c>
    </row>
    <row r="2957" spans="1:9" ht="15">
      <c r="A2957" s="47" t="s">
        <v>11873</v>
      </c>
      <c r="B2957" s="47" t="s">
        <v>11874</v>
      </c>
      <c r="C2957" s="47" t="s">
        <v>11875</v>
      </c>
      <c r="D2957" s="47" t="s">
        <v>11876</v>
      </c>
      <c r="E2957" s="47"/>
      <c r="F2957" s="47"/>
      <c r="G2957" s="47"/>
      <c r="H2957" s="47" t="s">
        <v>3605</v>
      </c>
      <c r="I2957" s="47" t="s">
        <v>11873</v>
      </c>
    </row>
    <row r="2958" spans="1:9" ht="15">
      <c r="A2958" s="47" t="s">
        <v>11877</v>
      </c>
      <c r="B2958" s="47" t="s">
        <v>11878</v>
      </c>
      <c r="C2958" s="47" t="s">
        <v>11879</v>
      </c>
      <c r="D2958" s="47" t="s">
        <v>11880</v>
      </c>
      <c r="E2958" s="47"/>
      <c r="F2958" s="47"/>
      <c r="G2958" s="47"/>
      <c r="H2958" s="47" t="s">
        <v>3605</v>
      </c>
      <c r="I2958" s="47" t="s">
        <v>11877</v>
      </c>
    </row>
    <row r="2959" spans="1:9" ht="15">
      <c r="A2959" s="47" t="s">
        <v>520</v>
      </c>
      <c r="B2959" s="47" t="s">
        <v>11881</v>
      </c>
      <c r="C2959" s="47" t="s">
        <v>4558</v>
      </c>
      <c r="D2959" s="47" t="s">
        <v>4559</v>
      </c>
      <c r="E2959" s="47"/>
      <c r="F2959" s="47"/>
      <c r="G2959" s="47"/>
      <c r="H2959" s="47" t="s">
        <v>3605</v>
      </c>
      <c r="I2959" s="47" t="s">
        <v>520</v>
      </c>
    </row>
    <row r="2960" spans="1:9" ht="15">
      <c r="A2960" s="47" t="s">
        <v>11882</v>
      </c>
      <c r="B2960" s="47" t="s">
        <v>11883</v>
      </c>
      <c r="C2960" s="47" t="s">
        <v>11884</v>
      </c>
      <c r="D2960" s="47" t="s">
        <v>11885</v>
      </c>
      <c r="E2960" s="47"/>
      <c r="F2960" s="47"/>
      <c r="G2960" s="47"/>
      <c r="H2960" s="47" t="s">
        <v>3605</v>
      </c>
      <c r="I2960" s="47" t="s">
        <v>11882</v>
      </c>
    </row>
    <row r="2961" spans="1:9" ht="15">
      <c r="A2961" s="47" t="s">
        <v>11886</v>
      </c>
      <c r="B2961" s="47" t="s">
        <v>11887</v>
      </c>
      <c r="C2961" s="47" t="s">
        <v>11888</v>
      </c>
      <c r="D2961" s="47" t="s">
        <v>11889</v>
      </c>
      <c r="E2961" s="47"/>
      <c r="F2961" s="47"/>
      <c r="G2961" s="47"/>
      <c r="H2961" s="47" t="s">
        <v>3605</v>
      </c>
      <c r="I2961" s="47" t="s">
        <v>11886</v>
      </c>
    </row>
    <row r="2962" spans="1:9" ht="15">
      <c r="A2962" s="47" t="s">
        <v>521</v>
      </c>
      <c r="B2962" s="47" t="s">
        <v>11890</v>
      </c>
      <c r="C2962" s="47" t="s">
        <v>4558</v>
      </c>
      <c r="D2962" s="47" t="s">
        <v>4559</v>
      </c>
      <c r="E2962" s="47"/>
      <c r="F2962" s="47"/>
      <c r="G2962" s="47"/>
      <c r="H2962" s="47" t="s">
        <v>3605</v>
      </c>
      <c r="I2962" s="47" t="s">
        <v>521</v>
      </c>
    </row>
    <row r="2963" spans="1:9" ht="15">
      <c r="A2963" s="47">
        <v>7070</v>
      </c>
      <c r="B2963" s="47" t="s">
        <v>11891</v>
      </c>
      <c r="C2963" s="47" t="s">
        <v>11892</v>
      </c>
      <c r="D2963" s="47" t="s">
        <v>11893</v>
      </c>
      <c r="E2963" s="47"/>
      <c r="F2963" s="47"/>
      <c r="G2963" s="47"/>
      <c r="H2963" s="47" t="s">
        <v>3605</v>
      </c>
      <c r="I2963" s="47" t="s">
        <v>19616</v>
      </c>
    </row>
    <row r="2964" spans="1:9" ht="15">
      <c r="A2964" s="47" t="s">
        <v>11894</v>
      </c>
      <c r="B2964" s="47" t="s">
        <v>11895</v>
      </c>
      <c r="C2964" s="47" t="s">
        <v>11896</v>
      </c>
      <c r="D2964" s="47" t="s">
        <v>11897</v>
      </c>
      <c r="E2964" s="47"/>
      <c r="F2964" s="47"/>
      <c r="G2964" s="47"/>
      <c r="H2964" s="47" t="s">
        <v>3605</v>
      </c>
      <c r="I2964" s="47" t="s">
        <v>11894</v>
      </c>
    </row>
    <row r="2965" spans="1:9" ht="15">
      <c r="A2965" s="47">
        <v>7449</v>
      </c>
      <c r="B2965" s="47" t="s">
        <v>11898</v>
      </c>
      <c r="C2965" s="47" t="s">
        <v>11899</v>
      </c>
      <c r="D2965" s="47" t="s">
        <v>11900</v>
      </c>
      <c r="E2965" s="47"/>
      <c r="F2965" s="47"/>
      <c r="G2965" s="47"/>
      <c r="H2965" s="47" t="s">
        <v>3605</v>
      </c>
      <c r="I2965" s="47" t="s">
        <v>19617</v>
      </c>
    </row>
    <row r="2966" spans="1:9" ht="15">
      <c r="A2966" s="47">
        <v>7460</v>
      </c>
      <c r="B2966" s="47" t="s">
        <v>11901</v>
      </c>
      <c r="C2966" s="47" t="s">
        <v>11902</v>
      </c>
      <c r="D2966" s="47" t="s">
        <v>11903</v>
      </c>
      <c r="E2966" s="47"/>
      <c r="F2966" s="47"/>
      <c r="G2966" s="47"/>
      <c r="H2966" s="47" t="s">
        <v>3605</v>
      </c>
      <c r="I2966" s="47" t="s">
        <v>19618</v>
      </c>
    </row>
    <row r="2967" spans="1:9" ht="15">
      <c r="A2967" s="47">
        <v>7080</v>
      </c>
      <c r="B2967" s="47" t="s">
        <v>11904</v>
      </c>
      <c r="C2967" s="47" t="s">
        <v>11905</v>
      </c>
      <c r="D2967" s="47" t="s">
        <v>11906</v>
      </c>
      <c r="E2967" s="47"/>
      <c r="F2967" s="47"/>
      <c r="G2967" s="47"/>
      <c r="H2967" s="47" t="s">
        <v>3605</v>
      </c>
      <c r="I2967" s="47" t="s">
        <v>19619</v>
      </c>
    </row>
    <row r="2968" spans="1:9" ht="15">
      <c r="A2968" s="47" t="s">
        <v>3071</v>
      </c>
      <c r="B2968" s="47" t="s">
        <v>11907</v>
      </c>
      <c r="C2968" s="47" t="s">
        <v>4558</v>
      </c>
      <c r="D2968" s="47" t="s">
        <v>4559</v>
      </c>
      <c r="E2968" s="47"/>
      <c r="F2968" s="47"/>
      <c r="G2968" s="47"/>
      <c r="H2968" s="47" t="s">
        <v>3605</v>
      </c>
      <c r="I2968" s="47" t="s">
        <v>3071</v>
      </c>
    </row>
    <row r="2969" spans="1:9" ht="15">
      <c r="A2969" s="47">
        <v>7480</v>
      </c>
      <c r="B2969" s="47" t="s">
        <v>11908</v>
      </c>
      <c r="C2969" s="47" t="s">
        <v>11909</v>
      </c>
      <c r="D2969" s="47" t="s">
        <v>11910</v>
      </c>
      <c r="E2969" s="47"/>
      <c r="F2969" s="47"/>
      <c r="G2969" s="47"/>
      <c r="H2969" s="47" t="s">
        <v>3605</v>
      </c>
      <c r="I2969" s="47" t="s">
        <v>19620</v>
      </c>
    </row>
    <row r="2970" spans="1:9" ht="15">
      <c r="A2970" s="47" t="s">
        <v>11911</v>
      </c>
      <c r="B2970" s="47" t="s">
        <v>11912</v>
      </c>
      <c r="C2970" s="47" t="s">
        <v>11913</v>
      </c>
      <c r="D2970" s="47" t="s">
        <v>11914</v>
      </c>
      <c r="E2970" s="47"/>
      <c r="F2970" s="47"/>
      <c r="G2970" s="47"/>
      <c r="H2970" s="47" t="s">
        <v>3605</v>
      </c>
      <c r="I2970" s="47" t="s">
        <v>11911</v>
      </c>
    </row>
    <row r="2971" spans="1:9" ht="15">
      <c r="A2971" s="47" t="s">
        <v>11915</v>
      </c>
      <c r="B2971" s="47" t="s">
        <v>11916</v>
      </c>
      <c r="C2971" s="47" t="s">
        <v>11917</v>
      </c>
      <c r="D2971" s="47" t="s">
        <v>11918</v>
      </c>
      <c r="E2971" s="47"/>
      <c r="F2971" s="47"/>
      <c r="G2971" s="47"/>
      <c r="H2971" s="47" t="s">
        <v>3605</v>
      </c>
      <c r="I2971" s="47" t="s">
        <v>11915</v>
      </c>
    </row>
    <row r="2972" spans="1:9" ht="15">
      <c r="A2972" s="47">
        <v>7470</v>
      </c>
      <c r="B2972" s="47" t="s">
        <v>11919</v>
      </c>
      <c r="C2972" s="47" t="s">
        <v>11920</v>
      </c>
      <c r="D2972" s="47" t="s">
        <v>11921</v>
      </c>
      <c r="E2972" s="47"/>
      <c r="F2972" s="47"/>
      <c r="G2972" s="47"/>
      <c r="H2972" s="47" t="s">
        <v>3605</v>
      </c>
      <c r="I2972" s="47" t="s">
        <v>19621</v>
      </c>
    </row>
    <row r="2973" spans="1:9" ht="15">
      <c r="A2973" s="47" t="s">
        <v>3077</v>
      </c>
      <c r="B2973" s="47" t="s">
        <v>11922</v>
      </c>
      <c r="C2973" s="47" t="s">
        <v>4558</v>
      </c>
      <c r="D2973" s="47" t="s">
        <v>4559</v>
      </c>
      <c r="E2973" s="47"/>
      <c r="F2973" s="47"/>
      <c r="G2973" s="47"/>
      <c r="H2973" s="47" t="s">
        <v>3605</v>
      </c>
      <c r="I2973" s="47" t="s">
        <v>3077</v>
      </c>
    </row>
    <row r="2974" spans="1:9" ht="15">
      <c r="A2974" s="47" t="s">
        <v>11923</v>
      </c>
      <c r="B2974" s="47" t="s">
        <v>11924</v>
      </c>
      <c r="C2974" s="47" t="s">
        <v>11925</v>
      </c>
      <c r="D2974" s="47" t="s">
        <v>11926</v>
      </c>
      <c r="E2974" s="47"/>
      <c r="F2974" s="47"/>
      <c r="G2974" s="47"/>
      <c r="H2974" s="47" t="s">
        <v>3605</v>
      </c>
      <c r="I2974" s="47" t="s">
        <v>11923</v>
      </c>
    </row>
    <row r="2975" spans="1:9" ht="15">
      <c r="A2975" s="47">
        <v>7071</v>
      </c>
      <c r="B2975" s="47" t="s">
        <v>11927</v>
      </c>
      <c r="C2975" s="47" t="s">
        <v>11928</v>
      </c>
      <c r="D2975" s="47" t="s">
        <v>11929</v>
      </c>
      <c r="E2975" s="47"/>
      <c r="F2975" s="47"/>
      <c r="G2975" s="47"/>
      <c r="H2975" s="47" t="s">
        <v>3605</v>
      </c>
      <c r="I2975" s="47" t="s">
        <v>19622</v>
      </c>
    </row>
    <row r="2976" spans="1:9" ht="15">
      <c r="A2976" s="47" t="s">
        <v>3079</v>
      </c>
      <c r="B2976" s="47" t="s">
        <v>11930</v>
      </c>
      <c r="C2976" s="47" t="s">
        <v>4558</v>
      </c>
      <c r="D2976" s="47" t="s">
        <v>4559</v>
      </c>
      <c r="E2976" s="47"/>
      <c r="F2976" s="47"/>
      <c r="G2976" s="47"/>
      <c r="H2976" s="47" t="s">
        <v>3605</v>
      </c>
      <c r="I2976" s="47" t="s">
        <v>3079</v>
      </c>
    </row>
    <row r="2977" spans="1:9" ht="15">
      <c r="A2977" s="47">
        <v>7076</v>
      </c>
      <c r="B2977" s="47" t="s">
        <v>11931</v>
      </c>
      <c r="C2977" s="47" t="s">
        <v>11932</v>
      </c>
      <c r="D2977" s="47" t="s">
        <v>11933</v>
      </c>
      <c r="E2977" s="47"/>
      <c r="F2977" s="47"/>
      <c r="G2977" s="47"/>
      <c r="H2977" s="47" t="s">
        <v>3605</v>
      </c>
      <c r="I2977" s="47" t="s">
        <v>19623</v>
      </c>
    </row>
    <row r="2978" spans="1:9" ht="15">
      <c r="A2978" s="47" t="s">
        <v>526</v>
      </c>
      <c r="B2978" s="47" t="s">
        <v>11934</v>
      </c>
      <c r="C2978" s="47" t="s">
        <v>4558</v>
      </c>
      <c r="D2978" s="47" t="s">
        <v>4559</v>
      </c>
      <c r="E2978" s="47"/>
      <c r="F2978" s="47"/>
      <c r="G2978" s="47"/>
      <c r="H2978" s="47" t="s">
        <v>3605</v>
      </c>
      <c r="I2978" s="47" t="s">
        <v>526</v>
      </c>
    </row>
    <row r="2979" spans="1:9" ht="15">
      <c r="A2979" s="47">
        <v>7448</v>
      </c>
      <c r="B2979" s="47" t="s">
        <v>11935</v>
      </c>
      <c r="C2979" s="47" t="s">
        <v>11936</v>
      </c>
      <c r="D2979" s="47" t="s">
        <v>11937</v>
      </c>
      <c r="E2979" s="47"/>
      <c r="F2979" s="47"/>
      <c r="G2979" s="47"/>
      <c r="H2979" s="47" t="s">
        <v>3605</v>
      </c>
      <c r="I2979" s="47" t="s">
        <v>19624</v>
      </c>
    </row>
    <row r="2980" spans="1:9" ht="15">
      <c r="A2980" s="47">
        <v>7081</v>
      </c>
      <c r="B2980" s="47" t="s">
        <v>11938</v>
      </c>
      <c r="C2980" s="47" t="s">
        <v>11939</v>
      </c>
      <c r="D2980" s="47" t="s">
        <v>11940</v>
      </c>
      <c r="E2980" s="47"/>
      <c r="F2980" s="47"/>
      <c r="G2980" s="47"/>
      <c r="H2980" s="47" t="s">
        <v>3605</v>
      </c>
      <c r="I2980" s="47" t="s">
        <v>19625</v>
      </c>
    </row>
    <row r="2981" spans="1:9" ht="15">
      <c r="A2981" s="47" t="s">
        <v>527</v>
      </c>
      <c r="B2981" s="47" t="s">
        <v>11941</v>
      </c>
      <c r="C2981" s="47" t="s">
        <v>4558</v>
      </c>
      <c r="D2981" s="47" t="s">
        <v>4559</v>
      </c>
      <c r="E2981" s="47"/>
      <c r="F2981" s="47"/>
      <c r="G2981" s="47"/>
      <c r="H2981" s="47" t="s">
        <v>3605</v>
      </c>
      <c r="I2981" s="47" t="s">
        <v>527</v>
      </c>
    </row>
    <row r="2982" spans="1:9" ht="15">
      <c r="A2982" s="47">
        <v>7461</v>
      </c>
      <c r="B2982" s="47" t="s">
        <v>11942</v>
      </c>
      <c r="C2982" s="47" t="s">
        <v>11943</v>
      </c>
      <c r="D2982" s="47" t="s">
        <v>11944</v>
      </c>
      <c r="E2982" s="47"/>
      <c r="F2982" s="47"/>
      <c r="G2982" s="47"/>
      <c r="H2982" s="47" t="s">
        <v>3605</v>
      </c>
      <c r="I2982" s="47" t="s">
        <v>19626</v>
      </c>
    </row>
    <row r="2983" spans="1:9" ht="15">
      <c r="A2983" s="47" t="s">
        <v>528</v>
      </c>
      <c r="B2983" s="47" t="s">
        <v>11945</v>
      </c>
      <c r="C2983" s="47" t="s">
        <v>4558</v>
      </c>
      <c r="D2983" s="47" t="s">
        <v>4559</v>
      </c>
      <c r="E2983" s="47"/>
      <c r="F2983" s="47"/>
      <c r="G2983" s="47"/>
      <c r="H2983" s="47" t="s">
        <v>3605</v>
      </c>
      <c r="I2983" s="47" t="s">
        <v>528</v>
      </c>
    </row>
    <row r="2984" spans="1:9" ht="15">
      <c r="A2984" s="47">
        <v>7222</v>
      </c>
      <c r="B2984" s="47" t="s">
        <v>11946</v>
      </c>
      <c r="C2984" s="47" t="s">
        <v>11947</v>
      </c>
      <c r="D2984" s="47" t="s">
        <v>11948</v>
      </c>
      <c r="E2984" s="47"/>
      <c r="F2984" s="47"/>
      <c r="G2984" s="47"/>
      <c r="H2984" s="47" t="s">
        <v>3605</v>
      </c>
      <c r="I2984" s="47" t="s">
        <v>19627</v>
      </c>
    </row>
    <row r="2985" spans="1:9" ht="15">
      <c r="A2985" s="47" t="s">
        <v>529</v>
      </c>
      <c r="B2985" s="47" t="s">
        <v>11949</v>
      </c>
      <c r="C2985" s="47" t="s">
        <v>4558</v>
      </c>
      <c r="D2985" s="47" t="s">
        <v>4559</v>
      </c>
      <c r="E2985" s="47"/>
      <c r="F2985" s="47"/>
      <c r="G2985" s="47"/>
      <c r="H2985" s="47" t="s">
        <v>3605</v>
      </c>
      <c r="I2985" s="47" t="s">
        <v>529</v>
      </c>
    </row>
    <row r="2986" spans="1:9" ht="15">
      <c r="A2986" s="47" t="s">
        <v>530</v>
      </c>
      <c r="B2986" s="47" t="s">
        <v>11950</v>
      </c>
      <c r="C2986" s="47" t="s">
        <v>4558</v>
      </c>
      <c r="D2986" s="47" t="s">
        <v>4559</v>
      </c>
      <c r="E2986" s="47"/>
      <c r="F2986" s="47"/>
      <c r="G2986" s="47"/>
      <c r="H2986" s="47" t="s">
        <v>3605</v>
      </c>
      <c r="I2986" s="47" t="s">
        <v>530</v>
      </c>
    </row>
    <row r="2987" spans="1:9" ht="15">
      <c r="A2987" s="47" t="s">
        <v>531</v>
      </c>
      <c r="B2987" s="47" t="s">
        <v>11951</v>
      </c>
      <c r="C2987" s="47" t="s">
        <v>4558</v>
      </c>
      <c r="D2987" s="47" t="s">
        <v>4559</v>
      </c>
      <c r="E2987" s="47"/>
      <c r="F2987" s="47"/>
      <c r="G2987" s="47"/>
      <c r="H2987" s="47" t="s">
        <v>3605</v>
      </c>
      <c r="I2987" s="47" t="s">
        <v>531</v>
      </c>
    </row>
    <row r="2988" spans="1:9" ht="15">
      <c r="A2988" s="47" t="s">
        <v>11952</v>
      </c>
      <c r="B2988" s="47" t="s">
        <v>11953</v>
      </c>
      <c r="C2988" s="47" t="s">
        <v>11954</v>
      </c>
      <c r="D2988" s="47" t="s">
        <v>11955</v>
      </c>
      <c r="E2988" s="47"/>
      <c r="F2988" s="47" t="s">
        <v>4253</v>
      </c>
      <c r="G2988" s="47" t="s">
        <v>4254</v>
      </c>
      <c r="H2988" s="47" t="s">
        <v>3605</v>
      </c>
      <c r="I2988" s="47" t="s">
        <v>11952</v>
      </c>
    </row>
    <row r="2989" spans="1:9" ht="15">
      <c r="A2989" s="47" t="s">
        <v>535</v>
      </c>
      <c r="B2989" s="47" t="s">
        <v>11956</v>
      </c>
      <c r="C2989" s="47" t="s">
        <v>4558</v>
      </c>
      <c r="D2989" s="47" t="s">
        <v>4559</v>
      </c>
      <c r="E2989" s="47"/>
      <c r="F2989" s="47"/>
      <c r="G2989" s="47"/>
      <c r="H2989" s="47" t="s">
        <v>3605</v>
      </c>
      <c r="I2989" s="47" t="s">
        <v>535</v>
      </c>
    </row>
    <row r="2990" spans="1:9" ht="15">
      <c r="A2990" s="47" t="s">
        <v>11957</v>
      </c>
      <c r="B2990" s="47" t="s">
        <v>11958</v>
      </c>
      <c r="C2990" s="47" t="s">
        <v>11959</v>
      </c>
      <c r="D2990" s="47" t="s">
        <v>11960</v>
      </c>
      <c r="E2990" s="47"/>
      <c r="F2990" s="47"/>
      <c r="G2990" s="47"/>
      <c r="H2990" s="47" t="s">
        <v>3605</v>
      </c>
      <c r="I2990" s="47" t="s">
        <v>11957</v>
      </c>
    </row>
    <row r="2991" spans="1:9" ht="15">
      <c r="A2991" s="47" t="s">
        <v>11961</v>
      </c>
      <c r="B2991" s="47" t="s">
        <v>11962</v>
      </c>
      <c r="C2991" s="47" t="s">
        <v>11963</v>
      </c>
      <c r="D2991" s="47" t="s">
        <v>11964</v>
      </c>
      <c r="E2991" s="47"/>
      <c r="F2991" s="47"/>
      <c r="G2991" s="47"/>
      <c r="H2991" s="47" t="s">
        <v>3605</v>
      </c>
      <c r="I2991" s="47" t="s">
        <v>11961</v>
      </c>
    </row>
    <row r="2992" spans="1:9" ht="15">
      <c r="A2992" s="47" t="s">
        <v>597</v>
      </c>
      <c r="B2992" s="47" t="s">
        <v>11965</v>
      </c>
      <c r="C2992" s="47" t="s">
        <v>11966</v>
      </c>
      <c r="D2992" s="47" t="s">
        <v>7389</v>
      </c>
      <c r="E2992" s="47"/>
      <c r="F2992" s="47" t="s">
        <v>3603</v>
      </c>
      <c r="G2992" s="47" t="s">
        <v>3604</v>
      </c>
      <c r="H2992" s="47" t="s">
        <v>3605</v>
      </c>
      <c r="I2992" s="47" t="s">
        <v>597</v>
      </c>
    </row>
    <row r="2993" spans="1:9" ht="15">
      <c r="A2993" s="47" t="s">
        <v>11967</v>
      </c>
      <c r="B2993" s="47" t="s">
        <v>11968</v>
      </c>
      <c r="C2993" s="47" t="s">
        <v>11969</v>
      </c>
      <c r="D2993" s="47" t="s">
        <v>11970</v>
      </c>
      <c r="E2993" s="47"/>
      <c r="F2993" s="47"/>
      <c r="G2993" s="47"/>
      <c r="H2993" s="47" t="s">
        <v>3605</v>
      </c>
      <c r="I2993" s="47" t="s">
        <v>11967</v>
      </c>
    </row>
    <row r="2994" spans="1:9" ht="15">
      <c r="A2994" s="47" t="s">
        <v>3267</v>
      </c>
      <c r="B2994" s="47" t="s">
        <v>11971</v>
      </c>
      <c r="C2994" s="47" t="s">
        <v>11972</v>
      </c>
      <c r="D2994" s="47" t="s">
        <v>11973</v>
      </c>
      <c r="E2994" s="47"/>
      <c r="F2994" s="47"/>
      <c r="G2994" s="47"/>
      <c r="H2994" s="47" t="s">
        <v>3605</v>
      </c>
      <c r="I2994" s="47" t="s">
        <v>3267</v>
      </c>
    </row>
    <row r="2995" spans="1:9" ht="15">
      <c r="A2995" s="47" t="s">
        <v>11974</v>
      </c>
      <c r="B2995" s="47" t="s">
        <v>11975</v>
      </c>
      <c r="C2995" s="47" t="s">
        <v>11976</v>
      </c>
      <c r="D2995" s="47" t="s">
        <v>11977</v>
      </c>
      <c r="E2995" s="47"/>
      <c r="F2995" s="47"/>
      <c r="G2995" s="47"/>
      <c r="H2995" s="47" t="s">
        <v>3605</v>
      </c>
      <c r="I2995" s="47" t="s">
        <v>11974</v>
      </c>
    </row>
    <row r="2996" spans="1:9" ht="15">
      <c r="A2996" s="47" t="s">
        <v>11978</v>
      </c>
      <c r="B2996" s="47" t="s">
        <v>11979</v>
      </c>
      <c r="C2996" s="47" t="s">
        <v>11980</v>
      </c>
      <c r="D2996" s="47" t="s">
        <v>11981</v>
      </c>
      <c r="E2996" s="47"/>
      <c r="F2996" s="47"/>
      <c r="G2996" s="47"/>
      <c r="H2996" s="47" t="s">
        <v>3605</v>
      </c>
      <c r="I2996" s="47" t="s">
        <v>11978</v>
      </c>
    </row>
    <row r="2997" spans="1:9" ht="15">
      <c r="A2997" s="47" t="s">
        <v>11982</v>
      </c>
      <c r="B2997" s="47" t="s">
        <v>11983</v>
      </c>
      <c r="C2997" s="47" t="s">
        <v>11984</v>
      </c>
      <c r="D2997" s="47" t="s">
        <v>11985</v>
      </c>
      <c r="E2997" s="47"/>
      <c r="F2997" s="47"/>
      <c r="G2997" s="47"/>
      <c r="H2997" s="47" t="s">
        <v>3605</v>
      </c>
      <c r="I2997" s="47" t="s">
        <v>11982</v>
      </c>
    </row>
    <row r="2998" spans="1:9" ht="15">
      <c r="A2998" s="47" t="s">
        <v>11986</v>
      </c>
      <c r="B2998" s="47" t="s">
        <v>11987</v>
      </c>
      <c r="C2998" s="47" t="s">
        <v>11988</v>
      </c>
      <c r="D2998" s="47" t="s">
        <v>11989</v>
      </c>
      <c r="E2998" s="47"/>
      <c r="F2998" s="47"/>
      <c r="G2998" s="47"/>
      <c r="H2998" s="47" t="s">
        <v>3605</v>
      </c>
      <c r="I2998" s="47" t="s">
        <v>11986</v>
      </c>
    </row>
    <row r="2999" spans="1:9" ht="15">
      <c r="A2999" s="47">
        <v>7230</v>
      </c>
      <c r="B2999" s="47" t="s">
        <v>11990</v>
      </c>
      <c r="C2999" s="47" t="s">
        <v>11991</v>
      </c>
      <c r="D2999" s="47" t="s">
        <v>11992</v>
      </c>
      <c r="E2999" s="47"/>
      <c r="F2999" s="47"/>
      <c r="G2999" s="47"/>
      <c r="H2999" s="47" t="s">
        <v>3605</v>
      </c>
      <c r="I2999" s="47" t="s">
        <v>19628</v>
      </c>
    </row>
    <row r="3000" spans="1:9" ht="15">
      <c r="A3000" s="47" t="s">
        <v>11993</v>
      </c>
      <c r="B3000" s="47" t="s">
        <v>11994</v>
      </c>
      <c r="C3000" s="47" t="s">
        <v>11995</v>
      </c>
      <c r="D3000" s="47" t="s">
        <v>11996</v>
      </c>
      <c r="E3000" s="47"/>
      <c r="F3000" s="47"/>
      <c r="G3000" s="47"/>
      <c r="H3000" s="47" t="s">
        <v>3605</v>
      </c>
      <c r="I3000" s="47" t="s">
        <v>11993</v>
      </c>
    </row>
    <row r="3001" spans="1:9" ht="15">
      <c r="A3001" s="47" t="s">
        <v>11997</v>
      </c>
      <c r="B3001" s="47" t="s">
        <v>11998</v>
      </c>
      <c r="C3001" s="47" t="s">
        <v>11999</v>
      </c>
      <c r="D3001" s="47" t="s">
        <v>12000</v>
      </c>
      <c r="E3001" s="47"/>
      <c r="F3001" s="47"/>
      <c r="G3001" s="47"/>
      <c r="H3001" s="47" t="s">
        <v>3605</v>
      </c>
      <c r="I3001" s="47" t="s">
        <v>11997</v>
      </c>
    </row>
    <row r="3002" spans="1:9" ht="15">
      <c r="A3002" s="47" t="s">
        <v>12001</v>
      </c>
      <c r="B3002" s="47" t="s">
        <v>12002</v>
      </c>
      <c r="C3002" s="47" t="s">
        <v>12003</v>
      </c>
      <c r="D3002" s="47" t="s">
        <v>12004</v>
      </c>
      <c r="E3002" s="47"/>
      <c r="F3002" s="47"/>
      <c r="G3002" s="47"/>
      <c r="H3002" s="47" t="s">
        <v>3605</v>
      </c>
      <c r="I3002" s="47" t="s">
        <v>12001</v>
      </c>
    </row>
    <row r="3003" spans="1:9" ht="15">
      <c r="A3003" s="47" t="s">
        <v>12005</v>
      </c>
      <c r="B3003" s="47" t="s">
        <v>12006</v>
      </c>
      <c r="C3003" s="47" t="s">
        <v>12007</v>
      </c>
      <c r="D3003" s="47" t="s">
        <v>12008</v>
      </c>
      <c r="E3003" s="47"/>
      <c r="F3003" s="47"/>
      <c r="G3003" s="47"/>
      <c r="H3003" s="47" t="s">
        <v>3605</v>
      </c>
      <c r="I3003" s="47" t="s">
        <v>12005</v>
      </c>
    </row>
    <row r="3004" spans="1:9" ht="15">
      <c r="A3004" s="47" t="s">
        <v>12009</v>
      </c>
      <c r="B3004" s="47" t="s">
        <v>12010</v>
      </c>
      <c r="C3004" s="47" t="s">
        <v>12011</v>
      </c>
      <c r="D3004" s="47" t="s">
        <v>12012</v>
      </c>
      <c r="E3004" s="47"/>
      <c r="F3004" s="47"/>
      <c r="G3004" s="47"/>
      <c r="H3004" s="47" t="s">
        <v>3605</v>
      </c>
      <c r="I3004" s="47" t="s">
        <v>12009</v>
      </c>
    </row>
    <row r="3005" spans="1:9" ht="15">
      <c r="A3005" s="47" t="s">
        <v>604</v>
      </c>
      <c r="B3005" s="47" t="s">
        <v>12013</v>
      </c>
      <c r="C3005" s="47" t="s">
        <v>12014</v>
      </c>
      <c r="D3005" s="47" t="s">
        <v>12015</v>
      </c>
      <c r="E3005" s="47"/>
      <c r="F3005" s="47" t="s">
        <v>3603</v>
      </c>
      <c r="G3005" s="47" t="s">
        <v>3604</v>
      </c>
      <c r="H3005" s="47" t="s">
        <v>3605</v>
      </c>
      <c r="I3005" s="47" t="s">
        <v>604</v>
      </c>
    </row>
    <row r="3006" spans="1:9" ht="15">
      <c r="A3006" s="47" t="s">
        <v>12016</v>
      </c>
      <c r="B3006" s="47" t="s">
        <v>12017</v>
      </c>
      <c r="C3006" s="47" t="s">
        <v>12018</v>
      </c>
      <c r="D3006" s="47" t="s">
        <v>12019</v>
      </c>
      <c r="E3006" s="47"/>
      <c r="F3006" s="47"/>
      <c r="G3006" s="47"/>
      <c r="H3006" s="47" t="s">
        <v>3605</v>
      </c>
      <c r="I3006" s="47" t="s">
        <v>12016</v>
      </c>
    </row>
    <row r="3007" spans="1:9" ht="15">
      <c r="A3007" s="47" t="s">
        <v>12020</v>
      </c>
      <c r="B3007" s="47" t="s">
        <v>12021</v>
      </c>
      <c r="C3007" s="47" t="s">
        <v>12022</v>
      </c>
      <c r="D3007" s="47" t="s">
        <v>12023</v>
      </c>
      <c r="E3007" s="47"/>
      <c r="F3007" s="47"/>
      <c r="G3007" s="47"/>
      <c r="H3007" s="47" t="s">
        <v>3605</v>
      </c>
      <c r="I3007" s="47" t="s">
        <v>12020</v>
      </c>
    </row>
    <row r="3008" spans="1:9" ht="15">
      <c r="A3008" s="47" t="s">
        <v>12024</v>
      </c>
      <c r="B3008" s="47" t="s">
        <v>12025</v>
      </c>
      <c r="C3008" s="47" t="s">
        <v>12026</v>
      </c>
      <c r="D3008" s="47" t="s">
        <v>12027</v>
      </c>
      <c r="E3008" s="47"/>
      <c r="F3008" s="47"/>
      <c r="G3008" s="47"/>
      <c r="H3008" s="47" t="s">
        <v>3605</v>
      </c>
      <c r="I3008" s="47" t="s">
        <v>12024</v>
      </c>
    </row>
    <row r="3009" spans="1:9" ht="15">
      <c r="A3009" s="47" t="s">
        <v>12028</v>
      </c>
      <c r="B3009" s="47" t="s">
        <v>12029</v>
      </c>
      <c r="C3009" s="47" t="s">
        <v>12030</v>
      </c>
      <c r="D3009" s="47" t="s">
        <v>12031</v>
      </c>
      <c r="E3009" s="47"/>
      <c r="F3009" s="47"/>
      <c r="G3009" s="47"/>
      <c r="H3009" s="47" t="s">
        <v>3605</v>
      </c>
      <c r="I3009" s="47" t="s">
        <v>12028</v>
      </c>
    </row>
    <row r="3010" spans="1:9" ht="15">
      <c r="A3010" s="47" t="s">
        <v>12032</v>
      </c>
      <c r="B3010" s="47" t="s">
        <v>12033</v>
      </c>
      <c r="C3010" s="47" t="s">
        <v>12034</v>
      </c>
      <c r="D3010" s="47" t="s">
        <v>12035</v>
      </c>
      <c r="E3010" s="47"/>
      <c r="F3010" s="47"/>
      <c r="G3010" s="47"/>
      <c r="H3010" s="47" t="s">
        <v>3605</v>
      </c>
      <c r="I3010" s="47" t="s">
        <v>12032</v>
      </c>
    </row>
    <row r="3011" spans="1:9" ht="15">
      <c r="A3011" s="47" t="s">
        <v>12036</v>
      </c>
      <c r="B3011" s="47" t="s">
        <v>12037</v>
      </c>
      <c r="C3011" s="47" t="s">
        <v>12038</v>
      </c>
      <c r="D3011" s="47" t="s">
        <v>12039</v>
      </c>
      <c r="E3011" s="47"/>
      <c r="F3011" s="47"/>
      <c r="G3011" s="47"/>
      <c r="H3011" s="47" t="s">
        <v>3605</v>
      </c>
      <c r="I3011" s="47" t="s">
        <v>12036</v>
      </c>
    </row>
    <row r="3012" spans="1:9" ht="15">
      <c r="A3012" s="47">
        <v>7090</v>
      </c>
      <c r="B3012" s="47" t="s">
        <v>12040</v>
      </c>
      <c r="C3012" s="47" t="s">
        <v>12041</v>
      </c>
      <c r="D3012" s="47" t="s">
        <v>12042</v>
      </c>
      <c r="E3012" s="47"/>
      <c r="F3012" s="47"/>
      <c r="G3012" s="47"/>
      <c r="H3012" s="47" t="s">
        <v>3605</v>
      </c>
      <c r="I3012" s="47" t="s">
        <v>19629</v>
      </c>
    </row>
    <row r="3013" spans="1:9" ht="15">
      <c r="A3013" s="47">
        <v>7216</v>
      </c>
      <c r="B3013" s="47" t="s">
        <v>12043</v>
      </c>
      <c r="C3013" s="47" t="s">
        <v>12044</v>
      </c>
      <c r="D3013" s="47" t="s">
        <v>12045</v>
      </c>
      <c r="E3013" s="47"/>
      <c r="F3013" s="47"/>
      <c r="G3013" s="47"/>
      <c r="H3013" s="47" t="s">
        <v>3605</v>
      </c>
      <c r="I3013" s="47" t="s">
        <v>19630</v>
      </c>
    </row>
    <row r="3014" spans="1:9" ht="15">
      <c r="A3014" s="47">
        <v>7240</v>
      </c>
      <c r="B3014" s="47" t="s">
        <v>12046</v>
      </c>
      <c r="C3014" s="47" t="s">
        <v>12047</v>
      </c>
      <c r="D3014" s="47" t="s">
        <v>12048</v>
      </c>
      <c r="E3014" s="47"/>
      <c r="F3014" s="47"/>
      <c r="G3014" s="47"/>
      <c r="H3014" s="47" t="s">
        <v>3605</v>
      </c>
      <c r="I3014" s="47" t="s">
        <v>19631</v>
      </c>
    </row>
    <row r="3015" spans="1:9" ht="15">
      <c r="A3015" s="47" t="s">
        <v>606</v>
      </c>
      <c r="B3015" s="47" t="s">
        <v>12049</v>
      </c>
      <c r="C3015" s="47" t="s">
        <v>12050</v>
      </c>
      <c r="D3015" s="47" t="s">
        <v>12051</v>
      </c>
      <c r="E3015" s="47"/>
      <c r="F3015" s="47" t="s">
        <v>3603</v>
      </c>
      <c r="G3015" s="47" t="s">
        <v>3604</v>
      </c>
      <c r="H3015" s="47" t="s">
        <v>3605</v>
      </c>
      <c r="I3015" s="47" t="s">
        <v>606</v>
      </c>
    </row>
    <row r="3016" spans="1:9" ht="15">
      <c r="A3016" s="47" t="s">
        <v>12052</v>
      </c>
      <c r="B3016" s="47" t="s">
        <v>5357</v>
      </c>
      <c r="C3016" s="47" t="s">
        <v>12053</v>
      </c>
      <c r="D3016" s="47" t="s">
        <v>12054</v>
      </c>
      <c r="E3016" s="47"/>
      <c r="F3016" s="47"/>
      <c r="G3016" s="47"/>
      <c r="H3016" s="47" t="s">
        <v>3605</v>
      </c>
      <c r="I3016" s="47" t="s">
        <v>12052</v>
      </c>
    </row>
    <row r="3017" spans="1:9" ht="15">
      <c r="A3017" s="47" t="s">
        <v>12055</v>
      </c>
      <c r="B3017" s="47" t="s">
        <v>12056</v>
      </c>
      <c r="C3017" s="47" t="s">
        <v>12057</v>
      </c>
      <c r="D3017" s="47" t="s">
        <v>12058</v>
      </c>
      <c r="E3017" s="47"/>
      <c r="F3017" s="47"/>
      <c r="G3017" s="47"/>
      <c r="H3017" s="47" t="s">
        <v>3605</v>
      </c>
      <c r="I3017" s="47" t="s">
        <v>12055</v>
      </c>
    </row>
    <row r="3018" spans="1:9" ht="15">
      <c r="A3018" s="47" t="s">
        <v>12059</v>
      </c>
      <c r="B3018" s="47" t="s">
        <v>12060</v>
      </c>
      <c r="C3018" s="47" t="s">
        <v>12061</v>
      </c>
      <c r="D3018" s="47" t="s">
        <v>12062</v>
      </c>
      <c r="E3018" s="47"/>
      <c r="F3018" s="47"/>
      <c r="G3018" s="47"/>
      <c r="H3018" s="47" t="s">
        <v>3605</v>
      </c>
      <c r="I3018" s="47" t="s">
        <v>12059</v>
      </c>
    </row>
    <row r="3019" spans="1:9" ht="15">
      <c r="A3019" s="47" t="s">
        <v>12063</v>
      </c>
      <c r="B3019" s="47" t="s">
        <v>12064</v>
      </c>
      <c r="C3019" s="47" t="s">
        <v>12065</v>
      </c>
      <c r="D3019" s="47" t="s">
        <v>12066</v>
      </c>
      <c r="E3019" s="47"/>
      <c r="F3019" s="47"/>
      <c r="G3019" s="47"/>
      <c r="H3019" s="47" t="s">
        <v>3605</v>
      </c>
      <c r="I3019" s="47" t="s">
        <v>12063</v>
      </c>
    </row>
    <row r="3020" spans="1:9" ht="15">
      <c r="A3020" s="47" t="s">
        <v>12067</v>
      </c>
      <c r="B3020" s="47" t="s">
        <v>12068</v>
      </c>
      <c r="C3020" s="47" t="s">
        <v>12069</v>
      </c>
      <c r="D3020" s="47" t="s">
        <v>12070</v>
      </c>
      <c r="E3020" s="47"/>
      <c r="F3020" s="47"/>
      <c r="G3020" s="47"/>
      <c r="H3020" s="47" t="s">
        <v>3605</v>
      </c>
      <c r="I3020" s="47" t="s">
        <v>12067</v>
      </c>
    </row>
    <row r="3021" spans="1:9" ht="15">
      <c r="A3021" s="47">
        <v>113044</v>
      </c>
      <c r="B3021" s="47" t="s">
        <v>12071</v>
      </c>
      <c r="C3021" s="47" t="s">
        <v>12072</v>
      </c>
      <c r="D3021" s="47" t="s">
        <v>12073</v>
      </c>
      <c r="E3021" s="47"/>
      <c r="F3021" s="47" t="s">
        <v>3603</v>
      </c>
      <c r="G3021" s="47" t="s">
        <v>3604</v>
      </c>
      <c r="H3021" s="47" t="s">
        <v>3605</v>
      </c>
      <c r="I3021" s="47" t="s">
        <v>19632</v>
      </c>
    </row>
    <row r="3022" spans="1:9" ht="15">
      <c r="A3022" s="47">
        <v>112001</v>
      </c>
      <c r="B3022" s="47" t="s">
        <v>12074</v>
      </c>
      <c r="C3022" s="47" t="s">
        <v>12075</v>
      </c>
      <c r="D3022" s="47" t="s">
        <v>12076</v>
      </c>
      <c r="E3022" s="47"/>
      <c r="F3022" s="47"/>
      <c r="G3022" s="47"/>
      <c r="H3022" s="47" t="s">
        <v>3605</v>
      </c>
      <c r="I3022" s="47" t="s">
        <v>19633</v>
      </c>
    </row>
    <row r="3023" spans="1:9" ht="15">
      <c r="A3023" s="47" t="s">
        <v>12077</v>
      </c>
      <c r="B3023" s="47" t="s">
        <v>12078</v>
      </c>
      <c r="C3023" s="47" t="s">
        <v>12079</v>
      </c>
      <c r="D3023" s="47" t="s">
        <v>12080</v>
      </c>
      <c r="E3023" s="47"/>
      <c r="F3023" s="47"/>
      <c r="G3023" s="47"/>
      <c r="H3023" s="47" t="s">
        <v>3605</v>
      </c>
      <c r="I3023" s="47" t="s">
        <v>12077</v>
      </c>
    </row>
    <row r="3024" spans="1:9" ht="15">
      <c r="A3024" s="47" t="s">
        <v>12081</v>
      </c>
      <c r="B3024" s="47" t="s">
        <v>12082</v>
      </c>
      <c r="C3024" s="47" t="s">
        <v>12083</v>
      </c>
      <c r="D3024" s="47" t="s">
        <v>12084</v>
      </c>
      <c r="E3024" s="47"/>
      <c r="F3024" s="47"/>
      <c r="G3024" s="47"/>
      <c r="H3024" s="47" t="s">
        <v>3605</v>
      </c>
      <c r="I3024" s="47" t="s">
        <v>12081</v>
      </c>
    </row>
    <row r="3025" spans="1:9" ht="15">
      <c r="A3025" s="47" t="s">
        <v>12085</v>
      </c>
      <c r="B3025" s="47" t="s">
        <v>12086</v>
      </c>
      <c r="C3025" s="47" t="s">
        <v>12087</v>
      </c>
      <c r="D3025" s="47" t="s">
        <v>12088</v>
      </c>
      <c r="E3025" s="47"/>
      <c r="F3025" s="47"/>
      <c r="G3025" s="47"/>
      <c r="H3025" s="47" t="s">
        <v>3605</v>
      </c>
      <c r="I3025" s="47" t="s">
        <v>12085</v>
      </c>
    </row>
    <row r="3026" spans="1:9" ht="15">
      <c r="A3026" s="47" t="s">
        <v>12089</v>
      </c>
      <c r="B3026" s="47" t="s">
        <v>12090</v>
      </c>
      <c r="C3026" s="47" t="s">
        <v>12091</v>
      </c>
      <c r="D3026" s="47" t="s">
        <v>12092</v>
      </c>
      <c r="E3026" s="47"/>
      <c r="F3026" s="47"/>
      <c r="G3026" s="47"/>
      <c r="H3026" s="47" t="s">
        <v>3605</v>
      </c>
      <c r="I3026" s="47" t="s">
        <v>12089</v>
      </c>
    </row>
    <row r="3027" spans="1:9" ht="15">
      <c r="A3027" s="47" t="s">
        <v>12093</v>
      </c>
      <c r="B3027" s="47" t="s">
        <v>12094</v>
      </c>
      <c r="C3027" s="47" t="s">
        <v>12095</v>
      </c>
      <c r="D3027" s="47" t="s">
        <v>12096</v>
      </c>
      <c r="E3027" s="47"/>
      <c r="F3027" s="47"/>
      <c r="G3027" s="47"/>
      <c r="H3027" s="47" t="s">
        <v>3605</v>
      </c>
      <c r="I3027" s="47" t="s">
        <v>12093</v>
      </c>
    </row>
    <row r="3028" spans="1:9" ht="15">
      <c r="A3028" s="47" t="s">
        <v>12097</v>
      </c>
      <c r="B3028" s="47" t="s">
        <v>12098</v>
      </c>
      <c r="C3028" s="47" t="s">
        <v>12099</v>
      </c>
      <c r="D3028" s="47" t="s">
        <v>12100</v>
      </c>
      <c r="E3028" s="47"/>
      <c r="F3028" s="47"/>
      <c r="G3028" s="47"/>
      <c r="H3028" s="47" t="s">
        <v>3605</v>
      </c>
      <c r="I3028" s="47" t="s">
        <v>12097</v>
      </c>
    </row>
    <row r="3029" spans="1:9" ht="15">
      <c r="A3029" s="47" t="s">
        <v>12101</v>
      </c>
      <c r="B3029" s="47" t="s">
        <v>12102</v>
      </c>
      <c r="C3029" s="47" t="s">
        <v>12103</v>
      </c>
      <c r="D3029" s="47" t="s">
        <v>12104</v>
      </c>
      <c r="E3029" s="47"/>
      <c r="F3029" s="47"/>
      <c r="G3029" s="47"/>
      <c r="H3029" s="47" t="s">
        <v>3605</v>
      </c>
      <c r="I3029" s="47" t="s">
        <v>12101</v>
      </c>
    </row>
    <row r="3030" spans="1:9" ht="15">
      <c r="A3030" s="47" t="s">
        <v>12105</v>
      </c>
      <c r="B3030" s="47" t="s">
        <v>12106</v>
      </c>
      <c r="C3030" s="47" t="s">
        <v>12107</v>
      </c>
      <c r="D3030" s="47" t="s">
        <v>12108</v>
      </c>
      <c r="E3030" s="47"/>
      <c r="F3030" s="47"/>
      <c r="G3030" s="47"/>
      <c r="H3030" s="47" t="s">
        <v>3605</v>
      </c>
      <c r="I3030" s="47" t="s">
        <v>12105</v>
      </c>
    </row>
    <row r="3031" spans="1:9" ht="15">
      <c r="A3031" s="47" t="s">
        <v>12109</v>
      </c>
      <c r="B3031" s="47" t="s">
        <v>12110</v>
      </c>
      <c r="C3031" s="47" t="s">
        <v>12111</v>
      </c>
      <c r="D3031" s="47" t="s">
        <v>12112</v>
      </c>
      <c r="E3031" s="47"/>
      <c r="F3031" s="47"/>
      <c r="G3031" s="47"/>
      <c r="H3031" s="47" t="s">
        <v>3605</v>
      </c>
      <c r="I3031" s="47" t="s">
        <v>12109</v>
      </c>
    </row>
    <row r="3032" spans="1:9" ht="15">
      <c r="A3032" s="47" t="s">
        <v>12113</v>
      </c>
      <c r="B3032" s="47" t="s">
        <v>12114</v>
      </c>
      <c r="C3032" s="47" t="s">
        <v>12115</v>
      </c>
      <c r="D3032" s="47" t="s">
        <v>12116</v>
      </c>
      <c r="E3032" s="47"/>
      <c r="F3032" s="47"/>
      <c r="G3032" s="47"/>
      <c r="H3032" s="47" t="s">
        <v>3605</v>
      </c>
      <c r="I3032" s="47" t="s">
        <v>12113</v>
      </c>
    </row>
    <row r="3033" spans="1:9" ht="15">
      <c r="A3033" s="47" t="s">
        <v>12117</v>
      </c>
      <c r="B3033" s="47" t="s">
        <v>12118</v>
      </c>
      <c r="C3033" s="47" t="s">
        <v>12119</v>
      </c>
      <c r="D3033" s="47" t="s">
        <v>12120</v>
      </c>
      <c r="E3033" s="47"/>
      <c r="F3033" s="47"/>
      <c r="G3033" s="47"/>
      <c r="H3033" s="47" t="s">
        <v>3605</v>
      </c>
      <c r="I3033" s="47" t="s">
        <v>12117</v>
      </c>
    </row>
    <row r="3034" spans="1:9" ht="15">
      <c r="A3034" s="47" t="s">
        <v>12121</v>
      </c>
      <c r="B3034" s="47" t="s">
        <v>12122</v>
      </c>
      <c r="C3034" s="47" t="s">
        <v>12123</v>
      </c>
      <c r="D3034" s="47" t="s">
        <v>12124</v>
      </c>
      <c r="E3034" s="47"/>
      <c r="F3034" s="47"/>
      <c r="G3034" s="47"/>
      <c r="H3034" s="47" t="s">
        <v>3605</v>
      </c>
      <c r="I3034" s="47" t="s">
        <v>12121</v>
      </c>
    </row>
    <row r="3035" spans="1:9" ht="15">
      <c r="A3035" s="47" t="s">
        <v>12125</v>
      </c>
      <c r="B3035" s="47" t="s">
        <v>12126</v>
      </c>
      <c r="C3035" s="47" t="s">
        <v>12127</v>
      </c>
      <c r="D3035" s="47" t="s">
        <v>12128</v>
      </c>
      <c r="E3035" s="47"/>
      <c r="F3035" s="47"/>
      <c r="G3035" s="47"/>
      <c r="H3035" s="47" t="s">
        <v>3605</v>
      </c>
      <c r="I3035" s="47" t="s">
        <v>12125</v>
      </c>
    </row>
    <row r="3036" spans="1:9" ht="15">
      <c r="A3036" s="47" t="s">
        <v>12129</v>
      </c>
      <c r="B3036" s="47" t="s">
        <v>12130</v>
      </c>
      <c r="C3036" s="47" t="s">
        <v>12131</v>
      </c>
      <c r="D3036" s="47" t="s">
        <v>12132</v>
      </c>
      <c r="E3036" s="47"/>
      <c r="F3036" s="47"/>
      <c r="G3036" s="47"/>
      <c r="H3036" s="47" t="s">
        <v>3605</v>
      </c>
      <c r="I3036" s="47" t="s">
        <v>12129</v>
      </c>
    </row>
    <row r="3037" spans="1:9" ht="15">
      <c r="A3037" s="47" t="s">
        <v>12133</v>
      </c>
      <c r="B3037" s="47" t="s">
        <v>12134</v>
      </c>
      <c r="C3037" s="47" t="s">
        <v>12135</v>
      </c>
      <c r="D3037" s="47" t="s">
        <v>12136</v>
      </c>
      <c r="E3037" s="47"/>
      <c r="F3037" s="47"/>
      <c r="G3037" s="47"/>
      <c r="H3037" s="47" t="s">
        <v>3605</v>
      </c>
      <c r="I3037" s="47" t="s">
        <v>12133</v>
      </c>
    </row>
    <row r="3038" spans="1:9" ht="15">
      <c r="A3038" s="47" t="s">
        <v>12137</v>
      </c>
      <c r="B3038" s="47" t="s">
        <v>12138</v>
      </c>
      <c r="C3038" s="47" t="s">
        <v>12139</v>
      </c>
      <c r="D3038" s="47" t="s">
        <v>12140</v>
      </c>
      <c r="E3038" s="47"/>
      <c r="F3038" s="47"/>
      <c r="G3038" s="47"/>
      <c r="H3038" s="47" t="s">
        <v>3605</v>
      </c>
      <c r="I3038" s="47" t="s">
        <v>12137</v>
      </c>
    </row>
    <row r="3039" spans="1:9" ht="15">
      <c r="A3039" s="47" t="s">
        <v>12141</v>
      </c>
      <c r="B3039" s="47" t="s">
        <v>12142</v>
      </c>
      <c r="C3039" s="47" t="s">
        <v>12143</v>
      </c>
      <c r="D3039" s="47" t="s">
        <v>12144</v>
      </c>
      <c r="E3039" s="47"/>
      <c r="F3039" s="47"/>
      <c r="G3039" s="47"/>
      <c r="H3039" s="47" t="s">
        <v>3605</v>
      </c>
      <c r="I3039" s="47" t="s">
        <v>12141</v>
      </c>
    </row>
    <row r="3040" spans="1:9" ht="15">
      <c r="A3040" s="47" t="s">
        <v>12145</v>
      </c>
      <c r="B3040" s="47" t="s">
        <v>12146</v>
      </c>
      <c r="C3040" s="47" t="s">
        <v>12147</v>
      </c>
      <c r="D3040" s="47" t="s">
        <v>12148</v>
      </c>
      <c r="E3040" s="47"/>
      <c r="F3040" s="47"/>
      <c r="G3040" s="47"/>
      <c r="H3040" s="47" t="s">
        <v>3605</v>
      </c>
      <c r="I3040" s="47" t="s">
        <v>12145</v>
      </c>
    </row>
    <row r="3041" spans="1:9" ht="15">
      <c r="A3041" s="47" t="s">
        <v>12149</v>
      </c>
      <c r="B3041" s="47" t="s">
        <v>12150</v>
      </c>
      <c r="C3041" s="47" t="s">
        <v>12151</v>
      </c>
      <c r="D3041" s="47" t="s">
        <v>12152</v>
      </c>
      <c r="E3041" s="47"/>
      <c r="F3041" s="47"/>
      <c r="G3041" s="47"/>
      <c r="H3041" s="47" t="s">
        <v>3605</v>
      </c>
      <c r="I3041" s="47" t="s">
        <v>12149</v>
      </c>
    </row>
    <row r="3042" spans="1:9" ht="15">
      <c r="A3042" s="47" t="s">
        <v>12153</v>
      </c>
      <c r="B3042" s="47" t="s">
        <v>12154</v>
      </c>
      <c r="C3042" s="47" t="s">
        <v>12155</v>
      </c>
      <c r="D3042" s="47" t="s">
        <v>12156</v>
      </c>
      <c r="E3042" s="47"/>
      <c r="F3042" s="47"/>
      <c r="G3042" s="47"/>
      <c r="H3042" s="47" t="s">
        <v>3605</v>
      </c>
      <c r="I3042" s="47" t="s">
        <v>12153</v>
      </c>
    </row>
    <row r="3043" spans="1:9" ht="15">
      <c r="A3043" s="47" t="s">
        <v>12157</v>
      </c>
      <c r="B3043" s="47" t="s">
        <v>12158</v>
      </c>
      <c r="C3043" s="47" t="s">
        <v>12159</v>
      </c>
      <c r="D3043" s="47" t="s">
        <v>12160</v>
      </c>
      <c r="E3043" s="47"/>
      <c r="F3043" s="47"/>
      <c r="G3043" s="47"/>
      <c r="H3043" s="47" t="s">
        <v>3605</v>
      </c>
      <c r="I3043" s="47" t="s">
        <v>12157</v>
      </c>
    </row>
    <row r="3044" spans="1:9" ht="15">
      <c r="A3044" s="47" t="s">
        <v>12161</v>
      </c>
      <c r="B3044" s="47" t="s">
        <v>12162</v>
      </c>
      <c r="C3044" s="47" t="s">
        <v>12163</v>
      </c>
      <c r="D3044" s="47" t="s">
        <v>12164</v>
      </c>
      <c r="E3044" s="47"/>
      <c r="F3044" s="47"/>
      <c r="G3044" s="47"/>
      <c r="H3044" s="47" t="s">
        <v>3605</v>
      </c>
      <c r="I3044" s="47" t="s">
        <v>12161</v>
      </c>
    </row>
    <row r="3045" spans="1:9" ht="15">
      <c r="A3045" s="47" t="s">
        <v>12165</v>
      </c>
      <c r="B3045" s="47" t="s">
        <v>12166</v>
      </c>
      <c r="C3045" s="47" t="s">
        <v>12167</v>
      </c>
      <c r="D3045" s="47" t="s">
        <v>12168</v>
      </c>
      <c r="E3045" s="47"/>
      <c r="F3045" s="47"/>
      <c r="G3045" s="47"/>
      <c r="H3045" s="47" t="s">
        <v>3605</v>
      </c>
      <c r="I3045" s="47" t="s">
        <v>12165</v>
      </c>
    </row>
    <row r="3046" spans="1:9" ht="15">
      <c r="A3046" s="47" t="s">
        <v>12169</v>
      </c>
      <c r="B3046" s="47" t="s">
        <v>12170</v>
      </c>
      <c r="C3046" s="47" t="s">
        <v>12171</v>
      </c>
      <c r="D3046" s="47" t="s">
        <v>12172</v>
      </c>
      <c r="E3046" s="47"/>
      <c r="F3046" s="47"/>
      <c r="G3046" s="47"/>
      <c r="H3046" s="47" t="s">
        <v>3605</v>
      </c>
      <c r="I3046" s="47" t="s">
        <v>12169</v>
      </c>
    </row>
    <row r="3047" spans="1:9" ht="15">
      <c r="A3047" s="47" t="s">
        <v>12173</v>
      </c>
      <c r="B3047" s="47" t="s">
        <v>12174</v>
      </c>
      <c r="C3047" s="47" t="s">
        <v>12175</v>
      </c>
      <c r="D3047" s="47" t="s">
        <v>12176</v>
      </c>
      <c r="E3047" s="47"/>
      <c r="F3047" s="47"/>
      <c r="G3047" s="47"/>
      <c r="H3047" s="47" t="s">
        <v>3605</v>
      </c>
      <c r="I3047" s="47" t="s">
        <v>12173</v>
      </c>
    </row>
    <row r="3048" spans="1:9" ht="15">
      <c r="A3048" s="47" t="s">
        <v>12177</v>
      </c>
      <c r="B3048" s="47" t="s">
        <v>12178</v>
      </c>
      <c r="C3048" s="47" t="s">
        <v>12179</v>
      </c>
      <c r="D3048" s="47" t="s">
        <v>12180</v>
      </c>
      <c r="E3048" s="47"/>
      <c r="F3048" s="47"/>
      <c r="G3048" s="47"/>
      <c r="H3048" s="47" t="s">
        <v>3605</v>
      </c>
      <c r="I3048" s="47" t="s">
        <v>12177</v>
      </c>
    </row>
    <row r="3049" spans="1:9" ht="15">
      <c r="A3049" s="47" t="s">
        <v>12181</v>
      </c>
      <c r="B3049" s="47" t="s">
        <v>12182</v>
      </c>
      <c r="C3049" s="47" t="s">
        <v>12183</v>
      </c>
      <c r="D3049" s="47" t="s">
        <v>12184</v>
      </c>
      <c r="E3049" s="47"/>
      <c r="F3049" s="47"/>
      <c r="G3049" s="47"/>
      <c r="H3049" s="47" t="s">
        <v>3605</v>
      </c>
      <c r="I3049" s="47" t="s">
        <v>12181</v>
      </c>
    </row>
    <row r="3050" spans="1:9" ht="15">
      <c r="A3050" s="47" t="s">
        <v>12185</v>
      </c>
      <c r="B3050" s="47" t="s">
        <v>12186</v>
      </c>
      <c r="C3050" s="47" t="s">
        <v>12187</v>
      </c>
      <c r="D3050" s="47" t="s">
        <v>12188</v>
      </c>
      <c r="E3050" s="47"/>
      <c r="F3050" s="47"/>
      <c r="G3050" s="47"/>
      <c r="H3050" s="47" t="s">
        <v>3605</v>
      </c>
      <c r="I3050" s="47" t="s">
        <v>12185</v>
      </c>
    </row>
    <row r="3051" spans="1:9" ht="15">
      <c r="A3051" s="47" t="s">
        <v>12189</v>
      </c>
      <c r="B3051" s="47" t="s">
        <v>12190</v>
      </c>
      <c r="C3051" s="47" t="s">
        <v>12191</v>
      </c>
      <c r="D3051" s="47" t="s">
        <v>12192</v>
      </c>
      <c r="E3051" s="47"/>
      <c r="F3051" s="47"/>
      <c r="G3051" s="47"/>
      <c r="H3051" s="47" t="s">
        <v>3605</v>
      </c>
      <c r="I3051" s="47" t="s">
        <v>12189</v>
      </c>
    </row>
    <row r="3052" spans="1:9" ht="15">
      <c r="A3052" s="47" t="s">
        <v>3470</v>
      </c>
      <c r="B3052" s="47" t="s">
        <v>12193</v>
      </c>
      <c r="C3052" s="47" t="s">
        <v>12194</v>
      </c>
      <c r="D3052" s="47" t="s">
        <v>12195</v>
      </c>
      <c r="E3052" s="47"/>
      <c r="F3052" s="47"/>
      <c r="G3052" s="47"/>
      <c r="H3052" s="47" t="s">
        <v>3605</v>
      </c>
      <c r="I3052" s="47" t="s">
        <v>3470</v>
      </c>
    </row>
    <row r="3053" spans="1:9" ht="15">
      <c r="A3053" s="47" t="s">
        <v>12196</v>
      </c>
      <c r="B3053" s="47" t="s">
        <v>12197</v>
      </c>
      <c r="C3053" s="47" t="s">
        <v>12198</v>
      </c>
      <c r="D3053" s="47" t="s">
        <v>12199</v>
      </c>
      <c r="E3053" s="47"/>
      <c r="F3053" s="47"/>
      <c r="G3053" s="47"/>
      <c r="H3053" s="47" t="s">
        <v>3605</v>
      </c>
      <c r="I3053" s="47" t="s">
        <v>12196</v>
      </c>
    </row>
    <row r="3054" spans="1:9" ht="15">
      <c r="A3054" s="47" t="s">
        <v>12200</v>
      </c>
      <c r="B3054" s="47" t="s">
        <v>12201</v>
      </c>
      <c r="C3054" s="47" t="s">
        <v>12202</v>
      </c>
      <c r="D3054" s="47" t="s">
        <v>12203</v>
      </c>
      <c r="E3054" s="47"/>
      <c r="F3054" s="47"/>
      <c r="G3054" s="47"/>
      <c r="H3054" s="47" t="s">
        <v>3605</v>
      </c>
      <c r="I3054" s="47" t="s">
        <v>12200</v>
      </c>
    </row>
    <row r="3055" spans="1:9" ht="15">
      <c r="A3055" s="47" t="s">
        <v>12204</v>
      </c>
      <c r="B3055" s="47" t="s">
        <v>12205</v>
      </c>
      <c r="C3055" s="47" t="s">
        <v>12206</v>
      </c>
      <c r="D3055" s="47" t="s">
        <v>12207</v>
      </c>
      <c r="E3055" s="47"/>
      <c r="F3055" s="47"/>
      <c r="G3055" s="47"/>
      <c r="H3055" s="47" t="s">
        <v>3605</v>
      </c>
      <c r="I3055" s="47" t="s">
        <v>12204</v>
      </c>
    </row>
    <row r="3056" spans="1:9" ht="15">
      <c r="A3056" s="47" t="s">
        <v>12208</v>
      </c>
      <c r="B3056" s="47" t="s">
        <v>12209</v>
      </c>
      <c r="C3056" s="47" t="s">
        <v>12210</v>
      </c>
      <c r="D3056" s="47" t="s">
        <v>12211</v>
      </c>
      <c r="E3056" s="47"/>
      <c r="F3056" s="47"/>
      <c r="G3056" s="47"/>
      <c r="H3056" s="47" t="s">
        <v>3605</v>
      </c>
      <c r="I3056" s="47" t="s">
        <v>12208</v>
      </c>
    </row>
    <row r="3057" spans="1:9" ht="15">
      <c r="A3057" s="47">
        <v>7019</v>
      </c>
      <c r="B3057" s="47" t="s">
        <v>12212</v>
      </c>
      <c r="C3057" s="47" t="s">
        <v>12213</v>
      </c>
      <c r="D3057" s="47" t="s">
        <v>12214</v>
      </c>
      <c r="E3057" s="47"/>
      <c r="F3057" s="47"/>
      <c r="G3057" s="47"/>
      <c r="H3057" s="47" t="s">
        <v>3605</v>
      </c>
      <c r="I3057" s="47" t="s">
        <v>19634</v>
      </c>
    </row>
    <row r="3058" spans="1:9" ht="15">
      <c r="A3058" s="47" t="s">
        <v>12215</v>
      </c>
      <c r="B3058" s="47" t="s">
        <v>12216</v>
      </c>
      <c r="C3058" s="47" t="s">
        <v>12217</v>
      </c>
      <c r="D3058" s="47" t="s">
        <v>12218</v>
      </c>
      <c r="E3058" s="47"/>
      <c r="F3058" s="47"/>
      <c r="G3058" s="47"/>
      <c r="H3058" s="47" t="s">
        <v>3605</v>
      </c>
      <c r="I3058" s="47" t="s">
        <v>12215</v>
      </c>
    </row>
    <row r="3059" spans="1:9" ht="15">
      <c r="A3059" s="47">
        <v>7049</v>
      </c>
      <c r="B3059" s="47" t="s">
        <v>12219</v>
      </c>
      <c r="C3059" s="47" t="s">
        <v>12220</v>
      </c>
      <c r="D3059" s="47" t="s">
        <v>12221</v>
      </c>
      <c r="E3059" s="47"/>
      <c r="F3059" s="47"/>
      <c r="G3059" s="47"/>
      <c r="H3059" s="47" t="s">
        <v>3605</v>
      </c>
      <c r="I3059" s="47" t="s">
        <v>19635</v>
      </c>
    </row>
    <row r="3060" spans="1:9" ht="15">
      <c r="A3060" s="47" t="s">
        <v>12222</v>
      </c>
      <c r="B3060" s="47" t="s">
        <v>12223</v>
      </c>
      <c r="C3060" s="47" t="s">
        <v>12224</v>
      </c>
      <c r="D3060" s="47" t="s">
        <v>12225</v>
      </c>
      <c r="E3060" s="47"/>
      <c r="F3060" s="47"/>
      <c r="G3060" s="47"/>
      <c r="H3060" s="47" t="s">
        <v>3605</v>
      </c>
      <c r="I3060" s="47" t="s">
        <v>12222</v>
      </c>
    </row>
    <row r="3061" spans="1:9" ht="15">
      <c r="A3061" s="47" t="s">
        <v>12226</v>
      </c>
      <c r="B3061" s="47" t="s">
        <v>12227</v>
      </c>
      <c r="C3061" s="47" t="s">
        <v>12228</v>
      </c>
      <c r="D3061" s="47" t="s">
        <v>12229</v>
      </c>
      <c r="E3061" s="47"/>
      <c r="F3061" s="47"/>
      <c r="G3061" s="47"/>
      <c r="H3061" s="47" t="s">
        <v>3605</v>
      </c>
      <c r="I3061" s="47" t="s">
        <v>12226</v>
      </c>
    </row>
    <row r="3062" spans="1:9" ht="15">
      <c r="A3062" s="47" t="s">
        <v>12230</v>
      </c>
      <c r="B3062" s="47" t="s">
        <v>12231</v>
      </c>
      <c r="C3062" s="47" t="s">
        <v>12232</v>
      </c>
      <c r="D3062" s="47" t="s">
        <v>12233</v>
      </c>
      <c r="E3062" s="47"/>
      <c r="F3062" s="47"/>
      <c r="G3062" s="47"/>
      <c r="H3062" s="47" t="s">
        <v>3605</v>
      </c>
      <c r="I3062" s="47" t="s">
        <v>12230</v>
      </c>
    </row>
    <row r="3063" spans="1:9" ht="15">
      <c r="A3063" s="47" t="s">
        <v>3182</v>
      </c>
      <c r="B3063" s="47" t="s">
        <v>12234</v>
      </c>
      <c r="C3063" s="47" t="s">
        <v>12235</v>
      </c>
      <c r="D3063" s="47" t="s">
        <v>8931</v>
      </c>
      <c r="E3063" s="47"/>
      <c r="F3063" s="47"/>
      <c r="G3063" s="47"/>
      <c r="H3063" s="47" t="s">
        <v>3605</v>
      </c>
      <c r="I3063" s="47" t="s">
        <v>3182</v>
      </c>
    </row>
    <row r="3064" spans="1:9" ht="15">
      <c r="A3064" s="47">
        <v>7079</v>
      </c>
      <c r="B3064" s="47" t="s">
        <v>12236</v>
      </c>
      <c r="C3064" s="47" t="s">
        <v>12237</v>
      </c>
      <c r="D3064" s="47" t="s">
        <v>12238</v>
      </c>
      <c r="E3064" s="47"/>
      <c r="F3064" s="47"/>
      <c r="G3064" s="47"/>
      <c r="H3064" s="47" t="s">
        <v>3605</v>
      </c>
      <c r="I3064" s="47" t="s">
        <v>19636</v>
      </c>
    </row>
    <row r="3065" spans="1:9" ht="15">
      <c r="A3065" s="47" t="s">
        <v>3121</v>
      </c>
      <c r="B3065" s="47" t="s">
        <v>12239</v>
      </c>
      <c r="C3065" s="47" t="s">
        <v>12240</v>
      </c>
      <c r="D3065" s="47" t="s">
        <v>12241</v>
      </c>
      <c r="E3065" s="47"/>
      <c r="F3065" s="47"/>
      <c r="G3065" s="47"/>
      <c r="H3065" s="47" t="s">
        <v>3605</v>
      </c>
      <c r="I3065" s="47" t="s">
        <v>3121</v>
      </c>
    </row>
    <row r="3066" spans="1:9" ht="15">
      <c r="A3066" s="47" t="s">
        <v>3161</v>
      </c>
      <c r="B3066" s="47" t="s">
        <v>12242</v>
      </c>
      <c r="C3066" s="47" t="s">
        <v>12243</v>
      </c>
      <c r="D3066" s="47" t="s">
        <v>12244</v>
      </c>
      <c r="E3066" s="47"/>
      <c r="F3066" s="47"/>
      <c r="G3066" s="47"/>
      <c r="H3066" s="47" t="s">
        <v>3605</v>
      </c>
      <c r="I3066" s="47" t="s">
        <v>3161</v>
      </c>
    </row>
    <row r="3067" spans="1:9" ht="15">
      <c r="A3067" s="47" t="s">
        <v>3163</v>
      </c>
      <c r="B3067" s="47" t="s">
        <v>12245</v>
      </c>
      <c r="C3067" s="47" t="s">
        <v>12246</v>
      </c>
      <c r="D3067" s="47" t="s">
        <v>12247</v>
      </c>
      <c r="E3067" s="47"/>
      <c r="F3067" s="47"/>
      <c r="G3067" s="47"/>
      <c r="H3067" s="47" t="s">
        <v>3605</v>
      </c>
      <c r="I3067" s="47" t="s">
        <v>3163</v>
      </c>
    </row>
    <row r="3068" spans="1:9" ht="15">
      <c r="A3068" s="47">
        <v>7467</v>
      </c>
      <c r="B3068" s="47" t="s">
        <v>12248</v>
      </c>
      <c r="C3068" s="47" t="s">
        <v>12249</v>
      </c>
      <c r="D3068" s="47" t="s">
        <v>12250</v>
      </c>
      <c r="E3068" s="47"/>
      <c r="F3068" s="47"/>
      <c r="G3068" s="47"/>
      <c r="H3068" s="47" t="s">
        <v>3605</v>
      </c>
      <c r="I3068" s="47" t="s">
        <v>19637</v>
      </c>
    </row>
    <row r="3069" spans="1:9" ht="15">
      <c r="A3069" s="47" t="s">
        <v>3092</v>
      </c>
      <c r="B3069" s="47" t="s">
        <v>12251</v>
      </c>
      <c r="C3069" s="47" t="s">
        <v>12252</v>
      </c>
      <c r="D3069" s="47" t="s">
        <v>12253</v>
      </c>
      <c r="E3069" s="47"/>
      <c r="F3069" s="47"/>
      <c r="G3069" s="47"/>
      <c r="H3069" s="47" t="s">
        <v>3605</v>
      </c>
      <c r="I3069" s="47" t="s">
        <v>3092</v>
      </c>
    </row>
    <row r="3070" spans="1:9" ht="15">
      <c r="A3070" s="47" t="s">
        <v>12254</v>
      </c>
      <c r="B3070" s="47" t="s">
        <v>12255</v>
      </c>
      <c r="C3070" s="47" t="s">
        <v>12256</v>
      </c>
      <c r="D3070" s="47" t="s">
        <v>12257</v>
      </c>
      <c r="E3070" s="47"/>
      <c r="F3070" s="47"/>
      <c r="G3070" s="47"/>
      <c r="H3070" s="47" t="s">
        <v>3605</v>
      </c>
      <c r="I3070" s="47" t="s">
        <v>12254</v>
      </c>
    </row>
    <row r="3071" spans="1:9" ht="15">
      <c r="A3071" s="47" t="s">
        <v>3190</v>
      </c>
      <c r="B3071" s="47" t="s">
        <v>12258</v>
      </c>
      <c r="C3071" s="47" t="s">
        <v>12259</v>
      </c>
      <c r="D3071" s="47" t="s">
        <v>12260</v>
      </c>
      <c r="E3071" s="47"/>
      <c r="F3071" s="47"/>
      <c r="G3071" s="47"/>
      <c r="H3071" s="47" t="s">
        <v>3605</v>
      </c>
      <c r="I3071" s="47" t="s">
        <v>3190</v>
      </c>
    </row>
    <row r="3072" spans="1:9" ht="15">
      <c r="A3072" s="47" t="s">
        <v>12261</v>
      </c>
      <c r="B3072" s="47" t="s">
        <v>12262</v>
      </c>
      <c r="C3072" s="47" t="s">
        <v>12263</v>
      </c>
      <c r="D3072" s="47" t="s">
        <v>12264</v>
      </c>
      <c r="E3072" s="47"/>
      <c r="F3072" s="47"/>
      <c r="G3072" s="47"/>
      <c r="H3072" s="47" t="s">
        <v>3605</v>
      </c>
      <c r="I3072" s="47" t="s">
        <v>12261</v>
      </c>
    </row>
    <row r="3073" spans="1:9" ht="15">
      <c r="A3073" s="47" t="s">
        <v>582</v>
      </c>
      <c r="B3073" s="47" t="s">
        <v>12265</v>
      </c>
      <c r="C3073" s="47" t="s">
        <v>12266</v>
      </c>
      <c r="D3073" s="47" t="s">
        <v>12267</v>
      </c>
      <c r="E3073" s="47"/>
      <c r="F3073" s="47"/>
      <c r="G3073" s="47"/>
      <c r="H3073" s="47" t="s">
        <v>3605</v>
      </c>
      <c r="I3073" s="47" t="s">
        <v>582</v>
      </c>
    </row>
    <row r="3074" spans="1:9" ht="15">
      <c r="A3074" s="47" t="s">
        <v>12268</v>
      </c>
      <c r="B3074" s="47" t="s">
        <v>12269</v>
      </c>
      <c r="C3074" s="47" t="s">
        <v>12270</v>
      </c>
      <c r="D3074" s="47" t="s">
        <v>12271</v>
      </c>
      <c r="E3074" s="47"/>
      <c r="F3074" s="47"/>
      <c r="G3074" s="47"/>
      <c r="H3074" s="47" t="s">
        <v>3605</v>
      </c>
      <c r="I3074" s="47" t="s">
        <v>12268</v>
      </c>
    </row>
    <row r="3075" spans="1:9" ht="15">
      <c r="A3075" s="47" t="s">
        <v>3591</v>
      </c>
      <c r="B3075" s="47" t="s">
        <v>12272</v>
      </c>
      <c r="C3075" s="47" t="s">
        <v>5282</v>
      </c>
      <c r="D3075" s="47" t="s">
        <v>12273</v>
      </c>
      <c r="E3075" s="47"/>
      <c r="F3075" s="47"/>
      <c r="G3075" s="47"/>
      <c r="H3075" s="47" t="s">
        <v>3605</v>
      </c>
      <c r="I3075" s="47" t="s">
        <v>3591</v>
      </c>
    </row>
    <row r="3076" spans="1:9" ht="15">
      <c r="A3076" s="47">
        <v>7089</v>
      </c>
      <c r="B3076" s="47" t="s">
        <v>12274</v>
      </c>
      <c r="C3076" s="47" t="s">
        <v>12275</v>
      </c>
      <c r="D3076" s="47" t="s">
        <v>12276</v>
      </c>
      <c r="E3076" s="47"/>
      <c r="F3076" s="47"/>
      <c r="G3076" s="47"/>
      <c r="H3076" s="47" t="s">
        <v>3605</v>
      </c>
      <c r="I3076" s="47" t="s">
        <v>19638</v>
      </c>
    </row>
    <row r="3077" spans="1:9" ht="15">
      <c r="A3077" s="47">
        <v>7221</v>
      </c>
      <c r="B3077" s="47" t="s">
        <v>12277</v>
      </c>
      <c r="C3077" s="47" t="s">
        <v>12278</v>
      </c>
      <c r="D3077" s="47" t="s">
        <v>12279</v>
      </c>
      <c r="E3077" s="47"/>
      <c r="F3077" s="47"/>
      <c r="G3077" s="47"/>
      <c r="H3077" s="47" t="s">
        <v>3605</v>
      </c>
      <c r="I3077" s="47" t="s">
        <v>19639</v>
      </c>
    </row>
    <row r="3078" spans="1:9" ht="15">
      <c r="A3078" s="47">
        <v>21100</v>
      </c>
      <c r="B3078" s="47" t="s">
        <v>12280</v>
      </c>
      <c r="C3078" s="47" t="s">
        <v>12281</v>
      </c>
      <c r="D3078" s="47" t="s">
        <v>12282</v>
      </c>
      <c r="E3078" s="47"/>
      <c r="F3078" s="47" t="s">
        <v>3603</v>
      </c>
      <c r="G3078" s="47" t="s">
        <v>3604</v>
      </c>
      <c r="H3078" s="47" t="s">
        <v>3605</v>
      </c>
      <c r="I3078" s="47" t="s">
        <v>19640</v>
      </c>
    </row>
    <row r="3079" spans="1:9" ht="15">
      <c r="A3079" s="47" t="s">
        <v>3123</v>
      </c>
      <c r="B3079" s="47" t="s">
        <v>12283</v>
      </c>
      <c r="C3079" s="47" t="s">
        <v>12284</v>
      </c>
      <c r="D3079" s="47" t="s">
        <v>12285</v>
      </c>
      <c r="E3079" s="47"/>
      <c r="F3079" s="47"/>
      <c r="G3079" s="47"/>
      <c r="H3079" s="47" t="s">
        <v>3605</v>
      </c>
      <c r="I3079" s="47" t="s">
        <v>3123</v>
      </c>
    </row>
    <row r="3080" spans="1:9" ht="15">
      <c r="A3080" s="47" t="s">
        <v>3149</v>
      </c>
      <c r="B3080" s="47" t="s">
        <v>12286</v>
      </c>
      <c r="C3080" s="47" t="s">
        <v>12287</v>
      </c>
      <c r="D3080" s="47" t="s">
        <v>12288</v>
      </c>
      <c r="E3080" s="47"/>
      <c r="F3080" s="47"/>
      <c r="G3080" s="47"/>
      <c r="H3080" s="47" t="s">
        <v>3605</v>
      </c>
      <c r="I3080" s="47" t="s">
        <v>3149</v>
      </c>
    </row>
    <row r="3081" spans="1:9" ht="15">
      <c r="A3081" s="47" t="s">
        <v>3382</v>
      </c>
      <c r="B3081" s="47" t="s">
        <v>12289</v>
      </c>
      <c r="C3081" s="47" t="s">
        <v>12290</v>
      </c>
      <c r="D3081" s="47" t="s">
        <v>12291</v>
      </c>
      <c r="E3081" s="47"/>
      <c r="F3081" s="47"/>
      <c r="G3081" s="47"/>
      <c r="H3081" s="47" t="s">
        <v>3605</v>
      </c>
      <c r="I3081" s="47" t="s">
        <v>3382</v>
      </c>
    </row>
    <row r="3082" spans="1:9" ht="15">
      <c r="A3082" s="47" t="s">
        <v>3102</v>
      </c>
      <c r="B3082" s="47" t="s">
        <v>12292</v>
      </c>
      <c r="C3082" s="47" t="s">
        <v>12293</v>
      </c>
      <c r="D3082" s="47" t="s">
        <v>12294</v>
      </c>
      <c r="E3082" s="47"/>
      <c r="F3082" s="47"/>
      <c r="G3082" s="47"/>
      <c r="H3082" s="47" t="s">
        <v>3605</v>
      </c>
      <c r="I3082" s="47" t="s">
        <v>3102</v>
      </c>
    </row>
    <row r="3083" spans="1:9" ht="15">
      <c r="A3083" s="47" t="s">
        <v>584</v>
      </c>
      <c r="B3083" s="47" t="s">
        <v>12295</v>
      </c>
      <c r="C3083" s="47" t="s">
        <v>12296</v>
      </c>
      <c r="D3083" s="47" t="s">
        <v>12297</v>
      </c>
      <c r="E3083" s="47"/>
      <c r="F3083" s="47" t="s">
        <v>3603</v>
      </c>
      <c r="G3083" s="47" t="s">
        <v>3604</v>
      </c>
      <c r="H3083" s="47" t="s">
        <v>3605</v>
      </c>
      <c r="I3083" s="47" t="s">
        <v>584</v>
      </c>
    </row>
    <row r="3084" spans="1:9" ht="15">
      <c r="A3084" s="47" t="s">
        <v>12298</v>
      </c>
      <c r="B3084" s="47" t="s">
        <v>12299</v>
      </c>
      <c r="C3084" s="47" t="s">
        <v>12300</v>
      </c>
      <c r="D3084" s="47" t="s">
        <v>12301</v>
      </c>
      <c r="E3084" s="47"/>
      <c r="F3084" s="47"/>
      <c r="G3084" s="47"/>
      <c r="H3084" s="47" t="s">
        <v>3605</v>
      </c>
      <c r="I3084" s="47" t="s">
        <v>12298</v>
      </c>
    </row>
    <row r="3085" spans="1:9" ht="15">
      <c r="A3085" s="47" t="s">
        <v>12302</v>
      </c>
      <c r="B3085" s="47" t="s">
        <v>12303</v>
      </c>
      <c r="C3085" s="47" t="s">
        <v>12304</v>
      </c>
      <c r="D3085" s="47" t="s">
        <v>12305</v>
      </c>
      <c r="E3085" s="47"/>
      <c r="F3085" s="47"/>
      <c r="G3085" s="47"/>
      <c r="H3085" s="47" t="s">
        <v>3605</v>
      </c>
      <c r="I3085" s="47" t="s">
        <v>12302</v>
      </c>
    </row>
    <row r="3086" spans="1:9" ht="15">
      <c r="A3086" s="47" t="s">
        <v>3104</v>
      </c>
      <c r="B3086" s="47" t="s">
        <v>12306</v>
      </c>
      <c r="C3086" s="47" t="s">
        <v>12307</v>
      </c>
      <c r="D3086" s="47" t="s">
        <v>12308</v>
      </c>
      <c r="E3086" s="47"/>
      <c r="F3086" s="47"/>
      <c r="G3086" s="47"/>
      <c r="H3086" s="47" t="s">
        <v>3605</v>
      </c>
      <c r="I3086" s="47" t="s">
        <v>3104</v>
      </c>
    </row>
    <row r="3087" spans="1:9" ht="15">
      <c r="A3087" s="47" t="s">
        <v>3457</v>
      </c>
      <c r="B3087" s="47" t="s">
        <v>12309</v>
      </c>
      <c r="C3087" s="47" t="s">
        <v>3672</v>
      </c>
      <c r="D3087" s="47" t="s">
        <v>3673</v>
      </c>
      <c r="E3087" s="47"/>
      <c r="F3087" s="47" t="s">
        <v>3603</v>
      </c>
      <c r="G3087" s="47" t="s">
        <v>3604</v>
      </c>
      <c r="H3087" s="47" t="s">
        <v>3605</v>
      </c>
      <c r="I3087" s="47" t="s">
        <v>3457</v>
      </c>
    </row>
    <row r="3088" spans="1:9" ht="15">
      <c r="A3088" s="47" t="s">
        <v>12310</v>
      </c>
      <c r="B3088" s="47" t="s">
        <v>12311</v>
      </c>
      <c r="C3088" s="47" t="s">
        <v>12312</v>
      </c>
      <c r="D3088" s="47" t="s">
        <v>12313</v>
      </c>
      <c r="E3088" s="47"/>
      <c r="F3088" s="47"/>
      <c r="G3088" s="47"/>
      <c r="H3088" s="47" t="s">
        <v>3605</v>
      </c>
      <c r="I3088" s="47" t="s">
        <v>12310</v>
      </c>
    </row>
    <row r="3089" spans="1:9" ht="15">
      <c r="A3089" s="47" t="s">
        <v>3106</v>
      </c>
      <c r="B3089" s="47" t="s">
        <v>12314</v>
      </c>
      <c r="C3089" s="47" t="s">
        <v>12315</v>
      </c>
      <c r="D3089" s="47" t="s">
        <v>12316</v>
      </c>
      <c r="E3089" s="47"/>
      <c r="F3089" s="47"/>
      <c r="G3089" s="47"/>
      <c r="H3089" s="47" t="s">
        <v>3605</v>
      </c>
      <c r="I3089" s="47" t="s">
        <v>3106</v>
      </c>
    </row>
    <row r="3090" spans="1:9" ht="15">
      <c r="A3090" s="47" t="s">
        <v>585</v>
      </c>
      <c r="B3090" s="47" t="s">
        <v>12317</v>
      </c>
      <c r="C3090" s="47" t="s">
        <v>12318</v>
      </c>
      <c r="D3090" s="47" t="s">
        <v>12319</v>
      </c>
      <c r="E3090" s="47"/>
      <c r="F3090" s="47" t="s">
        <v>3603</v>
      </c>
      <c r="G3090" s="47" t="s">
        <v>3604</v>
      </c>
      <c r="H3090" s="47" t="s">
        <v>3605</v>
      </c>
      <c r="I3090" s="47" t="s">
        <v>585</v>
      </c>
    </row>
    <row r="3091" spans="1:9" ht="15">
      <c r="A3091" s="47" t="s">
        <v>12320</v>
      </c>
      <c r="B3091" s="47" t="s">
        <v>12321</v>
      </c>
      <c r="C3091" s="47" t="s">
        <v>12322</v>
      </c>
      <c r="D3091" s="47" t="s">
        <v>12323</v>
      </c>
      <c r="E3091" s="47"/>
      <c r="F3091" s="47"/>
      <c r="G3091" s="47"/>
      <c r="H3091" s="47" t="s">
        <v>3605</v>
      </c>
      <c r="I3091" s="47" t="s">
        <v>12320</v>
      </c>
    </row>
    <row r="3092" spans="1:9" ht="15">
      <c r="A3092" s="47" t="s">
        <v>12324</v>
      </c>
      <c r="B3092" s="47" t="s">
        <v>12325</v>
      </c>
      <c r="C3092" s="47" t="s">
        <v>12326</v>
      </c>
      <c r="D3092" s="47" t="s">
        <v>12327</v>
      </c>
      <c r="E3092" s="47"/>
      <c r="F3092" s="47"/>
      <c r="G3092" s="47"/>
      <c r="H3092" s="47" t="s">
        <v>3605</v>
      </c>
      <c r="I3092" s="47" t="s">
        <v>12324</v>
      </c>
    </row>
    <row r="3093" spans="1:9" ht="15">
      <c r="A3093" s="47" t="s">
        <v>586</v>
      </c>
      <c r="B3093" s="47" t="s">
        <v>12328</v>
      </c>
      <c r="C3093" s="47" t="s">
        <v>3672</v>
      </c>
      <c r="D3093" s="47" t="s">
        <v>3673</v>
      </c>
      <c r="E3093" s="47"/>
      <c r="F3093" s="47" t="s">
        <v>3603</v>
      </c>
      <c r="G3093" s="47" t="s">
        <v>3604</v>
      </c>
      <c r="H3093" s="47" t="s">
        <v>3605</v>
      </c>
      <c r="I3093" s="47" t="s">
        <v>586</v>
      </c>
    </row>
    <row r="3094" spans="1:9" ht="15">
      <c r="A3094" s="47" t="s">
        <v>587</v>
      </c>
      <c r="B3094" s="47" t="s">
        <v>12329</v>
      </c>
      <c r="C3094" s="47" t="s">
        <v>12330</v>
      </c>
      <c r="D3094" s="47" t="s">
        <v>12331</v>
      </c>
      <c r="E3094" s="47"/>
      <c r="F3094" s="47" t="s">
        <v>3603</v>
      </c>
      <c r="G3094" s="47" t="s">
        <v>3604</v>
      </c>
      <c r="H3094" s="47" t="s">
        <v>3605</v>
      </c>
      <c r="I3094" s="47" t="s">
        <v>587</v>
      </c>
    </row>
    <row r="3095" spans="1:9" ht="15">
      <c r="A3095" s="47" t="s">
        <v>3127</v>
      </c>
      <c r="B3095" s="47" t="s">
        <v>12332</v>
      </c>
      <c r="C3095" s="47" t="s">
        <v>12333</v>
      </c>
      <c r="D3095" s="47" t="s">
        <v>12334</v>
      </c>
      <c r="E3095" s="47"/>
      <c r="F3095" s="47"/>
      <c r="G3095" s="47"/>
      <c r="H3095" s="47" t="s">
        <v>3605</v>
      </c>
      <c r="I3095" s="47" t="s">
        <v>3127</v>
      </c>
    </row>
    <row r="3096" spans="1:9" ht="15">
      <c r="A3096" s="47" t="s">
        <v>12335</v>
      </c>
      <c r="B3096" s="47" t="s">
        <v>12336</v>
      </c>
      <c r="C3096" s="47" t="s">
        <v>12337</v>
      </c>
      <c r="D3096" s="47" t="s">
        <v>12338</v>
      </c>
      <c r="E3096" s="47"/>
      <c r="F3096" s="47"/>
      <c r="G3096" s="47"/>
      <c r="H3096" s="47" t="s">
        <v>3605</v>
      </c>
      <c r="I3096" s="47" t="s">
        <v>12335</v>
      </c>
    </row>
    <row r="3097" spans="1:9" ht="15">
      <c r="A3097" s="47">
        <v>113292</v>
      </c>
      <c r="B3097" s="47" t="s">
        <v>12339</v>
      </c>
      <c r="C3097" s="47" t="s">
        <v>12340</v>
      </c>
      <c r="D3097" s="47" t="s">
        <v>12341</v>
      </c>
      <c r="E3097" s="47"/>
      <c r="F3097" s="47" t="s">
        <v>3603</v>
      </c>
      <c r="G3097" s="47" t="s">
        <v>3604</v>
      </c>
      <c r="H3097" s="47" t="s">
        <v>3605</v>
      </c>
      <c r="I3097" s="47" t="s">
        <v>19641</v>
      </c>
    </row>
    <row r="3098" spans="1:9" ht="15">
      <c r="A3098" s="47">
        <v>93033</v>
      </c>
      <c r="B3098" s="47" t="s">
        <v>12342</v>
      </c>
      <c r="C3098" s="47" t="s">
        <v>12343</v>
      </c>
      <c r="D3098" s="47" t="s">
        <v>12344</v>
      </c>
      <c r="E3098" s="47"/>
      <c r="F3098" s="47" t="s">
        <v>3603</v>
      </c>
      <c r="G3098" s="47" t="s">
        <v>3604</v>
      </c>
      <c r="H3098" s="47" t="s">
        <v>3605</v>
      </c>
      <c r="I3098" s="47" t="s">
        <v>19642</v>
      </c>
    </row>
    <row r="3099" spans="1:9" ht="15">
      <c r="A3099" s="47" t="s">
        <v>3134</v>
      </c>
      <c r="B3099" s="47" t="s">
        <v>12345</v>
      </c>
      <c r="C3099" s="47" t="s">
        <v>12346</v>
      </c>
      <c r="D3099" s="47" t="s">
        <v>12347</v>
      </c>
      <c r="E3099" s="47"/>
      <c r="F3099" s="47"/>
      <c r="G3099" s="47"/>
      <c r="H3099" s="47" t="s">
        <v>3605</v>
      </c>
      <c r="I3099" s="47" t="s">
        <v>3134</v>
      </c>
    </row>
    <row r="3100" spans="1:9" ht="15">
      <c r="A3100" s="47" t="s">
        <v>12348</v>
      </c>
      <c r="B3100" s="47" t="s">
        <v>12349</v>
      </c>
      <c r="C3100" s="47" t="s">
        <v>12350</v>
      </c>
      <c r="D3100" s="47" t="s">
        <v>12351</v>
      </c>
      <c r="E3100" s="47"/>
      <c r="F3100" s="47"/>
      <c r="G3100" s="47"/>
      <c r="H3100" s="47" t="s">
        <v>3605</v>
      </c>
      <c r="I3100" s="47" t="s">
        <v>12348</v>
      </c>
    </row>
    <row r="3101" spans="1:9" ht="15">
      <c r="A3101" s="47" t="s">
        <v>590</v>
      </c>
      <c r="B3101" s="47" t="s">
        <v>12352</v>
      </c>
      <c r="C3101" s="47" t="s">
        <v>12353</v>
      </c>
      <c r="D3101" s="47" t="s">
        <v>12354</v>
      </c>
      <c r="E3101" s="47"/>
      <c r="F3101" s="47" t="s">
        <v>3603</v>
      </c>
      <c r="G3101" s="47" t="s">
        <v>3604</v>
      </c>
      <c r="H3101" s="47" t="s">
        <v>3605</v>
      </c>
      <c r="I3101" s="47" t="s">
        <v>590</v>
      </c>
    </row>
    <row r="3102" spans="1:9" ht="15">
      <c r="A3102" s="47">
        <v>7046</v>
      </c>
      <c r="B3102" s="47" t="s">
        <v>12355</v>
      </c>
      <c r="C3102" s="47" t="s">
        <v>12356</v>
      </c>
      <c r="D3102" s="47" t="s">
        <v>12357</v>
      </c>
      <c r="E3102" s="47"/>
      <c r="F3102" s="47"/>
      <c r="G3102" s="47"/>
      <c r="H3102" s="47" t="s">
        <v>3605</v>
      </c>
      <c r="I3102" s="47" t="s">
        <v>19643</v>
      </c>
    </row>
    <row r="3103" spans="1:9" ht="15">
      <c r="A3103" s="47" t="s">
        <v>12358</v>
      </c>
      <c r="B3103" s="47" t="s">
        <v>12359</v>
      </c>
      <c r="C3103" s="47" t="s">
        <v>12360</v>
      </c>
      <c r="D3103" s="47" t="s">
        <v>12361</v>
      </c>
      <c r="E3103" s="47"/>
      <c r="F3103" s="47"/>
      <c r="G3103" s="47"/>
      <c r="H3103" s="47" t="s">
        <v>3605</v>
      </c>
      <c r="I3103" s="47" t="s">
        <v>12358</v>
      </c>
    </row>
    <row r="3104" spans="1:9" ht="15">
      <c r="A3104" s="47" t="s">
        <v>3153</v>
      </c>
      <c r="B3104" s="47" t="s">
        <v>12362</v>
      </c>
      <c r="C3104" s="47" t="s">
        <v>12363</v>
      </c>
      <c r="D3104" s="47" t="s">
        <v>12364</v>
      </c>
      <c r="E3104" s="47"/>
      <c r="F3104" s="47"/>
      <c r="G3104" s="47"/>
      <c r="H3104" s="47" t="s">
        <v>3605</v>
      </c>
      <c r="I3104" s="47" t="s">
        <v>3153</v>
      </c>
    </row>
    <row r="3105" spans="1:9" ht="15">
      <c r="A3105" s="47" t="s">
        <v>3110</v>
      </c>
      <c r="B3105" s="47" t="s">
        <v>12365</v>
      </c>
      <c r="C3105" s="47" t="s">
        <v>12366</v>
      </c>
      <c r="D3105" s="47" t="s">
        <v>12367</v>
      </c>
      <c r="E3105" s="47"/>
      <c r="F3105" s="47"/>
      <c r="G3105" s="47"/>
      <c r="H3105" s="47" t="s">
        <v>3605</v>
      </c>
      <c r="I3105" s="47" t="s">
        <v>3110</v>
      </c>
    </row>
    <row r="3106" spans="1:9" ht="15">
      <c r="A3106" s="47" t="s">
        <v>3206</v>
      </c>
      <c r="B3106" s="47" t="s">
        <v>12368</v>
      </c>
      <c r="C3106" s="47" t="s">
        <v>12369</v>
      </c>
      <c r="D3106" s="47" t="s">
        <v>12370</v>
      </c>
      <c r="E3106" s="47"/>
      <c r="F3106" s="47"/>
      <c r="G3106" s="47"/>
      <c r="H3106" s="47" t="s">
        <v>3605</v>
      </c>
      <c r="I3106" s="47" t="s">
        <v>3206</v>
      </c>
    </row>
    <row r="3107" spans="1:9" ht="15">
      <c r="A3107" s="47" t="s">
        <v>12371</v>
      </c>
      <c r="B3107" s="47" t="s">
        <v>12372</v>
      </c>
      <c r="C3107" s="47" t="s">
        <v>12373</v>
      </c>
      <c r="D3107" s="47" t="s">
        <v>12374</v>
      </c>
      <c r="E3107" s="47"/>
      <c r="F3107" s="47"/>
      <c r="G3107" s="47"/>
      <c r="H3107" s="47" t="s">
        <v>3605</v>
      </c>
      <c r="I3107" s="47" t="s">
        <v>12371</v>
      </c>
    </row>
    <row r="3108" spans="1:9" ht="15">
      <c r="A3108" s="47" t="s">
        <v>12375</v>
      </c>
      <c r="B3108" s="47" t="s">
        <v>12376</v>
      </c>
      <c r="C3108" s="47" t="s">
        <v>12377</v>
      </c>
      <c r="D3108" s="47" t="s">
        <v>12378</v>
      </c>
      <c r="E3108" s="47"/>
      <c r="F3108" s="47"/>
      <c r="G3108" s="47"/>
      <c r="H3108" s="47" t="s">
        <v>3605</v>
      </c>
      <c r="I3108" s="47" t="s">
        <v>12375</v>
      </c>
    </row>
    <row r="3109" spans="1:9" ht="15">
      <c r="A3109" s="47">
        <v>7077</v>
      </c>
      <c r="B3109" s="47" t="s">
        <v>12379</v>
      </c>
      <c r="C3109" s="47" t="s">
        <v>12380</v>
      </c>
      <c r="D3109" s="47" t="s">
        <v>12381</v>
      </c>
      <c r="E3109" s="47"/>
      <c r="F3109" s="47"/>
      <c r="G3109" s="47"/>
      <c r="H3109" s="47" t="s">
        <v>3605</v>
      </c>
      <c r="I3109" s="47" t="s">
        <v>19644</v>
      </c>
    </row>
    <row r="3110" spans="1:9" ht="15">
      <c r="A3110" s="47" t="s">
        <v>12382</v>
      </c>
      <c r="B3110" s="47" t="s">
        <v>12383</v>
      </c>
      <c r="C3110" s="47" t="s">
        <v>12384</v>
      </c>
      <c r="D3110" s="47" t="s">
        <v>12385</v>
      </c>
      <c r="E3110" s="47"/>
      <c r="F3110" s="47"/>
      <c r="G3110" s="47"/>
      <c r="H3110" s="47" t="s">
        <v>3605</v>
      </c>
      <c r="I3110" s="47" t="s">
        <v>12382</v>
      </c>
    </row>
    <row r="3111" spans="1:9" ht="15">
      <c r="A3111" s="47" t="s">
        <v>3155</v>
      </c>
      <c r="B3111" s="47" t="s">
        <v>12386</v>
      </c>
      <c r="C3111" s="47" t="s">
        <v>12387</v>
      </c>
      <c r="D3111" s="47" t="s">
        <v>12388</v>
      </c>
      <c r="E3111" s="47"/>
      <c r="F3111" s="47"/>
      <c r="G3111" s="47"/>
      <c r="H3111" s="47" t="s">
        <v>3605</v>
      </c>
      <c r="I3111" s="47" t="s">
        <v>3155</v>
      </c>
    </row>
    <row r="3112" spans="1:9" ht="15">
      <c r="A3112" s="47" t="s">
        <v>12389</v>
      </c>
      <c r="B3112" s="47" t="s">
        <v>12390</v>
      </c>
      <c r="C3112" s="47" t="s">
        <v>12391</v>
      </c>
      <c r="D3112" s="47" t="s">
        <v>12392</v>
      </c>
      <c r="E3112" s="47"/>
      <c r="F3112" s="47"/>
      <c r="G3112" s="47"/>
      <c r="H3112" s="47" t="s">
        <v>3605</v>
      </c>
      <c r="I3112" s="47" t="s">
        <v>12389</v>
      </c>
    </row>
    <row r="3113" spans="1:9" ht="15">
      <c r="A3113" s="47" t="s">
        <v>12393</v>
      </c>
      <c r="B3113" s="47" t="s">
        <v>12394</v>
      </c>
      <c r="C3113" s="47" t="s">
        <v>12395</v>
      </c>
      <c r="D3113" s="47" t="s">
        <v>12396</v>
      </c>
      <c r="E3113" s="47"/>
      <c r="F3113" s="47"/>
      <c r="G3113" s="47"/>
      <c r="H3113" s="47" t="s">
        <v>3605</v>
      </c>
      <c r="I3113" s="47" t="s">
        <v>12393</v>
      </c>
    </row>
    <row r="3114" spans="1:9" ht="15">
      <c r="A3114" s="47" t="s">
        <v>12397</v>
      </c>
      <c r="B3114" s="47" t="s">
        <v>12398</v>
      </c>
      <c r="C3114" s="47" t="s">
        <v>12399</v>
      </c>
      <c r="D3114" s="47" t="s">
        <v>12400</v>
      </c>
      <c r="E3114" s="47"/>
      <c r="F3114" s="47"/>
      <c r="G3114" s="47"/>
      <c r="H3114" s="47" t="s">
        <v>3605</v>
      </c>
      <c r="I3114" s="47" t="s">
        <v>12397</v>
      </c>
    </row>
    <row r="3115" spans="1:9" ht="15">
      <c r="A3115" s="47">
        <v>7447</v>
      </c>
      <c r="B3115" s="47" t="s">
        <v>12401</v>
      </c>
      <c r="C3115" s="47" t="s">
        <v>12402</v>
      </c>
      <c r="D3115" s="47" t="s">
        <v>12403</v>
      </c>
      <c r="E3115" s="47"/>
      <c r="F3115" s="47"/>
      <c r="G3115" s="47"/>
      <c r="H3115" s="47" t="s">
        <v>3605</v>
      </c>
      <c r="I3115" s="47" t="s">
        <v>19645</v>
      </c>
    </row>
    <row r="3116" spans="1:9" ht="15">
      <c r="A3116" s="47" t="s">
        <v>3157</v>
      </c>
      <c r="B3116" s="47" t="s">
        <v>12404</v>
      </c>
      <c r="C3116" s="47" t="s">
        <v>12405</v>
      </c>
      <c r="D3116" s="47" t="s">
        <v>12406</v>
      </c>
      <c r="E3116" s="47"/>
      <c r="F3116" s="47"/>
      <c r="G3116" s="47"/>
      <c r="H3116" s="47" t="s">
        <v>3605</v>
      </c>
      <c r="I3116" s="47" t="s">
        <v>3157</v>
      </c>
    </row>
    <row r="3117" spans="1:9" ht="15">
      <c r="A3117" s="47" t="s">
        <v>12407</v>
      </c>
      <c r="B3117" s="47" t="s">
        <v>12408</v>
      </c>
      <c r="C3117" s="47" t="s">
        <v>12409</v>
      </c>
      <c r="D3117" s="47" t="s">
        <v>12410</v>
      </c>
      <c r="E3117" s="47"/>
      <c r="F3117" s="47"/>
      <c r="G3117" s="47"/>
      <c r="H3117" s="47" t="s">
        <v>3605</v>
      </c>
      <c r="I3117" s="47" t="s">
        <v>12407</v>
      </c>
    </row>
    <row r="3118" spans="1:9" ht="15">
      <c r="A3118" s="47">
        <v>7087</v>
      </c>
      <c r="B3118" s="47" t="s">
        <v>12411</v>
      </c>
      <c r="C3118" s="47" t="s">
        <v>12412</v>
      </c>
      <c r="D3118" s="47" t="s">
        <v>12413</v>
      </c>
      <c r="E3118" s="47"/>
      <c r="F3118" s="47"/>
      <c r="G3118" s="47"/>
      <c r="H3118" s="47" t="s">
        <v>3605</v>
      </c>
      <c r="I3118" s="47" t="s">
        <v>19646</v>
      </c>
    </row>
    <row r="3119" spans="1:9" ht="15">
      <c r="A3119" s="47" t="s">
        <v>12414</v>
      </c>
      <c r="B3119" s="47" t="s">
        <v>12415</v>
      </c>
      <c r="C3119" s="47" t="s">
        <v>12416</v>
      </c>
      <c r="D3119" s="47" t="s">
        <v>12417</v>
      </c>
      <c r="E3119" s="47"/>
      <c r="F3119" s="47"/>
      <c r="G3119" s="47"/>
      <c r="H3119" s="47" t="s">
        <v>3605</v>
      </c>
      <c r="I3119" s="47" t="s">
        <v>12414</v>
      </c>
    </row>
    <row r="3120" spans="1:9" ht="15">
      <c r="A3120" s="47" t="s">
        <v>12418</v>
      </c>
      <c r="B3120" s="47" t="s">
        <v>12419</v>
      </c>
      <c r="C3120" s="47" t="s">
        <v>12420</v>
      </c>
      <c r="D3120" s="47" t="s">
        <v>12421</v>
      </c>
      <c r="E3120" s="47"/>
      <c r="F3120" s="47"/>
      <c r="G3120" s="47"/>
      <c r="H3120" s="47" t="s">
        <v>3605</v>
      </c>
      <c r="I3120" s="47" t="s">
        <v>12418</v>
      </c>
    </row>
    <row r="3121" spans="1:9" ht="15">
      <c r="A3121" s="47">
        <v>7094</v>
      </c>
      <c r="B3121" s="47" t="s">
        <v>12422</v>
      </c>
      <c r="C3121" s="47" t="s">
        <v>12423</v>
      </c>
      <c r="D3121" s="47" t="s">
        <v>12424</v>
      </c>
      <c r="E3121" s="47"/>
      <c r="F3121" s="47"/>
      <c r="G3121" s="47"/>
      <c r="H3121" s="47" t="s">
        <v>3605</v>
      </c>
      <c r="I3121" s="47" t="s">
        <v>19647</v>
      </c>
    </row>
    <row r="3122" spans="1:9" ht="15">
      <c r="A3122" s="47" t="s">
        <v>12425</v>
      </c>
      <c r="B3122" s="47" t="s">
        <v>12426</v>
      </c>
      <c r="C3122" s="47" t="s">
        <v>12427</v>
      </c>
      <c r="D3122" s="47" t="s">
        <v>12428</v>
      </c>
      <c r="E3122" s="47"/>
      <c r="F3122" s="47"/>
      <c r="G3122" s="47"/>
      <c r="H3122" s="47" t="s">
        <v>3605</v>
      </c>
      <c r="I3122" s="47" t="s">
        <v>12425</v>
      </c>
    </row>
    <row r="3123" spans="1:9" ht="15">
      <c r="A3123" s="47" t="s">
        <v>12429</v>
      </c>
      <c r="B3123" s="47" t="s">
        <v>12430</v>
      </c>
      <c r="C3123" s="47" t="s">
        <v>12431</v>
      </c>
      <c r="D3123" s="47" t="s">
        <v>12432</v>
      </c>
      <c r="E3123" s="47"/>
      <c r="F3123" s="47"/>
      <c r="G3123" s="47"/>
      <c r="H3123" s="47" t="s">
        <v>3605</v>
      </c>
      <c r="I3123" s="47" t="s">
        <v>12429</v>
      </c>
    </row>
    <row r="3124" spans="1:9" ht="15">
      <c r="A3124" s="47" t="s">
        <v>12433</v>
      </c>
      <c r="B3124" s="47" t="s">
        <v>12434</v>
      </c>
      <c r="C3124" s="47" t="s">
        <v>12435</v>
      </c>
      <c r="D3124" s="47" t="s">
        <v>12436</v>
      </c>
      <c r="E3124" s="47"/>
      <c r="F3124" s="47"/>
      <c r="G3124" s="47"/>
      <c r="H3124" s="47" t="s">
        <v>3605</v>
      </c>
      <c r="I3124" s="47" t="s">
        <v>12433</v>
      </c>
    </row>
    <row r="3125" spans="1:9" ht="15">
      <c r="A3125" s="47" t="s">
        <v>12437</v>
      </c>
      <c r="B3125" s="47" t="s">
        <v>12438</v>
      </c>
      <c r="C3125" s="47" t="s">
        <v>12439</v>
      </c>
      <c r="D3125" s="47" t="s">
        <v>12440</v>
      </c>
      <c r="E3125" s="47"/>
      <c r="F3125" s="47"/>
      <c r="G3125" s="47"/>
      <c r="H3125" s="47" t="s">
        <v>3605</v>
      </c>
      <c r="I3125" s="47" t="s">
        <v>12437</v>
      </c>
    </row>
    <row r="3126" spans="1:9" ht="15">
      <c r="A3126" s="47" t="s">
        <v>12441</v>
      </c>
      <c r="B3126" s="47" t="s">
        <v>12442</v>
      </c>
      <c r="C3126" s="47" t="s">
        <v>12443</v>
      </c>
      <c r="D3126" s="47" t="s">
        <v>12444</v>
      </c>
      <c r="E3126" s="47"/>
      <c r="F3126" s="47"/>
      <c r="G3126" s="47"/>
      <c r="H3126" s="47" t="s">
        <v>3605</v>
      </c>
      <c r="I3126" s="47" t="s">
        <v>12441</v>
      </c>
    </row>
    <row r="3127" spans="1:9" ht="15">
      <c r="A3127" s="47" t="s">
        <v>12445</v>
      </c>
      <c r="B3127" s="47" t="s">
        <v>12446</v>
      </c>
      <c r="C3127" s="47" t="s">
        <v>12447</v>
      </c>
      <c r="D3127" s="47" t="s">
        <v>12448</v>
      </c>
      <c r="E3127" s="47"/>
      <c r="F3127" s="47"/>
      <c r="G3127" s="47"/>
      <c r="H3127" s="47" t="s">
        <v>3605</v>
      </c>
      <c r="I3127" s="47" t="s">
        <v>12445</v>
      </c>
    </row>
    <row r="3128" spans="1:9" ht="15">
      <c r="A3128" s="47">
        <v>7192</v>
      </c>
      <c r="B3128" s="47" t="s">
        <v>12449</v>
      </c>
      <c r="C3128" s="47" t="s">
        <v>12450</v>
      </c>
      <c r="D3128" s="47" t="s">
        <v>12451</v>
      </c>
      <c r="E3128" s="47"/>
      <c r="F3128" s="47"/>
      <c r="G3128" s="47"/>
      <c r="H3128" s="47" t="s">
        <v>3605</v>
      </c>
      <c r="I3128" s="47" t="s">
        <v>19648</v>
      </c>
    </row>
    <row r="3129" spans="1:9" ht="15">
      <c r="A3129" s="47">
        <v>7468</v>
      </c>
      <c r="B3129" s="47" t="s">
        <v>12452</v>
      </c>
      <c r="C3129" s="47" t="s">
        <v>12453</v>
      </c>
      <c r="D3129" s="47" t="s">
        <v>12454</v>
      </c>
      <c r="E3129" s="47"/>
      <c r="F3129" s="47"/>
      <c r="G3129" s="47"/>
      <c r="H3129" s="47" t="s">
        <v>3605</v>
      </c>
      <c r="I3129" s="47" t="s">
        <v>19649</v>
      </c>
    </row>
    <row r="3130" spans="1:9" ht="15">
      <c r="A3130" s="47">
        <v>7488</v>
      </c>
      <c r="B3130" s="47" t="s">
        <v>12455</v>
      </c>
      <c r="C3130" s="47" t="s">
        <v>12456</v>
      </c>
      <c r="D3130" s="47" t="s">
        <v>12457</v>
      </c>
      <c r="E3130" s="47"/>
      <c r="F3130" s="47"/>
      <c r="G3130" s="47"/>
      <c r="H3130" s="47" t="s">
        <v>3605</v>
      </c>
      <c r="I3130" s="47" t="s">
        <v>19650</v>
      </c>
    </row>
    <row r="3131" spans="1:9" ht="15">
      <c r="A3131" s="47" t="s">
        <v>12458</v>
      </c>
      <c r="B3131" s="47" t="s">
        <v>12459</v>
      </c>
      <c r="C3131" s="47" t="s">
        <v>12460</v>
      </c>
      <c r="D3131" s="47" t="s">
        <v>12461</v>
      </c>
      <c r="E3131" s="47"/>
      <c r="F3131" s="47"/>
      <c r="G3131" s="47"/>
      <c r="H3131" s="47" t="s">
        <v>3605</v>
      </c>
      <c r="I3131" s="47" t="s">
        <v>12458</v>
      </c>
    </row>
    <row r="3132" spans="1:9" ht="15">
      <c r="A3132" s="47" t="s">
        <v>12462</v>
      </c>
      <c r="B3132" s="47" t="s">
        <v>12463</v>
      </c>
      <c r="C3132" s="47" t="s">
        <v>12464</v>
      </c>
      <c r="D3132" s="47" t="s">
        <v>11247</v>
      </c>
      <c r="E3132" s="47"/>
      <c r="F3132" s="47"/>
      <c r="G3132" s="47"/>
      <c r="H3132" s="47" t="s">
        <v>3605</v>
      </c>
      <c r="I3132" s="47" t="s">
        <v>12462</v>
      </c>
    </row>
    <row r="3133" spans="1:9" ht="15">
      <c r="A3133" s="47" t="s">
        <v>12465</v>
      </c>
      <c r="B3133" s="47" t="s">
        <v>12466</v>
      </c>
      <c r="C3133" s="47" t="s">
        <v>12467</v>
      </c>
      <c r="D3133" s="47" t="s">
        <v>12468</v>
      </c>
      <c r="E3133" s="47"/>
      <c r="F3133" s="47" t="s">
        <v>6426</v>
      </c>
      <c r="G3133" s="47" t="s">
        <v>6427</v>
      </c>
      <c r="H3133" s="47" t="s">
        <v>3605</v>
      </c>
      <c r="I3133" s="47" t="s">
        <v>12465</v>
      </c>
    </row>
    <row r="3134" spans="1:9" ht="15">
      <c r="A3134" s="47" t="s">
        <v>12469</v>
      </c>
      <c r="B3134" s="47" t="s">
        <v>12470</v>
      </c>
      <c r="C3134" s="47" t="s">
        <v>12471</v>
      </c>
      <c r="D3134" s="47" t="s">
        <v>12472</v>
      </c>
      <c r="E3134" s="47"/>
      <c r="F3134" s="47"/>
      <c r="G3134" s="47"/>
      <c r="H3134" s="47" t="s">
        <v>3605</v>
      </c>
      <c r="I3134" s="47" t="s">
        <v>12469</v>
      </c>
    </row>
    <row r="3135" spans="1:9" ht="15">
      <c r="A3135" s="47" t="s">
        <v>12473</v>
      </c>
      <c r="B3135" s="47" t="s">
        <v>12474</v>
      </c>
      <c r="C3135" s="47" t="s">
        <v>12475</v>
      </c>
      <c r="D3135" s="47" t="s">
        <v>12476</v>
      </c>
      <c r="E3135" s="47"/>
      <c r="F3135" s="47"/>
      <c r="G3135" s="47"/>
      <c r="H3135" s="47" t="s">
        <v>3605</v>
      </c>
      <c r="I3135" s="47" t="s">
        <v>12473</v>
      </c>
    </row>
    <row r="3136" spans="1:9" ht="15">
      <c r="A3136" s="47" t="s">
        <v>12477</v>
      </c>
      <c r="B3136" s="47" t="s">
        <v>12478</v>
      </c>
      <c r="C3136" s="47" t="s">
        <v>12479</v>
      </c>
      <c r="D3136" s="47" t="s">
        <v>12480</v>
      </c>
      <c r="E3136" s="47"/>
      <c r="F3136" s="47"/>
      <c r="G3136" s="47"/>
      <c r="H3136" s="47" t="s">
        <v>3605</v>
      </c>
      <c r="I3136" s="47" t="s">
        <v>12477</v>
      </c>
    </row>
    <row r="3137" spans="1:9" ht="15">
      <c r="A3137" s="47" t="s">
        <v>12481</v>
      </c>
      <c r="B3137" s="47" t="s">
        <v>12482</v>
      </c>
      <c r="C3137" s="47" t="s">
        <v>12483</v>
      </c>
      <c r="D3137" s="47" t="s">
        <v>12484</v>
      </c>
      <c r="E3137" s="47"/>
      <c r="F3137" s="47"/>
      <c r="G3137" s="47"/>
      <c r="H3137" s="47" t="s">
        <v>3605</v>
      </c>
      <c r="I3137" s="47" t="s">
        <v>12481</v>
      </c>
    </row>
    <row r="3138" spans="1:9" ht="15">
      <c r="A3138" s="47" t="s">
        <v>12485</v>
      </c>
      <c r="B3138" s="47" t="s">
        <v>12486</v>
      </c>
      <c r="C3138" s="47" t="s">
        <v>12487</v>
      </c>
      <c r="D3138" s="47" t="s">
        <v>12488</v>
      </c>
      <c r="E3138" s="47"/>
      <c r="F3138" s="47"/>
      <c r="G3138" s="47"/>
      <c r="H3138" s="47" t="s">
        <v>3605</v>
      </c>
      <c r="I3138" s="47" t="s">
        <v>12485</v>
      </c>
    </row>
    <row r="3139" spans="1:9" ht="15">
      <c r="A3139" s="47">
        <v>7462</v>
      </c>
      <c r="B3139" s="47" t="s">
        <v>12489</v>
      </c>
      <c r="C3139" s="47" t="s">
        <v>12490</v>
      </c>
      <c r="D3139" s="47" t="s">
        <v>12491</v>
      </c>
      <c r="E3139" s="47"/>
      <c r="F3139" s="47"/>
      <c r="G3139" s="47"/>
      <c r="H3139" s="47" t="s">
        <v>3605</v>
      </c>
      <c r="I3139" s="47" t="s">
        <v>19651</v>
      </c>
    </row>
    <row r="3140" spans="1:9" ht="15">
      <c r="A3140" s="47">
        <v>7214</v>
      </c>
      <c r="B3140" s="47" t="s">
        <v>12492</v>
      </c>
      <c r="C3140" s="47" t="s">
        <v>12493</v>
      </c>
      <c r="D3140" s="47" t="s">
        <v>12494</v>
      </c>
      <c r="E3140" s="47"/>
      <c r="F3140" s="47"/>
      <c r="G3140" s="47"/>
      <c r="H3140" s="47" t="s">
        <v>3605</v>
      </c>
      <c r="I3140" s="47" t="s">
        <v>19652</v>
      </c>
    </row>
    <row r="3141" spans="1:9" ht="15">
      <c r="A3141" s="47" t="s">
        <v>12495</v>
      </c>
      <c r="B3141" s="47" t="s">
        <v>12496</v>
      </c>
      <c r="C3141" s="47" t="s">
        <v>12497</v>
      </c>
      <c r="D3141" s="47" t="s">
        <v>12498</v>
      </c>
      <c r="E3141" s="47"/>
      <c r="F3141" s="47"/>
      <c r="G3141" s="47"/>
      <c r="H3141" s="47" t="s">
        <v>3605</v>
      </c>
      <c r="I3141" s="47" t="s">
        <v>12495</v>
      </c>
    </row>
    <row r="3142" spans="1:9" ht="15">
      <c r="A3142" s="47" t="s">
        <v>12499</v>
      </c>
      <c r="B3142" s="47" t="s">
        <v>12500</v>
      </c>
      <c r="C3142" s="47" t="s">
        <v>12501</v>
      </c>
      <c r="D3142" s="47" t="s">
        <v>12502</v>
      </c>
      <c r="E3142" s="47"/>
      <c r="F3142" s="47"/>
      <c r="G3142" s="47"/>
      <c r="H3142" s="47" t="s">
        <v>3605</v>
      </c>
      <c r="I3142" s="47" t="s">
        <v>12499</v>
      </c>
    </row>
    <row r="3143" spans="1:9" ht="15">
      <c r="A3143" s="47" t="s">
        <v>12503</v>
      </c>
      <c r="B3143" s="47" t="s">
        <v>12504</v>
      </c>
      <c r="C3143" s="47" t="s">
        <v>12505</v>
      </c>
      <c r="D3143" s="47" t="s">
        <v>12506</v>
      </c>
      <c r="E3143" s="47"/>
      <c r="F3143" s="47"/>
      <c r="G3143" s="47"/>
      <c r="H3143" s="47" t="s">
        <v>3605</v>
      </c>
      <c r="I3143" s="47" t="s">
        <v>12503</v>
      </c>
    </row>
    <row r="3144" spans="1:9" ht="15">
      <c r="A3144" s="47" t="s">
        <v>12507</v>
      </c>
      <c r="B3144" s="47" t="s">
        <v>12508</v>
      </c>
      <c r="C3144" s="47" t="s">
        <v>12509</v>
      </c>
      <c r="D3144" s="47" t="s">
        <v>12510</v>
      </c>
      <c r="E3144" s="47"/>
      <c r="F3144" s="47"/>
      <c r="G3144" s="47"/>
      <c r="H3144" s="47" t="s">
        <v>3605</v>
      </c>
      <c r="I3144" s="47" t="s">
        <v>12507</v>
      </c>
    </row>
    <row r="3145" spans="1:9" ht="15">
      <c r="A3145" s="47" t="s">
        <v>12511</v>
      </c>
      <c r="B3145" s="47" t="s">
        <v>12512</v>
      </c>
      <c r="C3145" s="47" t="s">
        <v>12513</v>
      </c>
      <c r="D3145" s="47" t="s">
        <v>12514</v>
      </c>
      <c r="E3145" s="47"/>
      <c r="F3145" s="47"/>
      <c r="G3145" s="47"/>
      <c r="H3145" s="47" t="s">
        <v>3605</v>
      </c>
      <c r="I3145" s="47" t="s">
        <v>12511</v>
      </c>
    </row>
    <row r="3146" spans="1:9" ht="15">
      <c r="A3146" s="47" t="s">
        <v>12515</v>
      </c>
      <c r="B3146" s="47" t="s">
        <v>12516</v>
      </c>
      <c r="C3146" s="47" t="s">
        <v>12517</v>
      </c>
      <c r="D3146" s="47" t="s">
        <v>12518</v>
      </c>
      <c r="E3146" s="47"/>
      <c r="F3146" s="47"/>
      <c r="G3146" s="47"/>
      <c r="H3146" s="47" t="s">
        <v>3605</v>
      </c>
      <c r="I3146" s="47" t="s">
        <v>12515</v>
      </c>
    </row>
    <row r="3147" spans="1:9" ht="15">
      <c r="A3147" s="47" t="s">
        <v>12519</v>
      </c>
      <c r="B3147" s="47" t="s">
        <v>12520</v>
      </c>
      <c r="C3147" s="47" t="s">
        <v>12521</v>
      </c>
      <c r="D3147" s="47" t="s">
        <v>12522</v>
      </c>
      <c r="E3147" s="47"/>
      <c r="F3147" s="47"/>
      <c r="G3147" s="47"/>
      <c r="H3147" s="47" t="s">
        <v>3605</v>
      </c>
      <c r="I3147" s="47" t="s">
        <v>12519</v>
      </c>
    </row>
    <row r="3148" spans="1:9" ht="15">
      <c r="A3148" s="47" t="s">
        <v>12523</v>
      </c>
      <c r="B3148" s="47" t="s">
        <v>12524</v>
      </c>
      <c r="C3148" s="47" t="s">
        <v>12525</v>
      </c>
      <c r="D3148" s="47" t="s">
        <v>12526</v>
      </c>
      <c r="E3148" s="47"/>
      <c r="F3148" s="47"/>
      <c r="G3148" s="47"/>
      <c r="H3148" s="47" t="s">
        <v>3605</v>
      </c>
      <c r="I3148" s="47" t="s">
        <v>12523</v>
      </c>
    </row>
    <row r="3149" spans="1:9" ht="15">
      <c r="A3149" s="47" t="s">
        <v>12527</v>
      </c>
      <c r="B3149" s="47" t="s">
        <v>12528</v>
      </c>
      <c r="C3149" s="47" t="s">
        <v>12529</v>
      </c>
      <c r="D3149" s="47" t="s">
        <v>12530</v>
      </c>
      <c r="E3149" s="47"/>
      <c r="F3149" s="47"/>
      <c r="G3149" s="47"/>
      <c r="H3149" s="47" t="s">
        <v>3605</v>
      </c>
      <c r="I3149" s="47" t="s">
        <v>12527</v>
      </c>
    </row>
    <row r="3150" spans="1:9" ht="15">
      <c r="A3150" s="47" t="s">
        <v>12531</v>
      </c>
      <c r="B3150" s="47" t="s">
        <v>12532</v>
      </c>
      <c r="C3150" s="47" t="s">
        <v>12533</v>
      </c>
      <c r="D3150" s="47" t="s">
        <v>12534</v>
      </c>
      <c r="E3150" s="47"/>
      <c r="F3150" s="47"/>
      <c r="G3150" s="47"/>
      <c r="H3150" s="47" t="s">
        <v>3605</v>
      </c>
      <c r="I3150" s="47" t="s">
        <v>12531</v>
      </c>
    </row>
    <row r="3151" spans="1:9" ht="15">
      <c r="A3151" s="47" t="s">
        <v>12535</v>
      </c>
      <c r="B3151" s="47" t="s">
        <v>12536</v>
      </c>
      <c r="C3151" s="47" t="s">
        <v>12537</v>
      </c>
      <c r="D3151" s="47" t="s">
        <v>12538</v>
      </c>
      <c r="E3151" s="47"/>
      <c r="F3151" s="47"/>
      <c r="G3151" s="47"/>
      <c r="H3151" s="47" t="s">
        <v>3605</v>
      </c>
      <c r="I3151" s="47" t="s">
        <v>12535</v>
      </c>
    </row>
    <row r="3152" spans="1:9" ht="15">
      <c r="A3152" s="47" t="s">
        <v>12539</v>
      </c>
      <c r="B3152" s="47" t="s">
        <v>12540</v>
      </c>
      <c r="C3152" s="47" t="s">
        <v>12541</v>
      </c>
      <c r="D3152" s="47" t="s">
        <v>12542</v>
      </c>
      <c r="E3152" s="47"/>
      <c r="F3152" s="47"/>
      <c r="G3152" s="47"/>
      <c r="H3152" s="47" t="s">
        <v>3605</v>
      </c>
      <c r="I3152" s="47" t="s">
        <v>12539</v>
      </c>
    </row>
    <row r="3153" spans="1:9" ht="15">
      <c r="A3153" s="47" t="s">
        <v>12543</v>
      </c>
      <c r="B3153" s="47" t="s">
        <v>12544</v>
      </c>
      <c r="C3153" s="47" t="s">
        <v>12545</v>
      </c>
      <c r="D3153" s="47" t="s">
        <v>12546</v>
      </c>
      <c r="E3153" s="47"/>
      <c r="F3153" s="47"/>
      <c r="G3153" s="47"/>
      <c r="H3153" s="47" t="s">
        <v>3605</v>
      </c>
      <c r="I3153" s="47" t="s">
        <v>12543</v>
      </c>
    </row>
    <row r="3154" spans="1:9" ht="15">
      <c r="A3154" s="47" t="s">
        <v>12547</v>
      </c>
      <c r="B3154" s="47" t="s">
        <v>12548</v>
      </c>
      <c r="C3154" s="47" t="s">
        <v>12549</v>
      </c>
      <c r="D3154" s="47" t="s">
        <v>12550</v>
      </c>
      <c r="E3154" s="47"/>
      <c r="F3154" s="47"/>
      <c r="G3154" s="47"/>
      <c r="H3154" s="47" t="s">
        <v>3605</v>
      </c>
      <c r="I3154" s="47" t="s">
        <v>12547</v>
      </c>
    </row>
    <row r="3155" spans="1:9" ht="15">
      <c r="A3155" s="47" t="s">
        <v>12551</v>
      </c>
      <c r="B3155" s="47" t="s">
        <v>12552</v>
      </c>
      <c r="C3155" s="47" t="s">
        <v>12553</v>
      </c>
      <c r="D3155" s="47" t="s">
        <v>12554</v>
      </c>
      <c r="E3155" s="47"/>
      <c r="F3155" s="47"/>
      <c r="G3155" s="47"/>
      <c r="H3155" s="47" t="s">
        <v>3605</v>
      </c>
      <c r="I3155" s="47" t="s">
        <v>12551</v>
      </c>
    </row>
    <row r="3156" spans="1:9" ht="15">
      <c r="A3156" s="47" t="s">
        <v>12555</v>
      </c>
      <c r="B3156" s="47" t="s">
        <v>12556</v>
      </c>
      <c r="C3156" s="47" t="s">
        <v>12557</v>
      </c>
      <c r="D3156" s="47" t="s">
        <v>12558</v>
      </c>
      <c r="E3156" s="47"/>
      <c r="F3156" s="47"/>
      <c r="G3156" s="47"/>
      <c r="H3156" s="47" t="s">
        <v>3605</v>
      </c>
      <c r="I3156" s="47" t="s">
        <v>12555</v>
      </c>
    </row>
    <row r="3157" spans="1:9" ht="15">
      <c r="A3157" s="47" t="s">
        <v>12559</v>
      </c>
      <c r="B3157" s="47" t="s">
        <v>12560</v>
      </c>
      <c r="C3157" s="47" t="s">
        <v>12561</v>
      </c>
      <c r="D3157" s="47" t="s">
        <v>12562</v>
      </c>
      <c r="E3157" s="47"/>
      <c r="F3157" s="47"/>
      <c r="G3157" s="47"/>
      <c r="H3157" s="47" t="s">
        <v>3605</v>
      </c>
      <c r="I3157" s="47" t="s">
        <v>12559</v>
      </c>
    </row>
    <row r="3158" spans="1:9" ht="15">
      <c r="A3158" s="47" t="s">
        <v>12563</v>
      </c>
      <c r="B3158" s="47" t="s">
        <v>12564</v>
      </c>
      <c r="C3158" s="47" t="s">
        <v>12565</v>
      </c>
      <c r="D3158" s="47" t="s">
        <v>12566</v>
      </c>
      <c r="E3158" s="47"/>
      <c r="F3158" s="47" t="s">
        <v>4253</v>
      </c>
      <c r="G3158" s="47" t="s">
        <v>4254</v>
      </c>
      <c r="H3158" s="47" t="s">
        <v>3605</v>
      </c>
      <c r="I3158" s="47" t="s">
        <v>12563</v>
      </c>
    </row>
    <row r="3159" spans="1:9" ht="15">
      <c r="A3159" s="47" t="s">
        <v>12567</v>
      </c>
      <c r="B3159" s="47" t="s">
        <v>12568</v>
      </c>
      <c r="C3159" s="47" t="s">
        <v>12569</v>
      </c>
      <c r="D3159" s="47" t="s">
        <v>12570</v>
      </c>
      <c r="E3159" s="47"/>
      <c r="F3159" s="47"/>
      <c r="G3159" s="47"/>
      <c r="H3159" s="47" t="s">
        <v>3605</v>
      </c>
      <c r="I3159" s="47" t="s">
        <v>12567</v>
      </c>
    </row>
    <row r="3160" spans="1:9" ht="15">
      <c r="A3160" s="47" t="s">
        <v>12571</v>
      </c>
      <c r="B3160" s="47" t="s">
        <v>12572</v>
      </c>
      <c r="C3160" s="47" t="s">
        <v>12573</v>
      </c>
      <c r="D3160" s="47" t="s">
        <v>12574</v>
      </c>
      <c r="E3160" s="47"/>
      <c r="F3160" s="47"/>
      <c r="G3160" s="47"/>
      <c r="H3160" s="47" t="s">
        <v>3605</v>
      </c>
      <c r="I3160" s="47" t="s">
        <v>12571</v>
      </c>
    </row>
    <row r="3161" spans="1:9" ht="15">
      <c r="A3161" s="47" t="s">
        <v>12575</v>
      </c>
      <c r="B3161" s="47" t="s">
        <v>12576</v>
      </c>
      <c r="C3161" s="47" t="s">
        <v>12577</v>
      </c>
      <c r="D3161" s="47" t="s">
        <v>12578</v>
      </c>
      <c r="E3161" s="47"/>
      <c r="F3161" s="47" t="s">
        <v>6426</v>
      </c>
      <c r="G3161" s="47" t="s">
        <v>6427</v>
      </c>
      <c r="H3161" s="47" t="s">
        <v>3605</v>
      </c>
      <c r="I3161" s="47" t="s">
        <v>12575</v>
      </c>
    </row>
    <row r="3162" spans="1:9" ht="15">
      <c r="A3162" s="47" t="s">
        <v>12579</v>
      </c>
      <c r="B3162" s="47" t="s">
        <v>12580</v>
      </c>
      <c r="C3162" s="47" t="s">
        <v>12581</v>
      </c>
      <c r="D3162" s="47" t="s">
        <v>12582</v>
      </c>
      <c r="E3162" s="47"/>
      <c r="F3162" s="47"/>
      <c r="G3162" s="47"/>
      <c r="H3162" s="47" t="s">
        <v>3605</v>
      </c>
      <c r="I3162" s="47" t="s">
        <v>12579</v>
      </c>
    </row>
    <row r="3163" spans="1:9" ht="15">
      <c r="A3163" s="47" t="s">
        <v>12583</v>
      </c>
      <c r="B3163" s="47" t="s">
        <v>12584</v>
      </c>
      <c r="C3163" s="47" t="s">
        <v>12585</v>
      </c>
      <c r="D3163" s="47" t="s">
        <v>12586</v>
      </c>
      <c r="E3163" s="47"/>
      <c r="F3163" s="47"/>
      <c r="G3163" s="47"/>
      <c r="H3163" s="47" t="s">
        <v>3605</v>
      </c>
      <c r="I3163" s="47" t="s">
        <v>12583</v>
      </c>
    </row>
    <row r="3164" spans="1:9" ht="15">
      <c r="A3164" s="47" t="s">
        <v>12587</v>
      </c>
      <c r="B3164" s="47" t="s">
        <v>12588</v>
      </c>
      <c r="C3164" s="47" t="s">
        <v>12589</v>
      </c>
      <c r="D3164" s="47" t="s">
        <v>12590</v>
      </c>
      <c r="E3164" s="47"/>
      <c r="F3164" s="47"/>
      <c r="G3164" s="47"/>
      <c r="H3164" s="47" t="s">
        <v>3605</v>
      </c>
      <c r="I3164" s="47" t="s">
        <v>12587</v>
      </c>
    </row>
    <row r="3165" spans="1:9" ht="15">
      <c r="A3165" s="47" t="s">
        <v>12591</v>
      </c>
      <c r="B3165" s="47" t="s">
        <v>12592</v>
      </c>
      <c r="C3165" s="47" t="s">
        <v>12593</v>
      </c>
      <c r="D3165" s="47" t="s">
        <v>12594</v>
      </c>
      <c r="E3165" s="47"/>
      <c r="F3165" s="47" t="s">
        <v>6426</v>
      </c>
      <c r="G3165" s="47" t="s">
        <v>6427</v>
      </c>
      <c r="H3165" s="47" t="s">
        <v>3605</v>
      </c>
      <c r="I3165" s="47" t="s">
        <v>12591</v>
      </c>
    </row>
    <row r="3166" spans="1:9" ht="15">
      <c r="A3166" s="47" t="s">
        <v>12595</v>
      </c>
      <c r="B3166" s="47" t="s">
        <v>12596</v>
      </c>
      <c r="C3166" s="47" t="s">
        <v>12597</v>
      </c>
      <c r="D3166" s="47" t="s">
        <v>12598</v>
      </c>
      <c r="E3166" s="47"/>
      <c r="F3166" s="47"/>
      <c r="G3166" s="47"/>
      <c r="H3166" s="47" t="s">
        <v>3605</v>
      </c>
      <c r="I3166" s="47" t="s">
        <v>12595</v>
      </c>
    </row>
    <row r="3167" spans="1:9" ht="15">
      <c r="A3167" s="47" t="s">
        <v>12599</v>
      </c>
      <c r="B3167" s="47" t="s">
        <v>12600</v>
      </c>
      <c r="C3167" s="47" t="s">
        <v>12601</v>
      </c>
      <c r="D3167" s="47" t="s">
        <v>12602</v>
      </c>
      <c r="E3167" s="47"/>
      <c r="F3167" s="47"/>
      <c r="G3167" s="47"/>
      <c r="H3167" s="47" t="s">
        <v>3605</v>
      </c>
      <c r="I3167" s="47" t="s">
        <v>12599</v>
      </c>
    </row>
    <row r="3168" spans="1:9" ht="15">
      <c r="A3168" s="47">
        <v>7233</v>
      </c>
      <c r="B3168" s="47" t="s">
        <v>12603</v>
      </c>
      <c r="C3168" s="47" t="s">
        <v>12604</v>
      </c>
      <c r="D3168" s="47" t="s">
        <v>12605</v>
      </c>
      <c r="E3168" s="47"/>
      <c r="F3168" s="47"/>
      <c r="G3168" s="47"/>
      <c r="H3168" s="47" t="s">
        <v>3605</v>
      </c>
      <c r="I3168" s="47" t="s">
        <v>19653</v>
      </c>
    </row>
    <row r="3169" spans="1:9" ht="15">
      <c r="A3169" s="47" t="s">
        <v>12606</v>
      </c>
      <c r="B3169" s="47" t="s">
        <v>12607</v>
      </c>
      <c r="C3169" s="47" t="s">
        <v>12608</v>
      </c>
      <c r="D3169" s="47" t="s">
        <v>12609</v>
      </c>
      <c r="E3169" s="47"/>
      <c r="F3169" s="47" t="s">
        <v>6426</v>
      </c>
      <c r="G3169" s="47" t="s">
        <v>6427</v>
      </c>
      <c r="H3169" s="47" t="s">
        <v>3605</v>
      </c>
      <c r="I3169" s="47" t="s">
        <v>12606</v>
      </c>
    </row>
    <row r="3170" spans="1:9" ht="15">
      <c r="A3170" s="47" t="s">
        <v>12610</v>
      </c>
      <c r="B3170" s="47" t="s">
        <v>12611</v>
      </c>
      <c r="C3170" s="47" t="s">
        <v>12612</v>
      </c>
      <c r="D3170" s="47" t="s">
        <v>12613</v>
      </c>
      <c r="E3170" s="47"/>
      <c r="F3170" s="47"/>
      <c r="G3170" s="47"/>
      <c r="H3170" s="47" t="s">
        <v>3605</v>
      </c>
      <c r="I3170" s="47" t="s">
        <v>12610</v>
      </c>
    </row>
    <row r="3171" spans="1:9" ht="15">
      <c r="A3171" s="47" t="s">
        <v>2801</v>
      </c>
      <c r="B3171" s="47" t="s">
        <v>12614</v>
      </c>
      <c r="C3171" s="47" t="s">
        <v>12615</v>
      </c>
      <c r="D3171" s="47" t="s">
        <v>12616</v>
      </c>
      <c r="E3171" s="47"/>
      <c r="F3171" s="47"/>
      <c r="G3171" s="47"/>
      <c r="H3171" s="47" t="s">
        <v>3605</v>
      </c>
      <c r="I3171" s="47" t="s">
        <v>2801</v>
      </c>
    </row>
    <row r="3172" spans="1:9" ht="15">
      <c r="A3172" s="47">
        <v>7082</v>
      </c>
      <c r="B3172" s="47" t="s">
        <v>12617</v>
      </c>
      <c r="C3172" s="47" t="s">
        <v>12618</v>
      </c>
      <c r="D3172" s="47" t="s">
        <v>12619</v>
      </c>
      <c r="E3172" s="47"/>
      <c r="F3172" s="47"/>
      <c r="G3172" s="47"/>
      <c r="H3172" s="47" t="s">
        <v>3605</v>
      </c>
      <c r="I3172" s="47" t="s">
        <v>19654</v>
      </c>
    </row>
    <row r="3173" spans="1:9" ht="15">
      <c r="A3173" s="47" t="s">
        <v>12620</v>
      </c>
      <c r="B3173" s="47" t="s">
        <v>12621</v>
      </c>
      <c r="C3173" s="47" t="s">
        <v>12622</v>
      </c>
      <c r="D3173" s="47" t="s">
        <v>12623</v>
      </c>
      <c r="E3173" s="47"/>
      <c r="F3173" s="47"/>
      <c r="G3173" s="47"/>
      <c r="H3173" s="47" t="s">
        <v>3605</v>
      </c>
      <c r="I3173" s="47" t="s">
        <v>12620</v>
      </c>
    </row>
    <row r="3174" spans="1:9" ht="15">
      <c r="A3174" s="47" t="s">
        <v>12624</v>
      </c>
      <c r="B3174" s="47" t="s">
        <v>12625</v>
      </c>
      <c r="C3174" s="47" t="s">
        <v>12626</v>
      </c>
      <c r="D3174" s="47" t="s">
        <v>12627</v>
      </c>
      <c r="E3174" s="47"/>
      <c r="F3174" s="47"/>
      <c r="G3174" s="47"/>
      <c r="H3174" s="47" t="s">
        <v>3605</v>
      </c>
      <c r="I3174" s="47" t="s">
        <v>12624</v>
      </c>
    </row>
    <row r="3175" spans="1:9" ht="15">
      <c r="A3175" s="47" t="s">
        <v>12628</v>
      </c>
      <c r="B3175" s="47" t="s">
        <v>12629</v>
      </c>
      <c r="C3175" s="47" t="s">
        <v>12630</v>
      </c>
      <c r="D3175" s="47" t="s">
        <v>12631</v>
      </c>
      <c r="E3175" s="47"/>
      <c r="F3175" s="47"/>
      <c r="G3175" s="47"/>
      <c r="H3175" s="47" t="s">
        <v>3605</v>
      </c>
      <c r="I3175" s="47" t="s">
        <v>12628</v>
      </c>
    </row>
    <row r="3176" spans="1:9" ht="15">
      <c r="A3176" s="47">
        <v>7243</v>
      </c>
      <c r="B3176" s="47" t="s">
        <v>12632</v>
      </c>
      <c r="C3176" s="47" t="s">
        <v>12633</v>
      </c>
      <c r="D3176" s="47" t="s">
        <v>12634</v>
      </c>
      <c r="E3176" s="47"/>
      <c r="F3176" s="47"/>
      <c r="G3176" s="47"/>
      <c r="H3176" s="47" t="s">
        <v>3605</v>
      </c>
      <c r="I3176" s="47" t="s">
        <v>19655</v>
      </c>
    </row>
    <row r="3177" spans="1:9" ht="15">
      <c r="A3177" s="47">
        <v>7482</v>
      </c>
      <c r="B3177" s="47" t="s">
        <v>12635</v>
      </c>
      <c r="C3177" s="47" t="s">
        <v>12636</v>
      </c>
      <c r="D3177" s="47" t="s">
        <v>12637</v>
      </c>
      <c r="E3177" s="47"/>
      <c r="F3177" s="47"/>
      <c r="G3177" s="47"/>
      <c r="H3177" s="47" t="s">
        <v>3605</v>
      </c>
      <c r="I3177" s="47" t="s">
        <v>19656</v>
      </c>
    </row>
    <row r="3178" spans="1:9" ht="15">
      <c r="A3178" s="47" t="s">
        <v>12638</v>
      </c>
      <c r="B3178" s="47" t="s">
        <v>12639</v>
      </c>
      <c r="C3178" s="47" t="s">
        <v>12640</v>
      </c>
      <c r="D3178" s="47" t="s">
        <v>12641</v>
      </c>
      <c r="E3178" s="47"/>
      <c r="F3178" s="47"/>
      <c r="G3178" s="47"/>
      <c r="H3178" s="47" t="s">
        <v>3605</v>
      </c>
      <c r="I3178" s="47" t="s">
        <v>12638</v>
      </c>
    </row>
    <row r="3179" spans="1:9" ht="15">
      <c r="A3179" s="47">
        <v>7073</v>
      </c>
      <c r="B3179" s="47" t="s">
        <v>12642</v>
      </c>
      <c r="C3179" s="47" t="s">
        <v>12643</v>
      </c>
      <c r="D3179" s="47" t="s">
        <v>12644</v>
      </c>
      <c r="E3179" s="47"/>
      <c r="F3179" s="47"/>
      <c r="G3179" s="47"/>
      <c r="H3179" s="47" t="s">
        <v>3605</v>
      </c>
      <c r="I3179" s="47" t="s">
        <v>19657</v>
      </c>
    </row>
    <row r="3180" spans="1:9" ht="15">
      <c r="A3180" s="47" t="s">
        <v>12</v>
      </c>
      <c r="B3180" s="47" t="s">
        <v>12645</v>
      </c>
      <c r="C3180" s="47" t="s">
        <v>12646</v>
      </c>
      <c r="D3180" s="47" t="s">
        <v>12647</v>
      </c>
      <c r="E3180" s="47"/>
      <c r="F3180" s="47" t="s">
        <v>3932</v>
      </c>
      <c r="G3180" s="47" t="s">
        <v>3933</v>
      </c>
      <c r="H3180" s="47" t="s">
        <v>3605</v>
      </c>
      <c r="I3180" s="47" t="s">
        <v>12</v>
      </c>
    </row>
    <row r="3181" spans="1:9" ht="15">
      <c r="A3181" s="47" t="s">
        <v>1915</v>
      </c>
      <c r="B3181" s="47" t="s">
        <v>12648</v>
      </c>
      <c r="C3181" s="47" t="s">
        <v>12649</v>
      </c>
      <c r="D3181" s="47" t="s">
        <v>12650</v>
      </c>
      <c r="E3181" s="47"/>
      <c r="F3181" s="47"/>
      <c r="G3181" s="47"/>
      <c r="H3181" s="47" t="s">
        <v>3605</v>
      </c>
      <c r="I3181" s="47" t="s">
        <v>1915</v>
      </c>
    </row>
    <row r="3182" spans="1:9" ht="15">
      <c r="A3182" s="47" t="s">
        <v>13</v>
      </c>
      <c r="B3182" s="47" t="s">
        <v>12651</v>
      </c>
      <c r="C3182" s="47" t="s">
        <v>12652</v>
      </c>
      <c r="D3182" s="47" t="s">
        <v>12653</v>
      </c>
      <c r="E3182" s="47"/>
      <c r="F3182" s="47" t="s">
        <v>3932</v>
      </c>
      <c r="G3182" s="47" t="s">
        <v>3933</v>
      </c>
      <c r="H3182" s="47" t="s">
        <v>3605</v>
      </c>
      <c r="I3182" s="47" t="s">
        <v>13</v>
      </c>
    </row>
    <row r="3183" spans="1:9" ht="15">
      <c r="A3183" s="47" t="s">
        <v>14</v>
      </c>
      <c r="B3183" s="47" t="s">
        <v>12654</v>
      </c>
      <c r="C3183" s="47" t="s">
        <v>12655</v>
      </c>
      <c r="D3183" s="47" t="s">
        <v>12656</v>
      </c>
      <c r="E3183" s="47"/>
      <c r="F3183" s="47"/>
      <c r="G3183" s="47"/>
      <c r="H3183" s="47" t="s">
        <v>3605</v>
      </c>
      <c r="I3183" s="47" t="s">
        <v>14</v>
      </c>
    </row>
    <row r="3184" spans="1:9" ht="15">
      <c r="A3184" s="47">
        <v>72121</v>
      </c>
      <c r="B3184" s="47" t="s">
        <v>12657</v>
      </c>
      <c r="C3184" s="47" t="s">
        <v>12658</v>
      </c>
      <c r="D3184" s="47" t="s">
        <v>12659</v>
      </c>
      <c r="E3184" s="47"/>
      <c r="F3184" s="47"/>
      <c r="G3184" s="47"/>
      <c r="H3184" s="47" t="s">
        <v>3605</v>
      </c>
      <c r="I3184" s="47" t="s">
        <v>19658</v>
      </c>
    </row>
    <row r="3185" spans="1:9" ht="15">
      <c r="A3185" s="47" t="s">
        <v>1783</v>
      </c>
      <c r="B3185" s="47" t="s">
        <v>12660</v>
      </c>
      <c r="C3185" s="47" t="s">
        <v>12661</v>
      </c>
      <c r="D3185" s="47" t="s">
        <v>12662</v>
      </c>
      <c r="E3185" s="47"/>
      <c r="F3185" s="47"/>
      <c r="G3185" s="47"/>
      <c r="H3185" s="47" t="s">
        <v>3605</v>
      </c>
      <c r="I3185" s="47" t="s">
        <v>1783</v>
      </c>
    </row>
    <row r="3186" spans="1:9" ht="15">
      <c r="A3186" s="47">
        <v>72212</v>
      </c>
      <c r="B3186" s="47" t="s">
        <v>12663</v>
      </c>
      <c r="C3186" s="47" t="s">
        <v>12664</v>
      </c>
      <c r="D3186" s="47" t="s">
        <v>12665</v>
      </c>
      <c r="E3186" s="47"/>
      <c r="F3186" s="47"/>
      <c r="G3186" s="47"/>
      <c r="H3186" s="47" t="s">
        <v>3605</v>
      </c>
      <c r="I3186" s="47" t="s">
        <v>19659</v>
      </c>
    </row>
    <row r="3187" spans="1:9" ht="15">
      <c r="A3187" s="47" t="s">
        <v>15</v>
      </c>
      <c r="B3187" s="47" t="s">
        <v>12666</v>
      </c>
      <c r="C3187" s="47" t="s">
        <v>12667</v>
      </c>
      <c r="D3187" s="47" t="s">
        <v>12668</v>
      </c>
      <c r="E3187" s="47"/>
      <c r="F3187" s="47"/>
      <c r="G3187" s="47"/>
      <c r="H3187" s="47" t="s">
        <v>3605</v>
      </c>
      <c r="I3187" s="47" t="s">
        <v>15</v>
      </c>
    </row>
    <row r="3188" spans="1:9" ht="15">
      <c r="A3188" s="47">
        <v>72774</v>
      </c>
      <c r="B3188" s="47" t="s">
        <v>12669</v>
      </c>
      <c r="C3188" s="47" t="s">
        <v>12670</v>
      </c>
      <c r="D3188" s="47" t="s">
        <v>12671</v>
      </c>
      <c r="E3188" s="47"/>
      <c r="F3188" s="47"/>
      <c r="G3188" s="47"/>
      <c r="H3188" s="47" t="s">
        <v>3605</v>
      </c>
      <c r="I3188" s="47" t="s">
        <v>19660</v>
      </c>
    </row>
    <row r="3189" spans="1:9" ht="15">
      <c r="A3189" s="47">
        <v>72002</v>
      </c>
      <c r="B3189" s="47" t="s">
        <v>12672</v>
      </c>
      <c r="C3189" s="47" t="s">
        <v>12673</v>
      </c>
      <c r="D3189" s="47" t="s">
        <v>12674</v>
      </c>
      <c r="E3189" s="47"/>
      <c r="F3189" s="47"/>
      <c r="G3189" s="47"/>
      <c r="H3189" s="47" t="s">
        <v>3605</v>
      </c>
      <c r="I3189" s="47" t="s">
        <v>19661</v>
      </c>
    </row>
    <row r="3190" spans="1:9" ht="15">
      <c r="A3190" s="47" t="s">
        <v>16</v>
      </c>
      <c r="B3190" s="47" t="s">
        <v>12675</v>
      </c>
      <c r="C3190" s="47" t="s">
        <v>12676</v>
      </c>
      <c r="D3190" s="47" t="s">
        <v>12677</v>
      </c>
      <c r="E3190" s="47"/>
      <c r="F3190" s="47" t="s">
        <v>3932</v>
      </c>
      <c r="G3190" s="47" t="s">
        <v>3933</v>
      </c>
      <c r="H3190" s="47" t="s">
        <v>3605</v>
      </c>
      <c r="I3190" s="47" t="s">
        <v>16</v>
      </c>
    </row>
    <row r="3191" spans="1:9" ht="15">
      <c r="A3191" s="47" t="s">
        <v>1787</v>
      </c>
      <c r="B3191" s="47" t="s">
        <v>12678</v>
      </c>
      <c r="C3191" s="47" t="s">
        <v>12679</v>
      </c>
      <c r="D3191" s="47" t="s">
        <v>12680</v>
      </c>
      <c r="E3191" s="47"/>
      <c r="F3191" s="47" t="s">
        <v>3932</v>
      </c>
      <c r="G3191" s="47" t="s">
        <v>3933</v>
      </c>
      <c r="H3191" s="47" t="s">
        <v>3605</v>
      </c>
      <c r="I3191" s="47" t="s">
        <v>1787</v>
      </c>
    </row>
    <row r="3192" spans="1:9" ht="15">
      <c r="A3192" s="47">
        <v>42372</v>
      </c>
      <c r="B3192" s="47" t="s">
        <v>12681</v>
      </c>
      <c r="C3192" s="47" t="s">
        <v>12682</v>
      </c>
      <c r="D3192" s="47" t="s">
        <v>12683</v>
      </c>
      <c r="E3192" s="47"/>
      <c r="F3192" s="47"/>
      <c r="G3192" s="47"/>
      <c r="H3192" s="47" t="s">
        <v>3605</v>
      </c>
      <c r="I3192" s="47" t="s">
        <v>19662</v>
      </c>
    </row>
    <row r="3193" spans="1:9" ht="15">
      <c r="A3193" s="47">
        <v>42374</v>
      </c>
      <c r="B3193" s="47" t="s">
        <v>12684</v>
      </c>
      <c r="C3193" s="47" t="s">
        <v>12685</v>
      </c>
      <c r="D3193" s="47" t="s">
        <v>12686</v>
      </c>
      <c r="E3193" s="47"/>
      <c r="F3193" s="47"/>
      <c r="G3193" s="47"/>
      <c r="H3193" s="47" t="s">
        <v>3605</v>
      </c>
      <c r="I3193" s="47" t="s">
        <v>19663</v>
      </c>
    </row>
    <row r="3194" spans="1:9" ht="15">
      <c r="A3194" s="47">
        <v>42469</v>
      </c>
      <c r="B3194" s="47" t="s">
        <v>12687</v>
      </c>
      <c r="C3194" s="47" t="s">
        <v>12688</v>
      </c>
      <c r="D3194" s="47" t="s">
        <v>12689</v>
      </c>
      <c r="E3194" s="47"/>
      <c r="F3194" s="47"/>
      <c r="G3194" s="47"/>
      <c r="H3194" s="47" t="s">
        <v>3605</v>
      </c>
      <c r="I3194" s="47" t="s">
        <v>19664</v>
      </c>
    </row>
    <row r="3195" spans="1:9" ht="15">
      <c r="A3195" s="47" t="s">
        <v>28</v>
      </c>
      <c r="B3195" s="47" t="s">
        <v>12690</v>
      </c>
      <c r="C3195" s="47" t="s">
        <v>12691</v>
      </c>
      <c r="D3195" s="47" t="s">
        <v>12692</v>
      </c>
      <c r="E3195" s="47"/>
      <c r="F3195" s="47" t="s">
        <v>3932</v>
      </c>
      <c r="G3195" s="47" t="s">
        <v>3933</v>
      </c>
      <c r="H3195" s="47" t="s">
        <v>3605</v>
      </c>
      <c r="I3195" s="47" t="s">
        <v>28</v>
      </c>
    </row>
    <row r="3196" spans="1:9" ht="15">
      <c r="A3196" s="47">
        <v>42622</v>
      </c>
      <c r="B3196" s="47" t="s">
        <v>12693</v>
      </c>
      <c r="C3196" s="47" t="s">
        <v>12694</v>
      </c>
      <c r="D3196" s="47" t="s">
        <v>12695</v>
      </c>
      <c r="E3196" s="47"/>
      <c r="F3196" s="47"/>
      <c r="G3196" s="47"/>
      <c r="H3196" s="47" t="s">
        <v>3605</v>
      </c>
      <c r="I3196" s="47" t="s">
        <v>19665</v>
      </c>
    </row>
    <row r="3197" spans="1:9" ht="15">
      <c r="A3197" s="47" t="s">
        <v>34</v>
      </c>
      <c r="B3197" s="47" t="s">
        <v>12696</v>
      </c>
      <c r="C3197" s="47" t="s">
        <v>12697</v>
      </c>
      <c r="D3197" s="47" t="s">
        <v>12698</v>
      </c>
      <c r="E3197" s="47"/>
      <c r="F3197" s="47" t="s">
        <v>3932</v>
      </c>
      <c r="G3197" s="47" t="s">
        <v>3933</v>
      </c>
      <c r="H3197" s="47" t="s">
        <v>3605</v>
      </c>
      <c r="I3197" s="47" t="s">
        <v>34</v>
      </c>
    </row>
    <row r="3198" spans="1:9" ht="15">
      <c r="A3198" s="47" t="s">
        <v>12699</v>
      </c>
      <c r="B3198" s="47" t="s">
        <v>12700</v>
      </c>
      <c r="C3198" s="47" t="s">
        <v>12701</v>
      </c>
      <c r="D3198" s="47" t="s">
        <v>12702</v>
      </c>
      <c r="E3198" s="47"/>
      <c r="F3198" s="47"/>
      <c r="G3198" s="47"/>
      <c r="H3198" s="47" t="s">
        <v>3605</v>
      </c>
      <c r="I3198" s="47" t="s">
        <v>12699</v>
      </c>
    </row>
    <row r="3199" spans="1:9" ht="15">
      <c r="A3199" s="47" t="s">
        <v>35</v>
      </c>
      <c r="B3199" s="47" t="s">
        <v>12703</v>
      </c>
      <c r="C3199" s="47" t="s">
        <v>12704</v>
      </c>
      <c r="D3199" s="47" t="s">
        <v>12705</v>
      </c>
      <c r="E3199" s="47"/>
      <c r="F3199" s="47" t="s">
        <v>3932</v>
      </c>
      <c r="G3199" s="47" t="s">
        <v>3933</v>
      </c>
      <c r="H3199" s="47" t="s">
        <v>3605</v>
      </c>
      <c r="I3199" s="47" t="s">
        <v>35</v>
      </c>
    </row>
    <row r="3200" spans="1:9" ht="15">
      <c r="A3200" s="47" t="s">
        <v>598</v>
      </c>
      <c r="B3200" s="47" t="s">
        <v>12706</v>
      </c>
      <c r="C3200" s="47" t="s">
        <v>12707</v>
      </c>
      <c r="D3200" s="47" t="s">
        <v>12708</v>
      </c>
      <c r="E3200" s="47"/>
      <c r="F3200" s="47" t="s">
        <v>3603</v>
      </c>
      <c r="G3200" s="47" t="s">
        <v>3604</v>
      </c>
      <c r="H3200" s="47" t="s">
        <v>3605</v>
      </c>
      <c r="I3200" s="47" t="s">
        <v>598</v>
      </c>
    </row>
    <row r="3201" spans="1:9" ht="15">
      <c r="A3201" s="47" t="s">
        <v>36</v>
      </c>
      <c r="B3201" s="47" t="s">
        <v>12709</v>
      </c>
      <c r="C3201" s="47" t="s">
        <v>12710</v>
      </c>
      <c r="D3201" s="47" t="s">
        <v>12711</v>
      </c>
      <c r="E3201" s="47"/>
      <c r="F3201" s="47" t="s">
        <v>3932</v>
      </c>
      <c r="G3201" s="47" t="s">
        <v>3933</v>
      </c>
      <c r="H3201" s="47" t="s">
        <v>3605</v>
      </c>
      <c r="I3201" s="47" t="s">
        <v>36</v>
      </c>
    </row>
    <row r="3202" spans="1:9" ht="15">
      <c r="A3202" s="47" t="s">
        <v>12712</v>
      </c>
      <c r="B3202" s="47" t="s">
        <v>12713</v>
      </c>
      <c r="C3202" s="47" t="s">
        <v>12714</v>
      </c>
      <c r="D3202" s="47" t="s">
        <v>12715</v>
      </c>
      <c r="E3202" s="47"/>
      <c r="F3202" s="47"/>
      <c r="G3202" s="47"/>
      <c r="H3202" s="47" t="s">
        <v>3605</v>
      </c>
      <c r="I3202" s="47" t="s">
        <v>12712</v>
      </c>
    </row>
    <row r="3203" spans="1:9" ht="15">
      <c r="A3203" s="47" t="s">
        <v>37</v>
      </c>
      <c r="B3203" s="47" t="s">
        <v>12716</v>
      </c>
      <c r="C3203" s="47" t="s">
        <v>12717</v>
      </c>
      <c r="D3203" s="47" t="s">
        <v>12718</v>
      </c>
      <c r="E3203" s="47"/>
      <c r="F3203" s="47" t="s">
        <v>3932</v>
      </c>
      <c r="G3203" s="47" t="s">
        <v>3933</v>
      </c>
      <c r="H3203" s="47" t="s">
        <v>3605</v>
      </c>
      <c r="I3203" s="47" t="s">
        <v>37</v>
      </c>
    </row>
    <row r="3204" spans="1:9" ht="15">
      <c r="A3204" s="47" t="s">
        <v>38</v>
      </c>
      <c r="B3204" s="47" t="s">
        <v>12719</v>
      </c>
      <c r="C3204" s="47" t="s">
        <v>12720</v>
      </c>
      <c r="D3204" s="47" t="s">
        <v>12721</v>
      </c>
      <c r="E3204" s="47"/>
      <c r="F3204" s="47" t="s">
        <v>3932</v>
      </c>
      <c r="G3204" s="47" t="s">
        <v>3933</v>
      </c>
      <c r="H3204" s="47" t="s">
        <v>3605</v>
      </c>
      <c r="I3204" s="47" t="s">
        <v>38</v>
      </c>
    </row>
    <row r="3205" spans="1:9" ht="15">
      <c r="A3205" s="47" t="s">
        <v>39</v>
      </c>
      <c r="B3205" s="47" t="s">
        <v>12722</v>
      </c>
      <c r="C3205" s="47" t="s">
        <v>12723</v>
      </c>
      <c r="D3205" s="47" t="s">
        <v>12724</v>
      </c>
      <c r="E3205" s="47"/>
      <c r="F3205" s="47" t="s">
        <v>3932</v>
      </c>
      <c r="G3205" s="47" t="s">
        <v>3933</v>
      </c>
      <c r="H3205" s="47" t="s">
        <v>3605</v>
      </c>
      <c r="I3205" s="47" t="s">
        <v>39</v>
      </c>
    </row>
    <row r="3206" spans="1:9" ht="15">
      <c r="A3206" s="47" t="s">
        <v>40</v>
      </c>
      <c r="B3206" s="47" t="s">
        <v>12725</v>
      </c>
      <c r="C3206" s="47" t="s">
        <v>12726</v>
      </c>
      <c r="D3206" s="47" t="s">
        <v>12727</v>
      </c>
      <c r="E3206" s="47"/>
      <c r="F3206" s="47" t="s">
        <v>3932</v>
      </c>
      <c r="G3206" s="47" t="s">
        <v>3933</v>
      </c>
      <c r="H3206" s="47" t="s">
        <v>3605</v>
      </c>
      <c r="I3206" s="47" t="s">
        <v>40</v>
      </c>
    </row>
    <row r="3207" spans="1:9" ht="15">
      <c r="A3207" s="47" t="s">
        <v>45</v>
      </c>
      <c r="B3207" s="47" t="s">
        <v>12728</v>
      </c>
      <c r="C3207" s="47" t="s">
        <v>12729</v>
      </c>
      <c r="D3207" s="47" t="s">
        <v>12730</v>
      </c>
      <c r="E3207" s="47"/>
      <c r="F3207" s="47" t="s">
        <v>3932</v>
      </c>
      <c r="G3207" s="47" t="s">
        <v>3933</v>
      </c>
      <c r="H3207" s="47" t="s">
        <v>3605</v>
      </c>
      <c r="I3207" s="47" t="s">
        <v>45</v>
      </c>
    </row>
    <row r="3208" spans="1:9" ht="15">
      <c r="A3208" s="47" t="s">
        <v>12731</v>
      </c>
      <c r="B3208" s="47" t="s">
        <v>12732</v>
      </c>
      <c r="C3208" s="47" t="s">
        <v>12733</v>
      </c>
      <c r="D3208" s="47" t="s">
        <v>12734</v>
      </c>
      <c r="E3208" s="47"/>
      <c r="F3208" s="47"/>
      <c r="G3208" s="47"/>
      <c r="H3208" s="47" t="s">
        <v>3605</v>
      </c>
      <c r="I3208" s="47" t="s">
        <v>12731</v>
      </c>
    </row>
    <row r="3209" spans="1:9" ht="15">
      <c r="A3209" s="47" t="s">
        <v>609</v>
      </c>
      <c r="B3209" s="47" t="s">
        <v>12735</v>
      </c>
      <c r="C3209" s="47" t="s">
        <v>12736</v>
      </c>
      <c r="D3209" s="47" t="s">
        <v>12737</v>
      </c>
      <c r="E3209" s="47"/>
      <c r="F3209" s="47" t="s">
        <v>5905</v>
      </c>
      <c r="G3209" s="47" t="s">
        <v>5906</v>
      </c>
      <c r="H3209" s="47" t="s">
        <v>3605</v>
      </c>
      <c r="I3209" s="47" t="s">
        <v>609</v>
      </c>
    </row>
    <row r="3210" spans="1:9" ht="15">
      <c r="A3210" s="47" t="s">
        <v>1930</v>
      </c>
      <c r="B3210" s="47" t="s">
        <v>12738</v>
      </c>
      <c r="C3210" s="47" t="s">
        <v>12739</v>
      </c>
      <c r="D3210" s="47" t="s">
        <v>12740</v>
      </c>
      <c r="E3210" s="47"/>
      <c r="F3210" s="47" t="s">
        <v>3603</v>
      </c>
      <c r="G3210" s="47" t="s">
        <v>3604</v>
      </c>
      <c r="H3210" s="47" t="s">
        <v>3605</v>
      </c>
      <c r="I3210" s="47" t="s">
        <v>1930</v>
      </c>
    </row>
    <row r="3211" spans="1:9" ht="15">
      <c r="A3211" s="47" t="s">
        <v>1912</v>
      </c>
      <c r="B3211" s="47" t="s">
        <v>12741</v>
      </c>
      <c r="C3211" s="47" t="s">
        <v>12742</v>
      </c>
      <c r="D3211" s="47" t="s">
        <v>12743</v>
      </c>
      <c r="E3211" s="47"/>
      <c r="F3211" s="47" t="s">
        <v>3603</v>
      </c>
      <c r="G3211" s="47" t="s">
        <v>3604</v>
      </c>
      <c r="H3211" s="47" t="s">
        <v>3605</v>
      </c>
      <c r="I3211" s="47" t="s">
        <v>1912</v>
      </c>
    </row>
    <row r="3212" spans="1:9" ht="15">
      <c r="A3212" s="47">
        <v>7013</v>
      </c>
      <c r="B3212" s="47" t="s">
        <v>12744</v>
      </c>
      <c r="C3212" s="47" t="s">
        <v>12745</v>
      </c>
      <c r="D3212" s="47" t="s">
        <v>12746</v>
      </c>
      <c r="E3212" s="47"/>
      <c r="F3212" s="47"/>
      <c r="G3212" s="47"/>
      <c r="H3212" s="47" t="s">
        <v>3605</v>
      </c>
      <c r="I3212" s="47" t="s">
        <v>19666</v>
      </c>
    </row>
    <row r="3213" spans="1:9" ht="15">
      <c r="A3213" s="47" t="s">
        <v>619</v>
      </c>
      <c r="B3213" s="47" t="s">
        <v>12747</v>
      </c>
      <c r="C3213" s="47" t="s">
        <v>12748</v>
      </c>
      <c r="D3213" s="47" t="s">
        <v>12749</v>
      </c>
      <c r="E3213" s="47"/>
      <c r="F3213" s="47" t="s">
        <v>3603</v>
      </c>
      <c r="G3213" s="47" t="s">
        <v>3604</v>
      </c>
      <c r="H3213" s="47" t="s">
        <v>3605</v>
      </c>
      <c r="I3213" s="47" t="s">
        <v>619</v>
      </c>
    </row>
    <row r="3214" spans="1:9" ht="15">
      <c r="A3214" s="47">
        <v>7016</v>
      </c>
      <c r="B3214" s="47" t="s">
        <v>12750</v>
      </c>
      <c r="C3214" s="47" t="s">
        <v>12751</v>
      </c>
      <c r="D3214" s="47" t="s">
        <v>12752</v>
      </c>
      <c r="E3214" s="47"/>
      <c r="F3214" s="47"/>
      <c r="G3214" s="47"/>
      <c r="H3214" s="47" t="s">
        <v>3605</v>
      </c>
      <c r="I3214" s="47" t="s">
        <v>19667</v>
      </c>
    </row>
    <row r="3215" spans="1:9" ht="15">
      <c r="A3215" s="47">
        <v>7012</v>
      </c>
      <c r="B3215" s="47" t="s">
        <v>12753</v>
      </c>
      <c r="C3215" s="47" t="s">
        <v>12754</v>
      </c>
      <c r="D3215" s="47" t="s">
        <v>12755</v>
      </c>
      <c r="E3215" s="47"/>
      <c r="F3215" s="47"/>
      <c r="G3215" s="47"/>
      <c r="H3215" s="47" t="s">
        <v>3605</v>
      </c>
      <c r="I3215" s="47" t="s">
        <v>19668</v>
      </c>
    </row>
    <row r="3216" spans="1:9" ht="15">
      <c r="A3216" s="47" t="s">
        <v>12756</v>
      </c>
      <c r="B3216" s="47" t="s">
        <v>12757</v>
      </c>
      <c r="C3216" s="47" t="s">
        <v>12758</v>
      </c>
      <c r="D3216" s="47" t="s">
        <v>12759</v>
      </c>
      <c r="E3216" s="47"/>
      <c r="F3216" s="47"/>
      <c r="G3216" s="47"/>
      <c r="H3216" s="47" t="s">
        <v>3605</v>
      </c>
      <c r="I3216" s="47" t="s">
        <v>12756</v>
      </c>
    </row>
    <row r="3217" spans="1:9" ht="15">
      <c r="A3217" s="47" t="s">
        <v>622</v>
      </c>
      <c r="B3217" s="47" t="s">
        <v>12760</v>
      </c>
      <c r="C3217" s="47" t="s">
        <v>12761</v>
      </c>
      <c r="D3217" s="47" t="s">
        <v>12762</v>
      </c>
      <c r="E3217" s="47"/>
      <c r="F3217" s="47" t="s">
        <v>3603</v>
      </c>
      <c r="G3217" s="47" t="s">
        <v>3604</v>
      </c>
      <c r="H3217" s="47" t="s">
        <v>3605</v>
      </c>
      <c r="I3217" s="47" t="s">
        <v>622</v>
      </c>
    </row>
    <row r="3218" spans="1:9" ht="15">
      <c r="A3218" s="47">
        <v>7009</v>
      </c>
      <c r="B3218" s="47" t="s">
        <v>12763</v>
      </c>
      <c r="C3218" s="47" t="s">
        <v>12764</v>
      </c>
      <c r="D3218" s="47" t="s">
        <v>12765</v>
      </c>
      <c r="E3218" s="47"/>
      <c r="F3218" s="47"/>
      <c r="G3218" s="47"/>
      <c r="H3218" s="47" t="s">
        <v>3605</v>
      </c>
      <c r="I3218" s="47" t="s">
        <v>19669</v>
      </c>
    </row>
    <row r="3219" spans="1:9" ht="15">
      <c r="A3219" s="47">
        <v>7010</v>
      </c>
      <c r="B3219" s="47" t="s">
        <v>12766</v>
      </c>
      <c r="C3219" s="47" t="s">
        <v>12767</v>
      </c>
      <c r="D3219" s="47" t="s">
        <v>12768</v>
      </c>
      <c r="E3219" s="47"/>
      <c r="F3219" s="47"/>
      <c r="G3219" s="47"/>
      <c r="H3219" s="47" t="s">
        <v>3605</v>
      </c>
      <c r="I3219" s="47" t="s">
        <v>19670</v>
      </c>
    </row>
    <row r="3220" spans="1:9" ht="15">
      <c r="A3220" s="47">
        <v>7014</v>
      </c>
      <c r="B3220" s="47" t="s">
        <v>12769</v>
      </c>
      <c r="C3220" s="47" t="s">
        <v>12770</v>
      </c>
      <c r="D3220" s="47" t="s">
        <v>12771</v>
      </c>
      <c r="E3220" s="47"/>
      <c r="F3220" s="47"/>
      <c r="G3220" s="47"/>
      <c r="H3220" s="47" t="s">
        <v>3605</v>
      </c>
      <c r="I3220" s="47" t="s">
        <v>19671</v>
      </c>
    </row>
    <row r="3221" spans="1:9" ht="15">
      <c r="A3221" s="47">
        <v>7020</v>
      </c>
      <c r="B3221" s="47" t="s">
        <v>12772</v>
      </c>
      <c r="C3221" s="47" t="s">
        <v>12773</v>
      </c>
      <c r="D3221" s="47" t="s">
        <v>12774</v>
      </c>
      <c r="E3221" s="47"/>
      <c r="F3221" s="47"/>
      <c r="G3221" s="47"/>
      <c r="H3221" s="47" t="s">
        <v>3605</v>
      </c>
      <c r="I3221" s="47" t="s">
        <v>19672</v>
      </c>
    </row>
    <row r="3222" spans="1:9" ht="15">
      <c r="A3222" s="47">
        <v>7021</v>
      </c>
      <c r="B3222" s="47" t="s">
        <v>12775</v>
      </c>
      <c r="C3222" s="47" t="s">
        <v>12776</v>
      </c>
      <c r="D3222" s="47" t="s">
        <v>12777</v>
      </c>
      <c r="E3222" s="47"/>
      <c r="F3222" s="47"/>
      <c r="G3222" s="47"/>
      <c r="H3222" s="47" t="s">
        <v>3605</v>
      </c>
      <c r="I3222" s="47" t="s">
        <v>19673</v>
      </c>
    </row>
    <row r="3223" spans="1:9" ht="15">
      <c r="A3223" s="47">
        <v>7039</v>
      </c>
      <c r="B3223" s="47" t="s">
        <v>12778</v>
      </c>
      <c r="C3223" s="47" t="s">
        <v>12779</v>
      </c>
      <c r="D3223" s="47" t="s">
        <v>12780</v>
      </c>
      <c r="E3223" s="47"/>
      <c r="F3223" s="47"/>
      <c r="G3223" s="47"/>
      <c r="H3223" s="47" t="s">
        <v>3605</v>
      </c>
      <c r="I3223" s="47" t="s">
        <v>19674</v>
      </c>
    </row>
    <row r="3224" spans="1:9" ht="15">
      <c r="A3224" s="47">
        <v>7442</v>
      </c>
      <c r="B3224" s="47" t="s">
        <v>12781</v>
      </c>
      <c r="C3224" s="47" t="s">
        <v>12782</v>
      </c>
      <c r="D3224" s="47" t="s">
        <v>12783</v>
      </c>
      <c r="E3224" s="47"/>
      <c r="F3224" s="47"/>
      <c r="G3224" s="47"/>
      <c r="H3224" s="47" t="s">
        <v>3605</v>
      </c>
      <c r="I3224" s="47" t="s">
        <v>19675</v>
      </c>
    </row>
    <row r="3225" spans="1:9" ht="15">
      <c r="A3225" s="47" t="s">
        <v>2886</v>
      </c>
      <c r="B3225" s="47" t="s">
        <v>12784</v>
      </c>
      <c r="C3225" s="47" t="s">
        <v>12785</v>
      </c>
      <c r="D3225" s="47" t="s">
        <v>12786</v>
      </c>
      <c r="E3225" s="47"/>
      <c r="F3225" s="47"/>
      <c r="G3225" s="47"/>
      <c r="H3225" s="47" t="s">
        <v>3605</v>
      </c>
      <c r="I3225" s="47" t="s">
        <v>2886</v>
      </c>
    </row>
    <row r="3226" spans="1:9" ht="15">
      <c r="A3226" s="47" t="s">
        <v>12787</v>
      </c>
      <c r="B3226" s="47" t="s">
        <v>12788</v>
      </c>
      <c r="C3226" s="47" t="s">
        <v>12789</v>
      </c>
      <c r="D3226" s="47" t="s">
        <v>12790</v>
      </c>
      <c r="E3226" s="47"/>
      <c r="F3226" s="47"/>
      <c r="G3226" s="47"/>
      <c r="H3226" s="47" t="s">
        <v>3605</v>
      </c>
      <c r="I3226" s="47" t="s">
        <v>12787</v>
      </c>
    </row>
    <row r="3227" spans="1:9" ht="15">
      <c r="A3227" s="47" t="s">
        <v>12791</v>
      </c>
      <c r="B3227" s="47" t="s">
        <v>12792</v>
      </c>
      <c r="C3227" s="47" t="s">
        <v>12793</v>
      </c>
      <c r="D3227" s="47" t="s">
        <v>12794</v>
      </c>
      <c r="E3227" s="47"/>
      <c r="F3227" s="47"/>
      <c r="G3227" s="47"/>
      <c r="H3227" s="47" t="s">
        <v>3605</v>
      </c>
      <c r="I3227" s="47" t="s">
        <v>12791</v>
      </c>
    </row>
    <row r="3228" spans="1:9" ht="15">
      <c r="A3228" s="47" t="s">
        <v>12795</v>
      </c>
      <c r="B3228" s="47" t="s">
        <v>12796</v>
      </c>
      <c r="C3228" s="47" t="s">
        <v>12797</v>
      </c>
      <c r="D3228" s="47" t="s">
        <v>12798</v>
      </c>
      <c r="E3228" s="47"/>
      <c r="F3228" s="47"/>
      <c r="G3228" s="47"/>
      <c r="H3228" s="47" t="s">
        <v>3605</v>
      </c>
      <c r="I3228" s="47" t="s">
        <v>12795</v>
      </c>
    </row>
    <row r="3229" spans="1:9" ht="15">
      <c r="A3229" s="47" t="s">
        <v>3528</v>
      </c>
      <c r="B3229" s="47" t="s">
        <v>12799</v>
      </c>
      <c r="C3229" s="47" t="s">
        <v>12800</v>
      </c>
      <c r="D3229" s="47" t="s">
        <v>12801</v>
      </c>
      <c r="E3229" s="47"/>
      <c r="F3229" s="47"/>
      <c r="G3229" s="47"/>
      <c r="H3229" s="47" t="s">
        <v>3605</v>
      </c>
      <c r="I3229" s="47" t="s">
        <v>3528</v>
      </c>
    </row>
    <row r="3230" spans="1:9" ht="15">
      <c r="A3230" s="47" t="s">
        <v>650</v>
      </c>
      <c r="B3230" s="47" t="s">
        <v>12802</v>
      </c>
      <c r="C3230" s="47" t="s">
        <v>12803</v>
      </c>
      <c r="D3230" s="47" t="s">
        <v>12804</v>
      </c>
      <c r="E3230" s="47"/>
      <c r="F3230" s="47" t="s">
        <v>3603</v>
      </c>
      <c r="G3230" s="47" t="s">
        <v>3604</v>
      </c>
      <c r="H3230" s="47" t="s">
        <v>3605</v>
      </c>
      <c r="I3230" s="47" t="s">
        <v>650</v>
      </c>
    </row>
    <row r="3231" spans="1:9" ht="15">
      <c r="A3231" s="47" t="s">
        <v>12805</v>
      </c>
      <c r="B3231" s="47" t="s">
        <v>12806</v>
      </c>
      <c r="C3231" s="47" t="s">
        <v>12807</v>
      </c>
      <c r="D3231" s="47" t="s">
        <v>12808</v>
      </c>
      <c r="E3231" s="47"/>
      <c r="F3231" s="47"/>
      <c r="G3231" s="47"/>
      <c r="H3231" s="47" t="s">
        <v>3605</v>
      </c>
      <c r="I3231" s="47" t="s">
        <v>12805</v>
      </c>
    </row>
    <row r="3232" spans="1:9" ht="15">
      <c r="A3232" s="47" t="s">
        <v>2877</v>
      </c>
      <c r="B3232" s="47" t="s">
        <v>12809</v>
      </c>
      <c r="C3232" s="47" t="s">
        <v>12810</v>
      </c>
      <c r="D3232" s="47" t="s">
        <v>12811</v>
      </c>
      <c r="E3232" s="47"/>
      <c r="F3232" s="47"/>
      <c r="G3232" s="47"/>
      <c r="H3232" s="47" t="s">
        <v>3605</v>
      </c>
      <c r="I3232" s="47" t="s">
        <v>2877</v>
      </c>
    </row>
    <row r="3233" spans="1:9" ht="15">
      <c r="A3233" s="47" t="s">
        <v>12812</v>
      </c>
      <c r="B3233" s="47" t="s">
        <v>12813</v>
      </c>
      <c r="C3233" s="47" t="s">
        <v>12814</v>
      </c>
      <c r="D3233" s="47" t="s">
        <v>12815</v>
      </c>
      <c r="E3233" s="47"/>
      <c r="F3233" s="47"/>
      <c r="G3233" s="47"/>
      <c r="H3233" s="47" t="s">
        <v>3605</v>
      </c>
      <c r="I3233" s="47" t="s">
        <v>12812</v>
      </c>
    </row>
    <row r="3234" spans="1:9" ht="15">
      <c r="A3234" s="47" t="s">
        <v>12816</v>
      </c>
      <c r="B3234" s="47" t="s">
        <v>12817</v>
      </c>
      <c r="C3234" s="47" t="s">
        <v>12818</v>
      </c>
      <c r="D3234" s="47" t="s">
        <v>12819</v>
      </c>
      <c r="E3234" s="47"/>
      <c r="F3234" s="47"/>
      <c r="G3234" s="47"/>
      <c r="H3234" s="47" t="s">
        <v>3605</v>
      </c>
      <c r="I3234" s="47" t="s">
        <v>12816</v>
      </c>
    </row>
    <row r="3235" spans="1:9" ht="15">
      <c r="A3235" s="47" t="s">
        <v>12820</v>
      </c>
      <c r="B3235" s="47" t="s">
        <v>12821</v>
      </c>
      <c r="C3235" s="47" t="s">
        <v>12822</v>
      </c>
      <c r="D3235" s="47" t="s">
        <v>12823</v>
      </c>
      <c r="E3235" s="47"/>
      <c r="F3235" s="47"/>
      <c r="G3235" s="47"/>
      <c r="H3235" s="47" t="s">
        <v>3605</v>
      </c>
      <c r="I3235" s="47" t="s">
        <v>12820</v>
      </c>
    </row>
    <row r="3236" spans="1:9" ht="15">
      <c r="A3236" s="47" t="s">
        <v>627</v>
      </c>
      <c r="B3236" s="47" t="s">
        <v>12824</v>
      </c>
      <c r="C3236" s="47" t="s">
        <v>12825</v>
      </c>
      <c r="D3236" s="47" t="s">
        <v>12826</v>
      </c>
      <c r="E3236" s="47"/>
      <c r="F3236" s="47" t="s">
        <v>3603</v>
      </c>
      <c r="G3236" s="47" t="s">
        <v>3604</v>
      </c>
      <c r="H3236" s="47" t="s">
        <v>3605</v>
      </c>
      <c r="I3236" s="47" t="s">
        <v>627</v>
      </c>
    </row>
    <row r="3237" spans="1:9" ht="15">
      <c r="A3237" s="47" t="s">
        <v>628</v>
      </c>
      <c r="B3237" s="47" t="s">
        <v>12827</v>
      </c>
      <c r="C3237" s="47" t="s">
        <v>12828</v>
      </c>
      <c r="D3237" s="47" t="s">
        <v>12829</v>
      </c>
      <c r="E3237" s="47"/>
      <c r="F3237" s="47" t="s">
        <v>5905</v>
      </c>
      <c r="G3237" s="47" t="s">
        <v>5906</v>
      </c>
      <c r="H3237" s="47" t="s">
        <v>3605</v>
      </c>
      <c r="I3237" s="47" t="s">
        <v>628</v>
      </c>
    </row>
    <row r="3238" spans="1:9" ht="15">
      <c r="A3238" s="47" t="s">
        <v>629</v>
      </c>
      <c r="B3238" s="47" t="s">
        <v>12830</v>
      </c>
      <c r="C3238" s="47" t="s">
        <v>12831</v>
      </c>
      <c r="D3238" s="47" t="s">
        <v>12832</v>
      </c>
      <c r="E3238" s="47"/>
      <c r="F3238" s="47" t="s">
        <v>3603</v>
      </c>
      <c r="G3238" s="47" t="s">
        <v>3604</v>
      </c>
      <c r="H3238" s="47" t="s">
        <v>3605</v>
      </c>
      <c r="I3238" s="47" t="s">
        <v>629</v>
      </c>
    </row>
    <row r="3239" spans="1:9" ht="15">
      <c r="A3239" s="47" t="s">
        <v>12833</v>
      </c>
      <c r="B3239" s="47" t="s">
        <v>12834</v>
      </c>
      <c r="C3239" s="47" t="s">
        <v>12835</v>
      </c>
      <c r="D3239" s="47" t="s">
        <v>12836</v>
      </c>
      <c r="E3239" s="47"/>
      <c r="F3239" s="47"/>
      <c r="G3239" s="47"/>
      <c r="H3239" s="47" t="s">
        <v>3605</v>
      </c>
      <c r="I3239" s="47" t="s">
        <v>12833</v>
      </c>
    </row>
    <row r="3240" spans="1:9" ht="15">
      <c r="A3240" s="47" t="s">
        <v>630</v>
      </c>
      <c r="B3240" s="47" t="s">
        <v>12837</v>
      </c>
      <c r="C3240" s="47" t="s">
        <v>12838</v>
      </c>
      <c r="D3240" s="47" t="s">
        <v>12839</v>
      </c>
      <c r="E3240" s="47"/>
      <c r="F3240" s="47" t="s">
        <v>3603</v>
      </c>
      <c r="G3240" s="47" t="s">
        <v>3604</v>
      </c>
      <c r="H3240" s="47" t="s">
        <v>3605</v>
      </c>
      <c r="I3240" s="47" t="s">
        <v>630</v>
      </c>
    </row>
    <row r="3241" spans="1:9" ht="15">
      <c r="A3241" s="47" t="s">
        <v>1925</v>
      </c>
      <c r="B3241" s="47" t="s">
        <v>12840</v>
      </c>
      <c r="C3241" s="47" t="s">
        <v>12841</v>
      </c>
      <c r="D3241" s="47" t="s">
        <v>12842</v>
      </c>
      <c r="E3241" s="47"/>
      <c r="F3241" s="47" t="s">
        <v>3603</v>
      </c>
      <c r="G3241" s="47" t="s">
        <v>3604</v>
      </c>
      <c r="H3241" s="47" t="s">
        <v>3605</v>
      </c>
      <c r="I3241" s="47" t="s">
        <v>1925</v>
      </c>
    </row>
    <row r="3242" spans="1:9" ht="15">
      <c r="A3242" s="47">
        <v>7404</v>
      </c>
      <c r="B3242" s="47" t="s">
        <v>12843</v>
      </c>
      <c r="C3242" s="47" t="s">
        <v>12844</v>
      </c>
      <c r="D3242" s="47" t="s">
        <v>12845</v>
      </c>
      <c r="E3242" s="47"/>
      <c r="F3242" s="47"/>
      <c r="G3242" s="47"/>
      <c r="H3242" s="47" t="s">
        <v>3605</v>
      </c>
      <c r="I3242" s="47" t="s">
        <v>19676</v>
      </c>
    </row>
    <row r="3243" spans="1:9" ht="15">
      <c r="A3243" s="47" t="s">
        <v>12846</v>
      </c>
      <c r="B3243" s="47" t="s">
        <v>12847</v>
      </c>
      <c r="C3243" s="47" t="s">
        <v>12848</v>
      </c>
      <c r="D3243" s="47" t="s">
        <v>12849</v>
      </c>
      <c r="E3243" s="47"/>
      <c r="F3243" s="47"/>
      <c r="G3243" s="47"/>
      <c r="H3243" s="47" t="s">
        <v>3605</v>
      </c>
      <c r="I3243" s="47" t="s">
        <v>12846</v>
      </c>
    </row>
    <row r="3244" spans="1:9" ht="15">
      <c r="A3244" s="47" t="s">
        <v>2945</v>
      </c>
      <c r="B3244" s="47" t="s">
        <v>12850</v>
      </c>
      <c r="C3244" s="47" t="s">
        <v>12851</v>
      </c>
      <c r="D3244" s="47" t="s">
        <v>12852</v>
      </c>
      <c r="E3244" s="47"/>
      <c r="F3244" s="47"/>
      <c r="G3244" s="47"/>
      <c r="H3244" s="47" t="s">
        <v>3605</v>
      </c>
      <c r="I3244" s="47" t="s">
        <v>2945</v>
      </c>
    </row>
    <row r="3245" spans="1:9" ht="15">
      <c r="A3245" s="47" t="s">
        <v>3474</v>
      </c>
      <c r="B3245" s="47" t="s">
        <v>12853</v>
      </c>
      <c r="C3245" s="47" t="s">
        <v>12854</v>
      </c>
      <c r="D3245" s="47" t="s">
        <v>12855</v>
      </c>
      <c r="E3245" s="47"/>
      <c r="F3245" s="47"/>
      <c r="G3245" s="47"/>
      <c r="H3245" s="47" t="s">
        <v>3605</v>
      </c>
      <c r="I3245" s="47" t="s">
        <v>3474</v>
      </c>
    </row>
    <row r="3246" spans="1:9" ht="15">
      <c r="A3246" s="47" t="s">
        <v>631</v>
      </c>
      <c r="B3246" s="47" t="s">
        <v>12856</v>
      </c>
      <c r="C3246" s="47" t="s">
        <v>12857</v>
      </c>
      <c r="D3246" s="47" t="s">
        <v>12858</v>
      </c>
      <c r="E3246" s="47"/>
      <c r="F3246" s="47" t="s">
        <v>3603</v>
      </c>
      <c r="G3246" s="47" t="s">
        <v>3604</v>
      </c>
      <c r="H3246" s="47" t="s">
        <v>3605</v>
      </c>
      <c r="I3246" s="47" t="s">
        <v>631</v>
      </c>
    </row>
    <row r="3247" spans="1:9" ht="15">
      <c r="A3247" s="47" t="s">
        <v>3466</v>
      </c>
      <c r="B3247" s="47" t="s">
        <v>12859</v>
      </c>
      <c r="C3247" s="47" t="s">
        <v>12860</v>
      </c>
      <c r="D3247" s="47" t="s">
        <v>12861</v>
      </c>
      <c r="E3247" s="47"/>
      <c r="F3247" s="47"/>
      <c r="G3247" s="47"/>
      <c r="H3247" s="47" t="s">
        <v>3605</v>
      </c>
      <c r="I3247" s="47" t="s">
        <v>3466</v>
      </c>
    </row>
    <row r="3248" spans="1:9" ht="15">
      <c r="A3248" s="47" t="s">
        <v>632</v>
      </c>
      <c r="B3248" s="47" t="s">
        <v>12862</v>
      </c>
      <c r="C3248" s="47" t="s">
        <v>12863</v>
      </c>
      <c r="D3248" s="47" t="s">
        <v>12864</v>
      </c>
      <c r="E3248" s="47"/>
      <c r="F3248" s="47" t="s">
        <v>3603</v>
      </c>
      <c r="G3248" s="47" t="s">
        <v>3604</v>
      </c>
      <c r="H3248" s="47" t="s">
        <v>3605</v>
      </c>
      <c r="I3248" s="47" t="s">
        <v>632</v>
      </c>
    </row>
    <row r="3249" spans="1:9" ht="15">
      <c r="A3249" s="47" t="s">
        <v>12865</v>
      </c>
      <c r="B3249" s="47" t="s">
        <v>12866</v>
      </c>
      <c r="C3249" s="47" t="s">
        <v>12867</v>
      </c>
      <c r="D3249" s="47" t="s">
        <v>12868</v>
      </c>
      <c r="E3249" s="47"/>
      <c r="F3249" s="47"/>
      <c r="G3249" s="47"/>
      <c r="H3249" s="47" t="s">
        <v>3605</v>
      </c>
      <c r="I3249" s="47" t="s">
        <v>12865</v>
      </c>
    </row>
    <row r="3250" spans="1:9" ht="15">
      <c r="A3250" s="47" t="s">
        <v>12869</v>
      </c>
      <c r="B3250" s="47" t="s">
        <v>12870</v>
      </c>
      <c r="C3250" s="47" t="s">
        <v>12871</v>
      </c>
      <c r="D3250" s="47" t="s">
        <v>12872</v>
      </c>
      <c r="E3250" s="47"/>
      <c r="F3250" s="47"/>
      <c r="G3250" s="47"/>
      <c r="H3250" s="47" t="s">
        <v>3605</v>
      </c>
      <c r="I3250" s="47" t="s">
        <v>12869</v>
      </c>
    </row>
    <row r="3251" spans="1:9" ht="15">
      <c r="A3251" s="47" t="s">
        <v>12873</v>
      </c>
      <c r="B3251" s="47" t="s">
        <v>12874</v>
      </c>
      <c r="C3251" s="47" t="s">
        <v>12875</v>
      </c>
      <c r="D3251" s="47" t="s">
        <v>12876</v>
      </c>
      <c r="E3251" s="47"/>
      <c r="F3251" s="47"/>
      <c r="G3251" s="47"/>
      <c r="H3251" s="47" t="s">
        <v>3605</v>
      </c>
      <c r="I3251" s="47" t="s">
        <v>12873</v>
      </c>
    </row>
    <row r="3252" spans="1:9" ht="15">
      <c r="A3252" s="47" t="s">
        <v>12877</v>
      </c>
      <c r="B3252" s="47" t="s">
        <v>12878</v>
      </c>
      <c r="C3252" s="47" t="s">
        <v>12879</v>
      </c>
      <c r="D3252" s="47" t="s">
        <v>9338</v>
      </c>
      <c r="E3252" s="47"/>
      <c r="F3252" s="47" t="s">
        <v>4253</v>
      </c>
      <c r="G3252" s="47" t="s">
        <v>4254</v>
      </c>
      <c r="H3252" s="47" t="s">
        <v>3605</v>
      </c>
      <c r="I3252" s="47" t="s">
        <v>12877</v>
      </c>
    </row>
    <row r="3253" spans="1:9" ht="15">
      <c r="A3253" s="47" t="s">
        <v>12880</v>
      </c>
      <c r="B3253" s="47" t="s">
        <v>12881</v>
      </c>
      <c r="C3253" s="47" t="s">
        <v>12882</v>
      </c>
      <c r="D3253" s="47" t="s">
        <v>12883</v>
      </c>
      <c r="E3253" s="47"/>
      <c r="F3253" s="47"/>
      <c r="G3253" s="47"/>
      <c r="H3253" s="47" t="s">
        <v>3605</v>
      </c>
      <c r="I3253" s="47" t="s">
        <v>12880</v>
      </c>
    </row>
    <row r="3254" spans="1:9" ht="15">
      <c r="A3254" s="47" t="s">
        <v>12884</v>
      </c>
      <c r="B3254" s="47" t="s">
        <v>12885</v>
      </c>
      <c r="C3254" s="47" t="s">
        <v>12886</v>
      </c>
      <c r="D3254" s="47" t="s">
        <v>12887</v>
      </c>
      <c r="E3254" s="47"/>
      <c r="F3254" s="47"/>
      <c r="G3254" s="47"/>
      <c r="H3254" s="47" t="s">
        <v>3605</v>
      </c>
      <c r="I3254" s="47" t="s">
        <v>12884</v>
      </c>
    </row>
    <row r="3255" spans="1:9" ht="15">
      <c r="A3255" s="47" t="s">
        <v>12888</v>
      </c>
      <c r="B3255" s="47" t="s">
        <v>12889</v>
      </c>
      <c r="C3255" s="47" t="s">
        <v>12890</v>
      </c>
      <c r="D3255" s="47" t="s">
        <v>12891</v>
      </c>
      <c r="E3255" s="47"/>
      <c r="F3255" s="47"/>
      <c r="G3255" s="47"/>
      <c r="H3255" s="47" t="s">
        <v>3605</v>
      </c>
      <c r="I3255" s="47" t="s">
        <v>12888</v>
      </c>
    </row>
    <row r="3256" spans="1:9" ht="15">
      <c r="A3256" s="47" t="s">
        <v>12892</v>
      </c>
      <c r="B3256" s="47" t="s">
        <v>12893</v>
      </c>
      <c r="C3256" s="47" t="s">
        <v>12894</v>
      </c>
      <c r="D3256" s="47" t="s">
        <v>12895</v>
      </c>
      <c r="E3256" s="47"/>
      <c r="F3256" s="47"/>
      <c r="G3256" s="47"/>
      <c r="H3256" s="47" t="s">
        <v>3605</v>
      </c>
      <c r="I3256" s="47" t="s">
        <v>12892</v>
      </c>
    </row>
    <row r="3257" spans="1:9" ht="15">
      <c r="A3257" s="47" t="s">
        <v>12896</v>
      </c>
      <c r="B3257" s="47" t="s">
        <v>12897</v>
      </c>
      <c r="C3257" s="47" t="s">
        <v>12898</v>
      </c>
      <c r="D3257" s="47" t="s">
        <v>12899</v>
      </c>
      <c r="E3257" s="47"/>
      <c r="F3257" s="47"/>
      <c r="G3257" s="47"/>
      <c r="H3257" s="47" t="s">
        <v>3605</v>
      </c>
      <c r="I3257" s="47" t="s">
        <v>12896</v>
      </c>
    </row>
    <row r="3258" spans="1:9" ht="15">
      <c r="A3258" s="47" t="s">
        <v>2947</v>
      </c>
      <c r="B3258" s="47" t="s">
        <v>12900</v>
      </c>
      <c r="C3258" s="47" t="s">
        <v>12901</v>
      </c>
      <c r="D3258" s="47" t="s">
        <v>12902</v>
      </c>
      <c r="E3258" s="47"/>
      <c r="F3258" s="47"/>
      <c r="G3258" s="47"/>
      <c r="H3258" s="47" t="s">
        <v>3605</v>
      </c>
      <c r="I3258" s="47" t="s">
        <v>2947</v>
      </c>
    </row>
    <row r="3259" spans="1:9" ht="15">
      <c r="A3259" s="47" t="s">
        <v>12903</v>
      </c>
      <c r="B3259" s="47" t="s">
        <v>12904</v>
      </c>
      <c r="C3259" s="47" t="s">
        <v>12905</v>
      </c>
      <c r="D3259" s="47" t="s">
        <v>12906</v>
      </c>
      <c r="E3259" s="47"/>
      <c r="F3259" s="47"/>
      <c r="G3259" s="47"/>
      <c r="H3259" s="47" t="s">
        <v>3605</v>
      </c>
      <c r="I3259" s="47" t="s">
        <v>12903</v>
      </c>
    </row>
    <row r="3260" spans="1:9" ht="15">
      <c r="A3260" s="47" t="s">
        <v>12907</v>
      </c>
      <c r="B3260" s="47" t="s">
        <v>12908</v>
      </c>
      <c r="C3260" s="47" t="s">
        <v>12909</v>
      </c>
      <c r="D3260" s="47" t="s">
        <v>12910</v>
      </c>
      <c r="E3260" s="47"/>
      <c r="F3260" s="47"/>
      <c r="G3260" s="47"/>
      <c r="H3260" s="47" t="s">
        <v>3605</v>
      </c>
      <c r="I3260" s="47" t="s">
        <v>12907</v>
      </c>
    </row>
    <row r="3261" spans="1:9" ht="15">
      <c r="A3261" s="47" t="s">
        <v>12911</v>
      </c>
      <c r="B3261" s="47" t="s">
        <v>12912</v>
      </c>
      <c r="C3261" s="47" t="s">
        <v>12913</v>
      </c>
      <c r="D3261" s="47" t="s">
        <v>12914</v>
      </c>
      <c r="E3261" s="47"/>
      <c r="F3261" s="47"/>
      <c r="G3261" s="47"/>
      <c r="H3261" s="47" t="s">
        <v>3605</v>
      </c>
      <c r="I3261" s="47" t="s">
        <v>12911</v>
      </c>
    </row>
    <row r="3262" spans="1:9" ht="15">
      <c r="A3262" s="47" t="s">
        <v>12915</v>
      </c>
      <c r="B3262" s="47" t="s">
        <v>12916</v>
      </c>
      <c r="C3262" s="47" t="s">
        <v>12917</v>
      </c>
      <c r="D3262" s="47" t="s">
        <v>12918</v>
      </c>
      <c r="E3262" s="47"/>
      <c r="F3262" s="47"/>
      <c r="G3262" s="47"/>
      <c r="H3262" s="47" t="s">
        <v>3605</v>
      </c>
      <c r="I3262" s="47" t="s">
        <v>12915</v>
      </c>
    </row>
    <row r="3263" spans="1:9" ht="15">
      <c r="A3263" s="47" t="s">
        <v>12919</v>
      </c>
      <c r="B3263" s="47" t="s">
        <v>12920</v>
      </c>
      <c r="C3263" s="47" t="s">
        <v>12921</v>
      </c>
      <c r="D3263" s="47" t="s">
        <v>12922</v>
      </c>
      <c r="E3263" s="47"/>
      <c r="F3263" s="47"/>
      <c r="G3263" s="47"/>
      <c r="H3263" s="47" t="s">
        <v>3605</v>
      </c>
      <c r="I3263" s="47" t="s">
        <v>12919</v>
      </c>
    </row>
    <row r="3264" spans="1:9" ht="15">
      <c r="A3264" s="47" t="s">
        <v>12923</v>
      </c>
      <c r="B3264" s="47" t="s">
        <v>12924</v>
      </c>
      <c r="C3264" s="47" t="s">
        <v>12925</v>
      </c>
      <c r="D3264" s="47" t="s">
        <v>12926</v>
      </c>
      <c r="E3264" s="47"/>
      <c r="F3264" s="47"/>
      <c r="G3264" s="47"/>
      <c r="H3264" s="47" t="s">
        <v>3605</v>
      </c>
      <c r="I3264" s="47" t="s">
        <v>12923</v>
      </c>
    </row>
    <row r="3265" spans="1:9" ht="15">
      <c r="A3265" s="47" t="s">
        <v>12927</v>
      </c>
      <c r="B3265" s="47" t="s">
        <v>12928</v>
      </c>
      <c r="C3265" s="47" t="s">
        <v>12929</v>
      </c>
      <c r="D3265" s="47" t="s">
        <v>12930</v>
      </c>
      <c r="E3265" s="47"/>
      <c r="F3265" s="47"/>
      <c r="G3265" s="47"/>
      <c r="H3265" s="47" t="s">
        <v>3605</v>
      </c>
      <c r="I3265" s="47" t="s">
        <v>12927</v>
      </c>
    </row>
    <row r="3266" spans="1:9" ht="15">
      <c r="A3266" s="47">
        <v>104306</v>
      </c>
      <c r="B3266" s="47" t="s">
        <v>12931</v>
      </c>
      <c r="C3266" s="47" t="s">
        <v>12932</v>
      </c>
      <c r="D3266" s="47" t="s">
        <v>12933</v>
      </c>
      <c r="E3266" s="47"/>
      <c r="F3266" s="47" t="s">
        <v>3603</v>
      </c>
      <c r="G3266" s="47" t="s">
        <v>3604</v>
      </c>
      <c r="H3266" s="47" t="s">
        <v>3605</v>
      </c>
      <c r="I3266" s="47" t="s">
        <v>19677</v>
      </c>
    </row>
    <row r="3267" spans="1:9" ht="15">
      <c r="A3267" s="47" t="s">
        <v>633</v>
      </c>
      <c r="B3267" s="47" t="s">
        <v>12934</v>
      </c>
      <c r="C3267" s="47" t="s">
        <v>12935</v>
      </c>
      <c r="D3267" s="47" t="s">
        <v>12936</v>
      </c>
      <c r="E3267" s="47"/>
      <c r="F3267" s="47" t="s">
        <v>3603</v>
      </c>
      <c r="G3267" s="47" t="s">
        <v>3604</v>
      </c>
      <c r="H3267" s="47" t="s">
        <v>3605</v>
      </c>
      <c r="I3267" s="47" t="s">
        <v>633</v>
      </c>
    </row>
    <row r="3268" spans="1:9" ht="15">
      <c r="A3268" s="47" t="s">
        <v>2989</v>
      </c>
      <c r="B3268" s="47" t="s">
        <v>12937</v>
      </c>
      <c r="C3268" s="47" t="s">
        <v>12938</v>
      </c>
      <c r="D3268" s="47" t="s">
        <v>12939</v>
      </c>
      <c r="E3268" s="47"/>
      <c r="F3268" s="47"/>
      <c r="G3268" s="47"/>
      <c r="H3268" s="47" t="s">
        <v>3605</v>
      </c>
      <c r="I3268" s="47" t="s">
        <v>2989</v>
      </c>
    </row>
    <row r="3269" spans="1:9" ht="15">
      <c r="A3269" s="47" t="s">
        <v>12940</v>
      </c>
      <c r="B3269" s="47" t="s">
        <v>12941</v>
      </c>
      <c r="C3269" s="47" t="s">
        <v>12942</v>
      </c>
      <c r="D3269" s="47" t="s">
        <v>12943</v>
      </c>
      <c r="E3269" s="47"/>
      <c r="F3269" s="47"/>
      <c r="G3269" s="47"/>
      <c r="H3269" s="47" t="s">
        <v>3605</v>
      </c>
      <c r="I3269" s="47" t="s">
        <v>12940</v>
      </c>
    </row>
    <row r="3270" spans="1:9" ht="15">
      <c r="A3270" s="47" t="s">
        <v>12944</v>
      </c>
      <c r="B3270" s="47" t="s">
        <v>12945</v>
      </c>
      <c r="C3270" s="47" t="s">
        <v>12946</v>
      </c>
      <c r="D3270" s="47" t="s">
        <v>12947</v>
      </c>
      <c r="E3270" s="47"/>
      <c r="F3270" s="47"/>
      <c r="G3270" s="47"/>
      <c r="H3270" s="47" t="s">
        <v>3605</v>
      </c>
      <c r="I3270" s="47" t="s">
        <v>12944</v>
      </c>
    </row>
    <row r="3271" spans="1:9" ht="15">
      <c r="A3271" s="47" t="s">
        <v>2991</v>
      </c>
      <c r="B3271" s="47" t="s">
        <v>12948</v>
      </c>
      <c r="C3271" s="47" t="s">
        <v>12949</v>
      </c>
      <c r="D3271" s="47" t="s">
        <v>12950</v>
      </c>
      <c r="E3271" s="47"/>
      <c r="F3271" s="47"/>
      <c r="G3271" s="47"/>
      <c r="H3271" s="47" t="s">
        <v>3605</v>
      </c>
      <c r="I3271" s="47" t="s">
        <v>2991</v>
      </c>
    </row>
    <row r="3272" spans="1:9" ht="15">
      <c r="A3272" s="47" t="s">
        <v>634</v>
      </c>
      <c r="B3272" s="47" t="s">
        <v>12951</v>
      </c>
      <c r="C3272" s="47" t="s">
        <v>12952</v>
      </c>
      <c r="D3272" s="47" t="s">
        <v>12953</v>
      </c>
      <c r="E3272" s="47"/>
      <c r="F3272" s="47" t="s">
        <v>12954</v>
      </c>
      <c r="G3272" s="47" t="s">
        <v>12955</v>
      </c>
      <c r="H3272" s="47" t="s">
        <v>3605</v>
      </c>
      <c r="I3272" s="47" t="s">
        <v>634</v>
      </c>
    </row>
    <row r="3273" spans="1:9" ht="15">
      <c r="A3273" s="47" t="s">
        <v>55</v>
      </c>
      <c r="B3273" s="47" t="s">
        <v>12956</v>
      </c>
      <c r="C3273" s="47" t="s">
        <v>12957</v>
      </c>
      <c r="D3273" s="47" t="s">
        <v>12958</v>
      </c>
      <c r="E3273" s="47"/>
      <c r="F3273" s="47"/>
      <c r="G3273" s="47"/>
      <c r="H3273" s="47" t="s">
        <v>3605</v>
      </c>
      <c r="I3273" s="47" t="s">
        <v>55</v>
      </c>
    </row>
    <row r="3274" spans="1:9" ht="15">
      <c r="A3274" s="47" t="s">
        <v>3085</v>
      </c>
      <c r="B3274" s="47" t="s">
        <v>12959</v>
      </c>
      <c r="C3274" s="47" t="s">
        <v>12960</v>
      </c>
      <c r="D3274" s="47" t="s">
        <v>12961</v>
      </c>
      <c r="E3274" s="47"/>
      <c r="F3274" s="47"/>
      <c r="G3274" s="47"/>
      <c r="H3274" s="47" t="s">
        <v>3605</v>
      </c>
      <c r="I3274" s="47" t="s">
        <v>3085</v>
      </c>
    </row>
    <row r="3275" spans="1:9" ht="15">
      <c r="A3275" s="47" t="s">
        <v>12962</v>
      </c>
      <c r="B3275" s="47" t="s">
        <v>12963</v>
      </c>
      <c r="C3275" s="47" t="s">
        <v>12964</v>
      </c>
      <c r="D3275" s="47" t="s">
        <v>12965</v>
      </c>
      <c r="E3275" s="47"/>
      <c r="F3275" s="47"/>
      <c r="G3275" s="47"/>
      <c r="H3275" s="47" t="s">
        <v>3605</v>
      </c>
      <c r="I3275" s="47" t="s">
        <v>12962</v>
      </c>
    </row>
    <row r="3276" spans="1:9" ht="15">
      <c r="A3276" s="47" t="s">
        <v>12966</v>
      </c>
      <c r="B3276" s="47" t="s">
        <v>12967</v>
      </c>
      <c r="C3276" s="47" t="s">
        <v>12968</v>
      </c>
      <c r="D3276" s="47" t="s">
        <v>12969</v>
      </c>
      <c r="E3276" s="47"/>
      <c r="F3276" s="47"/>
      <c r="G3276" s="47"/>
      <c r="H3276" s="47" t="s">
        <v>3605</v>
      </c>
      <c r="I3276" s="47" t="s">
        <v>12966</v>
      </c>
    </row>
    <row r="3277" spans="1:9" ht="15">
      <c r="A3277" s="47" t="s">
        <v>581</v>
      </c>
      <c r="B3277" s="47" t="s">
        <v>12970</v>
      </c>
      <c r="C3277" s="47" t="s">
        <v>12971</v>
      </c>
      <c r="D3277" s="47" t="s">
        <v>12972</v>
      </c>
      <c r="E3277" s="47"/>
      <c r="F3277" s="47" t="s">
        <v>3603</v>
      </c>
      <c r="G3277" s="47" t="s">
        <v>12973</v>
      </c>
      <c r="H3277" s="47" t="s">
        <v>3605</v>
      </c>
      <c r="I3277" s="47" t="s">
        <v>581</v>
      </c>
    </row>
    <row r="3278" spans="1:9" ht="15">
      <c r="A3278" s="47" t="s">
        <v>54</v>
      </c>
      <c r="B3278" s="47" t="s">
        <v>12974</v>
      </c>
      <c r="C3278" s="47" t="s">
        <v>12975</v>
      </c>
      <c r="D3278" s="47" t="s">
        <v>12976</v>
      </c>
      <c r="E3278" s="47"/>
      <c r="F3278" s="47"/>
      <c r="G3278" s="47"/>
      <c r="H3278" s="47" t="s">
        <v>3605</v>
      </c>
      <c r="I3278" s="47" t="s">
        <v>54</v>
      </c>
    </row>
    <row r="3279" spans="1:9" ht="15">
      <c r="A3279" s="47" t="s">
        <v>12977</v>
      </c>
      <c r="B3279" s="47" t="s">
        <v>12978</v>
      </c>
      <c r="C3279" s="47" t="s">
        <v>12979</v>
      </c>
      <c r="D3279" s="47" t="s">
        <v>12980</v>
      </c>
      <c r="E3279" s="47"/>
      <c r="F3279" s="47" t="s">
        <v>4253</v>
      </c>
      <c r="G3279" s="47" t="s">
        <v>4254</v>
      </c>
      <c r="H3279" s="47" t="s">
        <v>3605</v>
      </c>
      <c r="I3279" s="47" t="s">
        <v>12977</v>
      </c>
    </row>
    <row r="3280" spans="1:9" ht="15">
      <c r="A3280" s="47" t="s">
        <v>3087</v>
      </c>
      <c r="B3280" s="47" t="s">
        <v>12981</v>
      </c>
      <c r="C3280" s="47" t="s">
        <v>4558</v>
      </c>
      <c r="D3280" s="47" t="s">
        <v>4559</v>
      </c>
      <c r="E3280" s="47"/>
      <c r="F3280" s="47"/>
      <c r="G3280" s="47"/>
      <c r="H3280" s="47" t="s">
        <v>3605</v>
      </c>
      <c r="I3280" s="47" t="s">
        <v>3087</v>
      </c>
    </row>
    <row r="3281" spans="1:9" ht="15">
      <c r="A3281" s="47" t="s">
        <v>635</v>
      </c>
      <c r="B3281" s="47" t="s">
        <v>12982</v>
      </c>
      <c r="C3281" s="47" t="s">
        <v>3610</v>
      </c>
      <c r="D3281" s="47" t="s">
        <v>3611</v>
      </c>
      <c r="E3281" s="47"/>
      <c r="F3281" s="47" t="s">
        <v>3603</v>
      </c>
      <c r="G3281" s="47" t="s">
        <v>3604</v>
      </c>
      <c r="H3281" s="47" t="s">
        <v>3605</v>
      </c>
      <c r="I3281" s="47" t="s">
        <v>635</v>
      </c>
    </row>
    <row r="3282" spans="1:9" ht="15">
      <c r="A3282" s="47" t="s">
        <v>655</v>
      </c>
      <c r="B3282" s="47" t="s">
        <v>12983</v>
      </c>
      <c r="C3282" s="47" t="s">
        <v>12984</v>
      </c>
      <c r="D3282" s="47" t="s">
        <v>12985</v>
      </c>
      <c r="E3282" s="47"/>
      <c r="F3282" s="47" t="s">
        <v>3759</v>
      </c>
      <c r="G3282" s="47" t="s">
        <v>3760</v>
      </c>
      <c r="H3282" s="47" t="s">
        <v>3605</v>
      </c>
      <c r="I3282" s="47" t="s">
        <v>655</v>
      </c>
    </row>
    <row r="3283" spans="1:9" ht="15">
      <c r="A3283" s="47" t="s">
        <v>12986</v>
      </c>
      <c r="B3283" s="47" t="s">
        <v>12987</v>
      </c>
      <c r="C3283" s="47" t="s">
        <v>12988</v>
      </c>
      <c r="D3283" s="47" t="s">
        <v>12989</v>
      </c>
      <c r="E3283" s="47"/>
      <c r="F3283" s="47"/>
      <c r="G3283" s="47"/>
      <c r="H3283" s="47" t="s">
        <v>3605</v>
      </c>
      <c r="I3283" s="47" t="s">
        <v>12986</v>
      </c>
    </row>
    <row r="3284" spans="1:9" ht="15">
      <c r="A3284" s="47" t="s">
        <v>661</v>
      </c>
      <c r="B3284" s="47" t="s">
        <v>12990</v>
      </c>
      <c r="C3284" s="47" t="s">
        <v>12991</v>
      </c>
      <c r="D3284" s="47" t="s">
        <v>12992</v>
      </c>
      <c r="E3284" s="47"/>
      <c r="F3284" s="47" t="s">
        <v>3759</v>
      </c>
      <c r="G3284" s="47" t="s">
        <v>3760</v>
      </c>
      <c r="H3284" s="47" t="s">
        <v>3605</v>
      </c>
      <c r="I3284" s="47" t="s">
        <v>661</v>
      </c>
    </row>
    <row r="3285" spans="1:9" ht="15">
      <c r="A3285" s="47" t="s">
        <v>12993</v>
      </c>
      <c r="B3285" s="47" t="s">
        <v>12994</v>
      </c>
      <c r="C3285" s="47" t="s">
        <v>12995</v>
      </c>
      <c r="D3285" s="47" t="s">
        <v>12996</v>
      </c>
      <c r="E3285" s="47"/>
      <c r="F3285" s="47"/>
      <c r="G3285" s="47"/>
      <c r="H3285" s="47" t="s">
        <v>3605</v>
      </c>
      <c r="I3285" s="47" t="s">
        <v>12993</v>
      </c>
    </row>
    <row r="3286" spans="1:9" ht="15">
      <c r="A3286" s="47" t="s">
        <v>666</v>
      </c>
      <c r="B3286" s="47" t="s">
        <v>12997</v>
      </c>
      <c r="C3286" s="47" t="s">
        <v>12998</v>
      </c>
      <c r="D3286" s="47" t="s">
        <v>12999</v>
      </c>
      <c r="E3286" s="47"/>
      <c r="F3286" s="47" t="s">
        <v>3759</v>
      </c>
      <c r="G3286" s="47" t="s">
        <v>3760</v>
      </c>
      <c r="H3286" s="47" t="s">
        <v>3605</v>
      </c>
      <c r="I3286" s="47" t="s">
        <v>666</v>
      </c>
    </row>
    <row r="3287" spans="1:9" ht="15">
      <c r="A3287" s="47" t="s">
        <v>2951</v>
      </c>
      <c r="B3287" s="47" t="s">
        <v>13000</v>
      </c>
      <c r="C3287" s="47" t="s">
        <v>13001</v>
      </c>
      <c r="D3287" s="47" t="s">
        <v>13002</v>
      </c>
      <c r="E3287" s="47"/>
      <c r="F3287" s="47"/>
      <c r="G3287" s="47"/>
      <c r="H3287" s="47" t="s">
        <v>3605</v>
      </c>
      <c r="I3287" s="47" t="s">
        <v>2951</v>
      </c>
    </row>
    <row r="3288" spans="1:9" ht="15">
      <c r="A3288" s="47" t="s">
        <v>636</v>
      </c>
      <c r="B3288" s="47" t="s">
        <v>13003</v>
      </c>
      <c r="C3288" s="47" t="s">
        <v>13004</v>
      </c>
      <c r="D3288" s="47" t="s">
        <v>13005</v>
      </c>
      <c r="E3288" s="47"/>
      <c r="F3288" s="47" t="s">
        <v>3603</v>
      </c>
      <c r="G3288" s="47" t="s">
        <v>3604</v>
      </c>
      <c r="H3288" s="47" t="s">
        <v>3605</v>
      </c>
      <c r="I3288" s="47" t="s">
        <v>636</v>
      </c>
    </row>
    <row r="3289" spans="1:9" ht="15">
      <c r="A3289" s="47" t="s">
        <v>13006</v>
      </c>
      <c r="B3289" s="47" t="s">
        <v>13007</v>
      </c>
      <c r="C3289" s="47" t="s">
        <v>13008</v>
      </c>
      <c r="D3289" s="47" t="s">
        <v>13009</v>
      </c>
      <c r="E3289" s="47"/>
      <c r="F3289" s="47"/>
      <c r="G3289" s="47"/>
      <c r="H3289" s="47" t="s">
        <v>3605</v>
      </c>
      <c r="I3289" s="47" t="s">
        <v>13006</v>
      </c>
    </row>
    <row r="3290" spans="1:9" ht="15">
      <c r="A3290" s="47">
        <v>7234</v>
      </c>
      <c r="B3290" s="47" t="s">
        <v>13010</v>
      </c>
      <c r="C3290" s="47" t="s">
        <v>13011</v>
      </c>
      <c r="D3290" s="47" t="s">
        <v>13012</v>
      </c>
      <c r="E3290" s="47"/>
      <c r="F3290" s="47"/>
      <c r="G3290" s="47"/>
      <c r="H3290" s="47" t="s">
        <v>3605</v>
      </c>
      <c r="I3290" s="47" t="s">
        <v>19678</v>
      </c>
    </row>
    <row r="3291" spans="1:9" ht="15">
      <c r="A3291" s="47" t="s">
        <v>13013</v>
      </c>
      <c r="B3291" s="47" t="s">
        <v>13014</v>
      </c>
      <c r="C3291" s="47" t="s">
        <v>13015</v>
      </c>
      <c r="D3291" s="47" t="s">
        <v>13016</v>
      </c>
      <c r="E3291" s="47"/>
      <c r="F3291" s="47"/>
      <c r="G3291" s="47"/>
      <c r="H3291" s="47" t="s">
        <v>3605</v>
      </c>
      <c r="I3291" s="47" t="s">
        <v>13013</v>
      </c>
    </row>
    <row r="3292" spans="1:9" ht="15">
      <c r="A3292" s="47" t="s">
        <v>13017</v>
      </c>
      <c r="B3292" s="47" t="s">
        <v>13018</v>
      </c>
      <c r="C3292" s="47" t="s">
        <v>13019</v>
      </c>
      <c r="D3292" s="47" t="s">
        <v>13020</v>
      </c>
      <c r="E3292" s="47"/>
      <c r="F3292" s="47"/>
      <c r="G3292" s="47"/>
      <c r="H3292" s="47" t="s">
        <v>3605</v>
      </c>
      <c r="I3292" s="47" t="s">
        <v>13017</v>
      </c>
    </row>
    <row r="3293" spans="1:9" ht="15">
      <c r="A3293" s="47" t="s">
        <v>13021</v>
      </c>
      <c r="B3293" s="47" t="s">
        <v>13022</v>
      </c>
      <c r="C3293" s="47" t="s">
        <v>13023</v>
      </c>
      <c r="D3293" s="47" t="s">
        <v>13024</v>
      </c>
      <c r="E3293" s="47"/>
      <c r="F3293" s="47"/>
      <c r="G3293" s="47"/>
      <c r="H3293" s="47" t="s">
        <v>3605</v>
      </c>
      <c r="I3293" s="47" t="s">
        <v>13021</v>
      </c>
    </row>
    <row r="3294" spans="1:9" ht="15">
      <c r="A3294" s="47" t="s">
        <v>13025</v>
      </c>
      <c r="B3294" s="47" t="s">
        <v>13026</v>
      </c>
      <c r="C3294" s="47" t="s">
        <v>13027</v>
      </c>
      <c r="D3294" s="47" t="s">
        <v>13028</v>
      </c>
      <c r="E3294" s="47"/>
      <c r="F3294" s="47" t="s">
        <v>3603</v>
      </c>
      <c r="G3294" s="47" t="s">
        <v>3604</v>
      </c>
      <c r="H3294" s="47" t="s">
        <v>3605</v>
      </c>
      <c r="I3294" s="47" t="s">
        <v>13025</v>
      </c>
    </row>
    <row r="3295" spans="1:9" ht="15">
      <c r="A3295" s="47">
        <v>7402</v>
      </c>
      <c r="B3295" s="47" t="s">
        <v>13029</v>
      </c>
      <c r="C3295" s="47" t="s">
        <v>13030</v>
      </c>
      <c r="D3295" s="47" t="s">
        <v>13031</v>
      </c>
      <c r="E3295" s="47"/>
      <c r="F3295" s="47"/>
      <c r="G3295" s="47"/>
      <c r="H3295" s="47" t="s">
        <v>3605</v>
      </c>
      <c r="I3295" s="47" t="s">
        <v>19679</v>
      </c>
    </row>
    <row r="3296" spans="1:9" ht="15">
      <c r="A3296" s="47" t="s">
        <v>13032</v>
      </c>
      <c r="B3296" s="47" t="s">
        <v>13033</v>
      </c>
      <c r="C3296" s="47" t="s">
        <v>13034</v>
      </c>
      <c r="D3296" s="47" t="s">
        <v>13035</v>
      </c>
      <c r="E3296" s="47"/>
      <c r="F3296" s="47"/>
      <c r="G3296" s="47"/>
      <c r="H3296" s="47" t="s">
        <v>3605</v>
      </c>
      <c r="I3296" s="47" t="s">
        <v>13032</v>
      </c>
    </row>
    <row r="3297" spans="1:9" ht="15">
      <c r="A3297" s="47" t="s">
        <v>637</v>
      </c>
      <c r="B3297" s="47" t="s">
        <v>13036</v>
      </c>
      <c r="C3297" s="47" t="s">
        <v>13037</v>
      </c>
      <c r="D3297" s="47" t="s">
        <v>13038</v>
      </c>
      <c r="E3297" s="47"/>
      <c r="F3297" s="47" t="s">
        <v>3603</v>
      </c>
      <c r="G3297" s="47" t="s">
        <v>3604</v>
      </c>
      <c r="H3297" s="47" t="s">
        <v>3605</v>
      </c>
      <c r="I3297" s="47" t="s">
        <v>637</v>
      </c>
    </row>
    <row r="3298" spans="1:9" ht="15">
      <c r="A3298" s="47" t="s">
        <v>13039</v>
      </c>
      <c r="B3298" s="47" t="s">
        <v>13040</v>
      </c>
      <c r="C3298" s="47" t="s">
        <v>13041</v>
      </c>
      <c r="D3298" s="47" t="s">
        <v>13042</v>
      </c>
      <c r="E3298" s="47"/>
      <c r="F3298" s="47"/>
      <c r="G3298" s="47"/>
      <c r="H3298" s="47" t="s">
        <v>3605</v>
      </c>
      <c r="I3298" s="47" t="s">
        <v>13039</v>
      </c>
    </row>
    <row r="3299" spans="1:9" ht="15">
      <c r="A3299" s="47" t="s">
        <v>13043</v>
      </c>
      <c r="B3299" s="47" t="s">
        <v>13044</v>
      </c>
      <c r="C3299" s="47" t="s">
        <v>13045</v>
      </c>
      <c r="D3299" s="47" t="s">
        <v>13046</v>
      </c>
      <c r="E3299" s="47"/>
      <c r="F3299" s="47"/>
      <c r="G3299" s="47"/>
      <c r="H3299" s="47" t="s">
        <v>3605</v>
      </c>
      <c r="I3299" s="47" t="s">
        <v>13043</v>
      </c>
    </row>
    <row r="3300" spans="1:9" ht="15">
      <c r="A3300" s="47" t="s">
        <v>13047</v>
      </c>
      <c r="B3300" s="47" t="s">
        <v>13048</v>
      </c>
      <c r="C3300" s="47" t="s">
        <v>13049</v>
      </c>
      <c r="D3300" s="47" t="s">
        <v>13050</v>
      </c>
      <c r="E3300" s="47"/>
      <c r="F3300" s="47"/>
      <c r="G3300" s="47"/>
      <c r="H3300" s="47" t="s">
        <v>3605</v>
      </c>
      <c r="I3300" s="47" t="s">
        <v>13047</v>
      </c>
    </row>
    <row r="3301" spans="1:9" ht="15">
      <c r="A3301" s="47" t="s">
        <v>13051</v>
      </c>
      <c r="B3301" s="47" t="s">
        <v>13052</v>
      </c>
      <c r="C3301" s="47" t="s">
        <v>13053</v>
      </c>
      <c r="D3301" s="47" t="s">
        <v>13054</v>
      </c>
      <c r="E3301" s="47"/>
      <c r="F3301" s="47"/>
      <c r="G3301" s="47"/>
      <c r="H3301" s="47" t="s">
        <v>3605</v>
      </c>
      <c r="I3301" s="47" t="s">
        <v>13051</v>
      </c>
    </row>
    <row r="3302" spans="1:9" ht="15">
      <c r="A3302" s="47" t="s">
        <v>13055</v>
      </c>
      <c r="B3302" s="47" t="s">
        <v>13056</v>
      </c>
      <c r="C3302" s="47" t="s">
        <v>13057</v>
      </c>
      <c r="D3302" s="47" t="s">
        <v>13058</v>
      </c>
      <c r="E3302" s="47"/>
      <c r="F3302" s="47"/>
      <c r="G3302" s="47"/>
      <c r="H3302" s="47" t="s">
        <v>3605</v>
      </c>
      <c r="I3302" s="47" t="s">
        <v>13055</v>
      </c>
    </row>
    <row r="3303" spans="1:9" ht="15">
      <c r="A3303" s="47" t="s">
        <v>13059</v>
      </c>
      <c r="B3303" s="47" t="s">
        <v>13060</v>
      </c>
      <c r="C3303" s="47" t="s">
        <v>13061</v>
      </c>
      <c r="D3303" s="47" t="s">
        <v>13062</v>
      </c>
      <c r="E3303" s="47"/>
      <c r="F3303" s="47"/>
      <c r="G3303" s="47"/>
      <c r="H3303" s="47" t="s">
        <v>3605</v>
      </c>
      <c r="I3303" s="47" t="s">
        <v>13059</v>
      </c>
    </row>
    <row r="3304" spans="1:9" ht="15">
      <c r="A3304" s="47" t="s">
        <v>13063</v>
      </c>
      <c r="B3304" s="47" t="s">
        <v>13064</v>
      </c>
      <c r="C3304" s="47" t="s">
        <v>13065</v>
      </c>
      <c r="D3304" s="47" t="s">
        <v>13066</v>
      </c>
      <c r="E3304" s="47"/>
      <c r="F3304" s="47"/>
      <c r="G3304" s="47"/>
      <c r="H3304" s="47" t="s">
        <v>3605</v>
      </c>
      <c r="I3304" s="47" t="s">
        <v>13063</v>
      </c>
    </row>
    <row r="3305" spans="1:9" ht="15">
      <c r="A3305" s="47" t="s">
        <v>13067</v>
      </c>
      <c r="B3305" s="47" t="s">
        <v>13068</v>
      </c>
      <c r="C3305" s="47" t="s">
        <v>13069</v>
      </c>
      <c r="D3305" s="47" t="s">
        <v>13070</v>
      </c>
      <c r="E3305" s="47"/>
      <c r="F3305" s="47"/>
      <c r="G3305" s="47"/>
      <c r="H3305" s="47" t="s">
        <v>3605</v>
      </c>
      <c r="I3305" s="47" t="s">
        <v>13067</v>
      </c>
    </row>
    <row r="3306" spans="1:9" ht="15">
      <c r="A3306" s="47" t="s">
        <v>13071</v>
      </c>
      <c r="B3306" s="47" t="s">
        <v>13072</v>
      </c>
      <c r="C3306" s="47" t="s">
        <v>13073</v>
      </c>
      <c r="D3306" s="47" t="s">
        <v>13074</v>
      </c>
      <c r="E3306" s="47"/>
      <c r="F3306" s="47"/>
      <c r="G3306" s="47"/>
      <c r="H3306" s="47" t="s">
        <v>3605</v>
      </c>
      <c r="I3306" s="47" t="s">
        <v>13071</v>
      </c>
    </row>
    <row r="3307" spans="1:9" ht="15">
      <c r="A3307" s="47" t="s">
        <v>13075</v>
      </c>
      <c r="B3307" s="47" t="s">
        <v>13076</v>
      </c>
      <c r="C3307" s="47" t="s">
        <v>13077</v>
      </c>
      <c r="D3307" s="47" t="s">
        <v>13078</v>
      </c>
      <c r="E3307" s="47"/>
      <c r="F3307" s="47"/>
      <c r="G3307" s="47"/>
      <c r="H3307" s="47" t="s">
        <v>3605</v>
      </c>
      <c r="I3307" s="47" t="s">
        <v>13075</v>
      </c>
    </row>
    <row r="3308" spans="1:9" ht="15">
      <c r="A3308" s="47" t="s">
        <v>13079</v>
      </c>
      <c r="B3308" s="47" t="s">
        <v>13080</v>
      </c>
      <c r="C3308" s="47" t="s">
        <v>13081</v>
      </c>
      <c r="D3308" s="47" t="s">
        <v>13082</v>
      </c>
      <c r="E3308" s="47"/>
      <c r="F3308" s="47"/>
      <c r="G3308" s="47"/>
      <c r="H3308" s="47" t="s">
        <v>3605</v>
      </c>
      <c r="I3308" s="47" t="s">
        <v>13079</v>
      </c>
    </row>
    <row r="3309" spans="1:9" ht="15">
      <c r="A3309" s="47" t="s">
        <v>13083</v>
      </c>
      <c r="B3309" s="47" t="s">
        <v>13084</v>
      </c>
      <c r="C3309" s="47" t="s">
        <v>13085</v>
      </c>
      <c r="D3309" s="47" t="s">
        <v>13086</v>
      </c>
      <c r="E3309" s="47"/>
      <c r="F3309" s="47"/>
      <c r="G3309" s="47"/>
      <c r="H3309" s="47" t="s">
        <v>3605</v>
      </c>
      <c r="I3309" s="47" t="s">
        <v>13083</v>
      </c>
    </row>
    <row r="3310" spans="1:9" ht="15">
      <c r="A3310" s="47" t="s">
        <v>13087</v>
      </c>
      <c r="B3310" s="47" t="s">
        <v>13088</v>
      </c>
      <c r="C3310" s="47" t="s">
        <v>13089</v>
      </c>
      <c r="D3310" s="47" t="s">
        <v>13090</v>
      </c>
      <c r="E3310" s="47"/>
      <c r="F3310" s="47"/>
      <c r="G3310" s="47"/>
      <c r="H3310" s="47" t="s">
        <v>3605</v>
      </c>
      <c r="I3310" s="47" t="s">
        <v>13087</v>
      </c>
    </row>
    <row r="3311" spans="1:9" ht="15">
      <c r="A3311" s="47" t="s">
        <v>2606</v>
      </c>
      <c r="B3311" s="47" t="s">
        <v>13091</v>
      </c>
      <c r="C3311" s="47" t="s">
        <v>13092</v>
      </c>
      <c r="D3311" s="47" t="s">
        <v>13093</v>
      </c>
      <c r="E3311" s="47"/>
      <c r="F3311" s="47"/>
      <c r="G3311" s="47"/>
      <c r="H3311" s="47" t="s">
        <v>3605</v>
      </c>
      <c r="I3311" s="47" t="s">
        <v>2606</v>
      </c>
    </row>
    <row r="3312" spans="1:9" ht="15">
      <c r="A3312" s="47" t="s">
        <v>2900</v>
      </c>
      <c r="B3312" s="47" t="s">
        <v>13094</v>
      </c>
      <c r="C3312" s="47" t="s">
        <v>13095</v>
      </c>
      <c r="D3312" s="47" t="s">
        <v>13096</v>
      </c>
      <c r="E3312" s="47"/>
      <c r="F3312" s="47"/>
      <c r="G3312" s="47"/>
      <c r="H3312" s="47" t="s">
        <v>3605</v>
      </c>
      <c r="I3312" s="47" t="s">
        <v>2900</v>
      </c>
    </row>
    <row r="3313" spans="1:9" ht="15">
      <c r="A3313" s="47" t="s">
        <v>1920</v>
      </c>
      <c r="B3313" s="47" t="s">
        <v>13097</v>
      </c>
      <c r="C3313" s="47" t="s">
        <v>13098</v>
      </c>
      <c r="D3313" s="47" t="s">
        <v>13099</v>
      </c>
      <c r="E3313" s="47"/>
      <c r="F3313" s="47" t="s">
        <v>3603</v>
      </c>
      <c r="G3313" s="47" t="s">
        <v>3604</v>
      </c>
      <c r="H3313" s="47" t="s">
        <v>3605</v>
      </c>
      <c r="I3313" s="47" t="s">
        <v>1920</v>
      </c>
    </row>
    <row r="3314" spans="1:9" ht="15">
      <c r="A3314" s="47" t="s">
        <v>13100</v>
      </c>
      <c r="B3314" s="47" t="s">
        <v>13101</v>
      </c>
      <c r="C3314" s="47" t="s">
        <v>13102</v>
      </c>
      <c r="D3314" s="47" t="s">
        <v>13103</v>
      </c>
      <c r="E3314" s="47"/>
      <c r="F3314" s="47"/>
      <c r="G3314" s="47"/>
      <c r="H3314" s="47" t="s">
        <v>3605</v>
      </c>
      <c r="I3314" s="47" t="s">
        <v>13100</v>
      </c>
    </row>
    <row r="3315" spans="1:9" ht="15">
      <c r="A3315" s="47" t="s">
        <v>13104</v>
      </c>
      <c r="B3315" s="47" t="s">
        <v>13105</v>
      </c>
      <c r="C3315" s="47" t="s">
        <v>13106</v>
      </c>
      <c r="D3315" s="47" t="s">
        <v>13107</v>
      </c>
      <c r="E3315" s="47"/>
      <c r="F3315" s="47"/>
      <c r="G3315" s="47"/>
      <c r="H3315" s="47" t="s">
        <v>3605</v>
      </c>
      <c r="I3315" s="47" t="s">
        <v>13104</v>
      </c>
    </row>
    <row r="3316" spans="1:9" ht="15">
      <c r="A3316" s="47" t="s">
        <v>13108</v>
      </c>
      <c r="B3316" s="47" t="s">
        <v>13109</v>
      </c>
      <c r="C3316" s="47" t="s">
        <v>13110</v>
      </c>
      <c r="D3316" s="47" t="s">
        <v>13111</v>
      </c>
      <c r="E3316" s="47"/>
      <c r="F3316" s="47"/>
      <c r="G3316" s="47"/>
      <c r="H3316" s="47" t="s">
        <v>3605</v>
      </c>
      <c r="I3316" s="47" t="s">
        <v>13108</v>
      </c>
    </row>
    <row r="3317" spans="1:9" ht="15">
      <c r="A3317" s="47" t="s">
        <v>1878</v>
      </c>
      <c r="B3317" s="47" t="s">
        <v>13112</v>
      </c>
      <c r="C3317" s="47" t="s">
        <v>13113</v>
      </c>
      <c r="D3317" s="47" t="s">
        <v>13114</v>
      </c>
      <c r="E3317" s="47"/>
      <c r="F3317" s="47" t="s">
        <v>3603</v>
      </c>
      <c r="G3317" s="47" t="s">
        <v>3604</v>
      </c>
      <c r="H3317" s="47" t="s">
        <v>3605</v>
      </c>
      <c r="I3317" s="47" t="s">
        <v>1878</v>
      </c>
    </row>
    <row r="3318" spans="1:9" ht="15">
      <c r="A3318" s="47" t="s">
        <v>2958</v>
      </c>
      <c r="B3318" s="47" t="s">
        <v>13115</v>
      </c>
      <c r="C3318" s="47" t="s">
        <v>13116</v>
      </c>
      <c r="D3318" s="47" t="s">
        <v>13117</v>
      </c>
      <c r="E3318" s="47"/>
      <c r="F3318" s="47"/>
      <c r="G3318" s="47"/>
      <c r="H3318" s="47" t="s">
        <v>3605</v>
      </c>
      <c r="I3318" s="47" t="s">
        <v>2958</v>
      </c>
    </row>
    <row r="3319" spans="1:9" ht="15">
      <c r="A3319" s="47" t="s">
        <v>13118</v>
      </c>
      <c r="B3319" s="47" t="s">
        <v>13119</v>
      </c>
      <c r="C3319" s="47" t="s">
        <v>13120</v>
      </c>
      <c r="D3319" s="47" t="s">
        <v>13121</v>
      </c>
      <c r="E3319" s="47"/>
      <c r="F3319" s="47"/>
      <c r="G3319" s="47"/>
      <c r="H3319" s="47" t="s">
        <v>3605</v>
      </c>
      <c r="I3319" s="47" t="s">
        <v>13118</v>
      </c>
    </row>
    <row r="3320" spans="1:9" ht="15">
      <c r="A3320" s="47" t="s">
        <v>13122</v>
      </c>
      <c r="B3320" s="47" t="s">
        <v>13123</v>
      </c>
      <c r="C3320" s="47" t="s">
        <v>13124</v>
      </c>
      <c r="D3320" s="47" t="s">
        <v>13125</v>
      </c>
      <c r="E3320" s="47"/>
      <c r="F3320" s="47" t="s">
        <v>13126</v>
      </c>
      <c r="G3320" s="47" t="s">
        <v>13127</v>
      </c>
      <c r="H3320" s="47" t="s">
        <v>3605</v>
      </c>
      <c r="I3320" s="47" t="s">
        <v>13122</v>
      </c>
    </row>
    <row r="3321" spans="1:9" ht="15">
      <c r="A3321" s="47" t="s">
        <v>13128</v>
      </c>
      <c r="B3321" s="47" t="s">
        <v>13129</v>
      </c>
      <c r="C3321" s="47" t="s">
        <v>13130</v>
      </c>
      <c r="D3321" s="47" t="s">
        <v>13131</v>
      </c>
      <c r="E3321" s="47"/>
      <c r="F3321" s="47"/>
      <c r="G3321" s="47"/>
      <c r="H3321" s="47" t="s">
        <v>3605</v>
      </c>
      <c r="I3321" s="47" t="s">
        <v>13128</v>
      </c>
    </row>
    <row r="3322" spans="1:9" ht="15">
      <c r="A3322" s="47" t="s">
        <v>13132</v>
      </c>
      <c r="B3322" s="47" t="s">
        <v>13133</v>
      </c>
      <c r="C3322" s="47" t="s">
        <v>13134</v>
      </c>
      <c r="D3322" s="47" t="s">
        <v>13135</v>
      </c>
      <c r="E3322" s="47"/>
      <c r="F3322" s="47"/>
      <c r="G3322" s="47"/>
      <c r="H3322" s="47" t="s">
        <v>3605</v>
      </c>
      <c r="I3322" s="47" t="s">
        <v>13132</v>
      </c>
    </row>
    <row r="3323" spans="1:9" ht="15">
      <c r="A3323" s="47" t="s">
        <v>638</v>
      </c>
      <c r="B3323" s="47" t="s">
        <v>13136</v>
      </c>
      <c r="C3323" s="47" t="s">
        <v>13137</v>
      </c>
      <c r="D3323" s="47" t="s">
        <v>13138</v>
      </c>
      <c r="E3323" s="47"/>
      <c r="F3323" s="47" t="s">
        <v>3603</v>
      </c>
      <c r="G3323" s="47" t="s">
        <v>3604</v>
      </c>
      <c r="H3323" s="47" t="s">
        <v>3605</v>
      </c>
      <c r="I3323" s="47" t="s">
        <v>638</v>
      </c>
    </row>
    <row r="3324" spans="1:9" ht="15">
      <c r="A3324" s="47" t="s">
        <v>2962</v>
      </c>
      <c r="B3324" s="47" t="s">
        <v>13139</v>
      </c>
      <c r="C3324" s="47" t="s">
        <v>13140</v>
      </c>
      <c r="D3324" s="47" t="s">
        <v>13141</v>
      </c>
      <c r="E3324" s="47"/>
      <c r="F3324" s="47"/>
      <c r="G3324" s="47"/>
      <c r="H3324" s="47" t="s">
        <v>3605</v>
      </c>
      <c r="I3324" s="47" t="s">
        <v>2962</v>
      </c>
    </row>
    <row r="3325" spans="1:9" ht="15">
      <c r="A3325" s="47" t="s">
        <v>13142</v>
      </c>
      <c r="B3325" s="47" t="s">
        <v>13143</v>
      </c>
      <c r="C3325" s="47" t="s">
        <v>13144</v>
      </c>
      <c r="D3325" s="47" t="s">
        <v>13145</v>
      </c>
      <c r="E3325" s="47"/>
      <c r="F3325" s="47"/>
      <c r="G3325" s="47"/>
      <c r="H3325" s="47" t="s">
        <v>3605</v>
      </c>
      <c r="I3325" s="47" t="s">
        <v>13142</v>
      </c>
    </row>
    <row r="3326" spans="1:9" ht="15">
      <c r="A3326" s="47" t="s">
        <v>13146</v>
      </c>
      <c r="B3326" s="47" t="s">
        <v>13147</v>
      </c>
      <c r="C3326" s="47" t="s">
        <v>13148</v>
      </c>
      <c r="D3326" s="47" t="s">
        <v>13149</v>
      </c>
      <c r="E3326" s="47"/>
      <c r="F3326" s="47"/>
      <c r="G3326" s="47"/>
      <c r="H3326" s="47" t="s">
        <v>3605</v>
      </c>
      <c r="I3326" s="47" t="s">
        <v>13146</v>
      </c>
    </row>
    <row r="3327" spans="1:9" ht="15">
      <c r="A3327" s="47" t="s">
        <v>640</v>
      </c>
      <c r="B3327" s="47" t="s">
        <v>13150</v>
      </c>
      <c r="C3327" s="47" t="s">
        <v>13151</v>
      </c>
      <c r="D3327" s="47" t="s">
        <v>13152</v>
      </c>
      <c r="E3327" s="47"/>
      <c r="F3327" s="47" t="s">
        <v>3603</v>
      </c>
      <c r="G3327" s="47" t="s">
        <v>3604</v>
      </c>
      <c r="H3327" s="47" t="s">
        <v>3605</v>
      </c>
      <c r="I3327" s="47" t="s">
        <v>640</v>
      </c>
    </row>
    <row r="3328" spans="1:9" ht="15">
      <c r="A3328" s="47" t="s">
        <v>13153</v>
      </c>
      <c r="B3328" s="47" t="s">
        <v>13154</v>
      </c>
      <c r="C3328" s="47" t="s">
        <v>13155</v>
      </c>
      <c r="D3328" s="47" t="s">
        <v>13156</v>
      </c>
      <c r="E3328" s="47"/>
      <c r="F3328" s="47"/>
      <c r="G3328" s="47"/>
      <c r="H3328" s="47" t="s">
        <v>3605</v>
      </c>
      <c r="I3328" s="47" t="s">
        <v>13153</v>
      </c>
    </row>
    <row r="3329" spans="1:9" ht="15">
      <c r="A3329" s="47">
        <v>7163</v>
      </c>
      <c r="B3329" s="47" t="s">
        <v>13157</v>
      </c>
      <c r="C3329" s="47" t="s">
        <v>13158</v>
      </c>
      <c r="D3329" s="47" t="s">
        <v>13159</v>
      </c>
      <c r="E3329" s="47"/>
      <c r="F3329" s="47"/>
      <c r="G3329" s="47"/>
      <c r="H3329" s="47" t="s">
        <v>3605</v>
      </c>
      <c r="I3329" s="47" t="s">
        <v>19680</v>
      </c>
    </row>
    <row r="3330" spans="1:9" ht="15">
      <c r="A3330" s="47" t="s">
        <v>641</v>
      </c>
      <c r="B3330" s="47" t="s">
        <v>13160</v>
      </c>
      <c r="C3330" s="47" t="s">
        <v>13161</v>
      </c>
      <c r="D3330" s="47" t="s">
        <v>13162</v>
      </c>
      <c r="E3330" s="47"/>
      <c r="F3330" s="47"/>
      <c r="G3330" s="47"/>
      <c r="H3330" s="47" t="s">
        <v>3605</v>
      </c>
      <c r="I3330" s="47" t="s">
        <v>641</v>
      </c>
    </row>
    <row r="3331" spans="1:9" ht="15">
      <c r="A3331" s="47" t="s">
        <v>13163</v>
      </c>
      <c r="B3331" s="47" t="s">
        <v>13164</v>
      </c>
      <c r="C3331" s="47" t="s">
        <v>13165</v>
      </c>
      <c r="D3331" s="47" t="s">
        <v>13166</v>
      </c>
      <c r="E3331" s="47"/>
      <c r="F3331" s="47"/>
      <c r="G3331" s="47"/>
      <c r="H3331" s="47" t="s">
        <v>3605</v>
      </c>
      <c r="I3331" s="47" t="s">
        <v>13163</v>
      </c>
    </row>
    <row r="3332" spans="1:9" ht="15">
      <c r="A3332" s="47" t="s">
        <v>643</v>
      </c>
      <c r="B3332" s="47" t="s">
        <v>13167</v>
      </c>
      <c r="C3332" s="47" t="s">
        <v>13168</v>
      </c>
      <c r="D3332" s="47" t="s">
        <v>13169</v>
      </c>
      <c r="E3332" s="47"/>
      <c r="F3332" s="47" t="s">
        <v>3603</v>
      </c>
      <c r="G3332" s="47" t="s">
        <v>3604</v>
      </c>
      <c r="H3332" s="47" t="s">
        <v>3605</v>
      </c>
      <c r="I3332" s="47" t="s">
        <v>643</v>
      </c>
    </row>
    <row r="3333" spans="1:9" ht="15">
      <c r="A3333" s="47" t="s">
        <v>13170</v>
      </c>
      <c r="B3333" s="47" t="s">
        <v>13171</v>
      </c>
      <c r="C3333" s="47" t="s">
        <v>13172</v>
      </c>
      <c r="D3333" s="47" t="s">
        <v>13169</v>
      </c>
      <c r="E3333" s="47"/>
      <c r="F3333" s="47"/>
      <c r="G3333" s="47"/>
      <c r="H3333" s="47" t="s">
        <v>3605</v>
      </c>
      <c r="I3333" s="47" t="s">
        <v>13170</v>
      </c>
    </row>
    <row r="3334" spans="1:9" ht="15">
      <c r="A3334" s="47">
        <v>7086</v>
      </c>
      <c r="B3334" s="47" t="s">
        <v>13173</v>
      </c>
      <c r="C3334" s="47" t="s">
        <v>13174</v>
      </c>
      <c r="D3334" s="47" t="s">
        <v>13175</v>
      </c>
      <c r="E3334" s="47"/>
      <c r="F3334" s="47"/>
      <c r="G3334" s="47"/>
      <c r="H3334" s="47" t="s">
        <v>3605</v>
      </c>
      <c r="I3334" s="47" t="s">
        <v>19681</v>
      </c>
    </row>
    <row r="3335" spans="1:9" ht="15">
      <c r="A3335" s="47" t="s">
        <v>1928</v>
      </c>
      <c r="B3335" s="47" t="s">
        <v>13176</v>
      </c>
      <c r="C3335" s="47" t="s">
        <v>13177</v>
      </c>
      <c r="D3335" s="47" t="s">
        <v>13178</v>
      </c>
      <c r="E3335" s="47"/>
      <c r="F3335" s="47"/>
      <c r="G3335" s="47"/>
      <c r="H3335" s="47" t="s">
        <v>3605</v>
      </c>
      <c r="I3335" s="47" t="s">
        <v>1928</v>
      </c>
    </row>
    <row r="3336" spans="1:9" ht="15">
      <c r="A3336" s="47" t="s">
        <v>13179</v>
      </c>
      <c r="B3336" s="47" t="s">
        <v>13180</v>
      </c>
      <c r="C3336" s="47" t="s">
        <v>13181</v>
      </c>
      <c r="D3336" s="47" t="s">
        <v>13182</v>
      </c>
      <c r="E3336" s="47"/>
      <c r="F3336" s="47"/>
      <c r="G3336" s="47"/>
      <c r="H3336" s="47" t="s">
        <v>3605</v>
      </c>
      <c r="I3336" s="47" t="s">
        <v>13179</v>
      </c>
    </row>
    <row r="3337" spans="1:9" ht="15">
      <c r="A3337" s="47" t="s">
        <v>676</v>
      </c>
      <c r="B3337" s="47" t="s">
        <v>13183</v>
      </c>
      <c r="C3337" s="47" t="s">
        <v>13184</v>
      </c>
      <c r="D3337" s="47" t="s">
        <v>13185</v>
      </c>
      <c r="E3337" s="47"/>
      <c r="F3337" s="47" t="s">
        <v>3759</v>
      </c>
      <c r="G3337" s="47" t="s">
        <v>3760</v>
      </c>
      <c r="H3337" s="47" t="s">
        <v>3605</v>
      </c>
      <c r="I3337" s="47" t="s">
        <v>676</v>
      </c>
    </row>
    <row r="3338" spans="1:9" ht="15">
      <c r="A3338" s="47">
        <v>7223</v>
      </c>
      <c r="B3338" s="47" t="s">
        <v>13186</v>
      </c>
      <c r="C3338" s="47" t="s">
        <v>13187</v>
      </c>
      <c r="D3338" s="47" t="s">
        <v>13188</v>
      </c>
      <c r="E3338" s="47"/>
      <c r="F3338" s="47"/>
      <c r="G3338" s="47"/>
      <c r="H3338" s="47" t="s">
        <v>3605</v>
      </c>
      <c r="I3338" s="47" t="s">
        <v>19682</v>
      </c>
    </row>
    <row r="3339" spans="1:9" ht="15">
      <c r="A3339" s="47" t="s">
        <v>677</v>
      </c>
      <c r="B3339" s="47" t="s">
        <v>13189</v>
      </c>
      <c r="C3339" s="47" t="s">
        <v>13190</v>
      </c>
      <c r="D3339" s="47" t="s">
        <v>13191</v>
      </c>
      <c r="E3339" s="47"/>
      <c r="F3339" s="47"/>
      <c r="G3339" s="47"/>
      <c r="H3339" s="47" t="s">
        <v>3605</v>
      </c>
      <c r="I3339" s="47" t="s">
        <v>677</v>
      </c>
    </row>
    <row r="3340" spans="1:9" ht="15">
      <c r="A3340" s="47">
        <v>7091</v>
      </c>
      <c r="B3340" s="47" t="s">
        <v>13192</v>
      </c>
      <c r="C3340" s="47" t="s">
        <v>13193</v>
      </c>
      <c r="D3340" s="47" t="s">
        <v>13194</v>
      </c>
      <c r="E3340" s="47"/>
      <c r="F3340" s="47"/>
      <c r="G3340" s="47"/>
      <c r="H3340" s="47" t="s">
        <v>3605</v>
      </c>
      <c r="I3340" s="47" t="s">
        <v>19683</v>
      </c>
    </row>
    <row r="3341" spans="1:9" ht="15">
      <c r="A3341" s="47" t="s">
        <v>13195</v>
      </c>
      <c r="B3341" s="47" t="s">
        <v>13196</v>
      </c>
      <c r="C3341" s="47" t="s">
        <v>13197</v>
      </c>
      <c r="D3341" s="47" t="s">
        <v>13198</v>
      </c>
      <c r="E3341" s="47"/>
      <c r="F3341" s="47"/>
      <c r="G3341" s="47"/>
      <c r="H3341" s="47" t="s">
        <v>3605</v>
      </c>
      <c r="I3341" s="47" t="s">
        <v>13195</v>
      </c>
    </row>
    <row r="3342" spans="1:9" ht="15">
      <c r="A3342" s="47" t="s">
        <v>13199</v>
      </c>
      <c r="B3342" s="47" t="s">
        <v>13200</v>
      </c>
      <c r="C3342" s="47" t="s">
        <v>13201</v>
      </c>
      <c r="D3342" s="47" t="s">
        <v>13202</v>
      </c>
      <c r="E3342" s="47"/>
      <c r="F3342" s="47"/>
      <c r="G3342" s="47"/>
      <c r="H3342" s="47" t="s">
        <v>3605</v>
      </c>
      <c r="I3342" s="47" t="s">
        <v>13199</v>
      </c>
    </row>
    <row r="3343" spans="1:9" ht="15">
      <c r="A3343" s="47" t="s">
        <v>13203</v>
      </c>
      <c r="B3343" s="47" t="s">
        <v>13204</v>
      </c>
      <c r="C3343" s="47" t="s">
        <v>13205</v>
      </c>
      <c r="D3343" s="47" t="s">
        <v>13206</v>
      </c>
      <c r="E3343" s="47"/>
      <c r="F3343" s="47"/>
      <c r="G3343" s="47"/>
      <c r="H3343" s="47" t="s">
        <v>3605</v>
      </c>
      <c r="I3343" s="47" t="s">
        <v>13203</v>
      </c>
    </row>
    <row r="3344" spans="1:9" ht="15">
      <c r="A3344" s="47" t="s">
        <v>13207</v>
      </c>
      <c r="B3344" s="47" t="s">
        <v>13208</v>
      </c>
      <c r="C3344" s="47" t="s">
        <v>13209</v>
      </c>
      <c r="D3344" s="47" t="s">
        <v>13210</v>
      </c>
      <c r="E3344" s="47"/>
      <c r="F3344" s="47"/>
      <c r="G3344" s="47"/>
      <c r="H3344" s="47" t="s">
        <v>3605</v>
      </c>
      <c r="I3344" s="47" t="s">
        <v>13207</v>
      </c>
    </row>
    <row r="3345" spans="1:9" ht="15">
      <c r="A3345" s="47" t="s">
        <v>2993</v>
      </c>
      <c r="B3345" s="47" t="s">
        <v>13211</v>
      </c>
      <c r="C3345" s="47" t="s">
        <v>13212</v>
      </c>
      <c r="D3345" s="47" t="s">
        <v>13213</v>
      </c>
      <c r="E3345" s="47"/>
      <c r="F3345" s="47"/>
      <c r="G3345" s="47"/>
      <c r="H3345" s="47" t="s">
        <v>3605</v>
      </c>
      <c r="I3345" s="47" t="s">
        <v>2993</v>
      </c>
    </row>
    <row r="3346" spans="1:9" ht="15">
      <c r="A3346" s="47">
        <v>787720</v>
      </c>
      <c r="B3346" s="47" t="s">
        <v>13214</v>
      </c>
      <c r="C3346" s="47" t="s">
        <v>13215</v>
      </c>
      <c r="D3346" s="47" t="s">
        <v>13216</v>
      </c>
      <c r="E3346" s="47"/>
      <c r="F3346" s="47"/>
      <c r="G3346" s="47"/>
      <c r="H3346" s="47" t="s">
        <v>3605</v>
      </c>
      <c r="I3346" s="47" t="s">
        <v>19684</v>
      </c>
    </row>
    <row r="3347" spans="1:9" ht="15">
      <c r="A3347" s="47">
        <v>30000</v>
      </c>
      <c r="B3347" s="47" t="s">
        <v>13217</v>
      </c>
      <c r="C3347" s="47" t="s">
        <v>13218</v>
      </c>
      <c r="D3347" s="47" t="s">
        <v>13219</v>
      </c>
      <c r="E3347" s="47" t="s">
        <v>13220</v>
      </c>
      <c r="F3347" s="47"/>
      <c r="G3347" s="47"/>
      <c r="H3347" s="47" t="s">
        <v>13221</v>
      </c>
      <c r="I3347" s="47" t="s">
        <v>19685</v>
      </c>
    </row>
    <row r="3348" spans="1:9" ht="15">
      <c r="A3348" s="47" t="s">
        <v>13222</v>
      </c>
      <c r="B3348" s="47" t="s">
        <v>13223</v>
      </c>
      <c r="C3348" s="47" t="s">
        <v>13218</v>
      </c>
      <c r="D3348" s="47" t="s">
        <v>13224</v>
      </c>
      <c r="E3348" s="47" t="s">
        <v>13225</v>
      </c>
      <c r="F3348" s="47"/>
      <c r="G3348" s="47"/>
      <c r="H3348" s="47" t="s">
        <v>13221</v>
      </c>
      <c r="I3348" s="47" t="s">
        <v>13222</v>
      </c>
    </row>
    <row r="3349" spans="1:9" ht="15">
      <c r="A3349" s="47">
        <v>93000</v>
      </c>
      <c r="B3349" s="47" t="s">
        <v>13226</v>
      </c>
      <c r="C3349" s="47" t="s">
        <v>13218</v>
      </c>
      <c r="D3349" s="47" t="s">
        <v>13227</v>
      </c>
      <c r="E3349" s="47" t="s">
        <v>13228</v>
      </c>
      <c r="F3349" s="47"/>
      <c r="G3349" s="47"/>
      <c r="H3349" s="47" t="s">
        <v>13221</v>
      </c>
      <c r="I3349" s="47" t="s">
        <v>19686</v>
      </c>
    </row>
    <row r="3350" spans="1:9" ht="15">
      <c r="A3350" s="47">
        <v>93600</v>
      </c>
      <c r="B3350" s="47" t="s">
        <v>13229</v>
      </c>
      <c r="C3350" s="47" t="s">
        <v>13218</v>
      </c>
      <c r="D3350" s="47" t="s">
        <v>13230</v>
      </c>
      <c r="E3350" s="47" t="s">
        <v>13231</v>
      </c>
      <c r="F3350" s="47"/>
      <c r="G3350" s="47"/>
      <c r="H3350" s="47" t="s">
        <v>13221</v>
      </c>
      <c r="I3350" s="47" t="s">
        <v>19687</v>
      </c>
    </row>
    <row r="3351" spans="1:9" ht="15">
      <c r="A3351" s="47" t="s">
        <v>3271</v>
      </c>
      <c r="B3351" s="47" t="s">
        <v>13232</v>
      </c>
      <c r="C3351" s="47" t="s">
        <v>13218</v>
      </c>
      <c r="D3351" s="47" t="s">
        <v>13233</v>
      </c>
      <c r="E3351" s="47" t="s">
        <v>13234</v>
      </c>
      <c r="F3351" s="47"/>
      <c r="G3351" s="47"/>
      <c r="H3351" s="47" t="s">
        <v>13221</v>
      </c>
      <c r="I3351" s="47" t="s">
        <v>3271</v>
      </c>
    </row>
    <row r="3352" spans="1:9" ht="15">
      <c r="A3352" s="47" t="s">
        <v>2935</v>
      </c>
      <c r="B3352" s="47" t="s">
        <v>13235</v>
      </c>
      <c r="C3352" s="47" t="s">
        <v>13218</v>
      </c>
      <c r="D3352" s="47" t="s">
        <v>13236</v>
      </c>
      <c r="E3352" s="47" t="s">
        <v>13237</v>
      </c>
      <c r="F3352" s="47"/>
      <c r="G3352" s="47"/>
      <c r="H3352" s="47" t="s">
        <v>13221</v>
      </c>
      <c r="I3352" s="47" t="s">
        <v>2935</v>
      </c>
    </row>
    <row r="3353" spans="1:9" ht="15">
      <c r="A3353" s="47">
        <v>50000</v>
      </c>
      <c r="B3353" s="47"/>
      <c r="C3353" s="47" t="s">
        <v>5505</v>
      </c>
      <c r="D3353" s="47"/>
      <c r="E3353" s="47"/>
      <c r="F3353" s="47"/>
      <c r="G3353" s="47"/>
      <c r="H3353" s="47"/>
      <c r="I3353" s="47" t="s">
        <v>19688</v>
      </c>
    </row>
    <row r="3354" spans="1:9" ht="15">
      <c r="A3354" s="48">
        <v>10193</v>
      </c>
      <c r="B3354" s="48" t="s">
        <v>19689</v>
      </c>
      <c r="C3354" s="48" t="s">
        <v>18175</v>
      </c>
      <c r="D3354" s="48" t="s">
        <v>19690</v>
      </c>
      <c r="E3354" s="48"/>
      <c r="F3354" s="48"/>
      <c r="G3354" s="48"/>
      <c r="H3354" s="48"/>
      <c r="I3354" s="47" t="s">
        <v>19691</v>
      </c>
    </row>
    <row r="3355" spans="1:9" ht="15">
      <c r="A3355" s="48" t="s">
        <v>10278</v>
      </c>
      <c r="B3355" s="48" t="s">
        <v>10279</v>
      </c>
      <c r="C3355" s="48" t="s">
        <v>10280</v>
      </c>
      <c r="D3355" s="48" t="s">
        <v>10281</v>
      </c>
      <c r="E3355" s="48"/>
      <c r="F3355" s="48"/>
      <c r="G3355" s="48"/>
      <c r="H3355" s="48"/>
      <c r="I3355" s="47" t="s">
        <v>10278</v>
      </c>
    </row>
    <row r="3356" spans="1:9" ht="15">
      <c r="A3356" s="48">
        <v>10194</v>
      </c>
      <c r="B3356" s="48" t="s">
        <v>19692</v>
      </c>
      <c r="C3356" s="48" t="s">
        <v>18176</v>
      </c>
      <c r="D3356" s="48" t="s">
        <v>19693</v>
      </c>
      <c r="E3356" s="48"/>
      <c r="F3356" s="48"/>
      <c r="G3356" s="48"/>
      <c r="H3356" s="48"/>
      <c r="I3356" s="47" t="s">
        <v>19694</v>
      </c>
    </row>
    <row r="3357" spans="1:9" ht="15">
      <c r="A3357" s="48" t="s">
        <v>9432</v>
      </c>
      <c r="B3357" s="48" t="s">
        <v>9433</v>
      </c>
      <c r="C3357" s="48" t="s">
        <v>9434</v>
      </c>
      <c r="D3357" s="48" t="s">
        <v>9435</v>
      </c>
      <c r="E3357" s="48"/>
      <c r="F3357" s="48"/>
      <c r="G3357" s="48"/>
      <c r="H3357" s="48"/>
      <c r="I3357" s="47" t="s">
        <v>9432</v>
      </c>
    </row>
    <row r="3358" spans="1:9" ht="15">
      <c r="A3358" s="48">
        <v>10196</v>
      </c>
      <c r="B3358" s="48" t="s">
        <v>19695</v>
      </c>
      <c r="C3358" s="48" t="s">
        <v>18177</v>
      </c>
      <c r="D3358" s="48" t="s">
        <v>19696</v>
      </c>
      <c r="E3358" s="48"/>
      <c r="F3358" s="48"/>
      <c r="G3358" s="48"/>
      <c r="H3358" s="48"/>
      <c r="I3358" s="47" t="s">
        <v>19697</v>
      </c>
    </row>
    <row r="3359" spans="1:9" ht="15">
      <c r="A3359" s="48">
        <v>10184</v>
      </c>
      <c r="B3359" s="48" t="s">
        <v>19698</v>
      </c>
      <c r="C3359" s="48" t="s">
        <v>18173</v>
      </c>
      <c r="D3359" s="48" t="s">
        <v>19699</v>
      </c>
      <c r="E3359" s="48"/>
      <c r="F3359" s="48"/>
      <c r="G3359" s="48"/>
      <c r="H3359" s="48"/>
      <c r="I3359" s="47" t="s">
        <v>19700</v>
      </c>
    </row>
    <row r="3360" spans="1:9" ht="15">
      <c r="A3360" s="48" t="s">
        <v>12919</v>
      </c>
      <c r="B3360" s="48" t="s">
        <v>12920</v>
      </c>
      <c r="C3360" s="48" t="s">
        <v>12921</v>
      </c>
      <c r="D3360" s="48" t="s">
        <v>12922</v>
      </c>
      <c r="E3360" s="48"/>
      <c r="F3360" s="48"/>
      <c r="G3360" s="48"/>
      <c r="H3360" s="48"/>
      <c r="I3360" s="47" t="s">
        <v>12919</v>
      </c>
    </row>
    <row r="3361" spans="1:9" ht="15">
      <c r="A3361" s="48">
        <v>10339</v>
      </c>
      <c r="B3361" s="48" t="s">
        <v>19701</v>
      </c>
      <c r="C3361" s="48" t="s">
        <v>18179</v>
      </c>
      <c r="D3361" s="48" t="s">
        <v>19702</v>
      </c>
      <c r="E3361" s="48"/>
      <c r="F3361" s="48"/>
      <c r="G3361" s="48"/>
      <c r="H3361" s="48"/>
      <c r="I3361" s="47" t="s">
        <v>19703</v>
      </c>
    </row>
    <row r="3362" spans="1:9" ht="15">
      <c r="A3362" s="48">
        <v>10169</v>
      </c>
      <c r="B3362" s="48" t="s">
        <v>19704</v>
      </c>
      <c r="C3362" s="48" t="s">
        <v>18169</v>
      </c>
      <c r="D3362" s="48" t="s">
        <v>19705</v>
      </c>
      <c r="E3362" s="48"/>
      <c r="F3362" s="48"/>
      <c r="G3362" s="48"/>
      <c r="H3362" s="48"/>
      <c r="I3362" s="47" t="s">
        <v>19706</v>
      </c>
    </row>
    <row r="3363" spans="1:9" ht="15">
      <c r="A3363" s="48">
        <v>10190</v>
      </c>
      <c r="B3363" s="48" t="s">
        <v>19707</v>
      </c>
      <c r="C3363" s="48" t="s">
        <v>18171</v>
      </c>
      <c r="D3363" s="48" t="s">
        <v>19708</v>
      </c>
      <c r="E3363" s="48"/>
      <c r="F3363" s="48"/>
      <c r="G3363" s="48"/>
      <c r="H3363" s="48"/>
      <c r="I3363" s="47" t="s">
        <v>19709</v>
      </c>
    </row>
    <row r="3364" spans="1:9" ht="15">
      <c r="A3364" s="48" t="s">
        <v>9428</v>
      </c>
      <c r="B3364" s="48" t="s">
        <v>9429</v>
      </c>
      <c r="C3364" s="48" t="s">
        <v>9430</v>
      </c>
      <c r="D3364" s="48" t="s">
        <v>9431</v>
      </c>
      <c r="E3364" s="48"/>
      <c r="F3364" s="48"/>
      <c r="G3364" s="48"/>
      <c r="H3364" s="48"/>
      <c r="I3364" s="47" t="s">
        <v>9428</v>
      </c>
    </row>
    <row r="3365" spans="1:9" ht="15">
      <c r="A3365" s="48" t="s">
        <v>10318</v>
      </c>
      <c r="B3365" s="48" t="s">
        <v>10319</v>
      </c>
      <c r="C3365" s="48" t="s">
        <v>10320</v>
      </c>
      <c r="D3365" s="48" t="s">
        <v>10321</v>
      </c>
      <c r="E3365" s="48"/>
      <c r="F3365" s="48"/>
      <c r="G3365" s="48"/>
      <c r="H3365" s="48"/>
      <c r="I3365" s="47" t="s">
        <v>10318</v>
      </c>
    </row>
    <row r="3366" spans="1:9" ht="15">
      <c r="A3366" s="48">
        <v>10188</v>
      </c>
      <c r="B3366" s="48" t="s">
        <v>19710</v>
      </c>
      <c r="C3366" s="48" t="s">
        <v>18170</v>
      </c>
      <c r="D3366" s="48" t="s">
        <v>19711</v>
      </c>
      <c r="E3366" s="48"/>
      <c r="F3366" s="48"/>
      <c r="G3366" s="48"/>
      <c r="H3366" s="48"/>
      <c r="I3366" s="47" t="s">
        <v>19712</v>
      </c>
    </row>
    <row r="3367" spans="1:9" ht="15">
      <c r="A3367" s="48" t="s">
        <v>10310</v>
      </c>
      <c r="B3367" s="48" t="s">
        <v>10311</v>
      </c>
      <c r="C3367" s="48" t="s">
        <v>10312</v>
      </c>
      <c r="D3367" s="48" t="s">
        <v>10313</v>
      </c>
      <c r="E3367" s="48"/>
      <c r="F3367" s="48"/>
      <c r="G3367" s="48"/>
      <c r="H3367" s="48"/>
      <c r="I3367" s="47" t="s">
        <v>10310</v>
      </c>
    </row>
    <row r="3368" spans="1:9" ht="15">
      <c r="A3368" s="48">
        <v>10192</v>
      </c>
      <c r="B3368" s="48" t="s">
        <v>19713</v>
      </c>
      <c r="C3368" s="48" t="s">
        <v>18172</v>
      </c>
      <c r="D3368" s="48" t="s">
        <v>19714</v>
      </c>
      <c r="E3368" s="48"/>
      <c r="F3368" s="48"/>
      <c r="G3368" s="48"/>
      <c r="H3368" s="48"/>
      <c r="I3368" s="47" t="s">
        <v>19715</v>
      </c>
    </row>
    <row r="3369" spans="1:9" ht="15">
      <c r="A3369" s="48" t="s">
        <v>13075</v>
      </c>
      <c r="B3369" s="48" t="s">
        <v>13076</v>
      </c>
      <c r="C3369" s="48" t="s">
        <v>13077</v>
      </c>
      <c r="D3369" s="48" t="s">
        <v>13078</v>
      </c>
      <c r="E3369" s="48"/>
      <c r="F3369" s="48"/>
      <c r="G3369" s="48"/>
      <c r="H3369" s="48"/>
      <c r="I3369" s="47" t="s">
        <v>13075</v>
      </c>
    </row>
    <row r="3370" spans="1:9" ht="15">
      <c r="A3370" s="48" t="s">
        <v>9861</v>
      </c>
      <c r="B3370" s="48" t="s">
        <v>9862</v>
      </c>
      <c r="C3370" s="48" t="s">
        <v>9863</v>
      </c>
      <c r="D3370" s="48" t="s">
        <v>9864</v>
      </c>
      <c r="E3370" s="48"/>
      <c r="F3370" s="48"/>
      <c r="G3370" s="48"/>
      <c r="H3370" s="48"/>
      <c r="I3370" s="47" t="s">
        <v>9861</v>
      </c>
    </row>
    <row r="3371" spans="1:9" ht="15">
      <c r="A3371" s="48">
        <v>73012</v>
      </c>
      <c r="B3371" s="48" t="s">
        <v>19716</v>
      </c>
      <c r="C3371" s="48" t="s">
        <v>18185</v>
      </c>
      <c r="D3371" s="48" t="s">
        <v>19717</v>
      </c>
      <c r="E3371" s="48"/>
      <c r="F3371" s="48"/>
      <c r="G3371" s="48"/>
      <c r="H3371" s="48"/>
      <c r="I3371" s="47" t="s">
        <v>19718</v>
      </c>
    </row>
    <row r="3372" spans="1:9" ht="15">
      <c r="A3372" s="48">
        <v>51965</v>
      </c>
      <c r="B3372" s="48" t="s">
        <v>19719</v>
      </c>
      <c r="C3372" s="48" t="s">
        <v>18178</v>
      </c>
      <c r="D3372" s="48" t="s">
        <v>19720</v>
      </c>
      <c r="E3372" s="48"/>
      <c r="F3372" s="48"/>
      <c r="G3372" s="48"/>
      <c r="H3372" s="48"/>
      <c r="I3372" s="47" t="s">
        <v>19721</v>
      </c>
    </row>
    <row r="3373" spans="1:9" ht="15">
      <c r="A3373" s="48" t="s">
        <v>19722</v>
      </c>
      <c r="B3373" s="48" t="s">
        <v>19723</v>
      </c>
      <c r="C3373" s="48" t="s">
        <v>18188</v>
      </c>
      <c r="D3373" s="48" t="s">
        <v>19724</v>
      </c>
      <c r="E3373" s="48"/>
      <c r="F3373" s="48"/>
      <c r="G3373" s="48"/>
      <c r="H3373" s="48"/>
      <c r="I3373" s="47" t="s">
        <v>19722</v>
      </c>
    </row>
    <row r="3374" spans="1:9" ht="15">
      <c r="A3374" s="48" t="s">
        <v>19725</v>
      </c>
      <c r="B3374" s="48" t="s">
        <v>19726</v>
      </c>
      <c r="C3374" s="48" t="s">
        <v>18187</v>
      </c>
      <c r="D3374" s="48" t="s">
        <v>19727</v>
      </c>
      <c r="E3374" s="48"/>
      <c r="F3374" s="48"/>
      <c r="G3374" s="48"/>
      <c r="H3374" s="48"/>
      <c r="I3374" s="47" t="s">
        <v>19725</v>
      </c>
    </row>
    <row r="3375" spans="1:9" ht="15">
      <c r="A3375" s="48" t="s">
        <v>19728</v>
      </c>
      <c r="B3375" s="48" t="s">
        <v>19729</v>
      </c>
      <c r="C3375" s="48" t="s">
        <v>18186</v>
      </c>
      <c r="D3375" s="48" t="s">
        <v>19730</v>
      </c>
      <c r="E3375" s="48"/>
      <c r="F3375" s="48"/>
      <c r="G3375" s="48"/>
      <c r="H3375" s="48"/>
      <c r="I3375" s="47" t="s">
        <v>19728</v>
      </c>
    </row>
    <row r="3376" spans="1:9" ht="15">
      <c r="A3376" s="48">
        <v>10191</v>
      </c>
      <c r="B3376" s="48" t="s">
        <v>19731</v>
      </c>
      <c r="C3376" s="48" t="s">
        <v>18174</v>
      </c>
      <c r="D3376" s="48" t="s">
        <v>19732</v>
      </c>
      <c r="E3376" s="48"/>
      <c r="F3376" s="48"/>
      <c r="G3376" s="48"/>
      <c r="H3376" s="48"/>
      <c r="I3376" s="47" t="s">
        <v>19781</v>
      </c>
    </row>
    <row r="3377" spans="1:9" ht="15">
      <c r="A3377" s="48" t="s">
        <v>19733</v>
      </c>
      <c r="B3377" s="48" t="s">
        <v>19734</v>
      </c>
      <c r="C3377" s="48" t="s">
        <v>18189</v>
      </c>
      <c r="D3377" s="48" t="s">
        <v>19735</v>
      </c>
      <c r="E3377" s="48"/>
      <c r="F3377" s="48"/>
      <c r="G3377" s="48"/>
      <c r="H3377" s="48"/>
      <c r="I3377" s="47" t="s">
        <v>19733</v>
      </c>
    </row>
    <row r="3378" spans="1:9" ht="15">
      <c r="A3378" s="48">
        <v>104325</v>
      </c>
      <c r="B3378" s="48" t="s">
        <v>19736</v>
      </c>
      <c r="C3378" s="48" t="s">
        <v>18182</v>
      </c>
      <c r="D3378" s="48" t="s">
        <v>19737</v>
      </c>
      <c r="E3378" s="48"/>
      <c r="F3378" s="48"/>
      <c r="G3378" s="48"/>
      <c r="H3378" s="48"/>
      <c r="I3378" s="47" t="s">
        <v>19782</v>
      </c>
    </row>
    <row r="3379" spans="1:9" ht="15">
      <c r="A3379" s="48">
        <v>104324</v>
      </c>
      <c r="B3379" s="48" t="s">
        <v>19738</v>
      </c>
      <c r="C3379" s="48" t="s">
        <v>18181</v>
      </c>
      <c r="D3379" s="48" t="s">
        <v>19739</v>
      </c>
      <c r="E3379" s="48"/>
      <c r="F3379" s="48"/>
      <c r="G3379" s="48"/>
      <c r="H3379" s="48"/>
      <c r="I3379" s="47" t="s">
        <v>19783</v>
      </c>
    </row>
    <row r="3380" spans="1:9" ht="15">
      <c r="A3380" s="47" t="s">
        <v>1938</v>
      </c>
      <c r="B3380" s="47" t="s">
        <v>9140</v>
      </c>
      <c r="C3380" s="47" t="s">
        <v>9141</v>
      </c>
      <c r="D3380" s="47" t="s">
        <v>9127</v>
      </c>
      <c r="E3380" s="47"/>
      <c r="F3380" s="47" t="s">
        <v>3603</v>
      </c>
      <c r="G3380" s="47" t="s">
        <v>3604</v>
      </c>
      <c r="H3380" s="47" t="s">
        <v>3605</v>
      </c>
      <c r="I3380" s="47" t="s">
        <v>1938</v>
      </c>
    </row>
    <row r="3381" spans="1:9" ht="15">
      <c r="A3381" s="47" t="s">
        <v>19740</v>
      </c>
      <c r="B3381" s="47" t="s">
        <v>19741</v>
      </c>
      <c r="C3381" s="47" t="s">
        <v>19742</v>
      </c>
      <c r="D3381" s="47" t="s">
        <v>19743</v>
      </c>
      <c r="E3381" s="47"/>
      <c r="F3381" s="47"/>
      <c r="G3381" s="47"/>
      <c r="H3381" s="47"/>
      <c r="I3381" s="47" t="s">
        <v>19740</v>
      </c>
    </row>
    <row r="3382" spans="1:9" ht="15">
      <c r="A3382" s="47" t="s">
        <v>19744</v>
      </c>
      <c r="B3382" s="47" t="s">
        <v>19745</v>
      </c>
      <c r="C3382" s="47" t="s">
        <v>19746</v>
      </c>
      <c r="D3382" s="47" t="s">
        <v>19747</v>
      </c>
      <c r="E3382" s="47"/>
      <c r="F3382" s="47"/>
      <c r="G3382" s="47"/>
      <c r="H3382" s="47"/>
      <c r="I3382" s="47" t="s">
        <v>19744</v>
      </c>
    </row>
    <row r="3383" spans="1:9" ht="15">
      <c r="A3383" s="47" t="s">
        <v>19748</v>
      </c>
      <c r="B3383" s="47" t="s">
        <v>19749</v>
      </c>
      <c r="C3383" s="47" t="s">
        <v>18190</v>
      </c>
      <c r="D3383" s="47" t="s">
        <v>19750</v>
      </c>
      <c r="E3383" s="47"/>
      <c r="F3383" s="47"/>
      <c r="G3383" s="47"/>
      <c r="H3383" s="47"/>
      <c r="I3383" s="47" t="s">
        <v>19748</v>
      </c>
    </row>
    <row r="3384" spans="1:9" ht="15">
      <c r="A3384" s="47" t="s">
        <v>19751</v>
      </c>
      <c r="B3384" s="47" t="s">
        <v>19752</v>
      </c>
      <c r="C3384" s="47" t="s">
        <v>19753</v>
      </c>
      <c r="D3384" s="47" t="s">
        <v>19754</v>
      </c>
      <c r="E3384" s="47"/>
      <c r="F3384" s="47"/>
      <c r="G3384" s="47"/>
      <c r="H3384" s="47"/>
      <c r="I3384" s="47" t="s">
        <v>19751</v>
      </c>
    </row>
    <row r="3385" spans="1:9" ht="15">
      <c r="A3385" s="47" t="s">
        <v>19755</v>
      </c>
      <c r="B3385" s="47" t="s">
        <v>19756</v>
      </c>
      <c r="C3385" s="47" t="s">
        <v>19757</v>
      </c>
      <c r="D3385" s="47" t="s">
        <v>19758</v>
      </c>
      <c r="E3385" s="47"/>
      <c r="F3385" s="47"/>
      <c r="G3385" s="47"/>
      <c r="H3385" s="47"/>
      <c r="I3385" s="47" t="s">
        <v>19755</v>
      </c>
    </row>
    <row r="3386" spans="1:9" ht="15">
      <c r="A3386" s="47" t="s">
        <v>19759</v>
      </c>
      <c r="B3386" s="47" t="s">
        <v>19760</v>
      </c>
      <c r="C3386" s="47" t="s">
        <v>19761</v>
      </c>
      <c r="D3386" s="47" t="s">
        <v>19762</v>
      </c>
      <c r="E3386" s="47"/>
      <c r="F3386" s="47"/>
      <c r="G3386" s="47"/>
      <c r="H3386" s="47"/>
      <c r="I3386" s="47" t="s">
        <v>19759</v>
      </c>
    </row>
    <row r="3387" spans="1:9" ht="15">
      <c r="A3387" s="47" t="s">
        <v>19763</v>
      </c>
      <c r="B3387" s="47" t="s">
        <v>19764</v>
      </c>
      <c r="C3387" s="47" t="s">
        <v>19765</v>
      </c>
      <c r="D3387" s="47" t="s">
        <v>19766</v>
      </c>
      <c r="E3387" s="47"/>
      <c r="F3387" s="47"/>
      <c r="G3387" s="47"/>
      <c r="H3387" s="47"/>
      <c r="I3387" s="47" t="s">
        <v>19763</v>
      </c>
    </row>
    <row r="3388" spans="1:9" ht="15">
      <c r="A3388" s="47">
        <v>93204</v>
      </c>
      <c r="B3388" s="47" t="s">
        <v>11291</v>
      </c>
      <c r="C3388" s="47" t="s">
        <v>18180</v>
      </c>
      <c r="D3388" s="47" t="s">
        <v>19767</v>
      </c>
      <c r="E3388" s="47"/>
      <c r="F3388" s="47" t="s">
        <v>3605</v>
      </c>
      <c r="G3388" s="47"/>
      <c r="H3388" s="47"/>
      <c r="I3388" s="47" t="s">
        <v>19784</v>
      </c>
    </row>
    <row r="3389" spans="1:9" ht="15">
      <c r="A3389" s="47">
        <v>93228</v>
      </c>
      <c r="B3389" s="47" t="s">
        <v>19768</v>
      </c>
      <c r="C3389" s="47" t="s">
        <v>18183</v>
      </c>
      <c r="D3389" s="47" t="s">
        <v>19769</v>
      </c>
      <c r="E3389" s="47"/>
      <c r="F3389" s="47"/>
      <c r="G3389" s="47"/>
      <c r="H3389" s="47"/>
      <c r="I3389" s="47" t="s">
        <v>19785</v>
      </c>
    </row>
    <row r="3390" spans="1:9" ht="15">
      <c r="A3390" s="47">
        <v>53991</v>
      </c>
      <c r="B3390" s="47" t="s">
        <v>19770</v>
      </c>
      <c r="C3390" s="47" t="s">
        <v>18184</v>
      </c>
      <c r="D3390" s="47" t="s">
        <v>19771</v>
      </c>
      <c r="E3390" s="47"/>
      <c r="F3390" s="47" t="s">
        <v>3605</v>
      </c>
      <c r="G3390" s="47"/>
      <c r="H3390" s="47"/>
      <c r="I3390" s="47" t="s">
        <v>19786</v>
      </c>
    </row>
    <row r="3391" spans="1:9" ht="15">
      <c r="A3391" s="47">
        <v>113220</v>
      </c>
      <c r="B3391" s="47" t="s">
        <v>3761</v>
      </c>
      <c r="C3391" s="47" t="s">
        <v>3762</v>
      </c>
      <c r="D3391" s="47" t="s">
        <v>3763</v>
      </c>
      <c r="E3391" s="47"/>
      <c r="F3391" s="47" t="s">
        <v>3605</v>
      </c>
      <c r="G3391" s="47"/>
      <c r="H3391" s="47"/>
      <c r="I3391" s="47" t="s">
        <v>18297</v>
      </c>
    </row>
    <row r="3392" spans="1:9" ht="15">
      <c r="A3392" s="47" t="s">
        <v>8758</v>
      </c>
      <c r="B3392" s="47" t="s">
        <v>8759</v>
      </c>
      <c r="C3392" s="47" t="s">
        <v>8760</v>
      </c>
      <c r="D3392" s="47" t="s">
        <v>8761</v>
      </c>
      <c r="E3392" s="47"/>
      <c r="F3392" s="47" t="s">
        <v>3605</v>
      </c>
      <c r="G3392" s="47"/>
      <c r="H3392" s="47"/>
      <c r="I3392" s="47" t="s">
        <v>8758</v>
      </c>
    </row>
    <row r="3393" spans="1:9" ht="15">
      <c r="A3393" s="47" t="s">
        <v>2797</v>
      </c>
      <c r="B3393" s="47" t="s">
        <v>11345</v>
      </c>
      <c r="C3393" s="47" t="s">
        <v>19772</v>
      </c>
      <c r="D3393" s="47" t="s">
        <v>19773</v>
      </c>
      <c r="E3393" s="47"/>
      <c r="F3393" s="47"/>
      <c r="G3393" s="47"/>
      <c r="H3393" s="47"/>
      <c r="I3393" s="47" t="s">
        <v>2797</v>
      </c>
    </row>
    <row r="3394" spans="1:9" ht="15">
      <c r="A3394" s="47">
        <v>53890</v>
      </c>
      <c r="B3394" s="47" t="s">
        <v>19774</v>
      </c>
      <c r="C3394" s="47" t="s">
        <v>19775</v>
      </c>
      <c r="D3394" s="47" t="s">
        <v>19776</v>
      </c>
      <c r="E3394" s="47"/>
      <c r="F3394" s="47"/>
      <c r="G3394" s="47"/>
      <c r="H3394" s="47"/>
      <c r="I3394" s="47" t="s">
        <v>19787</v>
      </c>
    </row>
    <row r="3395" spans="1:9" ht="15">
      <c r="A3395" s="47" t="s">
        <v>19777</v>
      </c>
      <c r="B3395" s="47" t="s">
        <v>19778</v>
      </c>
      <c r="C3395" s="47" t="s">
        <v>19779</v>
      </c>
      <c r="D3395" s="47" t="s">
        <v>19780</v>
      </c>
      <c r="E3395" s="47"/>
      <c r="F3395" s="47"/>
      <c r="G3395" s="47"/>
      <c r="H3395" s="47"/>
      <c r="I3395" s="47" t="s">
        <v>19777</v>
      </c>
    </row>
    <row r="3396" spans="1:9" ht="15">
      <c r="A3396" s="2">
        <v>113860</v>
      </c>
      <c r="B3396" t="s">
        <v>20155</v>
      </c>
      <c r="C3396" t="s">
        <v>20152</v>
      </c>
      <c r="D3396" t="s">
        <v>20155</v>
      </c>
      <c r="F3396" t="s">
        <v>13221</v>
      </c>
      <c r="I3396" s="47" t="s">
        <v>19788</v>
      </c>
    </row>
    <row r="3397" spans="1:9" ht="15">
      <c r="A3397" s="2" t="s">
        <v>20212</v>
      </c>
      <c r="B3397" t="s">
        <v>20211</v>
      </c>
      <c r="C3397" t="s">
        <v>20190</v>
      </c>
      <c r="D3397" t="s">
        <v>20211</v>
      </c>
      <c r="I3397" s="47" t="s">
        <v>19788</v>
      </c>
    </row>
    <row r="3398" spans="1:9" ht="15">
      <c r="A3398" s="2"/>
      <c r="I3398" s="47" t="s">
        <v>19788</v>
      </c>
    </row>
    <row r="3399" spans="1:9" ht="15">
      <c r="A3399" s="2"/>
      <c r="I3399" s="47" t="s">
        <v>19788</v>
      </c>
    </row>
    <row r="3400" spans="1:9" ht="15">
      <c r="A3400" s="2"/>
      <c r="I3400" s="47" t="s">
        <v>19788</v>
      </c>
    </row>
    <row r="3401" spans="1:9" ht="15">
      <c r="A3401" s="2"/>
      <c r="I3401" s="47" t="s">
        <v>19788</v>
      </c>
    </row>
    <row r="3402" spans="1:9" ht="15">
      <c r="A3402" s="2"/>
      <c r="I3402" s="47" t="s">
        <v>19788</v>
      </c>
    </row>
    <row r="3403" spans="1:9" ht="15">
      <c r="A3403" s="2"/>
      <c r="I3403" s="47" t="s">
        <v>19788</v>
      </c>
    </row>
    <row r="3404" spans="1:9" ht="15">
      <c r="A3404" s="2"/>
      <c r="I3404" s="47" t="s">
        <v>19788</v>
      </c>
    </row>
    <row r="3405" spans="1:9" ht="15">
      <c r="A3405" s="2"/>
      <c r="I3405" s="47" t="s">
        <v>19788</v>
      </c>
    </row>
    <row r="3406" spans="1:9" ht="15">
      <c r="A3406" s="2"/>
      <c r="I3406" s="47" t="s">
        <v>19788</v>
      </c>
    </row>
    <row r="3407" spans="1:9" ht="15">
      <c r="A3407" s="2"/>
      <c r="I3407" s="47" t="s">
        <v>19788</v>
      </c>
    </row>
    <row r="3408" spans="1:9" ht="15">
      <c r="A3408" s="2"/>
      <c r="I3408" s="47" t="s">
        <v>19788</v>
      </c>
    </row>
    <row r="3409" spans="1:9" ht="15">
      <c r="A3409" s="2"/>
      <c r="I3409" s="47" t="s">
        <v>19788</v>
      </c>
    </row>
    <row r="3410" spans="1:9" ht="15">
      <c r="A3410" s="2"/>
      <c r="I3410" s="47" t="s">
        <v>19788</v>
      </c>
    </row>
    <row r="3411" spans="1:9" ht="15">
      <c r="A3411" s="2"/>
      <c r="I3411" s="47" t="s">
        <v>19788</v>
      </c>
    </row>
    <row r="3412" spans="1:9" ht="15">
      <c r="A3412" s="2"/>
      <c r="I3412" s="47" t="s">
        <v>19788</v>
      </c>
    </row>
    <row r="3413" spans="1:9" ht="15">
      <c r="A3413" s="2"/>
      <c r="I3413" s="47" t="s">
        <v>19788</v>
      </c>
    </row>
    <row r="3414" spans="1:9" ht="15">
      <c r="A3414" s="2"/>
      <c r="I3414" s="47" t="s">
        <v>19788</v>
      </c>
    </row>
    <row r="3415" spans="1:9" ht="15">
      <c r="A3415" s="2"/>
      <c r="I3415" s="47" t="s">
        <v>19788</v>
      </c>
    </row>
    <row r="3416" spans="1:9" ht="15">
      <c r="A3416" s="2"/>
      <c r="I3416" s="47" t="s">
        <v>19788</v>
      </c>
    </row>
    <row r="3417" spans="1:9" ht="15">
      <c r="A3417" s="2"/>
      <c r="I3417" s="47" t="s">
        <v>19788</v>
      </c>
    </row>
    <row r="3418" spans="1:9" ht="15">
      <c r="A3418" s="2"/>
      <c r="I3418" s="47" t="s">
        <v>19788</v>
      </c>
    </row>
    <row r="3419" spans="1:9" ht="15">
      <c r="A3419" s="2"/>
      <c r="I3419" s="47" t="s">
        <v>19788</v>
      </c>
    </row>
    <row r="3420" spans="1:9" ht="15">
      <c r="A3420" s="2"/>
      <c r="I3420" s="47" t="s">
        <v>19788</v>
      </c>
    </row>
    <row r="3421" spans="1:9" ht="15">
      <c r="A3421" s="2"/>
      <c r="I3421" s="47" t="s">
        <v>19788</v>
      </c>
    </row>
    <row r="3422" spans="1:9" ht="15">
      <c r="A3422" s="2"/>
      <c r="I3422" s="47" t="s">
        <v>19788</v>
      </c>
    </row>
    <row r="3423" spans="1:9" ht="15">
      <c r="A3423" s="2"/>
      <c r="I3423" s="47" t="s">
        <v>19788</v>
      </c>
    </row>
    <row r="3424" spans="1:9" ht="15">
      <c r="A3424" s="2"/>
      <c r="I3424" s="47" t="s">
        <v>19788</v>
      </c>
    </row>
    <row r="3425" spans="1:9" ht="15">
      <c r="A3425" s="2"/>
      <c r="I3425" s="47" t="s">
        <v>19788</v>
      </c>
    </row>
    <row r="3426" spans="1:9" ht="15">
      <c r="A3426" s="2"/>
      <c r="I3426" s="47" t="s">
        <v>19788</v>
      </c>
    </row>
    <row r="3427" spans="1:9" ht="15">
      <c r="A3427" s="2"/>
      <c r="I3427" s="47" t="s">
        <v>19788</v>
      </c>
    </row>
    <row r="3428" spans="1:9" ht="15">
      <c r="A3428" s="2"/>
      <c r="I3428" s="47" t="s">
        <v>19788</v>
      </c>
    </row>
    <row r="3429" spans="1:9" ht="15">
      <c r="A3429" s="2"/>
      <c r="I3429" s="47" t="s">
        <v>19788</v>
      </c>
    </row>
    <row r="3430" spans="1:9" ht="15">
      <c r="A3430" s="2"/>
      <c r="I3430" s="47" t="s">
        <v>19788</v>
      </c>
    </row>
    <row r="3431" spans="1:9" ht="15">
      <c r="A3431" s="2"/>
      <c r="I3431" s="47" t="s">
        <v>19788</v>
      </c>
    </row>
    <row r="3432" spans="1:9" ht="15">
      <c r="A3432" s="2"/>
      <c r="I3432" s="47" t="s">
        <v>19788</v>
      </c>
    </row>
    <row r="3433" spans="1:9" ht="15">
      <c r="A3433" s="2"/>
      <c r="I3433" s="47" t="s">
        <v>19788</v>
      </c>
    </row>
    <row r="3434" spans="1:9" ht="15">
      <c r="A3434" s="2"/>
      <c r="I3434" s="47" t="s">
        <v>19788</v>
      </c>
    </row>
    <row r="3435" spans="1:9" ht="15">
      <c r="A3435" s="2"/>
      <c r="I3435" s="47" t="s">
        <v>19788</v>
      </c>
    </row>
    <row r="3436" spans="1:9" ht="15">
      <c r="A3436" s="2"/>
      <c r="I3436" s="47" t="s">
        <v>19788</v>
      </c>
    </row>
    <row r="3437" spans="1:9" ht="15">
      <c r="A3437" s="2"/>
      <c r="I3437" s="47" t="s">
        <v>19788</v>
      </c>
    </row>
    <row r="3438" spans="1:9" ht="15">
      <c r="A3438" s="2"/>
      <c r="I3438" s="47" t="s">
        <v>19788</v>
      </c>
    </row>
    <row r="3439" spans="1:9" ht="15">
      <c r="A3439" s="2"/>
      <c r="I3439" s="47" t="s">
        <v>19788</v>
      </c>
    </row>
    <row r="3440" spans="1:9" ht="15">
      <c r="A3440" s="2"/>
      <c r="I3440" s="47" t="s">
        <v>19788</v>
      </c>
    </row>
    <row r="3441" spans="1:9" ht="15">
      <c r="A3441" s="2"/>
      <c r="I3441" s="47" t="s">
        <v>19788</v>
      </c>
    </row>
    <row r="3442" spans="1:9" ht="15">
      <c r="A3442" s="2"/>
      <c r="I3442" s="47" t="s">
        <v>19788</v>
      </c>
    </row>
    <row r="3443" spans="1:9" ht="15">
      <c r="A3443" s="2"/>
      <c r="I3443" s="47" t="s">
        <v>19788</v>
      </c>
    </row>
    <row r="3444" spans="1:9" ht="15">
      <c r="A3444" s="2"/>
      <c r="I3444" s="47" t="s">
        <v>19788</v>
      </c>
    </row>
    <row r="3445" spans="1:9" ht="15">
      <c r="A3445" s="2"/>
      <c r="I3445" s="47" t="s">
        <v>19788</v>
      </c>
    </row>
    <row r="3446" spans="1:9" ht="15">
      <c r="A3446" s="2"/>
      <c r="I3446" s="47" t="s">
        <v>19788</v>
      </c>
    </row>
    <row r="3447" spans="1:9" ht="15">
      <c r="A3447" s="2"/>
      <c r="I3447" s="47" t="s">
        <v>19788</v>
      </c>
    </row>
    <row r="3448" spans="1:9" ht="15">
      <c r="A3448" s="2"/>
      <c r="I3448" s="47" t="s">
        <v>19788</v>
      </c>
    </row>
    <row r="3449" spans="1:9" ht="15">
      <c r="A3449" s="2"/>
      <c r="I3449" s="47" t="s">
        <v>19788</v>
      </c>
    </row>
    <row r="3450" spans="1:9" ht="15">
      <c r="A3450" s="2"/>
      <c r="I3450" s="47" t="s">
        <v>19788</v>
      </c>
    </row>
    <row r="3451" spans="1:9" ht="15">
      <c r="A3451" s="2"/>
      <c r="I3451" s="47" t="s">
        <v>19788</v>
      </c>
    </row>
    <row r="3452" spans="1:9" ht="15">
      <c r="A3452" s="2"/>
      <c r="I3452" s="47" t="s">
        <v>19788</v>
      </c>
    </row>
    <row r="3453" spans="1:9" ht="15">
      <c r="A3453" s="2"/>
      <c r="I3453" s="47" t="s">
        <v>19788</v>
      </c>
    </row>
    <row r="3454" spans="1:9" ht="15">
      <c r="A3454" s="2"/>
      <c r="I3454" s="47" t="s">
        <v>19788</v>
      </c>
    </row>
    <row r="3455" spans="1:9" ht="15">
      <c r="A3455" s="2"/>
      <c r="I3455" s="47" t="s">
        <v>19788</v>
      </c>
    </row>
    <row r="3456" spans="1:9" ht="15">
      <c r="A3456" s="2"/>
      <c r="I3456" s="47" t="s">
        <v>19788</v>
      </c>
    </row>
    <row r="3457" spans="1:9" ht="15">
      <c r="A3457" s="2"/>
      <c r="I3457" s="47" t="s">
        <v>19788</v>
      </c>
    </row>
    <row r="3458" spans="1:9" ht="15">
      <c r="A3458" s="2"/>
      <c r="I3458" s="47" t="s">
        <v>19788</v>
      </c>
    </row>
    <row r="3459" spans="1:9" ht="15">
      <c r="A3459" s="2"/>
      <c r="I3459" s="47" t="s">
        <v>19788</v>
      </c>
    </row>
    <row r="3460" spans="1:9" ht="15">
      <c r="A3460" s="2"/>
      <c r="I3460" s="47" t="s">
        <v>19788</v>
      </c>
    </row>
    <row r="3461" spans="1:9" ht="15">
      <c r="A3461" s="2"/>
      <c r="I3461" s="47" t="s">
        <v>19788</v>
      </c>
    </row>
    <row r="3462" spans="1:9" ht="15">
      <c r="A3462" s="2"/>
      <c r="I3462" s="47" t="s">
        <v>19788</v>
      </c>
    </row>
    <row r="3463" spans="1:9" ht="15">
      <c r="A3463" s="2"/>
      <c r="I3463" s="47" t="s">
        <v>19788</v>
      </c>
    </row>
    <row r="3464" spans="1:9" ht="15">
      <c r="A3464" s="2"/>
      <c r="I3464" s="47" t="s">
        <v>19788</v>
      </c>
    </row>
    <row r="3465" spans="1:9" ht="15">
      <c r="A3465" s="2"/>
      <c r="I3465" s="47" t="s">
        <v>19788</v>
      </c>
    </row>
    <row r="3466" spans="1:9" ht="15">
      <c r="A3466" s="2"/>
      <c r="I3466" s="47" t="s">
        <v>19788</v>
      </c>
    </row>
    <row r="3467" spans="1:9" ht="15">
      <c r="A3467" s="2"/>
      <c r="I3467" s="47" t="s">
        <v>19788</v>
      </c>
    </row>
    <row r="3468" spans="1:9" ht="15">
      <c r="A3468" s="2"/>
      <c r="I3468" s="47" t="s">
        <v>19788</v>
      </c>
    </row>
    <row r="3469" spans="1:9" ht="15">
      <c r="A3469" s="2"/>
      <c r="I3469" s="47" t="s">
        <v>19788</v>
      </c>
    </row>
    <row r="3470" spans="1:9" ht="15">
      <c r="A3470" s="2"/>
      <c r="I3470" s="47" t="s">
        <v>19788</v>
      </c>
    </row>
    <row r="3471" spans="1:9" ht="15">
      <c r="A3471" s="2"/>
      <c r="I3471" s="47" t="s">
        <v>19788</v>
      </c>
    </row>
    <row r="3472" spans="1:9" ht="15">
      <c r="A3472" s="2"/>
      <c r="I3472" s="47" t="s">
        <v>19788</v>
      </c>
    </row>
    <row r="3473" spans="1:9" ht="15">
      <c r="A3473" s="2"/>
      <c r="I3473" s="47" t="s">
        <v>19788</v>
      </c>
    </row>
    <row r="3474" spans="1:9" ht="15">
      <c r="A3474" s="2"/>
      <c r="I3474" s="47" t="s">
        <v>19788</v>
      </c>
    </row>
    <row r="3475" spans="1:9" ht="15">
      <c r="A3475" s="2"/>
      <c r="I3475" s="47" t="s">
        <v>19788</v>
      </c>
    </row>
    <row r="3476" spans="1:9" ht="15">
      <c r="A3476" s="2"/>
      <c r="I3476" s="47" t="s">
        <v>19788</v>
      </c>
    </row>
    <row r="3477" spans="1:9" ht="15">
      <c r="A3477" s="2"/>
      <c r="I3477" s="47" t="s">
        <v>19788</v>
      </c>
    </row>
    <row r="3478" spans="1:9" ht="15">
      <c r="A3478" s="2"/>
      <c r="I3478" s="47" t="s">
        <v>19788</v>
      </c>
    </row>
    <row r="3479" spans="1:9" ht="15">
      <c r="A3479" s="2"/>
      <c r="I3479" s="47" t="s">
        <v>19788</v>
      </c>
    </row>
    <row r="3480" spans="1:9" ht="15">
      <c r="A3480" s="2"/>
      <c r="I3480" s="47" t="s">
        <v>19788</v>
      </c>
    </row>
    <row r="3481" spans="1:9" ht="15">
      <c r="A3481" s="2"/>
      <c r="I3481" s="47" t="s">
        <v>19788</v>
      </c>
    </row>
    <row r="3482" spans="1:9" ht="15">
      <c r="A3482" s="2"/>
      <c r="I3482" s="47" t="s">
        <v>19788</v>
      </c>
    </row>
    <row r="3483" spans="1:9" ht="15">
      <c r="A3483" s="2"/>
      <c r="I3483" s="47" t="s">
        <v>19788</v>
      </c>
    </row>
    <row r="3484" spans="1:9" ht="15">
      <c r="A3484" s="2"/>
      <c r="I3484" s="47" t="s">
        <v>19788</v>
      </c>
    </row>
    <row r="3485" spans="1:9" ht="15">
      <c r="A3485" s="2"/>
      <c r="I3485" s="47" t="s">
        <v>19788</v>
      </c>
    </row>
    <row r="3486" spans="1:9" ht="15">
      <c r="A3486" s="2"/>
      <c r="I3486" s="47" t="s">
        <v>19788</v>
      </c>
    </row>
    <row r="3487" spans="1:9" ht="15">
      <c r="A3487" s="2"/>
      <c r="I3487" s="47" t="s">
        <v>19788</v>
      </c>
    </row>
    <row r="3488" spans="1:9" ht="15">
      <c r="A3488" s="2"/>
      <c r="I3488" s="47" t="s">
        <v>19788</v>
      </c>
    </row>
    <row r="3489" spans="1:9" ht="15">
      <c r="A3489" s="2"/>
      <c r="I3489" s="47" t="s">
        <v>19788</v>
      </c>
    </row>
    <row r="3490" spans="1:9" ht="15">
      <c r="A3490" s="2"/>
      <c r="I3490" s="47" t="s">
        <v>19788</v>
      </c>
    </row>
    <row r="3491" spans="1:9" ht="15">
      <c r="A3491" s="2"/>
      <c r="I3491" s="47" t="s">
        <v>19788</v>
      </c>
    </row>
    <row r="3492" spans="1:9" ht="15">
      <c r="A3492" s="2"/>
      <c r="I3492" s="47" t="s">
        <v>19788</v>
      </c>
    </row>
    <row r="3493" spans="1:9" ht="15">
      <c r="A3493" s="2"/>
      <c r="I3493" s="47" t="s">
        <v>19788</v>
      </c>
    </row>
    <row r="3494" spans="1:9" ht="15">
      <c r="A3494" s="2"/>
      <c r="I3494" s="47" t="s">
        <v>19788</v>
      </c>
    </row>
    <row r="3495" spans="1:9" ht="15">
      <c r="A3495" s="2"/>
      <c r="I3495" s="47" t="s">
        <v>19788</v>
      </c>
    </row>
    <row r="3496" spans="1:9" ht="15">
      <c r="A3496" s="2"/>
      <c r="I3496" s="47" t="s">
        <v>19788</v>
      </c>
    </row>
    <row r="3497" spans="1:9" ht="15">
      <c r="A3497" s="2"/>
      <c r="I3497" s="47" t="s">
        <v>19788</v>
      </c>
    </row>
    <row r="3498" spans="1:9" ht="15">
      <c r="A3498" s="2"/>
      <c r="I3498" s="47" t="s">
        <v>19788</v>
      </c>
    </row>
    <row r="3499" spans="1:9" ht="15">
      <c r="A3499" s="2"/>
      <c r="I3499" s="47" t="s">
        <v>19788</v>
      </c>
    </row>
    <row r="3500" spans="1:9" ht="15">
      <c r="A3500" s="2"/>
      <c r="I3500" s="47" t="s">
        <v>19788</v>
      </c>
    </row>
    <row r="3501" spans="1:9" ht="15">
      <c r="A3501" s="2"/>
      <c r="I3501" s="47" t="s">
        <v>19788</v>
      </c>
    </row>
    <row r="3502" spans="1:9" ht="15">
      <c r="A3502" s="2"/>
      <c r="I3502" s="47" t="s">
        <v>19788</v>
      </c>
    </row>
    <row r="3503" spans="1:9" ht="15">
      <c r="A3503" s="2"/>
      <c r="I3503" s="47" t="s">
        <v>19788</v>
      </c>
    </row>
    <row r="3504" spans="1:9" ht="15">
      <c r="A3504" s="2"/>
      <c r="I3504" s="47" t="s">
        <v>19788</v>
      </c>
    </row>
    <row r="3505" spans="1:9" ht="15">
      <c r="A3505" s="2"/>
      <c r="I3505" s="47" t="s">
        <v>19788</v>
      </c>
    </row>
    <row r="3506" spans="1:9" ht="15">
      <c r="A3506" s="2"/>
      <c r="I3506" s="47" t="s">
        <v>19788</v>
      </c>
    </row>
    <row r="3507" spans="1:9" ht="15">
      <c r="A3507" s="2"/>
      <c r="I3507" s="47" t="s">
        <v>19788</v>
      </c>
    </row>
    <row r="3508" spans="1:9" ht="15">
      <c r="A3508" s="2"/>
      <c r="I3508" s="47" t="s">
        <v>19788</v>
      </c>
    </row>
    <row r="3509" spans="1:9" ht="15">
      <c r="A3509" s="2"/>
      <c r="I3509" s="47" t="s">
        <v>19788</v>
      </c>
    </row>
    <row r="3510" spans="1:9" ht="15">
      <c r="A3510" s="2"/>
      <c r="I3510" s="47" t="s">
        <v>19788</v>
      </c>
    </row>
    <row r="3511" spans="1:9" ht="15">
      <c r="A3511" s="2"/>
      <c r="I3511" s="47" t="s">
        <v>19788</v>
      </c>
    </row>
    <row r="3512" spans="1:9" ht="15">
      <c r="A3512" s="2"/>
      <c r="I3512" s="47" t="s">
        <v>19788</v>
      </c>
    </row>
    <row r="3513" spans="1:9" ht="15">
      <c r="A3513" s="2"/>
      <c r="I3513" s="47" t="s">
        <v>19788</v>
      </c>
    </row>
    <row r="3514" spans="1:9" ht="15">
      <c r="A3514" s="2"/>
      <c r="I3514" s="47" t="s">
        <v>19788</v>
      </c>
    </row>
    <row r="3515" spans="1:9" ht="15">
      <c r="A3515" s="2"/>
      <c r="I3515" s="47" t="s">
        <v>19788</v>
      </c>
    </row>
    <row r="3516" spans="1:9" ht="15">
      <c r="A3516" s="2"/>
      <c r="I3516" s="47" t="s">
        <v>19788</v>
      </c>
    </row>
    <row r="3517" spans="1:9" ht="15">
      <c r="A3517" s="2"/>
      <c r="I3517" s="47" t="s">
        <v>19788</v>
      </c>
    </row>
    <row r="3518" spans="1:9" ht="15">
      <c r="A3518" s="2"/>
      <c r="I3518" s="47" t="s">
        <v>19788</v>
      </c>
    </row>
    <row r="3519" spans="1:9" ht="15">
      <c r="A3519" s="2"/>
      <c r="I3519" s="47" t="s">
        <v>19788</v>
      </c>
    </row>
    <row r="3520" spans="1:9" ht="15">
      <c r="A3520" s="2"/>
      <c r="I3520" s="47" t="s">
        <v>19788</v>
      </c>
    </row>
    <row r="3521" spans="1:9" ht="15">
      <c r="A3521" s="2"/>
      <c r="I3521" s="47" t="s">
        <v>19788</v>
      </c>
    </row>
    <row r="3522" spans="1:9" ht="15">
      <c r="A3522" s="2"/>
      <c r="I3522" s="47" t="s">
        <v>19788</v>
      </c>
    </row>
    <row r="3523" spans="1:9" ht="15">
      <c r="A3523" s="2"/>
      <c r="I3523" s="47" t="s">
        <v>19788</v>
      </c>
    </row>
    <row r="3524" spans="1:9" ht="15">
      <c r="A3524" s="2"/>
      <c r="I3524" s="47" t="s">
        <v>19788</v>
      </c>
    </row>
    <row r="3525" spans="1:9" ht="15">
      <c r="A3525" s="2"/>
      <c r="I3525" s="47" t="s">
        <v>19788</v>
      </c>
    </row>
    <row r="3526" spans="1:9" ht="15">
      <c r="A3526" s="2"/>
      <c r="I3526" s="47" t="s">
        <v>19788</v>
      </c>
    </row>
    <row r="3527" spans="1:9" ht="15">
      <c r="A3527" s="2"/>
      <c r="I3527" s="47" t="s">
        <v>19788</v>
      </c>
    </row>
    <row r="3528" spans="1:9" ht="15">
      <c r="A3528" s="2"/>
      <c r="I3528" s="47" t="s">
        <v>19788</v>
      </c>
    </row>
    <row r="3529" spans="1:9" ht="15">
      <c r="A3529" s="2"/>
      <c r="I3529" s="47" t="s">
        <v>19788</v>
      </c>
    </row>
    <row r="3530" spans="1:9" ht="15">
      <c r="A3530" s="2"/>
      <c r="I3530" s="47" t="s">
        <v>19788</v>
      </c>
    </row>
    <row r="3531" spans="1:9" ht="15">
      <c r="A3531" s="2"/>
      <c r="I3531" s="47" t="s">
        <v>19788</v>
      </c>
    </row>
    <row r="3532" spans="1:9" ht="15">
      <c r="A3532" s="2"/>
      <c r="I3532" s="47" t="s">
        <v>19788</v>
      </c>
    </row>
    <row r="3533" spans="1:9" ht="15">
      <c r="A3533" s="2"/>
      <c r="I3533" s="47" t="s">
        <v>19788</v>
      </c>
    </row>
    <row r="3534" spans="1:9" ht="15">
      <c r="A3534" s="2"/>
      <c r="I3534" s="47" t="s">
        <v>19788</v>
      </c>
    </row>
    <row r="3535" spans="1:9" ht="15">
      <c r="A3535" s="2"/>
      <c r="I3535" s="47" t="s">
        <v>19788</v>
      </c>
    </row>
    <row r="3536" spans="1:9" ht="15">
      <c r="A3536" s="2"/>
      <c r="I3536" s="47" t="s">
        <v>19788</v>
      </c>
    </row>
    <row r="3537" spans="1:9" ht="15">
      <c r="A3537" s="2"/>
      <c r="I3537" s="47" t="s">
        <v>19788</v>
      </c>
    </row>
    <row r="3538" spans="1:9" ht="15">
      <c r="A3538" s="2"/>
      <c r="I3538" s="47" t="s">
        <v>19788</v>
      </c>
    </row>
    <row r="3539" spans="1:9" ht="15">
      <c r="A3539" s="2"/>
      <c r="I3539" s="47" t="s">
        <v>19788</v>
      </c>
    </row>
    <row r="3540" spans="1:9" ht="15">
      <c r="A3540" s="2"/>
      <c r="I3540" s="47" t="s">
        <v>19788</v>
      </c>
    </row>
    <row r="3541" spans="1:9" ht="15">
      <c r="A3541" s="2"/>
      <c r="I3541" s="47" t="s">
        <v>19788</v>
      </c>
    </row>
    <row r="3542" spans="1:9" ht="15">
      <c r="A3542" s="2"/>
      <c r="I3542" s="47" t="s">
        <v>19788</v>
      </c>
    </row>
    <row r="3543" spans="1:9" ht="15">
      <c r="A3543" s="2"/>
      <c r="I3543" s="47" t="s">
        <v>19788</v>
      </c>
    </row>
    <row r="3544" spans="1:9" ht="15">
      <c r="A3544" s="2"/>
      <c r="I3544" s="47" t="s">
        <v>19788</v>
      </c>
    </row>
    <row r="3545" spans="1:9" ht="15">
      <c r="A3545" s="2"/>
      <c r="I3545" s="47" t="s">
        <v>19788</v>
      </c>
    </row>
    <row r="3546" spans="1:9" ht="15">
      <c r="A3546" s="2"/>
      <c r="I3546" s="47" t="s">
        <v>19788</v>
      </c>
    </row>
    <row r="3547" spans="1:9" ht="15">
      <c r="A3547" s="2"/>
      <c r="I3547" s="47" t="s">
        <v>19788</v>
      </c>
    </row>
    <row r="3548" spans="1:9" ht="15">
      <c r="A3548" s="2"/>
      <c r="I3548" s="47" t="s">
        <v>19788</v>
      </c>
    </row>
    <row r="3549" spans="1:9" ht="15">
      <c r="A3549" s="2"/>
      <c r="I3549" s="47" t="s">
        <v>19788</v>
      </c>
    </row>
    <row r="3550" spans="1:9" ht="15">
      <c r="A3550" s="2"/>
      <c r="I3550" s="47" t="s">
        <v>19788</v>
      </c>
    </row>
    <row r="3551" spans="1:9" ht="15">
      <c r="A3551" s="2"/>
      <c r="I3551" s="47" t="s">
        <v>19788</v>
      </c>
    </row>
    <row r="3552" spans="1:9" ht="15">
      <c r="A3552" s="2"/>
      <c r="I3552" s="47" t="s">
        <v>19788</v>
      </c>
    </row>
    <row r="3553" spans="1:9" ht="15">
      <c r="A3553" s="2"/>
      <c r="I3553" s="47" t="s">
        <v>19788</v>
      </c>
    </row>
    <row r="3554" spans="1:9" ht="15">
      <c r="A3554" s="2"/>
      <c r="I3554" s="47" t="s">
        <v>19788</v>
      </c>
    </row>
    <row r="3555" spans="1:9" ht="15">
      <c r="A3555" s="2"/>
      <c r="I3555" s="47" t="s">
        <v>19788</v>
      </c>
    </row>
    <row r="3556" spans="1:9" ht="15">
      <c r="A3556" s="2"/>
      <c r="I3556" s="47" t="s">
        <v>19788</v>
      </c>
    </row>
    <row r="3557" spans="1:9" ht="15">
      <c r="A3557" s="2"/>
      <c r="I3557" s="47" t="s">
        <v>19788</v>
      </c>
    </row>
    <row r="3558" spans="1:9" ht="15">
      <c r="A3558" s="2"/>
      <c r="I3558" s="47" t="s">
        <v>19788</v>
      </c>
    </row>
    <row r="3559" spans="1:9" ht="15">
      <c r="A3559" s="2"/>
      <c r="I3559" s="47" t="s">
        <v>19788</v>
      </c>
    </row>
    <row r="3560" spans="1:9" ht="15">
      <c r="A3560" s="2"/>
      <c r="I3560" s="47" t="s">
        <v>19788</v>
      </c>
    </row>
    <row r="3561" spans="1:9" ht="15">
      <c r="A3561" s="2"/>
      <c r="I3561" s="47" t="s">
        <v>19788</v>
      </c>
    </row>
    <row r="3562" spans="1:9" ht="15">
      <c r="A3562" s="2"/>
      <c r="I3562" s="47" t="s">
        <v>19788</v>
      </c>
    </row>
    <row r="3563" spans="1:9" ht="15">
      <c r="A3563" s="2"/>
      <c r="I3563" s="47" t="s">
        <v>19788</v>
      </c>
    </row>
    <row r="3564" spans="1:9" ht="15">
      <c r="A3564" s="2"/>
      <c r="I3564" s="47" t="s">
        <v>19788</v>
      </c>
    </row>
    <row r="3565" spans="1:9" ht="15">
      <c r="A3565" s="2"/>
      <c r="I3565" s="47" t="s">
        <v>19788</v>
      </c>
    </row>
    <row r="3566" spans="1:9" ht="15">
      <c r="A3566" s="2"/>
      <c r="I3566" s="47" t="s">
        <v>19788</v>
      </c>
    </row>
    <row r="3567" spans="1:9" ht="15">
      <c r="A3567" s="2"/>
      <c r="I3567" s="47" t="s">
        <v>19788</v>
      </c>
    </row>
    <row r="3568" spans="1:9" ht="15">
      <c r="A3568" s="2"/>
      <c r="I3568" s="47" t="s">
        <v>19788</v>
      </c>
    </row>
    <row r="3569" spans="1:9" ht="15">
      <c r="A3569" s="2"/>
      <c r="I3569" s="47" t="s">
        <v>19788</v>
      </c>
    </row>
    <row r="3570" spans="1:9" ht="15">
      <c r="A3570" s="2"/>
      <c r="I3570" s="47" t="s">
        <v>19788</v>
      </c>
    </row>
    <row r="3571" spans="1:9" ht="15">
      <c r="A3571" s="2"/>
      <c r="I3571" s="47" t="s">
        <v>19788</v>
      </c>
    </row>
    <row r="3572" spans="1:9" ht="15">
      <c r="A3572" s="2"/>
      <c r="I3572" s="47" t="s">
        <v>19788</v>
      </c>
    </row>
    <row r="3573" spans="1:9" ht="15">
      <c r="A3573" s="2"/>
      <c r="I3573" s="47" t="s">
        <v>19788</v>
      </c>
    </row>
    <row r="3574" spans="1:9" ht="15">
      <c r="A3574" s="2"/>
      <c r="I3574" s="47" t="s">
        <v>19788</v>
      </c>
    </row>
    <row r="3575" spans="1:9" ht="15">
      <c r="A3575" s="2"/>
      <c r="I3575" s="47" t="s">
        <v>19788</v>
      </c>
    </row>
    <row r="3576" spans="1:9" ht="15">
      <c r="A3576" s="2"/>
      <c r="I3576" s="47" t="s">
        <v>19788</v>
      </c>
    </row>
    <row r="3577" spans="1:9" ht="15">
      <c r="A3577" s="2"/>
      <c r="I3577" s="47" t="s">
        <v>19788</v>
      </c>
    </row>
    <row r="3578" spans="1:9" ht="15">
      <c r="A3578" s="2"/>
      <c r="I3578" s="47" t="s">
        <v>19788</v>
      </c>
    </row>
    <row r="3579" spans="1:9" ht="15">
      <c r="A3579" s="2"/>
      <c r="I3579" s="47" t="s">
        <v>19788</v>
      </c>
    </row>
    <row r="3580" spans="1:9" ht="15">
      <c r="A3580" s="2"/>
      <c r="I3580" s="47" t="s">
        <v>19788</v>
      </c>
    </row>
    <row r="3581" spans="1:9" ht="15">
      <c r="A3581" s="2"/>
      <c r="I3581" s="47" t="s">
        <v>19788</v>
      </c>
    </row>
    <row r="3582" spans="1:9" ht="15">
      <c r="A3582" s="2"/>
      <c r="I3582" s="47" t="s">
        <v>19788</v>
      </c>
    </row>
    <row r="3583" spans="1:9" ht="15">
      <c r="A3583" s="2"/>
      <c r="I3583" s="47" t="s">
        <v>19788</v>
      </c>
    </row>
    <row r="3584" spans="1:9" ht="15">
      <c r="A3584" s="2"/>
      <c r="I3584" s="47" t="s">
        <v>19788</v>
      </c>
    </row>
    <row r="3585" spans="1:9" ht="15">
      <c r="A3585" s="2"/>
      <c r="I3585" s="47" t="s">
        <v>19788</v>
      </c>
    </row>
    <row r="3586" spans="1:9" ht="15">
      <c r="A3586" s="2"/>
      <c r="I3586" s="47" t="s">
        <v>19788</v>
      </c>
    </row>
    <row r="3587" spans="1:9" ht="15">
      <c r="A3587" s="2"/>
      <c r="I3587" s="47" t="s">
        <v>19788</v>
      </c>
    </row>
    <row r="3588" spans="1:9" ht="15">
      <c r="A3588" s="2"/>
      <c r="I3588" s="47" t="s">
        <v>19788</v>
      </c>
    </row>
    <row r="3589" spans="1:9" ht="15">
      <c r="A3589" s="2"/>
      <c r="I3589" s="47" t="s">
        <v>19788</v>
      </c>
    </row>
    <row r="3590" spans="1:9" ht="15">
      <c r="A3590" s="2"/>
      <c r="I3590" s="47" t="s">
        <v>19788</v>
      </c>
    </row>
    <row r="3591" spans="1:9" ht="15">
      <c r="A3591" s="2"/>
      <c r="I3591" s="47" t="s">
        <v>19788</v>
      </c>
    </row>
    <row r="3592" spans="1:9" ht="15">
      <c r="A3592" s="2"/>
      <c r="I3592" s="47" t="s">
        <v>19788</v>
      </c>
    </row>
    <row r="3593" spans="1:9" ht="15">
      <c r="A3593" s="2"/>
      <c r="I3593" s="47" t="s">
        <v>19788</v>
      </c>
    </row>
    <row r="3594" spans="1:9" ht="15">
      <c r="A3594" s="2"/>
      <c r="I3594" s="47" t="s">
        <v>19788</v>
      </c>
    </row>
    <row r="3595" spans="1:9" ht="15">
      <c r="A3595" s="2"/>
      <c r="I3595" s="47" t="s">
        <v>19788</v>
      </c>
    </row>
    <row r="3596" spans="1:9" ht="15">
      <c r="A3596" s="2"/>
      <c r="I3596" s="47" t="s">
        <v>19788</v>
      </c>
    </row>
    <row r="3597" spans="1:9" ht="15">
      <c r="A3597" s="2"/>
      <c r="I3597" s="47" t="s">
        <v>19788</v>
      </c>
    </row>
    <row r="3598" spans="1:9" ht="15">
      <c r="A3598" s="2"/>
      <c r="I3598" s="47" t="s">
        <v>19788</v>
      </c>
    </row>
    <row r="3599" spans="1:9" ht="15">
      <c r="A3599" s="2"/>
      <c r="I3599" s="47" t="s">
        <v>19788</v>
      </c>
    </row>
    <row r="3600" spans="1:9" ht="15">
      <c r="A3600" s="2"/>
      <c r="I3600" s="47" t="s">
        <v>19788</v>
      </c>
    </row>
    <row r="3601" spans="1:9" ht="15">
      <c r="A3601" s="2"/>
      <c r="I3601" s="47" t="s">
        <v>19788</v>
      </c>
    </row>
    <row r="3602" spans="1:9" ht="15">
      <c r="A3602" s="2"/>
      <c r="I3602" s="47" t="s">
        <v>19788</v>
      </c>
    </row>
    <row r="3603" spans="1:9" ht="15">
      <c r="A3603" s="2"/>
      <c r="I3603" s="47" t="s">
        <v>19788</v>
      </c>
    </row>
    <row r="3604" spans="1:9" ht="15">
      <c r="A3604" s="2"/>
      <c r="I3604" s="47" t="s">
        <v>19788</v>
      </c>
    </row>
    <row r="3605" spans="1:9" ht="15">
      <c r="A3605" s="2"/>
      <c r="I3605" s="47" t="s">
        <v>19788</v>
      </c>
    </row>
    <row r="3606" spans="1:9" ht="15">
      <c r="A3606" s="2"/>
      <c r="I3606" s="47" t="s">
        <v>19788</v>
      </c>
    </row>
    <row r="3607" spans="1:9" ht="15">
      <c r="A3607" s="2"/>
      <c r="I3607" s="47" t="s">
        <v>19788</v>
      </c>
    </row>
    <row r="3608" spans="1:9" ht="15">
      <c r="A3608" s="2"/>
      <c r="I3608" s="47" t="s">
        <v>19788</v>
      </c>
    </row>
    <row r="3609" spans="1:9" ht="15">
      <c r="A3609" s="2"/>
      <c r="I3609" s="47" t="s">
        <v>19788</v>
      </c>
    </row>
    <row r="3610" spans="1:9" ht="15">
      <c r="A3610" s="2"/>
      <c r="I3610" s="47" t="s">
        <v>19788</v>
      </c>
    </row>
    <row r="3611" spans="1:9" ht="15">
      <c r="A3611" s="2"/>
      <c r="I3611" s="47" t="s">
        <v>19788</v>
      </c>
    </row>
    <row r="3612" spans="1:9" ht="15">
      <c r="A3612" s="2"/>
      <c r="I3612" s="47" t="s">
        <v>19788</v>
      </c>
    </row>
    <row r="3613" spans="1:9" ht="15">
      <c r="A3613" s="2"/>
      <c r="I3613" s="47" t="s">
        <v>19788</v>
      </c>
    </row>
    <row r="3614" spans="1:9" ht="15">
      <c r="A3614" s="2"/>
      <c r="I3614" s="47" t="s">
        <v>19788</v>
      </c>
    </row>
    <row r="3615" spans="1:9" ht="15">
      <c r="A3615" s="2"/>
      <c r="I3615" s="47" t="s">
        <v>19788</v>
      </c>
    </row>
    <row r="3616" spans="1:9" ht="15">
      <c r="A3616" s="2"/>
      <c r="I3616" s="47" t="s">
        <v>19788</v>
      </c>
    </row>
    <row r="3617" spans="1:9" ht="15">
      <c r="A3617" s="2"/>
      <c r="I3617" s="47" t="s">
        <v>19788</v>
      </c>
    </row>
    <row r="3618" spans="1:9" ht="15">
      <c r="A3618" s="2"/>
      <c r="I3618" s="47" t="s">
        <v>19788</v>
      </c>
    </row>
    <row r="3619" spans="1:9" ht="15">
      <c r="A3619" s="2"/>
      <c r="I3619" s="47" t="s">
        <v>19788</v>
      </c>
    </row>
    <row r="3620" spans="1:9" ht="15">
      <c r="A3620" s="2"/>
      <c r="I3620" s="47" t="s">
        <v>19788</v>
      </c>
    </row>
    <row r="3621" spans="1:9" ht="15">
      <c r="A3621" s="2"/>
      <c r="I3621" s="47" t="s">
        <v>19788</v>
      </c>
    </row>
    <row r="3622" spans="1:9" ht="15">
      <c r="A3622" s="2"/>
      <c r="I3622" s="47" t="s">
        <v>19788</v>
      </c>
    </row>
    <row r="3623" spans="1:9" ht="15">
      <c r="A3623" s="2"/>
      <c r="I3623" s="47" t="s">
        <v>19788</v>
      </c>
    </row>
    <row r="3624" spans="1:9" ht="15">
      <c r="A3624" s="2"/>
      <c r="I3624" s="47" t="s">
        <v>19788</v>
      </c>
    </row>
    <row r="3625" spans="1:9" ht="15">
      <c r="A3625" s="2"/>
      <c r="I3625" s="47" t="s">
        <v>19788</v>
      </c>
    </row>
    <row r="3626" spans="1:9" ht="15">
      <c r="A3626" s="2"/>
      <c r="I3626" s="47" t="s">
        <v>19788</v>
      </c>
    </row>
    <row r="3627" spans="1:9" ht="15">
      <c r="A3627" s="2"/>
      <c r="I3627" s="47" t="s">
        <v>19788</v>
      </c>
    </row>
    <row r="3628" spans="1:9" ht="15">
      <c r="A3628" s="2"/>
      <c r="I3628" s="47" t="s">
        <v>19788</v>
      </c>
    </row>
    <row r="3629" spans="1:9" ht="15">
      <c r="A3629" s="2"/>
      <c r="I3629" s="47" t="s">
        <v>19788</v>
      </c>
    </row>
    <row r="3630" spans="1:9" ht="15">
      <c r="A3630" s="2"/>
      <c r="I3630" s="47" t="s">
        <v>19788</v>
      </c>
    </row>
    <row r="3631" spans="1:9" ht="15">
      <c r="A3631" s="2"/>
      <c r="I3631" s="47" t="s">
        <v>19788</v>
      </c>
    </row>
    <row r="3632" spans="1:9" ht="15">
      <c r="A3632" s="2"/>
      <c r="I3632" s="47" t="s">
        <v>19788</v>
      </c>
    </row>
    <row r="3633" spans="1:9" ht="15">
      <c r="A3633" s="2"/>
      <c r="I3633" s="47" t="s">
        <v>19788</v>
      </c>
    </row>
    <row r="3634" spans="1:9" ht="15">
      <c r="A3634" s="2"/>
      <c r="I3634" s="47" t="s">
        <v>19788</v>
      </c>
    </row>
    <row r="3635" spans="1:9" ht="15">
      <c r="A3635" s="2"/>
      <c r="I3635" s="47" t="s">
        <v>19788</v>
      </c>
    </row>
    <row r="3636" spans="1:9" ht="15">
      <c r="A3636" s="2"/>
      <c r="I3636" s="47" t="s">
        <v>19788</v>
      </c>
    </row>
    <row r="3637" spans="1:9" ht="15">
      <c r="A3637" s="2"/>
      <c r="I3637" s="47" t="s">
        <v>19788</v>
      </c>
    </row>
    <row r="3638" spans="1:9" ht="15">
      <c r="A3638" s="2"/>
      <c r="I3638" s="47" t="s">
        <v>19788</v>
      </c>
    </row>
    <row r="3639" spans="1:9" ht="15">
      <c r="A3639" s="2"/>
      <c r="I3639" s="47" t="s">
        <v>19788</v>
      </c>
    </row>
    <row r="3640" spans="1:9" ht="15">
      <c r="A3640" s="2"/>
      <c r="I3640" s="47" t="s">
        <v>19788</v>
      </c>
    </row>
    <row r="3641" spans="1:9" ht="15">
      <c r="A3641" s="2"/>
      <c r="I3641" s="47" t="s">
        <v>19788</v>
      </c>
    </row>
    <row r="3642" spans="1:9" ht="15">
      <c r="A3642" s="2"/>
      <c r="I3642" s="47" t="s">
        <v>19788</v>
      </c>
    </row>
    <row r="3643" spans="1:9" ht="15">
      <c r="A3643" s="2"/>
      <c r="I3643" s="47" t="s">
        <v>19788</v>
      </c>
    </row>
    <row r="3644" spans="1:9" ht="15">
      <c r="A3644" s="2"/>
      <c r="I3644" s="47" t="s">
        <v>19788</v>
      </c>
    </row>
    <row r="3645" spans="1:9" ht="15">
      <c r="A3645" s="2"/>
      <c r="I3645" s="47" t="s">
        <v>19788</v>
      </c>
    </row>
    <row r="3646" spans="1:9" ht="15">
      <c r="A3646" s="2"/>
      <c r="I3646" s="47" t="s">
        <v>19788</v>
      </c>
    </row>
    <row r="3647" spans="1:9" ht="15">
      <c r="A3647" s="2"/>
      <c r="I3647" s="47" t="s">
        <v>19788</v>
      </c>
    </row>
    <row r="3648" spans="1:9" ht="15">
      <c r="A3648" s="2"/>
      <c r="I3648" s="47" t="s">
        <v>19788</v>
      </c>
    </row>
    <row r="3649" spans="1:9" ht="15">
      <c r="A3649" s="2"/>
      <c r="I3649" s="47" t="s">
        <v>19788</v>
      </c>
    </row>
    <row r="3650" spans="1:9" ht="15">
      <c r="A3650" s="2"/>
      <c r="I3650" s="47" t="s">
        <v>19788</v>
      </c>
    </row>
    <row r="3651" spans="1:9" ht="15">
      <c r="A3651" s="2"/>
      <c r="I3651" s="47" t="s">
        <v>19788</v>
      </c>
    </row>
    <row r="3652" spans="1:9" ht="15">
      <c r="A3652" s="2"/>
      <c r="I3652" s="47" t="s">
        <v>19788</v>
      </c>
    </row>
    <row r="3653" spans="1:9" ht="15">
      <c r="A3653" s="2"/>
      <c r="I3653" s="47" t="s">
        <v>19788</v>
      </c>
    </row>
    <row r="3654" spans="1:9" ht="15">
      <c r="A3654" s="2"/>
      <c r="I3654" s="47" t="s">
        <v>19788</v>
      </c>
    </row>
    <row r="3655" spans="1:9" ht="15">
      <c r="A3655" s="2"/>
      <c r="I3655" s="47" t="s">
        <v>19788</v>
      </c>
    </row>
    <row r="3656" spans="1:9" ht="15">
      <c r="A3656" s="2"/>
      <c r="I3656" s="47" t="s">
        <v>19788</v>
      </c>
    </row>
    <row r="3657" spans="1:9" ht="15">
      <c r="A3657" s="2"/>
      <c r="I3657" s="47" t="s">
        <v>19788</v>
      </c>
    </row>
    <row r="3658" spans="1:9" ht="15">
      <c r="A3658" s="2"/>
      <c r="I3658" s="47" t="s">
        <v>19788</v>
      </c>
    </row>
    <row r="3659" spans="1:9" ht="15">
      <c r="A3659" s="2"/>
      <c r="I3659" s="47" t="s">
        <v>19788</v>
      </c>
    </row>
    <row r="3660" spans="1:9" ht="15">
      <c r="A3660" s="2"/>
      <c r="I3660" s="47" t="s">
        <v>19788</v>
      </c>
    </row>
    <row r="3661" spans="1:9" ht="15">
      <c r="A3661" s="2"/>
      <c r="I3661" s="47" t="s">
        <v>19788</v>
      </c>
    </row>
    <row r="3662" spans="1:9" ht="15">
      <c r="A3662" s="2"/>
      <c r="I3662" s="47" t="s">
        <v>19788</v>
      </c>
    </row>
    <row r="3663" spans="1:9" ht="15">
      <c r="A3663" s="2"/>
      <c r="I3663" s="47" t="s">
        <v>19788</v>
      </c>
    </row>
    <row r="3664" spans="1:9" ht="15">
      <c r="A3664" s="2"/>
      <c r="I3664" s="47" t="s">
        <v>19788</v>
      </c>
    </row>
    <row r="3665" spans="1:9" ht="15">
      <c r="A3665" s="2"/>
      <c r="I3665" s="47" t="s">
        <v>19788</v>
      </c>
    </row>
    <row r="3666" spans="1:9" ht="15">
      <c r="A3666" s="2"/>
      <c r="I3666" s="47" t="s">
        <v>19788</v>
      </c>
    </row>
    <row r="3667" spans="1:9" ht="15">
      <c r="A3667" s="2"/>
      <c r="I3667" s="47" t="s">
        <v>19788</v>
      </c>
    </row>
    <row r="3668" spans="1:9" ht="15">
      <c r="A3668" s="2"/>
      <c r="I3668" s="47" t="s">
        <v>19788</v>
      </c>
    </row>
    <row r="3669" spans="1:9" ht="15">
      <c r="A3669" s="2"/>
      <c r="I3669" s="47" t="s">
        <v>19788</v>
      </c>
    </row>
    <row r="3670" spans="1:9" ht="15">
      <c r="A3670" s="2"/>
      <c r="I3670" s="47" t="s">
        <v>19788</v>
      </c>
    </row>
    <row r="3671" spans="1:9" ht="15">
      <c r="A3671" s="2"/>
      <c r="I3671" s="47" t="s">
        <v>19788</v>
      </c>
    </row>
    <row r="3672" spans="1:9" ht="15">
      <c r="A3672" s="2"/>
      <c r="I3672" s="47" t="s">
        <v>19788</v>
      </c>
    </row>
    <row r="3673" spans="1:9" ht="15">
      <c r="A3673" s="2"/>
      <c r="I3673" s="47" t="s">
        <v>19788</v>
      </c>
    </row>
    <row r="3674" spans="1:9" ht="15">
      <c r="A3674" s="2"/>
      <c r="I3674" s="47" t="s">
        <v>19788</v>
      </c>
    </row>
    <row r="3675" spans="1:9" ht="15">
      <c r="A3675" s="2"/>
      <c r="I3675" s="47" t="s">
        <v>19788</v>
      </c>
    </row>
    <row r="3676" spans="1:9" ht="15">
      <c r="A3676" s="2"/>
      <c r="I3676" s="47" t="s">
        <v>19788</v>
      </c>
    </row>
    <row r="3677" spans="1:9" ht="15">
      <c r="A3677" s="2"/>
      <c r="I3677" s="47" t="s">
        <v>19788</v>
      </c>
    </row>
    <row r="3678" spans="1:9" ht="15">
      <c r="A3678" s="2"/>
      <c r="I3678" s="47" t="s">
        <v>19788</v>
      </c>
    </row>
    <row r="3679" spans="1:9" ht="15">
      <c r="A3679" s="2"/>
      <c r="I3679" s="47" t="s">
        <v>19788</v>
      </c>
    </row>
    <row r="3680" spans="1:9" ht="15">
      <c r="A3680" s="2"/>
      <c r="I3680" s="47" t="s">
        <v>19788</v>
      </c>
    </row>
    <row r="3681" spans="1:9" ht="15">
      <c r="A3681" s="2"/>
      <c r="I3681" s="47" t="s">
        <v>19788</v>
      </c>
    </row>
    <row r="3682" spans="1:9" ht="15">
      <c r="A3682" s="2"/>
      <c r="I3682" s="47" t="s">
        <v>19788</v>
      </c>
    </row>
    <row r="3683" spans="1:9" ht="15">
      <c r="A3683" s="2"/>
      <c r="I3683" s="47" t="s">
        <v>19788</v>
      </c>
    </row>
    <row r="3684" spans="1:9" ht="15">
      <c r="A3684" s="2"/>
      <c r="I3684" s="47" t="s">
        <v>19788</v>
      </c>
    </row>
    <row r="3685" spans="1:9" ht="15">
      <c r="A3685" s="2"/>
      <c r="I3685" s="47" t="s">
        <v>19788</v>
      </c>
    </row>
    <row r="3686" spans="1:9" ht="15">
      <c r="A3686" s="2"/>
      <c r="I3686" s="47" t="s">
        <v>19788</v>
      </c>
    </row>
    <row r="3687" spans="1:9" ht="15">
      <c r="A3687" s="2"/>
      <c r="I3687" s="47" t="s">
        <v>19788</v>
      </c>
    </row>
    <row r="3688" spans="1:9" ht="15">
      <c r="A3688" s="2"/>
      <c r="I3688" s="47" t="s">
        <v>19788</v>
      </c>
    </row>
    <row r="3689" spans="1:9" ht="15">
      <c r="A3689" s="2"/>
      <c r="I3689" s="47" t="s">
        <v>19788</v>
      </c>
    </row>
    <row r="3690" spans="1:9" ht="15">
      <c r="A3690" s="2"/>
      <c r="I3690" s="47" t="s">
        <v>19788</v>
      </c>
    </row>
    <row r="3691" spans="1:9" ht="15">
      <c r="A3691" s="2"/>
      <c r="I3691" s="47" t="s">
        <v>19788</v>
      </c>
    </row>
    <row r="3692" spans="1:9" ht="15">
      <c r="A3692" s="2"/>
      <c r="I3692" s="47" t="s">
        <v>19788</v>
      </c>
    </row>
    <row r="3693" spans="1:9" ht="15">
      <c r="A3693" s="2"/>
      <c r="I3693" s="47" t="s">
        <v>19788</v>
      </c>
    </row>
    <row r="3694" spans="1:9" ht="15">
      <c r="A3694" s="2"/>
      <c r="I3694" s="47" t="s">
        <v>19788</v>
      </c>
    </row>
    <row r="3695" spans="1:9" ht="15">
      <c r="A3695" s="2"/>
      <c r="I3695" s="47" t="s">
        <v>19788</v>
      </c>
    </row>
    <row r="3696" spans="1:9" ht="15">
      <c r="A3696" s="2"/>
      <c r="I3696" s="47" t="s">
        <v>19788</v>
      </c>
    </row>
    <row r="3697" spans="1:9" ht="15">
      <c r="A3697" s="2"/>
      <c r="I3697" s="47" t="s">
        <v>19788</v>
      </c>
    </row>
    <row r="3698" spans="1:9" ht="15">
      <c r="A3698" s="2"/>
      <c r="I3698" s="47" t="s">
        <v>19788</v>
      </c>
    </row>
    <row r="3699" spans="1:9" ht="15">
      <c r="A3699" s="2"/>
      <c r="I3699" s="47" t="s">
        <v>19788</v>
      </c>
    </row>
    <row r="3700" spans="1:9" ht="15">
      <c r="A3700" s="2"/>
      <c r="I3700" s="47" t="s">
        <v>19788</v>
      </c>
    </row>
    <row r="3701" spans="1:9" ht="15">
      <c r="A3701" s="2"/>
      <c r="I3701" s="47" t="s">
        <v>19788</v>
      </c>
    </row>
    <row r="3702" spans="1:9" ht="15">
      <c r="A3702" s="2"/>
      <c r="I3702" s="47" t="s">
        <v>19788</v>
      </c>
    </row>
    <row r="3703" spans="1:9" ht="15">
      <c r="A3703" s="2"/>
      <c r="I3703" s="47" t="s">
        <v>19788</v>
      </c>
    </row>
    <row r="3704" spans="1:9" ht="15">
      <c r="A3704" s="2"/>
      <c r="I3704" s="47" t="s">
        <v>19788</v>
      </c>
    </row>
    <row r="3705" spans="1:9" ht="15">
      <c r="A3705" s="2"/>
      <c r="I3705" s="47" t="s">
        <v>19788</v>
      </c>
    </row>
    <row r="3706" spans="1:9" ht="15">
      <c r="A3706" s="2"/>
      <c r="I3706" s="47" t="s">
        <v>19788</v>
      </c>
    </row>
    <row r="3707" spans="1:9" ht="15">
      <c r="A3707" s="2"/>
      <c r="I3707" s="47" t="s">
        <v>19788</v>
      </c>
    </row>
    <row r="3708" spans="1:9" ht="15">
      <c r="A3708" s="2"/>
      <c r="I3708" s="47" t="s">
        <v>19788</v>
      </c>
    </row>
    <row r="3709" spans="1:9" ht="15">
      <c r="A3709" s="2"/>
      <c r="I3709" s="47" t="s">
        <v>19788</v>
      </c>
    </row>
    <row r="3710" spans="1:9" ht="15">
      <c r="A3710" s="2"/>
      <c r="I3710" s="47" t="s">
        <v>19788</v>
      </c>
    </row>
    <row r="3711" spans="1:9" ht="15">
      <c r="A3711" s="2"/>
      <c r="I3711" s="47" t="s">
        <v>19788</v>
      </c>
    </row>
    <row r="3712" spans="1:9" ht="15">
      <c r="A3712" s="2"/>
      <c r="I3712" s="47" t="s">
        <v>19788</v>
      </c>
    </row>
    <row r="3713" spans="1:9" ht="15">
      <c r="A3713" s="2"/>
      <c r="I3713" s="47" t="s">
        <v>19788</v>
      </c>
    </row>
    <row r="3714" spans="1:9" ht="15">
      <c r="A3714" s="2"/>
      <c r="I3714" s="47" t="s">
        <v>19788</v>
      </c>
    </row>
    <row r="3715" spans="1:9" ht="15">
      <c r="A3715" s="2"/>
      <c r="I3715" s="47" t="s">
        <v>19788</v>
      </c>
    </row>
    <row r="3716" spans="1:9" ht="15">
      <c r="A3716" s="2"/>
      <c r="I3716" s="47" t="s">
        <v>19788</v>
      </c>
    </row>
    <row r="3717" spans="1:9" ht="15">
      <c r="A3717" s="2"/>
      <c r="I3717" s="47" t="s">
        <v>19788</v>
      </c>
    </row>
    <row r="3718" spans="1:9" ht="15">
      <c r="A3718" s="2"/>
      <c r="I3718" s="47" t="s">
        <v>19788</v>
      </c>
    </row>
    <row r="3719" spans="1:9" ht="15">
      <c r="A3719" s="2"/>
      <c r="I3719" s="47" t="s">
        <v>19788</v>
      </c>
    </row>
    <row r="3720" spans="1:9" ht="15">
      <c r="A3720" s="2"/>
      <c r="I3720" s="47" t="s">
        <v>19788</v>
      </c>
    </row>
    <row r="3721" spans="1:9" ht="15">
      <c r="A3721" s="2"/>
      <c r="I3721" s="47" t="s">
        <v>19788</v>
      </c>
    </row>
    <row r="3722" spans="1:9" ht="15">
      <c r="A3722" s="2"/>
      <c r="I3722" s="47" t="s">
        <v>19788</v>
      </c>
    </row>
    <row r="3723" spans="1:9" ht="15">
      <c r="A3723" s="2"/>
      <c r="I3723" s="47" t="s">
        <v>19788</v>
      </c>
    </row>
    <row r="3724" spans="1:9" ht="15">
      <c r="A3724" s="2"/>
      <c r="I3724" s="47" t="s">
        <v>19788</v>
      </c>
    </row>
    <row r="3725" spans="1:9" ht="15">
      <c r="A3725" s="2"/>
      <c r="I3725" s="47" t="s">
        <v>19788</v>
      </c>
    </row>
    <row r="3726" spans="1:9" ht="15">
      <c r="A3726" s="2"/>
      <c r="I3726" s="47" t="s">
        <v>19788</v>
      </c>
    </row>
    <row r="3727" spans="1:9" ht="15">
      <c r="A3727" s="2"/>
      <c r="I3727" s="47" t="s">
        <v>19788</v>
      </c>
    </row>
    <row r="3728" spans="1:9" ht="15">
      <c r="A3728" s="2"/>
      <c r="I3728" s="47" t="s">
        <v>19788</v>
      </c>
    </row>
    <row r="3729" spans="1:9" ht="15">
      <c r="A3729" s="2"/>
      <c r="I3729" s="47" t="s">
        <v>19788</v>
      </c>
    </row>
    <row r="3730" spans="1:9" ht="15">
      <c r="A3730" s="2"/>
      <c r="I3730" s="47" t="s">
        <v>19788</v>
      </c>
    </row>
    <row r="3731" spans="1:9" ht="15">
      <c r="A3731" s="2"/>
      <c r="I3731" s="47" t="s">
        <v>19788</v>
      </c>
    </row>
    <row r="3732" spans="1:9" ht="15">
      <c r="A3732" s="2"/>
      <c r="I3732" s="47" t="s">
        <v>19788</v>
      </c>
    </row>
    <row r="3733" spans="1:9" ht="15">
      <c r="A3733" s="2"/>
      <c r="I3733" s="47" t="s">
        <v>19788</v>
      </c>
    </row>
    <row r="3734" spans="1:9" ht="15">
      <c r="A3734" s="2"/>
      <c r="I3734" s="47" t="s">
        <v>19788</v>
      </c>
    </row>
    <row r="3735" spans="1:9" ht="15">
      <c r="A3735" s="2"/>
      <c r="I3735" s="47" t="s">
        <v>19788</v>
      </c>
    </row>
    <row r="3736" spans="1:9" ht="15">
      <c r="A3736" s="2"/>
      <c r="I3736" s="47" t="s">
        <v>19788</v>
      </c>
    </row>
    <row r="3737" spans="1:9" ht="15">
      <c r="A3737" s="2"/>
      <c r="I3737" s="47" t="s">
        <v>19788</v>
      </c>
    </row>
    <row r="3738" spans="1:9" ht="15">
      <c r="A3738" s="2"/>
      <c r="I3738" s="47" t="s">
        <v>19788</v>
      </c>
    </row>
    <row r="3739" spans="1:9" ht="15">
      <c r="A3739" s="2"/>
      <c r="I3739" s="47" t="s">
        <v>19788</v>
      </c>
    </row>
    <row r="3740" spans="1:9" ht="15">
      <c r="A3740" s="2"/>
      <c r="I3740" s="47" t="s">
        <v>19788</v>
      </c>
    </row>
    <row r="3741" spans="1:9" ht="15">
      <c r="A3741" s="2"/>
      <c r="I3741" s="47" t="s">
        <v>19788</v>
      </c>
    </row>
    <row r="3742" spans="1:9" ht="15">
      <c r="A3742" s="2"/>
      <c r="I3742" s="47" t="s">
        <v>19788</v>
      </c>
    </row>
    <row r="3743" spans="1:9" ht="15">
      <c r="A3743" s="2"/>
      <c r="I3743" s="47" t="s">
        <v>19788</v>
      </c>
    </row>
    <row r="3744" spans="1:9" ht="15">
      <c r="A3744" s="2"/>
      <c r="I3744" s="47" t="s">
        <v>19788</v>
      </c>
    </row>
    <row r="3745" spans="1:9" ht="15">
      <c r="A3745" s="2"/>
      <c r="I3745" s="47" t="s">
        <v>19788</v>
      </c>
    </row>
    <row r="3746" spans="1:9" ht="15">
      <c r="A3746" s="2"/>
      <c r="I3746" s="47" t="s">
        <v>19788</v>
      </c>
    </row>
    <row r="3747" spans="1:9" ht="15">
      <c r="A3747" s="2"/>
      <c r="I3747" s="47" t="s">
        <v>19788</v>
      </c>
    </row>
    <row r="3748" spans="1:9" ht="15">
      <c r="A3748" s="2"/>
      <c r="I3748" s="47" t="s">
        <v>19788</v>
      </c>
    </row>
    <row r="3749" spans="1:9" ht="15">
      <c r="A3749" s="2"/>
      <c r="I3749" s="47" t="s">
        <v>19788</v>
      </c>
    </row>
    <row r="3750" spans="1:9" ht="15">
      <c r="A3750" s="2"/>
      <c r="I3750" s="47" t="s">
        <v>19788</v>
      </c>
    </row>
    <row r="3751" spans="1:9" ht="15">
      <c r="A3751" s="2"/>
      <c r="I3751" s="47" t="s">
        <v>19788</v>
      </c>
    </row>
    <row r="3752" spans="1:9" ht="15">
      <c r="A3752" s="2"/>
      <c r="I3752" s="47" t="s">
        <v>19788</v>
      </c>
    </row>
    <row r="3753" spans="1:9" ht="15">
      <c r="A3753" s="2"/>
      <c r="I3753" s="47" t="s">
        <v>19788</v>
      </c>
    </row>
    <row r="3754" spans="1:9" ht="15">
      <c r="A3754" s="2"/>
      <c r="I3754" s="47" t="s">
        <v>19788</v>
      </c>
    </row>
    <row r="3755" spans="1:9" ht="15">
      <c r="A3755" s="2"/>
      <c r="I3755" s="47" t="s">
        <v>19788</v>
      </c>
    </row>
    <row r="3756" spans="1:9" ht="15">
      <c r="A3756" s="2"/>
      <c r="I3756" s="47" t="s">
        <v>19788</v>
      </c>
    </row>
    <row r="3757" spans="1:9" ht="15">
      <c r="A3757" s="2"/>
      <c r="I3757" s="47" t="s">
        <v>19788</v>
      </c>
    </row>
    <row r="3758" spans="1:9" ht="15">
      <c r="A3758" s="2"/>
      <c r="I3758" s="47" t="s">
        <v>19788</v>
      </c>
    </row>
    <row r="3759" spans="1:9" ht="15">
      <c r="A3759" s="2"/>
      <c r="I3759" s="47" t="s">
        <v>19788</v>
      </c>
    </row>
    <row r="3760" spans="1:9" ht="15">
      <c r="A3760" s="2"/>
      <c r="I3760" s="47" t="s">
        <v>19788</v>
      </c>
    </row>
    <row r="3761" spans="1:9" ht="15">
      <c r="A3761" s="2"/>
      <c r="I3761" s="47" t="s">
        <v>19788</v>
      </c>
    </row>
    <row r="3762" spans="1:9" ht="15">
      <c r="A3762" s="2"/>
      <c r="I3762" s="47" t="s">
        <v>19788</v>
      </c>
    </row>
    <row r="3763" spans="1:9" ht="15">
      <c r="A3763" s="2"/>
      <c r="I3763" s="47" t="s">
        <v>19788</v>
      </c>
    </row>
    <row r="3764" spans="1:9" ht="15">
      <c r="A3764" s="2"/>
      <c r="I3764" s="47" t="s">
        <v>19788</v>
      </c>
    </row>
    <row r="3765" spans="1:9" ht="15">
      <c r="A3765" s="2"/>
      <c r="I3765" s="47" t="s">
        <v>19788</v>
      </c>
    </row>
    <row r="3766" spans="1:9" ht="15">
      <c r="A3766" s="2"/>
      <c r="I3766" s="47" t="s">
        <v>19788</v>
      </c>
    </row>
    <row r="3767" spans="1:9" ht="15">
      <c r="A3767" s="2"/>
      <c r="I3767" s="47" t="s">
        <v>19788</v>
      </c>
    </row>
    <row r="3768" spans="1:9" ht="15">
      <c r="A3768" s="2"/>
      <c r="I3768" s="47" t="s">
        <v>19788</v>
      </c>
    </row>
    <row r="3769" spans="1:9" ht="15">
      <c r="A3769" s="2"/>
      <c r="I3769" s="47" t="s">
        <v>19788</v>
      </c>
    </row>
    <row r="3770" spans="1:9" ht="15">
      <c r="A3770" s="2"/>
      <c r="I3770" s="47" t="s">
        <v>19788</v>
      </c>
    </row>
    <row r="3771" spans="1:9" ht="15">
      <c r="A3771" s="2"/>
      <c r="I3771" s="47" t="s">
        <v>19788</v>
      </c>
    </row>
    <row r="3772" spans="1:9" ht="15">
      <c r="A3772" s="2"/>
      <c r="I3772" s="47" t="s">
        <v>19788</v>
      </c>
    </row>
    <row r="3773" spans="1:9" ht="15">
      <c r="A3773" s="2"/>
      <c r="I3773" s="47" t="s">
        <v>19788</v>
      </c>
    </row>
    <row r="3774" spans="1:9" ht="15">
      <c r="A3774" s="2"/>
      <c r="I3774" s="47" t="s">
        <v>19788</v>
      </c>
    </row>
    <row r="3775" spans="1:9" ht="15">
      <c r="A3775" s="2"/>
      <c r="I3775" s="47" t="s">
        <v>19788</v>
      </c>
    </row>
    <row r="3776" spans="1:9" ht="15">
      <c r="A3776" s="2"/>
      <c r="I3776" s="47" t="s">
        <v>19788</v>
      </c>
    </row>
    <row r="3777" spans="1:9" ht="15">
      <c r="A3777" s="2"/>
      <c r="I3777" s="47" t="s">
        <v>19788</v>
      </c>
    </row>
    <row r="3778" spans="1:9" ht="15">
      <c r="A3778" s="2"/>
      <c r="I3778" s="47" t="s">
        <v>19788</v>
      </c>
    </row>
    <row r="3779" spans="1:9" ht="15">
      <c r="A3779" s="2"/>
      <c r="I3779" s="47" t="s">
        <v>19788</v>
      </c>
    </row>
    <row r="3780" spans="1:9" ht="15">
      <c r="A3780" s="2"/>
      <c r="I3780" s="47" t="s">
        <v>19788</v>
      </c>
    </row>
    <row r="3781" spans="1:9" ht="15">
      <c r="A3781" s="2"/>
      <c r="I3781" s="47" t="s">
        <v>19788</v>
      </c>
    </row>
    <row r="3782" spans="1:9" ht="15">
      <c r="A3782" s="2"/>
      <c r="I3782" s="47" t="s">
        <v>19788</v>
      </c>
    </row>
    <row r="3783" spans="1:9" ht="15">
      <c r="A3783" s="2"/>
      <c r="I3783" s="47" t="s">
        <v>19788</v>
      </c>
    </row>
    <row r="3784" spans="1:9" ht="15">
      <c r="A3784" s="2"/>
      <c r="I3784" s="47" t="s">
        <v>19788</v>
      </c>
    </row>
    <row r="3785" spans="1:9" ht="15">
      <c r="A3785" s="2"/>
      <c r="I3785" s="47" t="s">
        <v>19788</v>
      </c>
    </row>
    <row r="3786" spans="1:9" ht="15">
      <c r="A3786" s="2"/>
      <c r="I3786" s="47" t="s">
        <v>19788</v>
      </c>
    </row>
    <row r="3787" spans="1:9" ht="15">
      <c r="A3787" s="2"/>
      <c r="I3787" s="47" t="s">
        <v>19788</v>
      </c>
    </row>
    <row r="3788" spans="1:9" ht="15">
      <c r="A3788" s="2"/>
      <c r="I3788" s="47" t="s">
        <v>19788</v>
      </c>
    </row>
    <row r="3789" spans="1:9" ht="15">
      <c r="A3789" s="2"/>
      <c r="I3789" s="47" t="s">
        <v>19788</v>
      </c>
    </row>
    <row r="3790" spans="1:9" ht="15">
      <c r="A3790" s="2"/>
      <c r="I3790" s="47" t="s">
        <v>19788</v>
      </c>
    </row>
    <row r="3791" spans="1:9" ht="15">
      <c r="A3791" s="2"/>
      <c r="I3791" s="47" t="s">
        <v>19788</v>
      </c>
    </row>
    <row r="3792" spans="1:9" ht="15">
      <c r="A3792" s="2"/>
      <c r="I3792" s="47" t="s">
        <v>19788</v>
      </c>
    </row>
    <row r="3793" spans="1:9" ht="15">
      <c r="A3793" s="2"/>
      <c r="I3793" s="47" t="s">
        <v>19788</v>
      </c>
    </row>
    <row r="3794" spans="1:9" ht="15">
      <c r="A3794" s="2"/>
      <c r="I3794" s="47" t="s">
        <v>19788</v>
      </c>
    </row>
    <row r="3795" spans="1:9" ht="15">
      <c r="A3795" s="2"/>
      <c r="I3795" s="47" t="s">
        <v>19788</v>
      </c>
    </row>
    <row r="3796" spans="1:9" ht="15">
      <c r="A3796" s="2"/>
      <c r="I3796" s="47" t="s">
        <v>19788</v>
      </c>
    </row>
    <row r="3797" spans="1:9" ht="15">
      <c r="A3797" s="2"/>
      <c r="I3797" s="47" t="s">
        <v>19788</v>
      </c>
    </row>
    <row r="3798" spans="1:9" ht="15">
      <c r="A3798" s="2"/>
      <c r="I3798" s="47" t="s">
        <v>19788</v>
      </c>
    </row>
    <row r="3799" spans="1:9" ht="15">
      <c r="A3799" s="2"/>
      <c r="I3799" s="47" t="s">
        <v>19788</v>
      </c>
    </row>
    <row r="3800" spans="1:9" ht="15">
      <c r="A3800" s="2"/>
      <c r="I3800" s="47" t="s">
        <v>19788</v>
      </c>
    </row>
    <row r="3801" spans="1:9" ht="15">
      <c r="A3801" s="2"/>
      <c r="I3801" s="47" t="s">
        <v>19788</v>
      </c>
    </row>
    <row r="3802" spans="1:9" ht="15">
      <c r="A3802" s="2"/>
      <c r="I3802" s="47" t="s">
        <v>19788</v>
      </c>
    </row>
    <row r="3803" spans="1:9" ht="15">
      <c r="A3803" s="2"/>
      <c r="I3803" s="47" t="s">
        <v>19788</v>
      </c>
    </row>
    <row r="3804" spans="1:9" ht="15">
      <c r="A3804" s="2"/>
      <c r="I3804" s="47" t="s">
        <v>19788</v>
      </c>
    </row>
    <row r="3805" spans="1:9" ht="15">
      <c r="A3805" s="2"/>
      <c r="I3805" s="47" t="s">
        <v>19788</v>
      </c>
    </row>
    <row r="3806" spans="1:9" ht="15">
      <c r="A3806" s="2"/>
      <c r="I3806" s="47" t="s">
        <v>19788</v>
      </c>
    </row>
    <row r="3807" spans="1:9" ht="15">
      <c r="A3807" s="2"/>
      <c r="I3807" s="47" t="s">
        <v>19788</v>
      </c>
    </row>
    <row r="3808" spans="1:9" ht="15">
      <c r="A3808" s="2"/>
      <c r="I3808" s="47" t="s">
        <v>19788</v>
      </c>
    </row>
    <row r="3809" spans="1:9" ht="15">
      <c r="A3809" s="2"/>
      <c r="I3809" s="47" t="s">
        <v>19788</v>
      </c>
    </row>
    <row r="3810" spans="1:9" ht="15">
      <c r="A3810" s="2"/>
      <c r="I3810" s="47" t="s">
        <v>19788</v>
      </c>
    </row>
    <row r="3811" spans="1:9" ht="15">
      <c r="A3811" s="2"/>
      <c r="I3811" s="47" t="s">
        <v>19788</v>
      </c>
    </row>
    <row r="3812" spans="1:9" ht="15">
      <c r="A3812" s="2"/>
      <c r="I3812" s="47" t="s">
        <v>19788</v>
      </c>
    </row>
    <row r="3813" spans="1:9" ht="15">
      <c r="A3813" s="2"/>
      <c r="I3813" s="47" t="s">
        <v>19788</v>
      </c>
    </row>
    <row r="3814" spans="1:9" ht="15">
      <c r="A3814" s="2"/>
      <c r="I3814" s="47" t="s">
        <v>19788</v>
      </c>
    </row>
    <row r="3815" spans="1:9" ht="15">
      <c r="A3815" s="2"/>
      <c r="I3815" s="47" t="s">
        <v>19788</v>
      </c>
    </row>
    <row r="3816" spans="1:9" ht="15">
      <c r="A3816" s="2"/>
      <c r="I3816" s="47" t="s">
        <v>19788</v>
      </c>
    </row>
    <row r="3817" spans="1:9" ht="15">
      <c r="A3817" s="2"/>
      <c r="I3817" s="47" t="s">
        <v>19788</v>
      </c>
    </row>
    <row r="3818" spans="1:9" ht="15">
      <c r="A3818" s="2"/>
      <c r="I3818" s="47" t="s">
        <v>19788</v>
      </c>
    </row>
    <row r="3819" spans="1:9" ht="15">
      <c r="A3819" s="2"/>
      <c r="I3819" s="47" t="s">
        <v>19788</v>
      </c>
    </row>
    <row r="3820" spans="1:9" ht="15">
      <c r="A3820" s="2"/>
      <c r="I3820" s="47" t="s">
        <v>19788</v>
      </c>
    </row>
    <row r="3821" spans="1:9" ht="15">
      <c r="A3821" s="2"/>
      <c r="I3821" s="47" t="s">
        <v>19788</v>
      </c>
    </row>
    <row r="3822" spans="1:9" ht="15">
      <c r="A3822" s="2"/>
      <c r="I3822" s="47" t="s">
        <v>19788</v>
      </c>
    </row>
    <row r="3823" spans="1:9" ht="15">
      <c r="A3823" s="2"/>
      <c r="I3823" s="47" t="s">
        <v>19788</v>
      </c>
    </row>
    <row r="3824" spans="1:9" ht="15">
      <c r="A3824" s="2"/>
      <c r="I3824" s="47" t="s">
        <v>19788</v>
      </c>
    </row>
    <row r="3825" spans="1:9" ht="15">
      <c r="A3825" s="2"/>
      <c r="I3825" s="47" t="s">
        <v>19788</v>
      </c>
    </row>
    <row r="3826" spans="1:9" ht="15">
      <c r="A3826" s="2"/>
      <c r="I3826" s="47" t="s">
        <v>19788</v>
      </c>
    </row>
    <row r="3827" spans="1:9" ht="15">
      <c r="A3827" s="2"/>
      <c r="I3827" s="47" t="s">
        <v>19788</v>
      </c>
    </row>
    <row r="3828" spans="1:9" ht="15">
      <c r="A3828" s="2"/>
      <c r="I3828" s="47" t="s">
        <v>19788</v>
      </c>
    </row>
    <row r="3829" spans="1:9" ht="15">
      <c r="A3829" s="2"/>
      <c r="I3829" s="47" t="s">
        <v>19788</v>
      </c>
    </row>
    <row r="3830" spans="1:9" ht="15">
      <c r="A3830" s="2"/>
      <c r="I3830" s="47" t="s">
        <v>19788</v>
      </c>
    </row>
    <row r="3831" spans="1:9" ht="15">
      <c r="A3831" s="2"/>
      <c r="I3831" s="47" t="s">
        <v>19788</v>
      </c>
    </row>
    <row r="3832" spans="1:9" ht="15">
      <c r="A3832" s="2"/>
      <c r="I3832" s="47" t="s">
        <v>19788</v>
      </c>
    </row>
    <row r="3833" spans="1:9" ht="15">
      <c r="A3833" s="2"/>
      <c r="I3833" s="47" t="s">
        <v>19788</v>
      </c>
    </row>
    <row r="3834" spans="1:9" ht="15">
      <c r="A3834" s="2"/>
      <c r="I3834" s="47" t="s">
        <v>19788</v>
      </c>
    </row>
    <row r="3835" spans="1:9" ht="15">
      <c r="A3835" s="2"/>
      <c r="I3835" s="47" t="s">
        <v>19788</v>
      </c>
    </row>
    <row r="3836" spans="1:9" ht="15">
      <c r="A3836" s="2"/>
      <c r="I3836" s="47" t="s">
        <v>19788</v>
      </c>
    </row>
    <row r="3837" spans="1:9" ht="15">
      <c r="A3837" s="2"/>
      <c r="I3837" s="47" t="s">
        <v>19788</v>
      </c>
    </row>
    <row r="3838" spans="1:9" ht="15">
      <c r="A3838" s="2"/>
      <c r="I3838" s="47" t="s">
        <v>19788</v>
      </c>
    </row>
    <row r="3839" spans="1:9" ht="15">
      <c r="A3839" s="2"/>
      <c r="I3839" s="47" t="s">
        <v>19788</v>
      </c>
    </row>
    <row r="3840" spans="1:9" ht="15">
      <c r="A3840" s="2"/>
      <c r="I3840" s="47" t="s">
        <v>19788</v>
      </c>
    </row>
    <row r="3841" spans="1:9" ht="15">
      <c r="A3841" s="2"/>
      <c r="I3841" s="47" t="s">
        <v>19788</v>
      </c>
    </row>
    <row r="3842" spans="1:9" ht="15">
      <c r="A3842" s="2"/>
      <c r="I3842" s="47" t="s">
        <v>19788</v>
      </c>
    </row>
    <row r="3843" spans="1:9" ht="15">
      <c r="A3843" s="2"/>
      <c r="I3843" s="47" t="s">
        <v>19788</v>
      </c>
    </row>
    <row r="3844" spans="1:9" ht="15">
      <c r="A3844" s="2"/>
      <c r="I3844" s="47" t="s">
        <v>19788</v>
      </c>
    </row>
    <row r="3845" spans="1:9" ht="15">
      <c r="A3845" s="2"/>
      <c r="I3845" s="47" t="s">
        <v>19788</v>
      </c>
    </row>
    <row r="3846" spans="1:9" ht="15">
      <c r="A3846" s="2"/>
      <c r="I3846" s="47" t="s">
        <v>19788</v>
      </c>
    </row>
    <row r="3847" spans="1:9" ht="15">
      <c r="A3847" s="2"/>
      <c r="I3847" s="47" t="s">
        <v>19788</v>
      </c>
    </row>
    <row r="3848" spans="1:9" ht="15">
      <c r="A3848" s="2"/>
      <c r="I3848" s="47" t="s">
        <v>19788</v>
      </c>
    </row>
    <row r="3849" spans="1:9" ht="15">
      <c r="A3849" s="2"/>
      <c r="I3849" s="47" t="s">
        <v>19788</v>
      </c>
    </row>
    <row r="3850" spans="1:9" ht="15">
      <c r="A3850" s="2"/>
      <c r="I3850" s="47" t="s">
        <v>19788</v>
      </c>
    </row>
    <row r="3851" spans="1:9" ht="15">
      <c r="A3851" s="2"/>
      <c r="I3851" s="47" t="s">
        <v>19788</v>
      </c>
    </row>
    <row r="3852" spans="1:9" ht="15">
      <c r="A3852" s="2"/>
      <c r="I3852" s="47" t="s">
        <v>19788</v>
      </c>
    </row>
    <row r="3853" spans="1:9" ht="15">
      <c r="A3853" s="2"/>
      <c r="I3853" s="47" t="s">
        <v>19788</v>
      </c>
    </row>
    <row r="3854" spans="1:9" ht="15">
      <c r="A3854" s="2"/>
      <c r="I3854" s="47" t="s">
        <v>19788</v>
      </c>
    </row>
    <row r="3855" spans="1:9" ht="15">
      <c r="A3855" s="2"/>
      <c r="I3855" s="47" t="s">
        <v>19788</v>
      </c>
    </row>
    <row r="3856" spans="1:9" ht="15">
      <c r="A3856" s="2"/>
      <c r="I3856" s="47" t="s">
        <v>19788</v>
      </c>
    </row>
    <row r="3857" spans="1:9" ht="15">
      <c r="A3857" s="2"/>
      <c r="I3857" s="47" t="s">
        <v>19788</v>
      </c>
    </row>
    <row r="3858" spans="1:9" ht="15">
      <c r="A3858" s="2"/>
      <c r="I3858" s="47" t="s">
        <v>19788</v>
      </c>
    </row>
    <row r="3859" spans="1:9" ht="15">
      <c r="A3859" s="2"/>
      <c r="I3859" s="47" t="s">
        <v>19788</v>
      </c>
    </row>
    <row r="3860" spans="1:9" ht="15">
      <c r="A3860" s="2"/>
      <c r="I3860" s="47" t="s">
        <v>19788</v>
      </c>
    </row>
    <row r="3861" spans="1:9" ht="15">
      <c r="A3861" s="2"/>
      <c r="I3861" s="47" t="s">
        <v>19788</v>
      </c>
    </row>
    <row r="3862" spans="1:9" ht="15">
      <c r="A3862" s="2"/>
      <c r="I3862" s="47" t="s">
        <v>19788</v>
      </c>
    </row>
    <row r="3863" spans="1:9" ht="15">
      <c r="A3863" s="2"/>
      <c r="I3863" s="47" t="s">
        <v>19788</v>
      </c>
    </row>
    <row r="3864" spans="1:9" ht="15">
      <c r="A3864" s="2"/>
      <c r="I3864" s="47" t="s">
        <v>19788</v>
      </c>
    </row>
    <row r="3865" spans="1:9" ht="15">
      <c r="A3865" s="2"/>
      <c r="I3865" s="47" t="s">
        <v>19788</v>
      </c>
    </row>
    <row r="3866" spans="1:9" ht="15">
      <c r="A3866" s="2"/>
      <c r="I3866" s="47" t="s">
        <v>19788</v>
      </c>
    </row>
    <row r="3867" spans="1:9" ht="15">
      <c r="A3867" s="2"/>
      <c r="I3867" s="47" t="s">
        <v>19788</v>
      </c>
    </row>
    <row r="3868" spans="1:9" ht="15">
      <c r="A3868" s="2"/>
      <c r="I3868" s="47" t="s">
        <v>19788</v>
      </c>
    </row>
    <row r="3869" spans="1:9" ht="15">
      <c r="A3869" s="2"/>
      <c r="I3869" s="47" t="s">
        <v>19788</v>
      </c>
    </row>
    <row r="3870" spans="1:9" ht="15">
      <c r="A3870" s="2"/>
      <c r="I3870" s="47" t="s">
        <v>19788</v>
      </c>
    </row>
    <row r="3871" spans="1:9" ht="15">
      <c r="A3871" s="2"/>
      <c r="I3871" s="47" t="s">
        <v>19788</v>
      </c>
    </row>
    <row r="3872" spans="1:9" ht="15">
      <c r="A3872" s="2"/>
      <c r="I3872" s="47" t="s">
        <v>19788</v>
      </c>
    </row>
    <row r="3873" spans="1:9" ht="15">
      <c r="A3873" s="2"/>
      <c r="I3873" s="47" t="s">
        <v>19788</v>
      </c>
    </row>
    <row r="3874" spans="1:9" ht="15">
      <c r="A3874" s="2"/>
      <c r="I3874" s="47" t="s">
        <v>19788</v>
      </c>
    </row>
    <row r="3875" spans="1:9" ht="15">
      <c r="A3875" s="2"/>
      <c r="I3875" s="47" t="s">
        <v>19788</v>
      </c>
    </row>
    <row r="3876" spans="1:9" ht="15">
      <c r="A3876" s="2"/>
      <c r="I3876" s="47" t="s">
        <v>19788</v>
      </c>
    </row>
    <row r="3877" spans="1:9" ht="15">
      <c r="A3877" s="2"/>
      <c r="I3877" s="47" t="s">
        <v>19788</v>
      </c>
    </row>
    <row r="3878" spans="1:9" ht="15">
      <c r="A3878" s="2"/>
      <c r="I3878" s="47" t="s">
        <v>19788</v>
      </c>
    </row>
    <row r="3879" spans="1:9" ht="15">
      <c r="A3879" s="2"/>
      <c r="I3879" s="47" t="s">
        <v>19788</v>
      </c>
    </row>
    <row r="3880" spans="1:9" ht="15">
      <c r="A3880" s="2"/>
      <c r="I3880" s="47" t="s">
        <v>19788</v>
      </c>
    </row>
    <row r="3881" spans="1:9" ht="15">
      <c r="A3881" s="2"/>
      <c r="I3881" s="47" t="s">
        <v>19788</v>
      </c>
    </row>
    <row r="3882" spans="1:9" ht="15">
      <c r="A3882" s="2"/>
      <c r="I3882" s="47" t="s">
        <v>19788</v>
      </c>
    </row>
    <row r="3883" spans="1:9" ht="15">
      <c r="A3883" s="2"/>
      <c r="I3883" s="47" t="s">
        <v>19788</v>
      </c>
    </row>
    <row r="3884" spans="1:9" ht="15">
      <c r="A3884" s="2"/>
      <c r="I3884" s="47" t="s">
        <v>19788</v>
      </c>
    </row>
    <row r="3885" spans="1:9" ht="15">
      <c r="A3885" s="2"/>
      <c r="I3885" s="47" t="s">
        <v>19788</v>
      </c>
    </row>
    <row r="3886" spans="1:9" ht="15">
      <c r="A3886" s="2"/>
      <c r="I3886" s="47" t="s">
        <v>19788</v>
      </c>
    </row>
    <row r="3887" spans="1:9" ht="15">
      <c r="A3887" s="2"/>
      <c r="I3887" s="47" t="s">
        <v>19788</v>
      </c>
    </row>
    <row r="3888" spans="1:9" ht="15">
      <c r="A3888" s="2"/>
      <c r="I3888" s="47" t="s">
        <v>19788</v>
      </c>
    </row>
    <row r="3889" spans="1:9" ht="15">
      <c r="A3889" s="2"/>
      <c r="I3889" s="47" t="s">
        <v>19788</v>
      </c>
    </row>
    <row r="3890" spans="1:9" ht="15">
      <c r="A3890" s="2"/>
      <c r="I3890" s="47" t="s">
        <v>19788</v>
      </c>
    </row>
    <row r="3891" spans="1:9" ht="15">
      <c r="A3891" s="2"/>
      <c r="I3891" s="47" t="s">
        <v>19788</v>
      </c>
    </row>
    <row r="3892" spans="1:9" ht="15">
      <c r="A3892" s="2"/>
      <c r="I3892" s="47" t="s">
        <v>19788</v>
      </c>
    </row>
    <row r="3893" spans="1:9" ht="15">
      <c r="A3893" s="2"/>
      <c r="I3893" s="47" t="s">
        <v>19788</v>
      </c>
    </row>
    <row r="3894" spans="1:9" ht="15">
      <c r="A3894" s="2"/>
      <c r="I3894" s="47" t="s">
        <v>19788</v>
      </c>
    </row>
    <row r="3895" spans="1:9" ht="15">
      <c r="A3895" s="2"/>
      <c r="I3895" s="47" t="s">
        <v>19788</v>
      </c>
    </row>
    <row r="3896" spans="1:9" ht="15">
      <c r="A3896" s="2"/>
      <c r="I3896" s="47" t="s">
        <v>19788</v>
      </c>
    </row>
    <row r="3897" spans="1:9" ht="15">
      <c r="A3897" s="2"/>
      <c r="I3897" s="47" t="s">
        <v>19788</v>
      </c>
    </row>
    <row r="3898" spans="1:9" ht="15">
      <c r="A3898" s="2"/>
      <c r="I3898" s="47" t="s">
        <v>19788</v>
      </c>
    </row>
    <row r="3899" spans="1:9" ht="15">
      <c r="A3899" s="2"/>
      <c r="I3899" s="47" t="s">
        <v>19788</v>
      </c>
    </row>
    <row r="3900" spans="1:9" ht="15">
      <c r="A3900" s="2"/>
      <c r="I3900" s="47" t="s">
        <v>19788</v>
      </c>
    </row>
    <row r="3901" spans="1:9" ht="15">
      <c r="A3901" s="2"/>
      <c r="I3901" s="47" t="s">
        <v>19788</v>
      </c>
    </row>
    <row r="3902" spans="1:9" ht="15">
      <c r="A3902" s="2"/>
      <c r="I3902" s="47" t="s">
        <v>19788</v>
      </c>
    </row>
    <row r="3903" spans="1:9" ht="15">
      <c r="A3903" s="2"/>
      <c r="I3903" s="47" t="s">
        <v>19788</v>
      </c>
    </row>
    <row r="3904" spans="1:9" ht="15">
      <c r="A3904" s="2"/>
      <c r="I3904" s="47" t="s">
        <v>19788</v>
      </c>
    </row>
    <row r="3905" spans="1:9" ht="15">
      <c r="A3905" s="2"/>
      <c r="I3905" s="47" t="s">
        <v>19788</v>
      </c>
    </row>
    <row r="3906" spans="1:9" ht="15">
      <c r="A3906" s="2"/>
      <c r="I3906" s="47" t="s">
        <v>19788</v>
      </c>
    </row>
    <row r="3907" spans="1:9" ht="15">
      <c r="A3907" s="2"/>
      <c r="I3907" s="47" t="s">
        <v>19788</v>
      </c>
    </row>
    <row r="3908" spans="1:9" ht="15">
      <c r="A3908" s="2"/>
      <c r="I3908" s="47" t="s">
        <v>19788</v>
      </c>
    </row>
    <row r="3909" spans="1:9" ht="15">
      <c r="A3909" s="2"/>
      <c r="I3909" s="47" t="s">
        <v>19788</v>
      </c>
    </row>
    <row r="3910" spans="1:9" ht="15">
      <c r="A3910" s="2"/>
      <c r="I3910" s="47" t="s">
        <v>19788</v>
      </c>
    </row>
    <row r="3911" spans="1:9" ht="15">
      <c r="A3911" s="2"/>
      <c r="I3911" s="47" t="s">
        <v>19788</v>
      </c>
    </row>
    <row r="3912" spans="1:9" ht="15">
      <c r="A3912" s="2"/>
      <c r="I3912" s="47" t="s">
        <v>19788</v>
      </c>
    </row>
    <row r="3913" spans="1:9" ht="15">
      <c r="A3913" s="2"/>
      <c r="I3913" s="47" t="s">
        <v>19788</v>
      </c>
    </row>
    <row r="3914" spans="1:9" ht="15">
      <c r="A3914" s="2"/>
      <c r="I3914" s="47" t="s">
        <v>19788</v>
      </c>
    </row>
    <row r="3915" spans="1:9" ht="15">
      <c r="A3915" s="2"/>
      <c r="I3915" s="47" t="s">
        <v>19788</v>
      </c>
    </row>
    <row r="3916" spans="1:9" ht="15">
      <c r="A3916" s="2"/>
      <c r="I3916" s="47" t="s">
        <v>19788</v>
      </c>
    </row>
    <row r="3917" spans="1:9" ht="15">
      <c r="A3917" s="2"/>
      <c r="I3917" s="47" t="s">
        <v>19788</v>
      </c>
    </row>
    <row r="3918" spans="1:9" ht="15">
      <c r="A3918" s="2"/>
      <c r="I3918" s="47" t="s">
        <v>19788</v>
      </c>
    </row>
    <row r="3919" spans="1:9" ht="15">
      <c r="A3919" s="2"/>
      <c r="I3919" s="47" t="s">
        <v>19788</v>
      </c>
    </row>
    <row r="3920" spans="1:9" ht="15">
      <c r="A3920" s="2"/>
      <c r="I3920" s="47" t="s">
        <v>19788</v>
      </c>
    </row>
    <row r="3921" spans="1:9" ht="15">
      <c r="A3921" s="2"/>
      <c r="I3921" s="47" t="s">
        <v>19788</v>
      </c>
    </row>
    <row r="3922" spans="1:9" ht="15">
      <c r="A3922" s="2"/>
      <c r="I3922" s="47" t="s">
        <v>19788</v>
      </c>
    </row>
    <row r="3923" spans="1:9" ht="15">
      <c r="A3923" s="2"/>
      <c r="I3923" s="47" t="s">
        <v>19788</v>
      </c>
    </row>
    <row r="3924" spans="1:9" ht="15">
      <c r="A3924" s="2"/>
      <c r="I3924" s="47" t="s">
        <v>19788</v>
      </c>
    </row>
    <row r="3925" spans="1:9" ht="15">
      <c r="A3925" s="2"/>
      <c r="I3925" s="47" t="s">
        <v>19788</v>
      </c>
    </row>
    <row r="3926" spans="1:9" ht="15">
      <c r="A3926" s="2"/>
      <c r="I3926" s="47" t="s">
        <v>19788</v>
      </c>
    </row>
    <row r="3927" spans="1:9" ht="15">
      <c r="A3927" s="2"/>
      <c r="I3927" s="47" t="s">
        <v>19788</v>
      </c>
    </row>
    <row r="3928" spans="1:9" ht="15">
      <c r="A3928" s="2"/>
      <c r="I3928" s="47" t="s">
        <v>19788</v>
      </c>
    </row>
    <row r="3929" spans="1:9" ht="15">
      <c r="A3929" s="2"/>
      <c r="I3929" s="47" t="s">
        <v>19788</v>
      </c>
    </row>
    <row r="3930" spans="1:9" ht="15">
      <c r="A3930" s="2"/>
      <c r="I3930" s="47" t="s">
        <v>19788</v>
      </c>
    </row>
    <row r="3931" spans="1:9" ht="15">
      <c r="A3931" s="2"/>
      <c r="I3931" s="47" t="s">
        <v>19788</v>
      </c>
    </row>
    <row r="3932" spans="1:9" ht="15">
      <c r="A3932" s="2"/>
      <c r="I3932" s="47" t="s">
        <v>19788</v>
      </c>
    </row>
    <row r="3933" spans="1:9" ht="15">
      <c r="A3933" s="2"/>
      <c r="I3933" s="47" t="s">
        <v>19788</v>
      </c>
    </row>
    <row r="3934" spans="1:9" ht="15">
      <c r="A3934" s="2"/>
      <c r="I3934" s="47" t="s">
        <v>19788</v>
      </c>
    </row>
    <row r="3935" spans="1:9" ht="15">
      <c r="A3935" s="2"/>
      <c r="I3935" s="47" t="s">
        <v>19788</v>
      </c>
    </row>
    <row r="3936" spans="1:9" ht="15">
      <c r="A3936" s="2"/>
      <c r="I3936" s="47" t="s">
        <v>19788</v>
      </c>
    </row>
    <row r="3937" spans="1:9" ht="15">
      <c r="A3937" s="2"/>
      <c r="I3937" s="47" t="s">
        <v>19788</v>
      </c>
    </row>
    <row r="3938" spans="1:9" ht="15">
      <c r="A3938" s="2"/>
      <c r="I3938" s="47" t="s">
        <v>19788</v>
      </c>
    </row>
    <row r="3939" spans="1:9" ht="15">
      <c r="A3939" s="2"/>
      <c r="I3939" s="47" t="s">
        <v>19788</v>
      </c>
    </row>
    <row r="3940" spans="1:9" ht="15">
      <c r="A3940" s="2"/>
      <c r="I3940" s="47" t="s">
        <v>19788</v>
      </c>
    </row>
    <row r="3941" spans="1:9" ht="15">
      <c r="A3941" s="2"/>
      <c r="I3941" s="47" t="s">
        <v>19788</v>
      </c>
    </row>
    <row r="3942" spans="1:9" ht="15">
      <c r="A3942" s="2"/>
      <c r="I3942" s="47" t="s">
        <v>19788</v>
      </c>
    </row>
    <row r="3943" spans="1:9" ht="15">
      <c r="A3943" s="2"/>
      <c r="I3943" s="47" t="s">
        <v>19788</v>
      </c>
    </row>
    <row r="3944" spans="1:9" ht="15">
      <c r="A3944" s="2"/>
      <c r="I3944" s="47" t="s">
        <v>19788</v>
      </c>
    </row>
    <row r="3945" spans="1:9" ht="15">
      <c r="A3945" s="2"/>
      <c r="I3945" s="47" t="s">
        <v>19788</v>
      </c>
    </row>
    <row r="3946" spans="1:9" ht="15">
      <c r="A3946" s="2"/>
      <c r="I3946" s="47" t="s">
        <v>19788</v>
      </c>
    </row>
    <row r="3947" spans="1:9" ht="15">
      <c r="A3947" s="2"/>
      <c r="I3947" s="47" t="s">
        <v>19788</v>
      </c>
    </row>
    <row r="3948" spans="1:9" ht="15">
      <c r="A3948" s="2"/>
      <c r="I3948" s="47" t="s">
        <v>19788</v>
      </c>
    </row>
    <row r="3949" spans="1:9" ht="15">
      <c r="A3949" s="2"/>
      <c r="I3949" s="47" t="s">
        <v>19788</v>
      </c>
    </row>
    <row r="3950" spans="1:9" ht="15">
      <c r="A3950" s="2"/>
      <c r="I3950" s="47" t="s">
        <v>19788</v>
      </c>
    </row>
    <row r="3951" spans="1:9" ht="15">
      <c r="A3951" s="2"/>
      <c r="I3951" s="47" t="s">
        <v>19788</v>
      </c>
    </row>
    <row r="3952" spans="1:9" ht="15">
      <c r="A3952" s="2"/>
      <c r="I3952" s="47" t="s">
        <v>19788</v>
      </c>
    </row>
    <row r="3953" spans="1:9" ht="15">
      <c r="A3953" s="2"/>
      <c r="I3953" s="47" t="s">
        <v>19788</v>
      </c>
    </row>
    <row r="3954" spans="1:9" ht="15">
      <c r="A3954" s="2"/>
      <c r="I3954" s="47" t="s">
        <v>19788</v>
      </c>
    </row>
    <row r="3955" spans="1:9" ht="15">
      <c r="A3955" s="2"/>
      <c r="I3955" s="47" t="s">
        <v>19788</v>
      </c>
    </row>
    <row r="3956" spans="1:9" ht="15">
      <c r="A3956" s="2"/>
      <c r="I3956" s="47" t="s">
        <v>19788</v>
      </c>
    </row>
    <row r="3957" spans="1:9" ht="15">
      <c r="A3957" s="2"/>
      <c r="I3957" s="47" t="s">
        <v>19788</v>
      </c>
    </row>
    <row r="3958" spans="1:9" ht="15">
      <c r="A3958" s="2"/>
      <c r="I3958" s="47" t="s">
        <v>19788</v>
      </c>
    </row>
    <row r="3959" spans="1:9" ht="15">
      <c r="A3959" s="2"/>
      <c r="I3959" s="47" t="s">
        <v>19788</v>
      </c>
    </row>
    <row r="3960" spans="1:9" ht="15">
      <c r="A3960" s="2"/>
      <c r="I3960" s="47" t="s">
        <v>19788</v>
      </c>
    </row>
    <row r="3961" spans="1:9" ht="15">
      <c r="A3961" s="2"/>
      <c r="I3961" s="47" t="s">
        <v>19788</v>
      </c>
    </row>
    <row r="3962" spans="1:9" ht="15">
      <c r="A3962" s="2"/>
      <c r="I3962" s="47" t="s">
        <v>19788</v>
      </c>
    </row>
    <row r="3963" spans="1:9" ht="15">
      <c r="A3963" s="2"/>
      <c r="I3963" s="47" t="s">
        <v>19788</v>
      </c>
    </row>
    <row r="3964" spans="1:9" ht="15">
      <c r="A3964" s="2"/>
      <c r="I3964" s="47" t="s">
        <v>19788</v>
      </c>
    </row>
    <row r="3965" spans="1:9" ht="15">
      <c r="A3965" s="2"/>
      <c r="I3965" s="47" t="s">
        <v>19788</v>
      </c>
    </row>
    <row r="3966" spans="1:9" ht="15">
      <c r="A3966" s="2"/>
      <c r="I3966" s="47" t="s">
        <v>19788</v>
      </c>
    </row>
    <row r="3967" spans="1:9" ht="15">
      <c r="A3967" s="2"/>
      <c r="I3967" s="47" t="s">
        <v>19788</v>
      </c>
    </row>
    <row r="3968" spans="1:9" ht="15">
      <c r="A3968" s="2"/>
      <c r="I3968" s="47" t="s">
        <v>19788</v>
      </c>
    </row>
    <row r="3969" spans="1:9" ht="15">
      <c r="A3969" s="2"/>
      <c r="I3969" s="47" t="s">
        <v>19788</v>
      </c>
    </row>
    <row r="3970" spans="1:9" ht="15">
      <c r="A3970" s="2"/>
      <c r="I3970" s="47" t="s">
        <v>19788</v>
      </c>
    </row>
    <row r="3971" spans="1:9" ht="15">
      <c r="A3971" s="2"/>
      <c r="I3971" s="47" t="s">
        <v>19788</v>
      </c>
    </row>
    <row r="3972" spans="1:9" ht="15">
      <c r="A3972" s="2"/>
      <c r="I3972" s="47" t="s">
        <v>19788</v>
      </c>
    </row>
    <row r="3973" spans="1:9" ht="15">
      <c r="A3973" s="2"/>
      <c r="I3973" s="47" t="s">
        <v>19788</v>
      </c>
    </row>
    <row r="3974" spans="1:9" ht="15">
      <c r="A3974" s="2"/>
      <c r="I3974" s="47" t="s">
        <v>19788</v>
      </c>
    </row>
    <row r="3975" spans="1:9" ht="15">
      <c r="A3975" s="2"/>
      <c r="I3975" s="47" t="s">
        <v>19788</v>
      </c>
    </row>
    <row r="3976" spans="1:9" ht="15">
      <c r="A3976" s="2"/>
      <c r="I3976" s="47" t="s">
        <v>19788</v>
      </c>
    </row>
    <row r="3977" spans="1:9" ht="15">
      <c r="A3977" s="2"/>
      <c r="I3977" s="47" t="s">
        <v>19788</v>
      </c>
    </row>
    <row r="3978" spans="1:9" ht="15">
      <c r="A3978" s="2"/>
      <c r="I3978" s="47" t="s">
        <v>19788</v>
      </c>
    </row>
    <row r="3979" spans="1:9" ht="15">
      <c r="A3979" s="2"/>
      <c r="I3979" s="47" t="s">
        <v>19788</v>
      </c>
    </row>
    <row r="3980" spans="1:9" ht="15">
      <c r="A3980" s="2"/>
      <c r="I3980" s="47" t="s">
        <v>19788</v>
      </c>
    </row>
    <row r="3981" spans="1:9" ht="15">
      <c r="A3981" s="2"/>
      <c r="I3981" s="47" t="s">
        <v>19788</v>
      </c>
    </row>
    <row r="3982" spans="1:9" ht="15">
      <c r="A3982" s="2"/>
      <c r="I3982" s="47" t="s">
        <v>19788</v>
      </c>
    </row>
    <row r="3983" spans="1:9" ht="15">
      <c r="A3983" s="2"/>
      <c r="I3983" s="47" t="s">
        <v>19788</v>
      </c>
    </row>
    <row r="3984" spans="1:9" ht="15">
      <c r="A3984" s="2"/>
      <c r="I3984" s="47" t="s">
        <v>19788</v>
      </c>
    </row>
    <row r="3985" spans="1:9" ht="15">
      <c r="A3985" s="2"/>
      <c r="I3985" s="47" t="s">
        <v>19788</v>
      </c>
    </row>
    <row r="3986" spans="1:9" ht="15">
      <c r="A3986" s="2"/>
      <c r="I3986" s="47" t="s">
        <v>19788</v>
      </c>
    </row>
  </sheetData>
  <autoFilter ref="A1:H3986" xr:uid="{28791296-6951-4FFA-AB27-684E6C5ACC3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9BBD-C4FB-4013-A979-7315F3A5F26B}">
  <dimension ref="A1:F2646"/>
  <sheetViews>
    <sheetView workbookViewId="0">
      <pane ySplit="1" topLeftCell="A2" activePane="bottomLeft" state="frozen"/>
      <selection pane="bottomLeft" activeCell="F1" sqref="F1"/>
    </sheetView>
  </sheetViews>
  <sheetFormatPr defaultRowHeight="12.75"/>
  <cols>
    <col min="1" max="1" width="21.5703125" bestFit="1" customWidth="1"/>
    <col min="2" max="2" width="61.28515625" bestFit="1" customWidth="1"/>
    <col min="3" max="3" width="14.140625" bestFit="1" customWidth="1"/>
    <col min="5" max="5" width="11.140625" bestFit="1" customWidth="1"/>
  </cols>
  <sheetData>
    <row r="1" spans="1:6" ht="15">
      <c r="A1" s="7" t="s">
        <v>682</v>
      </c>
      <c r="B1" s="7" t="s">
        <v>683</v>
      </c>
      <c r="C1" s="3" t="s">
        <v>18166</v>
      </c>
      <c r="D1" t="s">
        <v>18191</v>
      </c>
      <c r="E1" s="8" t="s">
        <v>684</v>
      </c>
    </row>
    <row r="2" spans="1:6">
      <c r="A2">
        <v>1013600</v>
      </c>
      <c r="B2" t="s">
        <v>1951</v>
      </c>
      <c r="C2" t="e">
        <f>VLOOKUP(A2,'Cost Center'!A:C,3,FALSE)</f>
        <v>#N/A</v>
      </c>
      <c r="D2" t="s">
        <v>3624</v>
      </c>
      <c r="E2" t="s">
        <v>708</v>
      </c>
      <c r="F2" t="s">
        <v>19789</v>
      </c>
    </row>
    <row r="3" spans="1:6">
      <c r="A3">
        <v>113048</v>
      </c>
      <c r="B3" t="s">
        <v>1952</v>
      </c>
      <c r="C3" t="str">
        <f>VLOOKUP(A3,'Cost Center'!A:C,3,FALSE)</f>
        <v>C200225</v>
      </c>
      <c r="D3" t="s">
        <v>5420</v>
      </c>
      <c r="E3" t="s">
        <v>708</v>
      </c>
      <c r="F3" t="s">
        <v>18575</v>
      </c>
    </row>
    <row r="4" spans="1:6">
      <c r="A4">
        <v>114005</v>
      </c>
      <c r="B4" t="s">
        <v>1083</v>
      </c>
      <c r="C4" t="str">
        <f>VLOOKUP(A4,'Cost Center'!A:C,3,FALSE)</f>
        <v>C200509</v>
      </c>
      <c r="D4" t="s">
        <v>7088</v>
      </c>
      <c r="E4" t="s">
        <v>708</v>
      </c>
      <c r="F4" t="s">
        <v>19108</v>
      </c>
    </row>
    <row r="5" spans="1:6">
      <c r="A5">
        <v>39155</v>
      </c>
      <c r="B5" t="s">
        <v>1953</v>
      </c>
      <c r="C5" t="str">
        <f>VLOOKUP(A5,'Cost Center'!A:C,3,FALSE)</f>
        <v>C200550</v>
      </c>
      <c r="D5" t="s">
        <v>5552</v>
      </c>
      <c r="E5" t="s">
        <v>708</v>
      </c>
      <c r="F5" t="s">
        <v>18611</v>
      </c>
    </row>
    <row r="6" spans="1:6">
      <c r="A6">
        <v>1013500</v>
      </c>
      <c r="B6" t="s">
        <v>1954</v>
      </c>
      <c r="C6" t="str">
        <f>VLOOKUP(A6,'Cost Center'!A:C,3,FALSE)</f>
        <v>C500517</v>
      </c>
      <c r="D6" t="s">
        <v>7877</v>
      </c>
      <c r="E6" t="s">
        <v>708</v>
      </c>
      <c r="F6" t="s">
        <v>19324</v>
      </c>
    </row>
    <row r="7" spans="1:6">
      <c r="A7">
        <v>3200493</v>
      </c>
      <c r="B7" t="s">
        <v>1955</v>
      </c>
      <c r="C7" t="str">
        <f>VLOOKUP(A7,'Cost Center'!A:C,3,FALSE)</f>
        <v>C500518</v>
      </c>
      <c r="D7" t="s">
        <v>8088</v>
      </c>
      <c r="E7" t="s">
        <v>708</v>
      </c>
      <c r="F7" t="s">
        <v>19380</v>
      </c>
    </row>
    <row r="8" spans="1:6">
      <c r="A8">
        <v>114300</v>
      </c>
      <c r="B8" t="s">
        <v>1092</v>
      </c>
      <c r="C8" t="str">
        <f>VLOOKUP(A8,'Cost Center'!A:C,3,FALSE)</f>
        <v>C500105</v>
      </c>
      <c r="D8" t="s">
        <v>7920</v>
      </c>
      <c r="E8" t="s">
        <v>708</v>
      </c>
      <c r="F8" t="s">
        <v>19336</v>
      </c>
    </row>
    <row r="9" spans="1:6">
      <c r="A9">
        <v>114450</v>
      </c>
      <c r="B9" t="s">
        <v>1956</v>
      </c>
      <c r="C9" t="str">
        <f>VLOOKUP(A9,'Cost Center'!A:C,3,FALSE)</f>
        <v>C500519</v>
      </c>
      <c r="D9" t="s">
        <v>7104</v>
      </c>
      <c r="E9" t="s">
        <v>708</v>
      </c>
      <c r="F9" t="s">
        <v>19114</v>
      </c>
    </row>
    <row r="10" spans="1:6">
      <c r="A10">
        <v>8310310</v>
      </c>
      <c r="B10" t="s">
        <v>1957</v>
      </c>
      <c r="C10" t="str">
        <f>VLOOKUP(A10,'Cost Center'!A:C,3,FALSE)</f>
        <v>C200116</v>
      </c>
      <c r="D10" t="s">
        <v>5386</v>
      </c>
      <c r="E10" t="s">
        <v>708</v>
      </c>
      <c r="F10" t="s">
        <v>18563</v>
      </c>
    </row>
    <row r="11" spans="1:6">
      <c r="A11">
        <v>114425</v>
      </c>
      <c r="B11" t="s">
        <v>1958</v>
      </c>
      <c r="C11" t="str">
        <f>VLOOKUP(A11,'Cost Center'!A:C,3,FALSE)</f>
        <v>C500522</v>
      </c>
      <c r="D11" t="s">
        <v>7102</v>
      </c>
      <c r="E11" t="s">
        <v>708</v>
      </c>
      <c r="F11" t="s">
        <v>19113</v>
      </c>
    </row>
    <row r="12" spans="1:6">
      <c r="A12">
        <v>113035</v>
      </c>
      <c r="B12" t="s">
        <v>1959</v>
      </c>
      <c r="C12" t="str">
        <f>VLOOKUP(A12,'Cost Center'!A:C,3,FALSE)</f>
        <v>C200201</v>
      </c>
      <c r="D12" t="s">
        <v>6996</v>
      </c>
      <c r="E12" t="s">
        <v>708</v>
      </c>
      <c r="F12" t="s">
        <v>19075</v>
      </c>
    </row>
    <row r="13" spans="1:6">
      <c r="A13">
        <v>113041</v>
      </c>
      <c r="B13" t="s">
        <v>1042</v>
      </c>
      <c r="C13" t="str">
        <f>VLOOKUP(A13,'Cost Center'!A:C,3,FALSE)</f>
        <v>C200205</v>
      </c>
      <c r="D13" t="s">
        <v>5410</v>
      </c>
      <c r="E13" t="s">
        <v>708</v>
      </c>
      <c r="F13" t="s">
        <v>18571</v>
      </c>
    </row>
    <row r="14" spans="1:6">
      <c r="A14">
        <v>113042</v>
      </c>
      <c r="B14" t="s">
        <v>1043</v>
      </c>
      <c r="C14" t="str">
        <f>VLOOKUP(A14,'Cost Center'!A:C,3,FALSE)</f>
        <v>C200210</v>
      </c>
      <c r="D14" t="s">
        <v>5413</v>
      </c>
      <c r="E14" t="s">
        <v>708</v>
      </c>
      <c r="F14" t="s">
        <v>18572</v>
      </c>
    </row>
    <row r="15" spans="1:6">
      <c r="A15">
        <v>113046</v>
      </c>
      <c r="B15" t="s">
        <v>1960</v>
      </c>
      <c r="C15" t="str">
        <f>VLOOKUP(A15,'Cost Center'!A:C,3,FALSE)</f>
        <v>C200215</v>
      </c>
      <c r="D15" t="s">
        <v>5415</v>
      </c>
      <c r="E15" t="s">
        <v>708</v>
      </c>
      <c r="F15" t="s">
        <v>18573</v>
      </c>
    </row>
    <row r="16" spans="1:6">
      <c r="A16">
        <v>113047</v>
      </c>
      <c r="B16" t="s">
        <v>1046</v>
      </c>
      <c r="C16" t="str">
        <f>VLOOKUP(A16,'Cost Center'!A:C,3,FALSE)</f>
        <v>C200220</v>
      </c>
      <c r="D16" t="s">
        <v>5418</v>
      </c>
      <c r="E16" t="s">
        <v>708</v>
      </c>
      <c r="F16" t="s">
        <v>18574</v>
      </c>
    </row>
    <row r="17" spans="1:6">
      <c r="A17">
        <v>90666</v>
      </c>
      <c r="B17" t="s">
        <v>1961</v>
      </c>
      <c r="C17" t="str">
        <f>VLOOKUP(A17,'Cost Center'!A:C,3,FALSE)</f>
        <v>C200230</v>
      </c>
      <c r="D17" t="s">
        <v>5422</v>
      </c>
      <c r="E17" t="s">
        <v>708</v>
      </c>
      <c r="F17" t="s">
        <v>18576</v>
      </c>
    </row>
    <row r="18" spans="1:6">
      <c r="A18">
        <v>21760</v>
      </c>
      <c r="B18" t="s">
        <v>1962</v>
      </c>
      <c r="C18" t="str">
        <f>VLOOKUP(A18,'Cost Center'!A:C,3,FALSE)</f>
        <v>C500520</v>
      </c>
      <c r="D18" t="s">
        <v>8092</v>
      </c>
      <c r="E18" t="s">
        <v>708</v>
      </c>
      <c r="F18" t="s">
        <v>19382</v>
      </c>
    </row>
    <row r="19" spans="1:6">
      <c r="A19">
        <v>113044</v>
      </c>
      <c r="B19" t="s">
        <v>1044</v>
      </c>
      <c r="C19" t="str">
        <f>VLOOKUP(A19,'Cost Center'!A:C,3,FALSE)</f>
        <v>CI20104</v>
      </c>
      <c r="D19" t="s">
        <v>12072</v>
      </c>
      <c r="E19" t="s">
        <v>708</v>
      </c>
      <c r="F19" t="s">
        <v>19632</v>
      </c>
    </row>
    <row r="20" spans="1:6">
      <c r="A20">
        <v>113045</v>
      </c>
      <c r="B20" t="s">
        <v>1045</v>
      </c>
      <c r="C20" t="str">
        <f>VLOOKUP(A20,'Cost Center'!A:C,3,FALSE)</f>
        <v>C200101</v>
      </c>
      <c r="D20" t="s">
        <v>7007</v>
      </c>
      <c r="E20" t="s">
        <v>708</v>
      </c>
      <c r="F20" t="s">
        <v>19079</v>
      </c>
    </row>
    <row r="21" spans="1:6">
      <c r="A21">
        <v>114400</v>
      </c>
      <c r="B21" t="s">
        <v>1093</v>
      </c>
      <c r="C21" t="str">
        <f>VLOOKUP(A21,'Cost Center'!A:C,3,FALSE)</f>
        <v>C200110</v>
      </c>
      <c r="D21" t="s">
        <v>5377</v>
      </c>
      <c r="E21" t="s">
        <v>708</v>
      </c>
      <c r="F21" t="s">
        <v>18561</v>
      </c>
    </row>
    <row r="22" spans="1:6">
      <c r="A22">
        <v>12525</v>
      </c>
      <c r="B22" t="s">
        <v>771</v>
      </c>
      <c r="C22" t="str">
        <f>VLOOKUP(A22,'Cost Center'!A:C,3,FALSE)</f>
        <v>C200115</v>
      </c>
      <c r="D22" t="s">
        <v>5180</v>
      </c>
      <c r="E22" t="s">
        <v>708</v>
      </c>
      <c r="F22" t="s">
        <v>18514</v>
      </c>
    </row>
    <row r="23" spans="1:6">
      <c r="A23">
        <v>114000</v>
      </c>
      <c r="B23" t="s">
        <v>1082</v>
      </c>
      <c r="C23" t="str">
        <f>VLOOKUP(A23,'Cost Center'!A:C,3,FALSE)</f>
        <v>C200510</v>
      </c>
      <c r="D23" t="s">
        <v>5444</v>
      </c>
      <c r="E23" t="s">
        <v>708</v>
      </c>
      <c r="F23" t="s">
        <v>18582</v>
      </c>
    </row>
    <row r="24" spans="1:6">
      <c r="A24">
        <v>114040</v>
      </c>
      <c r="B24" t="s">
        <v>1086</v>
      </c>
      <c r="C24" t="str">
        <f>VLOOKUP(A24,'Cost Center'!A:C,3,FALSE)</f>
        <v>C200506</v>
      </c>
      <c r="D24" t="s">
        <v>5432</v>
      </c>
      <c r="E24" t="s">
        <v>708</v>
      </c>
      <c r="F24" t="s">
        <v>18578</v>
      </c>
    </row>
    <row r="25" spans="1:6">
      <c r="A25">
        <v>39111</v>
      </c>
      <c r="B25" t="s">
        <v>805</v>
      </c>
      <c r="C25" t="str">
        <f>VLOOKUP(A25,'Cost Center'!A:C,3,FALSE)</f>
        <v>C200508</v>
      </c>
      <c r="D25" t="s">
        <v>5438</v>
      </c>
      <c r="E25" t="s">
        <v>708</v>
      </c>
      <c r="F25" t="s">
        <v>18580</v>
      </c>
    </row>
    <row r="26" spans="1:6">
      <c r="A26">
        <v>39112</v>
      </c>
      <c r="B26" t="s">
        <v>806</v>
      </c>
      <c r="C26" t="str">
        <f>VLOOKUP(A26,'Cost Center'!A:C,3,FALSE)</f>
        <v>C200501</v>
      </c>
      <c r="D26" t="s">
        <v>5429</v>
      </c>
      <c r="E26" t="s">
        <v>708</v>
      </c>
      <c r="F26" t="s">
        <v>18577</v>
      </c>
    </row>
    <row r="27" spans="1:6">
      <c r="A27">
        <v>39114</v>
      </c>
      <c r="B27" t="s">
        <v>807</v>
      </c>
      <c r="C27" t="str">
        <f>VLOOKUP(A27,'Cost Center'!A:C,3,FALSE)</f>
        <v>C200507</v>
      </c>
      <c r="D27" t="s">
        <v>5435</v>
      </c>
      <c r="E27" t="s">
        <v>708</v>
      </c>
      <c r="F27" t="s">
        <v>18579</v>
      </c>
    </row>
    <row r="28" spans="1:6">
      <c r="A28">
        <v>114100</v>
      </c>
      <c r="B28" t="s">
        <v>1090</v>
      </c>
      <c r="C28" t="str">
        <f>VLOOKUP(A28,'Cost Center'!A:C,3,FALSE)</f>
        <v>C200541</v>
      </c>
      <c r="D28" t="s">
        <v>5462</v>
      </c>
      <c r="E28" t="s">
        <v>708</v>
      </c>
      <c r="F28" t="s">
        <v>18588</v>
      </c>
    </row>
    <row r="29" spans="1:6">
      <c r="A29">
        <v>114225</v>
      </c>
      <c r="B29" t="s">
        <v>1091</v>
      </c>
      <c r="C29" t="str">
        <f>VLOOKUP(A29,'Cost Center'!A:C,3,FALSE)</f>
        <v>C200540</v>
      </c>
      <c r="D29" t="s">
        <v>7100</v>
      </c>
      <c r="E29" t="s">
        <v>708</v>
      </c>
      <c r="F29" t="s">
        <v>19112</v>
      </c>
    </row>
    <row r="30" spans="1:6">
      <c r="A30">
        <v>39125</v>
      </c>
      <c r="B30" t="s">
        <v>1963</v>
      </c>
      <c r="C30" t="str">
        <f>VLOOKUP(A30,'Cost Center'!A:C,3,FALSE)</f>
        <v>C200564</v>
      </c>
      <c r="D30" t="s">
        <v>5530</v>
      </c>
      <c r="E30" t="s">
        <v>708</v>
      </c>
      <c r="F30" t="s">
        <v>18603</v>
      </c>
    </row>
    <row r="31" spans="1:6">
      <c r="A31">
        <v>39150</v>
      </c>
      <c r="B31" t="s">
        <v>808</v>
      </c>
      <c r="C31" t="str">
        <f>VLOOKUP(A31,'Cost Center'!A:C,3,FALSE)</f>
        <v>C200551</v>
      </c>
      <c r="D31" t="s">
        <v>5538</v>
      </c>
      <c r="E31" t="s">
        <v>708</v>
      </c>
      <c r="F31" t="s">
        <v>18606</v>
      </c>
    </row>
    <row r="32" spans="1:6">
      <c r="A32">
        <v>113057</v>
      </c>
      <c r="B32" t="s">
        <v>1052</v>
      </c>
      <c r="C32" t="str">
        <f>VLOOKUP(A32,'Cost Center'!A:C,3,FALSE)</f>
        <v>C200545</v>
      </c>
      <c r="D32" t="s">
        <v>7050</v>
      </c>
      <c r="E32" t="s">
        <v>708</v>
      </c>
      <c r="F32" t="s">
        <v>19094</v>
      </c>
    </row>
    <row r="33" spans="1:6">
      <c r="A33">
        <v>114015</v>
      </c>
      <c r="B33" t="s">
        <v>1084</v>
      </c>
      <c r="C33" t="str">
        <f>VLOOKUP(A33,'Cost Center'!A:C,3,FALSE)</f>
        <v>C200561</v>
      </c>
      <c r="D33" t="s">
        <v>7091</v>
      </c>
      <c r="E33" t="s">
        <v>708</v>
      </c>
      <c r="F33" t="s">
        <v>19109</v>
      </c>
    </row>
    <row r="34" spans="1:6">
      <c r="A34">
        <v>114030</v>
      </c>
      <c r="B34" t="s">
        <v>1085</v>
      </c>
      <c r="C34" t="str">
        <f>VLOOKUP(A34,'Cost Center'!A:C,3,FALSE)</f>
        <v>C200560</v>
      </c>
      <c r="D34" t="s">
        <v>5477</v>
      </c>
      <c r="E34" t="s">
        <v>708</v>
      </c>
      <c r="F34" t="s">
        <v>18593</v>
      </c>
    </row>
    <row r="35" spans="1:6">
      <c r="A35">
        <v>114041</v>
      </c>
      <c r="B35" t="s">
        <v>1087</v>
      </c>
      <c r="C35" t="str">
        <f>VLOOKUP(A35,'Cost Center'!A:C,3,FALSE)</f>
        <v>C200553</v>
      </c>
      <c r="D35" t="s">
        <v>5474</v>
      </c>
      <c r="E35" t="s">
        <v>708</v>
      </c>
      <c r="F35" t="s">
        <v>18592</v>
      </c>
    </row>
    <row r="36" spans="1:6">
      <c r="A36">
        <v>114060</v>
      </c>
      <c r="B36" t="s">
        <v>1088</v>
      </c>
      <c r="C36" t="str">
        <f>VLOOKUP(A36,'Cost Center'!A:C,3,FALSE)</f>
        <v>C200521</v>
      </c>
      <c r="D36" t="s">
        <v>5450</v>
      </c>
      <c r="E36" t="s">
        <v>708</v>
      </c>
      <c r="F36" t="s">
        <v>18584</v>
      </c>
    </row>
    <row r="37" spans="1:6">
      <c r="A37">
        <v>114065</v>
      </c>
      <c r="B37" t="s">
        <v>1089</v>
      </c>
      <c r="C37" t="str">
        <f>VLOOKUP(A37,'Cost Center'!A:C,3,FALSE)</f>
        <v>C200520</v>
      </c>
      <c r="D37" t="s">
        <v>7097</v>
      </c>
      <c r="E37" t="s">
        <v>708</v>
      </c>
      <c r="F37" t="s">
        <v>19111</v>
      </c>
    </row>
    <row r="38" spans="1:6">
      <c r="A38">
        <v>114045</v>
      </c>
      <c r="B38" t="s">
        <v>1964</v>
      </c>
      <c r="C38" t="str">
        <f>VLOOKUP(A38,'Cost Center'!A:C,3,FALSE)</f>
        <v>C200530</v>
      </c>
      <c r="D38" t="s">
        <v>7094</v>
      </c>
      <c r="E38" t="s">
        <v>708</v>
      </c>
      <c r="F38" t="s">
        <v>19110</v>
      </c>
    </row>
    <row r="39" spans="1:6">
      <c r="A39">
        <v>114090</v>
      </c>
      <c r="B39" t="s">
        <v>1965</v>
      </c>
      <c r="C39" t="str">
        <f>VLOOKUP(A39,'Cost Center'!A:C,3,FALSE)</f>
        <v>C200532</v>
      </c>
      <c r="D39" t="s">
        <v>5459</v>
      </c>
      <c r="E39" t="s">
        <v>708</v>
      </c>
      <c r="F39" t="s">
        <v>18587</v>
      </c>
    </row>
    <row r="40" spans="1:6">
      <c r="A40">
        <v>112002</v>
      </c>
      <c r="B40" t="s">
        <v>1966</v>
      </c>
      <c r="C40" t="str">
        <f>VLOOKUP(A40,'Cost Center'!A:C,3,FALSE)</f>
        <v>C030400</v>
      </c>
      <c r="D40" t="s">
        <v>3924</v>
      </c>
      <c r="E40" t="s">
        <v>708</v>
      </c>
      <c r="F40" t="s">
        <v>18350</v>
      </c>
    </row>
    <row r="41" spans="1:6">
      <c r="A41">
        <v>114010</v>
      </c>
      <c r="B41" t="s">
        <v>1967</v>
      </c>
      <c r="C41" t="str">
        <f>VLOOKUP(A41,'Cost Center'!A:C,3,FALSE)</f>
        <v>C200522</v>
      </c>
      <c r="D41" t="s">
        <v>5453</v>
      </c>
      <c r="E41" t="s">
        <v>708</v>
      </c>
      <c r="F41" t="s">
        <v>18585</v>
      </c>
    </row>
    <row r="42" spans="1:6">
      <c r="A42">
        <v>45302</v>
      </c>
      <c r="B42" t="s">
        <v>1968</v>
      </c>
      <c r="C42" t="str">
        <f>VLOOKUP(A42,'Cost Center'!A:C,3,FALSE)</f>
        <v>C200531</v>
      </c>
      <c r="D42" t="s">
        <v>5839</v>
      </c>
      <c r="E42" t="s">
        <v>708</v>
      </c>
      <c r="F42" t="s">
        <v>18714</v>
      </c>
    </row>
    <row r="43" spans="1:6">
      <c r="A43">
        <v>113606</v>
      </c>
      <c r="B43" t="s">
        <v>1969</v>
      </c>
      <c r="C43" t="str">
        <f>VLOOKUP(A43,'Cost Center'!A:C,3,FALSE)</f>
        <v>C100944</v>
      </c>
      <c r="D43" t="s">
        <v>5297</v>
      </c>
      <c r="E43" t="s">
        <v>708</v>
      </c>
      <c r="F43" t="s">
        <v>18548</v>
      </c>
    </row>
    <row r="44" spans="1:6">
      <c r="A44">
        <v>113800</v>
      </c>
      <c r="B44" t="s">
        <v>1078</v>
      </c>
      <c r="C44" t="str">
        <f>VLOOKUP(A44,'Cost Center'!A:C,3,FALSE)</f>
        <v>C030105</v>
      </c>
      <c r="D44" t="s">
        <v>3893</v>
      </c>
      <c r="E44" t="s">
        <v>708</v>
      </c>
      <c r="F44" t="s">
        <v>18339</v>
      </c>
    </row>
    <row r="45" spans="1:6">
      <c r="A45">
        <v>124000</v>
      </c>
      <c r="B45" t="s">
        <v>1106</v>
      </c>
      <c r="C45" t="str">
        <f>VLOOKUP(A45,'Cost Center'!A:C,3,FALSE)</f>
        <v>C100920</v>
      </c>
      <c r="D45" t="s">
        <v>5276</v>
      </c>
      <c r="E45" t="s">
        <v>708</v>
      </c>
      <c r="F45" t="s">
        <v>18541</v>
      </c>
    </row>
    <row r="46" spans="1:6">
      <c r="A46">
        <v>10036</v>
      </c>
      <c r="B46" t="s">
        <v>1970</v>
      </c>
      <c r="C46" t="str">
        <f>VLOOKUP(A46,'Cost Center'!A:C,3,FALSE)</f>
        <v>C100905</v>
      </c>
      <c r="D46" t="s">
        <v>5255</v>
      </c>
      <c r="E46" t="s">
        <v>708</v>
      </c>
      <c r="F46" t="s">
        <v>18534</v>
      </c>
    </row>
    <row r="47" spans="1:6">
      <c r="A47">
        <v>10037</v>
      </c>
      <c r="B47" t="s">
        <v>1971</v>
      </c>
      <c r="C47" t="str">
        <f>VLOOKUP(A47,'Cost Center'!A:C,3,FALSE)</f>
        <v>C100906</v>
      </c>
      <c r="D47" t="s">
        <v>5258</v>
      </c>
      <c r="E47" t="s">
        <v>708</v>
      </c>
      <c r="F47" t="s">
        <v>18535</v>
      </c>
    </row>
    <row r="48" spans="1:6">
      <c r="A48">
        <v>10582</v>
      </c>
      <c r="B48" t="s">
        <v>758</v>
      </c>
      <c r="C48" t="str">
        <f>VLOOKUP(A48,'Cost Center'!A:C,3,FALSE)</f>
        <v>C100940</v>
      </c>
      <c r="D48" t="s">
        <v>5150</v>
      </c>
      <c r="E48" t="s">
        <v>708</v>
      </c>
      <c r="F48" t="s">
        <v>18506</v>
      </c>
    </row>
    <row r="49" spans="1:6">
      <c r="A49">
        <v>113840</v>
      </c>
      <c r="B49" t="s">
        <v>1972</v>
      </c>
      <c r="C49" t="str">
        <f>VLOOKUP(A49,'Cost Center'!A:C,3,FALSE)</f>
        <v>C100907</v>
      </c>
      <c r="D49" t="s">
        <v>5261</v>
      </c>
      <c r="E49" t="s">
        <v>708</v>
      </c>
      <c r="F49" t="s">
        <v>18536</v>
      </c>
    </row>
    <row r="50" spans="1:6">
      <c r="A50">
        <v>113850</v>
      </c>
      <c r="B50" t="s">
        <v>1973</v>
      </c>
      <c r="C50" t="str">
        <f>VLOOKUP(A50,'Cost Center'!A:C,3,FALSE)</f>
        <v>C100901</v>
      </c>
      <c r="D50" t="s">
        <v>7085</v>
      </c>
      <c r="E50" t="s">
        <v>708</v>
      </c>
      <c r="F50" t="s">
        <v>19107</v>
      </c>
    </row>
    <row r="51" spans="1:6">
      <c r="A51">
        <v>118600</v>
      </c>
      <c r="B51" t="s">
        <v>1100</v>
      </c>
      <c r="C51" t="str">
        <f>VLOOKUP(A51,'Cost Center'!A:C,3,FALSE)</f>
        <v>C100908</v>
      </c>
      <c r="D51" t="s">
        <v>5264</v>
      </c>
      <c r="E51" t="s">
        <v>708</v>
      </c>
      <c r="F51" t="s">
        <v>18537</v>
      </c>
    </row>
    <row r="52" spans="1:6">
      <c r="A52">
        <v>121000</v>
      </c>
      <c r="B52" t="s">
        <v>1101</v>
      </c>
      <c r="C52" t="str">
        <f>VLOOKUP(A52,'Cost Center'!A:C,3,FALSE)</f>
        <v>C100909</v>
      </c>
      <c r="D52" t="s">
        <v>5267</v>
      </c>
      <c r="E52" t="s">
        <v>708</v>
      </c>
      <c r="F52" t="s">
        <v>18538</v>
      </c>
    </row>
    <row r="53" spans="1:6">
      <c r="A53">
        <v>10580</v>
      </c>
      <c r="B53" t="s">
        <v>1974</v>
      </c>
      <c r="C53" t="str">
        <f>VLOOKUP(A53,'Cost Center'!A:C,3,FALSE)</f>
        <v>C100931</v>
      </c>
      <c r="D53" t="s">
        <v>5148</v>
      </c>
      <c r="E53" t="s">
        <v>708</v>
      </c>
      <c r="F53" t="s">
        <v>18505</v>
      </c>
    </row>
    <row r="54" spans="1:6">
      <c r="A54">
        <v>10756</v>
      </c>
      <c r="B54" t="s">
        <v>1975</v>
      </c>
      <c r="C54" t="str">
        <f>VLOOKUP(A54,'Cost Center'!A:C,3,FALSE)</f>
        <v>C100941</v>
      </c>
      <c r="D54" t="s">
        <v>5159</v>
      </c>
      <c r="E54" t="s">
        <v>708</v>
      </c>
      <c r="F54" t="s">
        <v>18509</v>
      </c>
    </row>
    <row r="55" spans="1:6">
      <c r="A55">
        <v>10768</v>
      </c>
      <c r="B55" t="s">
        <v>1976</v>
      </c>
      <c r="C55" t="str">
        <f>VLOOKUP(A55,'Cost Center'!A:C,3,FALSE)</f>
        <v>C100942</v>
      </c>
      <c r="D55" t="s">
        <v>5291</v>
      </c>
      <c r="E55" t="s">
        <v>708</v>
      </c>
      <c r="F55" t="s">
        <v>18546</v>
      </c>
    </row>
    <row r="56" spans="1:6">
      <c r="A56">
        <v>10774</v>
      </c>
      <c r="B56" t="s">
        <v>1977</v>
      </c>
      <c r="C56" t="str">
        <f>VLOOKUP(A56,'Cost Center'!A:C,3,FALSE)</f>
        <v>C100943</v>
      </c>
      <c r="D56" t="s">
        <v>5294</v>
      </c>
      <c r="E56" t="s">
        <v>708</v>
      </c>
      <c r="F56" t="s">
        <v>18547</v>
      </c>
    </row>
    <row r="57" spans="1:6">
      <c r="A57">
        <v>123000</v>
      </c>
      <c r="B57" t="s">
        <v>1105</v>
      </c>
      <c r="C57" t="str">
        <f>VLOOKUP(A57,'Cost Center'!A:C,3,FALSE)</f>
        <v>C100930</v>
      </c>
      <c r="D57" t="s">
        <v>5279</v>
      </c>
      <c r="E57" t="s">
        <v>708</v>
      </c>
      <c r="F57" t="s">
        <v>18542</v>
      </c>
    </row>
    <row r="58" spans="1:6">
      <c r="A58">
        <v>113000</v>
      </c>
      <c r="B58" t="s">
        <v>1978</v>
      </c>
      <c r="C58" t="str">
        <f>VLOOKUP(A58,'Cost Center'!A:C,3,FALSE)</f>
        <v>C030102</v>
      </c>
      <c r="D58" t="s">
        <v>3890</v>
      </c>
      <c r="E58" t="s">
        <v>708</v>
      </c>
      <c r="F58" t="s">
        <v>18338</v>
      </c>
    </row>
    <row r="59" spans="1:6">
      <c r="A59">
        <v>113010</v>
      </c>
      <c r="B59" t="s">
        <v>1037</v>
      </c>
      <c r="C59" t="str">
        <f>VLOOKUP(A59,'Cost Center'!A:C,3,FALSE)</f>
        <v>C030101</v>
      </c>
      <c r="D59" t="s">
        <v>3888</v>
      </c>
      <c r="E59" t="s">
        <v>708</v>
      </c>
      <c r="F59" t="s">
        <v>18337</v>
      </c>
    </row>
    <row r="60" spans="1:6">
      <c r="A60">
        <v>304000</v>
      </c>
      <c r="B60" t="s">
        <v>1979</v>
      </c>
      <c r="C60" t="e">
        <f>VLOOKUP(A60,'Cost Center'!A:C,3,FALSE)</f>
        <v>#N/A</v>
      </c>
      <c r="D60" t="e">
        <v>#N/A</v>
      </c>
      <c r="E60" t="s">
        <v>708</v>
      </c>
      <c r="F60" t="s">
        <v>19790</v>
      </c>
    </row>
    <row r="61" spans="1:6">
      <c r="A61">
        <v>113002</v>
      </c>
      <c r="B61" t="s">
        <v>1980</v>
      </c>
      <c r="C61" t="str">
        <f>VLOOKUP(A61,'Cost Center'!A:C,3,FALSE)</f>
        <v>C010902</v>
      </c>
      <c r="D61" t="s">
        <v>3806</v>
      </c>
      <c r="E61" t="s">
        <v>708</v>
      </c>
      <c r="F61" t="s">
        <v>18313</v>
      </c>
    </row>
    <row r="62" spans="1:6">
      <c r="A62">
        <v>150600</v>
      </c>
      <c r="B62" t="s">
        <v>1981</v>
      </c>
      <c r="C62" t="e">
        <f>VLOOKUP(A62,'Cost Center'!A:C,3,FALSE)</f>
        <v>#N/A</v>
      </c>
      <c r="D62" t="s">
        <v>3624</v>
      </c>
      <c r="E62" t="s">
        <v>708</v>
      </c>
      <c r="F62" t="s">
        <v>19791</v>
      </c>
    </row>
    <row r="63" spans="1:6">
      <c r="A63">
        <v>150700</v>
      </c>
      <c r="B63" t="s">
        <v>1982</v>
      </c>
      <c r="C63" t="str">
        <f>VLOOKUP(A63,'Cost Center'!A:C,3,FALSE)</f>
        <v>C010702</v>
      </c>
      <c r="D63" t="s">
        <v>7416</v>
      </c>
      <c r="E63" t="s">
        <v>708</v>
      </c>
      <c r="F63" t="s">
        <v>19220</v>
      </c>
    </row>
    <row r="64" spans="1:6">
      <c r="A64">
        <v>150800</v>
      </c>
      <c r="B64" t="s">
        <v>1109</v>
      </c>
      <c r="C64" t="str">
        <f>VLOOKUP(A64,'Cost Center'!A:C,3,FALSE)</f>
        <v>C010701</v>
      </c>
      <c r="D64" t="s">
        <v>7419</v>
      </c>
      <c r="E64" t="s">
        <v>708</v>
      </c>
      <c r="F64" t="s">
        <v>19221</v>
      </c>
    </row>
    <row r="65" spans="1:6">
      <c r="A65">
        <v>150950</v>
      </c>
      <c r="B65" t="s">
        <v>1983</v>
      </c>
      <c r="C65" t="str">
        <f>VLOOKUP(A65,'Cost Center'!A:C,3,FALSE)</f>
        <v>C010750</v>
      </c>
      <c r="D65" t="s">
        <v>7422</v>
      </c>
      <c r="E65" t="s">
        <v>708</v>
      </c>
      <c r="F65" t="s">
        <v>19222</v>
      </c>
    </row>
    <row r="66" spans="1:6">
      <c r="A66">
        <v>150952</v>
      </c>
      <c r="B66" t="s">
        <v>1984</v>
      </c>
      <c r="C66" t="e">
        <f>VLOOKUP(A66,'Cost Center'!A:C,3,FALSE)</f>
        <v>#N/A</v>
      </c>
      <c r="D66" t="s">
        <v>3624</v>
      </c>
      <c r="E66" t="s">
        <v>708</v>
      </c>
      <c r="F66" t="s">
        <v>19792</v>
      </c>
    </row>
    <row r="67" spans="1:6">
      <c r="A67">
        <v>113049</v>
      </c>
      <c r="B67" t="s">
        <v>1047</v>
      </c>
      <c r="C67" t="str">
        <f>VLOOKUP(A67,'Cost Center'!A:C,3,FALSE)</f>
        <v>C010121</v>
      </c>
      <c r="D67" t="s">
        <v>3632</v>
      </c>
      <c r="E67" t="s">
        <v>708</v>
      </c>
      <c r="F67" t="s">
        <v>18255</v>
      </c>
    </row>
    <row r="68" spans="1:6">
      <c r="A68">
        <v>113051</v>
      </c>
      <c r="B68" t="s">
        <v>1985</v>
      </c>
      <c r="C68" t="str">
        <f>VLOOKUP(A68,'Cost Center'!A:C,3,FALSE)</f>
        <v>C010123</v>
      </c>
      <c r="D68" t="s">
        <v>7009</v>
      </c>
      <c r="E68" t="s">
        <v>708</v>
      </c>
      <c r="F68" t="s">
        <v>19080</v>
      </c>
    </row>
    <row r="69" spans="1:6">
      <c r="A69">
        <v>113052</v>
      </c>
      <c r="B69" t="s">
        <v>1048</v>
      </c>
      <c r="C69" t="str">
        <f>VLOOKUP(A69,'Cost Center'!A:C,3,FALSE)</f>
        <v>C010124</v>
      </c>
      <c r="D69" t="s">
        <v>7012</v>
      </c>
      <c r="E69" t="s">
        <v>708</v>
      </c>
      <c r="F69" t="s">
        <v>19081</v>
      </c>
    </row>
    <row r="70" spans="1:6">
      <c r="A70">
        <v>113053</v>
      </c>
      <c r="B70" t="s">
        <v>1049</v>
      </c>
      <c r="C70" t="str">
        <f>VLOOKUP(A70,'Cost Center'!A:C,3,FALSE)</f>
        <v>C010122</v>
      </c>
      <c r="D70" t="s">
        <v>7015</v>
      </c>
      <c r="E70" t="s">
        <v>708</v>
      </c>
      <c r="F70" t="s">
        <v>19082</v>
      </c>
    </row>
    <row r="71" spans="1:6">
      <c r="A71">
        <v>113054</v>
      </c>
      <c r="B71" t="s">
        <v>1050</v>
      </c>
      <c r="C71" t="str">
        <f>VLOOKUP(A71,'Cost Center'!A:C,3,FALSE)</f>
        <v>C010127</v>
      </c>
      <c r="D71" t="s">
        <v>7018</v>
      </c>
      <c r="E71" t="s">
        <v>708</v>
      </c>
      <c r="F71" t="s">
        <v>19083</v>
      </c>
    </row>
    <row r="72" spans="1:6">
      <c r="A72">
        <v>113056</v>
      </c>
      <c r="B72" t="s">
        <v>1986</v>
      </c>
      <c r="C72" t="str">
        <f>VLOOKUP(A72,'Cost Center'!A:C,3,FALSE)</f>
        <v>C010126</v>
      </c>
      <c r="D72" t="s">
        <v>7041</v>
      </c>
      <c r="E72" t="s">
        <v>708</v>
      </c>
      <c r="F72" t="s">
        <v>19091</v>
      </c>
    </row>
    <row r="73" spans="1:6">
      <c r="A73">
        <v>113058</v>
      </c>
      <c r="B73" t="s">
        <v>1987</v>
      </c>
      <c r="C73" t="str">
        <f>VLOOKUP(A73,'Cost Center'!A:C,3,FALSE)</f>
        <v>C010125</v>
      </c>
      <c r="D73" t="s">
        <v>7052</v>
      </c>
      <c r="E73" t="s">
        <v>708</v>
      </c>
      <c r="F73" t="s">
        <v>19095</v>
      </c>
    </row>
    <row r="74" spans="1:6">
      <c r="A74">
        <v>1013402</v>
      </c>
      <c r="B74" t="s">
        <v>1168</v>
      </c>
      <c r="C74" t="str">
        <f>VLOOKUP(A74,'Cost Center'!A:C,3,FALSE)</f>
        <v>C010105</v>
      </c>
      <c r="D74" t="s">
        <v>3619</v>
      </c>
      <c r="E74" t="s">
        <v>708</v>
      </c>
      <c r="F74" t="s">
        <v>18251</v>
      </c>
    </row>
    <row r="75" spans="1:6">
      <c r="A75">
        <v>1013435</v>
      </c>
      <c r="B75" t="s">
        <v>1172</v>
      </c>
      <c r="C75" t="str">
        <f>VLOOKUP(A75,'Cost Center'!A:C,3,FALSE)</f>
        <v>C010111</v>
      </c>
      <c r="D75" t="s">
        <v>7845</v>
      </c>
      <c r="E75" t="s">
        <v>708</v>
      </c>
      <c r="F75" t="s">
        <v>19323</v>
      </c>
    </row>
    <row r="76" spans="1:6">
      <c r="A76">
        <v>113055</v>
      </c>
      <c r="B76" t="s">
        <v>1051</v>
      </c>
      <c r="C76" t="str">
        <f>VLOOKUP(A76,'Cost Center'!A:C,3,FALSE)</f>
        <v>C010115</v>
      </c>
      <c r="D76" t="s">
        <v>7039</v>
      </c>
      <c r="E76" t="s">
        <v>708</v>
      </c>
      <c r="F76" t="s">
        <v>19090</v>
      </c>
    </row>
    <row r="77" spans="1:6">
      <c r="A77">
        <v>113215</v>
      </c>
      <c r="B77" t="s">
        <v>1057</v>
      </c>
      <c r="C77" t="str">
        <f>VLOOKUP(A77,'Cost Center'!A:C,3,FALSE)</f>
        <v>C010150</v>
      </c>
      <c r="D77" t="s">
        <v>7055</v>
      </c>
      <c r="E77" t="s">
        <v>708</v>
      </c>
      <c r="F77" t="s">
        <v>19096</v>
      </c>
    </row>
    <row r="78" spans="1:6">
      <c r="A78">
        <v>113230</v>
      </c>
      <c r="B78" t="s">
        <v>1060</v>
      </c>
      <c r="C78" t="str">
        <f>VLOOKUP(A78,'Cost Center'!A:C,3,FALSE)</f>
        <v>C010110</v>
      </c>
      <c r="D78" t="s">
        <v>3622</v>
      </c>
      <c r="E78" t="s">
        <v>708</v>
      </c>
      <c r="F78" t="s">
        <v>18252</v>
      </c>
    </row>
    <row r="79" spans="1:6">
      <c r="A79">
        <v>113355</v>
      </c>
      <c r="B79" t="s">
        <v>1071</v>
      </c>
      <c r="C79" t="str">
        <f>VLOOKUP(A79,'Cost Center'!A:C,3,FALSE)</f>
        <v>C010115</v>
      </c>
      <c r="D79" t="s">
        <v>7039</v>
      </c>
      <c r="E79" t="s">
        <v>708</v>
      </c>
      <c r="F79" t="s">
        <v>19102</v>
      </c>
    </row>
    <row r="80" spans="1:6">
      <c r="A80">
        <v>118530</v>
      </c>
      <c r="B80" t="s">
        <v>1098</v>
      </c>
      <c r="C80" t="str">
        <f>VLOOKUP(A80,'Cost Center'!A:C,3,FALSE)</f>
        <v>C010101</v>
      </c>
      <c r="D80" t="s">
        <v>3610</v>
      </c>
      <c r="E80" t="s">
        <v>708</v>
      </c>
      <c r="F80" t="s">
        <v>19136</v>
      </c>
    </row>
    <row r="81" spans="1:6">
      <c r="A81">
        <v>118535</v>
      </c>
      <c r="B81" t="s">
        <v>1099</v>
      </c>
      <c r="C81" t="str">
        <f>VLOOKUP(A81,'Cost Center'!A:C,3,FALSE)</f>
        <v>C010140</v>
      </c>
      <c r="D81" t="s">
        <v>7184</v>
      </c>
      <c r="E81" t="s">
        <v>708</v>
      </c>
      <c r="F81" t="s">
        <v>19142</v>
      </c>
    </row>
    <row r="82" spans="1:6">
      <c r="A82">
        <v>10050</v>
      </c>
      <c r="B82" t="s">
        <v>728</v>
      </c>
      <c r="C82" t="str">
        <f>VLOOKUP(A82,'Cost Center'!A:C,3,FALSE)</f>
        <v>C010230</v>
      </c>
      <c r="D82" t="s">
        <v>5015</v>
      </c>
      <c r="E82" t="s">
        <v>708</v>
      </c>
      <c r="F82" t="s">
        <v>18477</v>
      </c>
    </row>
    <row r="83" spans="1:6">
      <c r="A83">
        <v>10230</v>
      </c>
      <c r="B83" t="s">
        <v>1988</v>
      </c>
      <c r="C83" t="e">
        <f>VLOOKUP(A83,'Cost Center'!A:C,3,FALSE)</f>
        <v>#N/A</v>
      </c>
      <c r="D83" t="s">
        <v>3624</v>
      </c>
      <c r="E83" t="s">
        <v>708</v>
      </c>
      <c r="F83" t="s">
        <v>19793</v>
      </c>
    </row>
    <row r="84" spans="1:6">
      <c r="A84">
        <v>10231</v>
      </c>
      <c r="B84" t="s">
        <v>739</v>
      </c>
      <c r="C84" t="str">
        <f>VLOOKUP(A84,'Cost Center'!A:C,3,FALSE)</f>
        <v>CI10216</v>
      </c>
      <c r="D84" t="s">
        <v>11787</v>
      </c>
      <c r="E84" t="s">
        <v>708</v>
      </c>
      <c r="F84" t="s">
        <v>19610</v>
      </c>
    </row>
    <row r="85" spans="1:6">
      <c r="A85">
        <v>10232</v>
      </c>
      <c r="B85" t="s">
        <v>740</v>
      </c>
      <c r="C85" t="str">
        <f>VLOOKUP(A85,'Cost Center'!A:C,3,FALSE)</f>
        <v>C010210</v>
      </c>
      <c r="D85" t="s">
        <v>3698</v>
      </c>
      <c r="E85" t="s">
        <v>708</v>
      </c>
      <c r="F85" t="s">
        <v>18280</v>
      </c>
    </row>
    <row r="86" spans="1:6">
      <c r="A86">
        <v>10264</v>
      </c>
      <c r="B86" t="s">
        <v>743</v>
      </c>
      <c r="C86" t="str">
        <f>VLOOKUP(A86,'Cost Center'!A:C,3,FALSE)</f>
        <v>C010220</v>
      </c>
      <c r="D86" t="s">
        <v>3704</v>
      </c>
      <c r="E86" t="s">
        <v>708</v>
      </c>
      <c r="F86" t="s">
        <v>18281</v>
      </c>
    </row>
    <row r="87" spans="1:6">
      <c r="A87">
        <v>54320</v>
      </c>
      <c r="B87" t="s">
        <v>1989</v>
      </c>
      <c r="C87" t="str">
        <f>VLOOKUP(A87,'Cost Center'!A:C,3,FALSE)</f>
        <v>C010205</v>
      </c>
      <c r="D87" t="s">
        <v>6397</v>
      </c>
      <c r="E87" t="s">
        <v>708</v>
      </c>
      <c r="F87" t="s">
        <v>18915</v>
      </c>
    </row>
    <row r="88" spans="1:6">
      <c r="A88" t="s">
        <v>4</v>
      </c>
      <c r="B88" t="s">
        <v>1747</v>
      </c>
      <c r="C88" t="str">
        <f>VLOOKUP(A88,'Cost Center'!A:C,3,FALSE)</f>
        <v>C010215</v>
      </c>
      <c r="D88" t="s">
        <v>3701</v>
      </c>
      <c r="E88" t="s">
        <v>708</v>
      </c>
      <c r="F88" t="s">
        <v>4</v>
      </c>
    </row>
    <row r="89" spans="1:6">
      <c r="A89">
        <v>113020</v>
      </c>
      <c r="B89" t="s">
        <v>1038</v>
      </c>
      <c r="C89" t="str">
        <f>VLOOKUP(A89,'Cost Center'!A:C,3,FALSE)</f>
        <v>C010801</v>
      </c>
      <c r="D89" t="s">
        <v>3797</v>
      </c>
      <c r="E89" t="s">
        <v>708</v>
      </c>
      <c r="F89" t="s">
        <v>18309</v>
      </c>
    </row>
    <row r="90" spans="1:6">
      <c r="A90">
        <v>113240</v>
      </c>
      <c r="B90" t="s">
        <v>1990</v>
      </c>
      <c r="C90" t="str">
        <f>VLOOKUP(A90,'Cost Center'!A:C,3,FALSE)</f>
        <v>C010800</v>
      </c>
      <c r="D90" t="s">
        <v>3794</v>
      </c>
      <c r="E90" t="s">
        <v>708</v>
      </c>
      <c r="F90" t="s">
        <v>18308</v>
      </c>
    </row>
    <row r="91" spans="1:6">
      <c r="A91">
        <v>150400</v>
      </c>
      <c r="B91" t="s">
        <v>1991</v>
      </c>
      <c r="C91" t="str">
        <f>VLOOKUP(A91,'Cost Center'!A:C,3,FALSE)</f>
        <v>C010890</v>
      </c>
      <c r="D91" t="s">
        <v>7413</v>
      </c>
      <c r="E91" t="s">
        <v>708</v>
      </c>
      <c r="F91" t="s">
        <v>19219</v>
      </c>
    </row>
    <row r="92" spans="1:6">
      <c r="A92">
        <v>17202</v>
      </c>
      <c r="B92" t="s">
        <v>778</v>
      </c>
      <c r="C92" t="str">
        <f>VLOOKUP(A92,'Cost Center'!A:C,3,FALSE)</f>
        <v>C100601</v>
      </c>
      <c r="D92" t="s">
        <v>5249</v>
      </c>
      <c r="E92" t="s">
        <v>708</v>
      </c>
      <c r="F92" t="s">
        <v>18532</v>
      </c>
    </row>
    <row r="93" spans="1:6">
      <c r="A93">
        <v>122000</v>
      </c>
      <c r="B93" t="s">
        <v>1992</v>
      </c>
      <c r="C93" t="str">
        <f>VLOOKUP(A93,'Cost Center'!A:C,3,FALSE)</f>
        <v>C010805</v>
      </c>
      <c r="D93" t="s">
        <v>3799</v>
      </c>
      <c r="E93" t="s">
        <v>708</v>
      </c>
      <c r="F93" t="s">
        <v>18310</v>
      </c>
    </row>
    <row r="94" spans="1:6">
      <c r="A94">
        <v>115003</v>
      </c>
      <c r="B94" t="s">
        <v>1993</v>
      </c>
      <c r="C94" t="e">
        <f>VLOOKUP(A94,'Cost Center'!A:C,3,FALSE)</f>
        <v>#N/A</v>
      </c>
      <c r="D94" t="s">
        <v>3624</v>
      </c>
      <c r="E94" t="s">
        <v>708</v>
      </c>
      <c r="F94" t="s">
        <v>19794</v>
      </c>
    </row>
    <row r="95" spans="1:6">
      <c r="A95">
        <v>115027</v>
      </c>
      <c r="B95" t="s">
        <v>1994</v>
      </c>
      <c r="C95" t="e">
        <f>VLOOKUP(A95,'Cost Center'!A:C,3,FALSE)</f>
        <v>#N/A</v>
      </c>
      <c r="D95" t="s">
        <v>3624</v>
      </c>
      <c r="E95" t="s">
        <v>708</v>
      </c>
      <c r="F95" t="s">
        <v>19795</v>
      </c>
    </row>
    <row r="96" spans="1:6">
      <c r="A96">
        <v>113040</v>
      </c>
      <c r="B96" t="s">
        <v>1041</v>
      </c>
      <c r="C96" t="str">
        <f>VLOOKUP(A96,'Cost Center'!A:C,3,FALSE)</f>
        <v>C010000</v>
      </c>
      <c r="D96" t="s">
        <v>3601</v>
      </c>
      <c r="E96" t="s">
        <v>708</v>
      </c>
      <c r="F96" t="s">
        <v>18246</v>
      </c>
    </row>
    <row r="97" spans="1:6">
      <c r="A97">
        <v>10300</v>
      </c>
      <c r="B97" t="s">
        <v>1995</v>
      </c>
      <c r="C97" t="e">
        <f>VLOOKUP(A97,'Cost Center'!A:C,3,FALSE)</f>
        <v>#N/A</v>
      </c>
      <c r="D97" t="e">
        <v>#N/A</v>
      </c>
      <c r="E97" t="s">
        <v>708</v>
      </c>
      <c r="F97" t="s">
        <v>19796</v>
      </c>
    </row>
    <row r="98" spans="1:6">
      <c r="A98">
        <v>113100</v>
      </c>
      <c r="B98" t="s">
        <v>1056</v>
      </c>
      <c r="C98" t="str">
        <f>VLOOKUP(A98,'Cost Center'!A:C,3,FALSE)</f>
        <v>C010410</v>
      </c>
      <c r="D98" t="s">
        <v>3724</v>
      </c>
      <c r="E98" t="s">
        <v>708</v>
      </c>
      <c r="F98" t="s">
        <v>18287</v>
      </c>
    </row>
    <row r="99" spans="1:6">
      <c r="A99">
        <v>113232</v>
      </c>
      <c r="B99" t="s">
        <v>1061</v>
      </c>
      <c r="C99" t="str">
        <f>VLOOKUP(A99,'Cost Center'!A:C,3,FALSE)</f>
        <v>C010415</v>
      </c>
      <c r="D99" t="s">
        <v>3727</v>
      </c>
      <c r="E99" t="s">
        <v>708</v>
      </c>
      <c r="F99" t="s">
        <v>18288</v>
      </c>
    </row>
    <row r="100" spans="1:6">
      <c r="A100">
        <v>113233</v>
      </c>
      <c r="B100" t="s">
        <v>1062</v>
      </c>
      <c r="C100" t="str">
        <f>VLOOKUP(A100,'Cost Center'!A:C,3,FALSE)</f>
        <v>C010401</v>
      </c>
      <c r="D100" t="s">
        <v>3721</v>
      </c>
      <c r="E100" t="s">
        <v>708</v>
      </c>
      <c r="F100" t="s">
        <v>18286</v>
      </c>
    </row>
    <row r="101" spans="1:6">
      <c r="A101">
        <v>113234</v>
      </c>
      <c r="B101" t="s">
        <v>1063</v>
      </c>
      <c r="C101" t="str">
        <f>VLOOKUP(A101,'Cost Center'!A:C,3,FALSE)</f>
        <v>CI10417</v>
      </c>
      <c r="D101" t="s">
        <v>11815</v>
      </c>
      <c r="E101" t="s">
        <v>708</v>
      </c>
      <c r="F101" t="s">
        <v>19612</v>
      </c>
    </row>
    <row r="102" spans="1:6">
      <c r="A102">
        <v>115000</v>
      </c>
      <c r="B102" t="s">
        <v>1094</v>
      </c>
      <c r="C102" t="str">
        <f>VLOOKUP(A102,'Cost Center'!A:C,3,FALSE)</f>
        <v>C010301</v>
      </c>
      <c r="D102" t="s">
        <v>7107</v>
      </c>
      <c r="E102" t="s">
        <v>708</v>
      </c>
      <c r="F102" t="s">
        <v>19115</v>
      </c>
    </row>
    <row r="103" spans="1:6">
      <c r="A103">
        <v>115001</v>
      </c>
      <c r="B103" t="s">
        <v>1095</v>
      </c>
      <c r="C103" t="str">
        <f>VLOOKUP(A103,'Cost Center'!A:C,3,FALSE)</f>
        <v>C010310</v>
      </c>
      <c r="D103" t="s">
        <v>7110</v>
      </c>
      <c r="E103" t="s">
        <v>708</v>
      </c>
      <c r="F103" t="s">
        <v>19116</v>
      </c>
    </row>
    <row r="104" spans="1:6">
      <c r="A104">
        <v>115002</v>
      </c>
      <c r="B104" t="s">
        <v>1096</v>
      </c>
      <c r="C104" t="str">
        <f>VLOOKUP(A104,'Cost Center'!A:C,3,FALSE)</f>
        <v>C010305</v>
      </c>
      <c r="D104" t="s">
        <v>7113</v>
      </c>
      <c r="E104" t="s">
        <v>708</v>
      </c>
      <c r="F104" t="s">
        <v>19117</v>
      </c>
    </row>
    <row r="105" spans="1:6">
      <c r="A105">
        <v>115051</v>
      </c>
      <c r="B105" t="s">
        <v>1996</v>
      </c>
      <c r="C105" t="e">
        <f>VLOOKUP(A105,'Cost Center'!A:C,3,FALSE)</f>
        <v>#N/A</v>
      </c>
      <c r="D105" t="s">
        <v>3624</v>
      </c>
      <c r="E105" t="s">
        <v>708</v>
      </c>
      <c r="F105" t="s">
        <v>19797</v>
      </c>
    </row>
    <row r="106" spans="1:6">
      <c r="A106">
        <v>113220</v>
      </c>
      <c r="B106" t="s">
        <v>1058</v>
      </c>
      <c r="C106" t="str">
        <f>VLOOKUP(A106,'Cost Center'!A:C,3,FALSE)</f>
        <v>C010501</v>
      </c>
      <c r="D106" t="s">
        <v>3762</v>
      </c>
      <c r="E106" t="s">
        <v>708</v>
      </c>
      <c r="F106" t="s">
        <v>18297</v>
      </c>
    </row>
    <row r="107" spans="1:6">
      <c r="A107">
        <v>113223</v>
      </c>
      <c r="B107" t="s">
        <v>1059</v>
      </c>
      <c r="C107" t="str">
        <f>VLOOKUP(A107,'Cost Center'!A:C,3,FALSE)</f>
        <v>CI10508</v>
      </c>
      <c r="D107" t="s">
        <v>11840</v>
      </c>
      <c r="E107" t="s">
        <v>708</v>
      </c>
      <c r="F107" t="s">
        <v>19613</v>
      </c>
    </row>
    <row r="108" spans="1:6">
      <c r="A108">
        <v>118120</v>
      </c>
      <c r="B108" t="s">
        <v>1097</v>
      </c>
      <c r="C108" t="str">
        <f>VLOOKUP(A108,'Cost Center'!A:C,3,FALSE)</f>
        <v>CI10509</v>
      </c>
      <c r="D108" t="s">
        <v>11843</v>
      </c>
      <c r="E108" t="s">
        <v>708</v>
      </c>
      <c r="F108" t="s">
        <v>19614</v>
      </c>
    </row>
    <row r="109" spans="1:6">
      <c r="A109">
        <v>13400</v>
      </c>
      <c r="B109" t="s">
        <v>775</v>
      </c>
      <c r="C109" t="str">
        <f>VLOOKUP(A109,'Cost Center'!A:C,3,FALSE)</f>
        <v>CI10510</v>
      </c>
      <c r="D109" t="s">
        <v>11846</v>
      </c>
      <c r="E109" t="s">
        <v>708</v>
      </c>
      <c r="F109" t="s">
        <v>19615</v>
      </c>
    </row>
    <row r="110" spans="1:6">
      <c r="A110">
        <v>113043</v>
      </c>
      <c r="B110" t="s">
        <v>1997</v>
      </c>
      <c r="C110" t="e">
        <f>VLOOKUP(A110,'Cost Center'!A:C,3,FALSE)</f>
        <v>#N/A</v>
      </c>
      <c r="D110" t="s">
        <v>3624</v>
      </c>
      <c r="E110" t="s">
        <v>708</v>
      </c>
      <c r="F110" t="s">
        <v>19798</v>
      </c>
    </row>
    <row r="111" spans="1:6">
      <c r="A111">
        <v>113080</v>
      </c>
      <c r="B111" t="s">
        <v>1055</v>
      </c>
      <c r="C111" t="str">
        <f>VLOOKUP(A111,'Cost Center'!A:C,3,FALSE)</f>
        <v>C030110</v>
      </c>
      <c r="D111" t="s">
        <v>3896</v>
      </c>
      <c r="E111" t="s">
        <v>708</v>
      </c>
      <c r="F111" t="s">
        <v>18340</v>
      </c>
    </row>
    <row r="112" spans="1:6">
      <c r="A112">
        <v>115005</v>
      </c>
      <c r="B112" t="s">
        <v>1998</v>
      </c>
      <c r="C112" t="str">
        <f>VLOOKUP(A112,'Cost Center'!A:C,3,FALSE)</f>
        <v>C020990</v>
      </c>
      <c r="D112" t="s">
        <v>7115</v>
      </c>
      <c r="E112" t="s">
        <v>708</v>
      </c>
      <c r="F112" t="s">
        <v>19118</v>
      </c>
    </row>
    <row r="113" spans="1:6">
      <c r="A113">
        <v>115008</v>
      </c>
      <c r="B113" t="s">
        <v>1999</v>
      </c>
      <c r="C113" t="e">
        <f>VLOOKUP(A113,'Cost Center'!A:C,3,FALSE)</f>
        <v>#N/A</v>
      </c>
      <c r="D113" t="e">
        <v>#N/A</v>
      </c>
      <c r="E113" t="s">
        <v>708</v>
      </c>
      <c r="F113" t="s">
        <v>19799</v>
      </c>
    </row>
    <row r="114" spans="1:6">
      <c r="A114">
        <v>10070</v>
      </c>
      <c r="B114" t="s">
        <v>729</v>
      </c>
      <c r="C114" t="str">
        <f>VLOOKUP(A114,'Cost Center'!A:C,3,FALSE)</f>
        <v>C020601</v>
      </c>
      <c r="D114" t="s">
        <v>3860</v>
      </c>
      <c r="E114" t="s">
        <v>708</v>
      </c>
      <c r="F114" t="s">
        <v>18330</v>
      </c>
    </row>
    <row r="115" spans="1:6">
      <c r="A115">
        <v>10487</v>
      </c>
      <c r="B115" t="s">
        <v>2000</v>
      </c>
      <c r="C115" t="str">
        <f>VLOOKUP(A115,'Cost Center'!A:C,3,FALSE)</f>
        <v>C703004</v>
      </c>
      <c r="D115" t="s">
        <v>10769</v>
      </c>
      <c r="E115" t="s">
        <v>708</v>
      </c>
      <c r="F115" t="s">
        <v>19580</v>
      </c>
    </row>
    <row r="116" spans="1:6">
      <c r="A116">
        <v>113289</v>
      </c>
      <c r="B116" t="s">
        <v>2001</v>
      </c>
      <c r="C116" t="e">
        <f>VLOOKUP(A116,'Cost Center'!A:C,3,FALSE)</f>
        <v>#N/A</v>
      </c>
      <c r="D116" t="s">
        <v>3624</v>
      </c>
      <c r="E116" t="s">
        <v>708</v>
      </c>
      <c r="F116" t="s">
        <v>19800</v>
      </c>
    </row>
    <row r="117" spans="1:6">
      <c r="A117">
        <v>113290</v>
      </c>
      <c r="B117" t="s">
        <v>1067</v>
      </c>
      <c r="C117" t="str">
        <f>VLOOKUP(A117,'Cost Center'!A:C,3,FALSE)</f>
        <v>C020402</v>
      </c>
      <c r="D117" t="s">
        <v>3832</v>
      </c>
      <c r="E117" t="s">
        <v>708</v>
      </c>
      <c r="F117" t="s">
        <v>18322</v>
      </c>
    </row>
    <row r="118" spans="1:6">
      <c r="A118">
        <v>113291</v>
      </c>
      <c r="B118" t="s">
        <v>1068</v>
      </c>
      <c r="C118" t="str">
        <f>VLOOKUP(A118,'Cost Center'!A:C,3,FALSE)</f>
        <v>C020425</v>
      </c>
      <c r="D118" t="s">
        <v>3848</v>
      </c>
      <c r="E118" t="s">
        <v>708</v>
      </c>
      <c r="F118" t="s">
        <v>18326</v>
      </c>
    </row>
    <row r="119" spans="1:6">
      <c r="A119">
        <v>113292</v>
      </c>
      <c r="B119" t="s">
        <v>1069</v>
      </c>
      <c r="C119" t="str">
        <f>VLOOKUP(A119,'Cost Center'!A:C,3,FALSE)</f>
        <v>CI20402</v>
      </c>
      <c r="D119" t="s">
        <v>12340</v>
      </c>
      <c r="E119" t="s">
        <v>708</v>
      </c>
      <c r="F119" t="s">
        <v>19641</v>
      </c>
    </row>
    <row r="120" spans="1:6">
      <c r="A120">
        <v>113293</v>
      </c>
      <c r="B120" t="s">
        <v>2002</v>
      </c>
      <c r="C120" t="e">
        <f>VLOOKUP(A120,'Cost Center'!A:C,3,FALSE)</f>
        <v>#N/A</v>
      </c>
      <c r="D120" t="s">
        <v>3624</v>
      </c>
      <c r="E120" t="s">
        <v>708</v>
      </c>
      <c r="F120" t="s">
        <v>19801</v>
      </c>
    </row>
    <row r="121" spans="1:6">
      <c r="A121">
        <v>113294</v>
      </c>
      <c r="B121" t="s">
        <v>2003</v>
      </c>
      <c r="C121" t="e">
        <f>VLOOKUP(A121,'Cost Center'!A:C,3,FALSE)</f>
        <v>#N/A</v>
      </c>
      <c r="D121" t="s">
        <v>3624</v>
      </c>
      <c r="E121" t="s">
        <v>708</v>
      </c>
      <c r="F121" t="s">
        <v>19802</v>
      </c>
    </row>
    <row r="122" spans="1:6">
      <c r="A122">
        <v>20950</v>
      </c>
      <c r="B122" t="s">
        <v>2004</v>
      </c>
      <c r="C122" t="str">
        <f>VLOOKUP(A122,'Cost Center'!A:C,3,FALSE)</f>
        <v>C703005</v>
      </c>
      <c r="D122" t="s">
        <v>5322</v>
      </c>
      <c r="E122" t="s">
        <v>708</v>
      </c>
      <c r="F122" t="s">
        <v>18550</v>
      </c>
    </row>
    <row r="123" spans="1:6">
      <c r="A123">
        <v>21500</v>
      </c>
      <c r="B123" t="s">
        <v>787</v>
      </c>
      <c r="C123" t="str">
        <f>VLOOKUP(A123,'Cost Center'!A:C,3,FALSE)</f>
        <v>C020801</v>
      </c>
      <c r="D123" t="s">
        <v>5333</v>
      </c>
      <c r="E123" t="s">
        <v>708</v>
      </c>
      <c r="F123" t="s">
        <v>18554</v>
      </c>
    </row>
    <row r="124" spans="1:6">
      <c r="A124">
        <v>51915</v>
      </c>
      <c r="B124" t="s">
        <v>2005</v>
      </c>
      <c r="C124" t="str">
        <f>VLOOKUP(A124,'Cost Center'!A:C,3,FALSE)</f>
        <v>C703006</v>
      </c>
      <c r="D124" t="s">
        <v>6036</v>
      </c>
      <c r="E124" t="s">
        <v>708</v>
      </c>
      <c r="F124" t="s">
        <v>18783</v>
      </c>
    </row>
    <row r="125" spans="1:6">
      <c r="A125">
        <v>51950</v>
      </c>
      <c r="B125" t="s">
        <v>893</v>
      </c>
      <c r="C125" t="str">
        <f>VLOOKUP(A125,'Cost Center'!A:C,3,FALSE)</f>
        <v>C020415</v>
      </c>
      <c r="D125" t="s">
        <v>6071</v>
      </c>
      <c r="E125" t="s">
        <v>708</v>
      </c>
      <c r="F125" t="s">
        <v>18795</v>
      </c>
    </row>
    <row r="126" spans="1:6">
      <c r="A126">
        <v>51980</v>
      </c>
      <c r="B126" t="s">
        <v>2006</v>
      </c>
      <c r="C126" t="str">
        <f>VLOOKUP(A126,'Cost Center'!A:C,3,FALSE)</f>
        <v>C020602</v>
      </c>
      <c r="D126" t="s">
        <v>6091</v>
      </c>
      <c r="E126" t="s">
        <v>708</v>
      </c>
      <c r="F126" t="s">
        <v>18803</v>
      </c>
    </row>
    <row r="127" spans="1:6">
      <c r="A127">
        <v>93031</v>
      </c>
      <c r="B127" t="s">
        <v>989</v>
      </c>
      <c r="C127" t="str">
        <f>VLOOKUP(A127,'Cost Center'!A:C,3,FALSE)</f>
        <v>C020405</v>
      </c>
      <c r="D127" t="s">
        <v>3835</v>
      </c>
      <c r="E127" t="s">
        <v>708</v>
      </c>
      <c r="F127" t="s">
        <v>18323</v>
      </c>
    </row>
    <row r="128" spans="1:6">
      <c r="A128">
        <v>93032</v>
      </c>
      <c r="B128" t="s">
        <v>990</v>
      </c>
      <c r="C128" t="str">
        <f>VLOOKUP(A128,'Cost Center'!A:C,3,FALSE)</f>
        <v>C020420</v>
      </c>
      <c r="D128" t="s">
        <v>3841</v>
      </c>
      <c r="E128" t="s">
        <v>708</v>
      </c>
      <c r="F128" t="s">
        <v>18325</v>
      </c>
    </row>
    <row r="129" spans="1:6">
      <c r="A129">
        <v>93033</v>
      </c>
      <c r="B129" t="s">
        <v>991</v>
      </c>
      <c r="C129" t="str">
        <f>VLOOKUP(A129,'Cost Center'!A:C,3,FALSE)</f>
        <v>CI20403</v>
      </c>
      <c r="D129" t="s">
        <v>12343</v>
      </c>
      <c r="E129" t="s">
        <v>708</v>
      </c>
      <c r="F129" t="s">
        <v>19642</v>
      </c>
    </row>
    <row r="130" spans="1:6">
      <c r="A130">
        <v>113255</v>
      </c>
      <c r="B130" t="s">
        <v>1065</v>
      </c>
      <c r="C130" t="str">
        <f>VLOOKUP(A130,'Cost Center'!A:C,3,FALSE)</f>
        <v>C020205</v>
      </c>
      <c r="D130" t="s">
        <v>7061</v>
      </c>
      <c r="E130" t="s">
        <v>708</v>
      </c>
      <c r="F130" t="s">
        <v>19098</v>
      </c>
    </row>
    <row r="131" spans="1:6">
      <c r="A131">
        <v>118500</v>
      </c>
      <c r="B131" t="s">
        <v>2007</v>
      </c>
      <c r="C131" t="str">
        <f>VLOOKUP(A131,'Cost Center'!A:C,3,FALSE)</f>
        <v>C020903</v>
      </c>
      <c r="D131" t="s">
        <v>7165</v>
      </c>
      <c r="E131" t="s">
        <v>708</v>
      </c>
      <c r="F131" t="s">
        <v>19135</v>
      </c>
    </row>
    <row r="132" spans="1:6">
      <c r="A132">
        <v>20951</v>
      </c>
      <c r="B132" t="s">
        <v>784</v>
      </c>
      <c r="C132" t="str">
        <f>VLOOKUP(A132,'Cost Center'!A:C,3,FALSE)</f>
        <v>C020904</v>
      </c>
      <c r="D132" t="s">
        <v>5330</v>
      </c>
      <c r="E132" t="s">
        <v>708</v>
      </c>
      <c r="F132" t="s">
        <v>18553</v>
      </c>
    </row>
    <row r="133" spans="1:6">
      <c r="A133">
        <v>21100</v>
      </c>
      <c r="B133" t="s">
        <v>785</v>
      </c>
      <c r="C133" t="str">
        <f>VLOOKUP(A133,'Cost Center'!A:C,3,FALSE)</f>
        <v>CI20226</v>
      </c>
      <c r="D133" t="s">
        <v>12281</v>
      </c>
      <c r="E133" t="s">
        <v>708</v>
      </c>
      <c r="F133" t="s">
        <v>19640</v>
      </c>
    </row>
    <row r="134" spans="1:6">
      <c r="A134">
        <v>53500</v>
      </c>
      <c r="B134" t="s">
        <v>896</v>
      </c>
      <c r="C134" t="str">
        <f>VLOOKUP(A134,'Cost Center'!A:C,3,FALSE)</f>
        <v>CI20227</v>
      </c>
      <c r="D134" t="s">
        <v>6135</v>
      </c>
      <c r="E134" t="s">
        <v>708</v>
      </c>
      <c r="F134" t="s">
        <v>18819</v>
      </c>
    </row>
    <row r="135" spans="1:6">
      <c r="A135">
        <v>113285</v>
      </c>
      <c r="B135" t="s">
        <v>1066</v>
      </c>
      <c r="C135" t="str">
        <f>VLOOKUP(A135,'Cost Center'!A:C,3,FALSE)</f>
        <v>C020298</v>
      </c>
      <c r="D135" t="s">
        <v>7064</v>
      </c>
      <c r="E135" t="s">
        <v>708</v>
      </c>
      <c r="F135" t="s">
        <v>19099</v>
      </c>
    </row>
    <row r="136" spans="1:6">
      <c r="A136">
        <v>21101</v>
      </c>
      <c r="B136" t="s">
        <v>786</v>
      </c>
      <c r="C136" t="str">
        <f>VLOOKUP(A136,'Cost Center'!A:C,3,FALSE)</f>
        <v>C020502</v>
      </c>
      <c r="D136" t="s">
        <v>3854</v>
      </c>
      <c r="E136" t="s">
        <v>708</v>
      </c>
      <c r="F136" t="s">
        <v>18328</v>
      </c>
    </row>
    <row r="137" spans="1:6">
      <c r="A137">
        <v>113030</v>
      </c>
      <c r="B137" t="s">
        <v>1039</v>
      </c>
      <c r="C137" t="str">
        <f>VLOOKUP(A137,'Cost Center'!A:C,3,FALSE)</f>
        <v>C020501</v>
      </c>
      <c r="D137" t="s">
        <v>3851</v>
      </c>
      <c r="E137" t="s">
        <v>708</v>
      </c>
      <c r="F137" t="s">
        <v>18327</v>
      </c>
    </row>
    <row r="138" spans="1:6">
      <c r="A138">
        <v>51105</v>
      </c>
      <c r="B138" t="s">
        <v>2008</v>
      </c>
      <c r="C138" t="e">
        <f>VLOOKUP(A138,'Cost Center'!A:C,3,FALSE)</f>
        <v>#N/A</v>
      </c>
      <c r="D138" t="e">
        <v>#N/A</v>
      </c>
      <c r="E138" t="s">
        <v>708</v>
      </c>
      <c r="F138" t="s">
        <v>19803</v>
      </c>
    </row>
    <row r="139" spans="1:6">
      <c r="A139">
        <v>51800</v>
      </c>
      <c r="B139" t="s">
        <v>2009</v>
      </c>
      <c r="C139" t="str">
        <f>VLOOKUP(A139,'Cost Center'!A:C,3,FALSE)</f>
        <v>C020503</v>
      </c>
      <c r="D139" t="s">
        <v>6009</v>
      </c>
      <c r="E139" t="s">
        <v>708</v>
      </c>
      <c r="F139" t="s">
        <v>18773</v>
      </c>
    </row>
    <row r="140" spans="1:6">
      <c r="A140">
        <v>51953</v>
      </c>
      <c r="B140" t="s">
        <v>2010</v>
      </c>
      <c r="C140" t="e">
        <f>VLOOKUP(A140,'Cost Center'!A:C,3,FALSE)</f>
        <v>#N/A</v>
      </c>
      <c r="D140" t="s">
        <v>3624</v>
      </c>
      <c r="E140" t="s">
        <v>708</v>
      </c>
      <c r="F140" t="s">
        <v>19804</v>
      </c>
    </row>
    <row r="141" spans="1:6">
      <c r="A141">
        <v>113060</v>
      </c>
      <c r="B141" t="s">
        <v>1053</v>
      </c>
      <c r="C141" t="str">
        <f>VLOOKUP(A141,'Cost Center'!A:C,3,FALSE)</f>
        <v>C020201</v>
      </c>
      <c r="D141" t="s">
        <v>3811</v>
      </c>
      <c r="E141" t="s">
        <v>708</v>
      </c>
      <c r="F141" t="s">
        <v>18315</v>
      </c>
    </row>
    <row r="142" spans="1:6">
      <c r="A142">
        <v>113250</v>
      </c>
      <c r="B142" t="s">
        <v>1064</v>
      </c>
      <c r="C142" t="str">
        <f>VLOOKUP(A142,'Cost Center'!A:C,3,FALSE)</f>
        <v>C020202</v>
      </c>
      <c r="D142" t="s">
        <v>7058</v>
      </c>
      <c r="E142" t="s">
        <v>708</v>
      </c>
      <c r="F142" t="s">
        <v>19097</v>
      </c>
    </row>
    <row r="143" spans="1:6">
      <c r="A143">
        <v>113260</v>
      </c>
      <c r="B143" t="s">
        <v>2011</v>
      </c>
      <c r="C143" t="str">
        <f>VLOOKUP(A143,'Cost Center'!A:C,3,FALSE)</f>
        <v>C030205</v>
      </c>
      <c r="D143" t="s">
        <v>3915</v>
      </c>
      <c r="E143" t="s">
        <v>708</v>
      </c>
      <c r="F143" t="s">
        <v>18347</v>
      </c>
    </row>
    <row r="144" spans="1:6">
      <c r="A144">
        <v>113270</v>
      </c>
      <c r="B144" t="s">
        <v>2012</v>
      </c>
      <c r="C144" t="str">
        <f>VLOOKUP(A144,'Cost Center'!A:C,3,FALSE)</f>
        <v>C030151</v>
      </c>
      <c r="D144" t="s">
        <v>3907</v>
      </c>
      <c r="E144" t="s">
        <v>708</v>
      </c>
      <c r="F144" t="s">
        <v>18344</v>
      </c>
    </row>
    <row r="145" spans="1:6">
      <c r="A145">
        <v>113295</v>
      </c>
      <c r="B145" t="s">
        <v>1070</v>
      </c>
      <c r="C145" t="str">
        <f>VLOOKUP(A145,'Cost Center'!A:C,3,FALSE)</f>
        <v>CI20223</v>
      </c>
      <c r="D145" t="s">
        <v>7067</v>
      </c>
      <c r="E145" t="s">
        <v>708</v>
      </c>
      <c r="F145" t="s">
        <v>19100</v>
      </c>
    </row>
    <row r="146" spans="1:6">
      <c r="A146">
        <v>53501</v>
      </c>
      <c r="B146" t="s">
        <v>2013</v>
      </c>
      <c r="C146" t="str">
        <f>VLOOKUP(A146,'Cost Center'!A:C,3,FALSE)</f>
        <v>C020901</v>
      </c>
      <c r="D146" t="s">
        <v>6142</v>
      </c>
      <c r="E146" t="s">
        <v>708</v>
      </c>
      <c r="F146" t="s">
        <v>18822</v>
      </c>
    </row>
    <row r="147" spans="1:6">
      <c r="A147">
        <v>10809</v>
      </c>
      <c r="B147" t="s">
        <v>759</v>
      </c>
      <c r="C147" t="str">
        <f>VLOOKUP(A147,'Cost Center'!A:C,3,FALSE)</f>
        <v>C040405</v>
      </c>
      <c r="D147" t="s">
        <v>4030</v>
      </c>
      <c r="E147" t="s">
        <v>708</v>
      </c>
      <c r="F147" t="s">
        <v>18384</v>
      </c>
    </row>
    <row r="148" spans="1:6">
      <c r="A148">
        <v>51502</v>
      </c>
      <c r="B148" t="s">
        <v>879</v>
      </c>
      <c r="C148" t="str">
        <f>VLOOKUP(A148,'Cost Center'!A:C,3,FALSE)</f>
        <v>C040401</v>
      </c>
      <c r="D148" t="s">
        <v>5968</v>
      </c>
      <c r="E148" t="s">
        <v>708</v>
      </c>
      <c r="F148" t="s">
        <v>18759</v>
      </c>
    </row>
    <row r="149" spans="1:6">
      <c r="A149">
        <v>51900</v>
      </c>
      <c r="B149" t="s">
        <v>890</v>
      </c>
      <c r="C149" t="str">
        <f>VLOOKUP(A149,'Cost Center'!A:C,3,FALSE)</f>
        <v>C040330</v>
      </c>
      <c r="D149" t="s">
        <v>6012</v>
      </c>
      <c r="E149" t="s">
        <v>708</v>
      </c>
      <c r="F149" t="s">
        <v>18774</v>
      </c>
    </row>
    <row r="150" spans="1:6">
      <c r="A150">
        <v>10256</v>
      </c>
      <c r="B150" t="s">
        <v>742</v>
      </c>
      <c r="C150" t="str">
        <f>VLOOKUP(A150,'Cost Center'!A:C,3,FALSE)</f>
        <v>C040115</v>
      </c>
      <c r="D150" t="s">
        <v>5055</v>
      </c>
      <c r="E150" t="s">
        <v>708</v>
      </c>
      <c r="F150" t="s">
        <v>18487</v>
      </c>
    </row>
    <row r="151" spans="1:6">
      <c r="A151">
        <v>113810</v>
      </c>
      <c r="B151" t="s">
        <v>1079</v>
      </c>
      <c r="C151" t="str">
        <f>VLOOKUP(A151,'Cost Center'!A:C,3,FALSE)</f>
        <v>C040101</v>
      </c>
      <c r="D151" t="s">
        <v>3979</v>
      </c>
      <c r="E151" t="s">
        <v>708</v>
      </c>
      <c r="F151" t="s">
        <v>18367</v>
      </c>
    </row>
    <row r="152" spans="1:6">
      <c r="A152">
        <v>113820</v>
      </c>
      <c r="B152" t="s">
        <v>1080</v>
      </c>
      <c r="C152" t="str">
        <f>VLOOKUP(A152,'Cost Center'!A:C,3,FALSE)</f>
        <v>C040120</v>
      </c>
      <c r="D152" t="s">
        <v>3991</v>
      </c>
      <c r="E152" t="s">
        <v>708</v>
      </c>
      <c r="F152" t="s">
        <v>18371</v>
      </c>
    </row>
    <row r="153" spans="1:6">
      <c r="A153">
        <v>113830</v>
      </c>
      <c r="B153" t="s">
        <v>1081</v>
      </c>
      <c r="C153" t="str">
        <f>VLOOKUP(A153,'Cost Center'!A:C,3,FALSE)</f>
        <v>C040110</v>
      </c>
      <c r="D153" t="s">
        <v>3985</v>
      </c>
      <c r="E153" t="s">
        <v>708</v>
      </c>
      <c r="F153" t="s">
        <v>18369</v>
      </c>
    </row>
    <row r="154" spans="1:6">
      <c r="A154">
        <v>190300</v>
      </c>
      <c r="B154" t="s">
        <v>1111</v>
      </c>
      <c r="C154" t="str">
        <f>VLOOKUP(A154,'Cost Center'!A:C,3,FALSE)</f>
        <v>C040105</v>
      </c>
      <c r="D154" t="s">
        <v>3982</v>
      </c>
      <c r="E154" t="s">
        <v>708</v>
      </c>
      <c r="F154" t="s">
        <v>18368</v>
      </c>
    </row>
    <row r="155" spans="1:6">
      <c r="A155">
        <v>10152</v>
      </c>
      <c r="B155" t="s">
        <v>730</v>
      </c>
      <c r="C155" t="str">
        <f>VLOOKUP(A155,'Cost Center'!A:C,3,FALSE)</f>
        <v>C040001</v>
      </c>
      <c r="D155" t="s">
        <v>5018</v>
      </c>
      <c r="E155" t="s">
        <v>708</v>
      </c>
      <c r="F155" t="s">
        <v>18478</v>
      </c>
    </row>
    <row r="156" spans="1:6">
      <c r="A156">
        <v>10158</v>
      </c>
      <c r="B156" t="s">
        <v>2014</v>
      </c>
      <c r="C156" t="str">
        <f>VLOOKUP(A156,'Cost Center'!A:C,3,FALSE)</f>
        <v>C040320</v>
      </c>
      <c r="D156" t="s">
        <v>5021</v>
      </c>
      <c r="E156" t="s">
        <v>708</v>
      </c>
      <c r="F156" t="s">
        <v>18479</v>
      </c>
    </row>
    <row r="157" spans="1:6">
      <c r="A157">
        <v>10159</v>
      </c>
      <c r="B157" t="s">
        <v>731</v>
      </c>
      <c r="C157" t="str">
        <f>VLOOKUP(A157,'Cost Center'!A:C,3,FALSE)</f>
        <v>C040015</v>
      </c>
      <c r="D157" t="s">
        <v>5024</v>
      </c>
      <c r="E157" t="s">
        <v>708</v>
      </c>
      <c r="F157" t="s">
        <v>18480</v>
      </c>
    </row>
    <row r="158" spans="1:6">
      <c r="A158">
        <v>10162</v>
      </c>
      <c r="B158" t="s">
        <v>2015</v>
      </c>
      <c r="C158" t="str">
        <f>VLOOKUP(A158,'Cost Center'!A:C,3,FALSE)</f>
        <v>C040002</v>
      </c>
      <c r="D158" t="s">
        <v>3967</v>
      </c>
      <c r="E158" t="s">
        <v>708</v>
      </c>
      <c r="F158" t="s">
        <v>18363</v>
      </c>
    </row>
    <row r="159" spans="1:6">
      <c r="A159">
        <v>10164</v>
      </c>
      <c r="B159" t="s">
        <v>732</v>
      </c>
      <c r="C159" t="str">
        <f>VLOOKUP(A159,'Cost Center'!A:C,3,FALSE)</f>
        <v>C040501</v>
      </c>
      <c r="D159" t="s">
        <v>4036</v>
      </c>
      <c r="E159" t="s">
        <v>708</v>
      </c>
      <c r="F159" t="s">
        <v>18386</v>
      </c>
    </row>
    <row r="160" spans="1:6">
      <c r="A160">
        <v>10165</v>
      </c>
      <c r="B160" t="s">
        <v>733</v>
      </c>
      <c r="C160" t="str">
        <f>VLOOKUP(A160,'Cost Center'!A:C,3,FALSE)</f>
        <v>C040301</v>
      </c>
      <c r="D160" t="s">
        <v>5027</v>
      </c>
      <c r="E160" t="s">
        <v>708</v>
      </c>
      <c r="F160" t="s">
        <v>18481</v>
      </c>
    </row>
    <row r="161" spans="1:6">
      <c r="A161">
        <v>10166</v>
      </c>
      <c r="B161" t="s">
        <v>2016</v>
      </c>
      <c r="C161" t="e">
        <f>VLOOKUP(A161,'Cost Center'!A:C,3,FALSE)</f>
        <v>#N/A</v>
      </c>
      <c r="D161" t="s">
        <v>3624</v>
      </c>
      <c r="E161" t="s">
        <v>708</v>
      </c>
      <c r="F161" t="s">
        <v>19805</v>
      </c>
    </row>
    <row r="162" spans="1:6">
      <c r="A162">
        <v>10167</v>
      </c>
      <c r="B162" t="s">
        <v>734</v>
      </c>
      <c r="C162" t="str">
        <f>VLOOKUP(A162,'Cost Center'!A:C,3,FALSE)</f>
        <v>C040325</v>
      </c>
      <c r="D162" t="s">
        <v>4021</v>
      </c>
      <c r="E162" t="s">
        <v>708</v>
      </c>
      <c r="F162" t="s">
        <v>18381</v>
      </c>
    </row>
    <row r="163" spans="1:6">
      <c r="A163">
        <v>101837</v>
      </c>
      <c r="B163" t="s">
        <v>1011</v>
      </c>
      <c r="C163" t="str">
        <f>VLOOKUP(A163,'Cost Center'!A:C,3,FALSE)</f>
        <v>C040201</v>
      </c>
      <c r="D163" t="s">
        <v>3997</v>
      </c>
      <c r="E163" t="s">
        <v>708</v>
      </c>
      <c r="F163" t="s">
        <v>18373</v>
      </c>
    </row>
    <row r="164" spans="1:6">
      <c r="A164">
        <v>101838</v>
      </c>
      <c r="B164" t="s">
        <v>1012</v>
      </c>
      <c r="C164" t="str">
        <f>VLOOKUP(A164,'Cost Center'!A:C,3,FALSE)</f>
        <v>C040210</v>
      </c>
      <c r="D164" t="s">
        <v>4003</v>
      </c>
      <c r="E164" t="s">
        <v>708</v>
      </c>
      <c r="F164" t="s">
        <v>18375</v>
      </c>
    </row>
    <row r="165" spans="1:6">
      <c r="A165">
        <v>101839</v>
      </c>
      <c r="B165" t="s">
        <v>1013</v>
      </c>
      <c r="C165" t="str">
        <f>VLOOKUP(A165,'Cost Center'!A:C,3,FALSE)</f>
        <v>C040205</v>
      </c>
      <c r="D165" t="s">
        <v>4000</v>
      </c>
      <c r="E165" t="s">
        <v>708</v>
      </c>
      <c r="F165" t="s">
        <v>18374</v>
      </c>
    </row>
    <row r="166" spans="1:6">
      <c r="A166">
        <v>41926</v>
      </c>
      <c r="B166" t="s">
        <v>2017</v>
      </c>
      <c r="C166" t="e">
        <f>VLOOKUP(A166,'Cost Center'!A:C,3,FALSE)</f>
        <v>#N/A</v>
      </c>
      <c r="D166" t="s">
        <v>3624</v>
      </c>
      <c r="E166" t="s">
        <v>708</v>
      </c>
      <c r="F166" t="s">
        <v>19806</v>
      </c>
    </row>
    <row r="167" spans="1:6">
      <c r="A167">
        <v>42373</v>
      </c>
      <c r="B167" t="s">
        <v>812</v>
      </c>
      <c r="C167" t="str">
        <f>VLOOKUP(A167,'Cost Center'!A:C,3,FALSE)</f>
        <v>C040005</v>
      </c>
      <c r="D167" t="s">
        <v>3970</v>
      </c>
      <c r="E167" t="s">
        <v>708</v>
      </c>
      <c r="F167" t="s">
        <v>18364</v>
      </c>
    </row>
    <row r="168" spans="1:6">
      <c r="A168">
        <v>42503</v>
      </c>
      <c r="B168" t="s">
        <v>831</v>
      </c>
      <c r="C168" t="str">
        <f>VLOOKUP(A168,'Cost Center'!A:C,3,FALSE)</f>
        <v>C040305</v>
      </c>
      <c r="D168" t="s">
        <v>5682</v>
      </c>
      <c r="E168" t="s">
        <v>708</v>
      </c>
      <c r="F168" t="s">
        <v>18656</v>
      </c>
    </row>
    <row r="169" spans="1:6">
      <c r="A169">
        <v>42636</v>
      </c>
      <c r="B169" t="s">
        <v>841</v>
      </c>
      <c r="C169" t="str">
        <f>VLOOKUP(A169,'Cost Center'!A:C,3,FALSE)</f>
        <v>C040310</v>
      </c>
      <c r="D169" t="s">
        <v>4012</v>
      </c>
      <c r="E169" t="s">
        <v>708</v>
      </c>
      <c r="F169" t="s">
        <v>18378</v>
      </c>
    </row>
    <row r="170" spans="1:6">
      <c r="A170">
        <v>72004</v>
      </c>
      <c r="B170" t="s">
        <v>937</v>
      </c>
      <c r="C170" t="str">
        <f>VLOOKUP(A170,'Cost Center'!A:C,3,FALSE)</f>
        <v>C040315</v>
      </c>
      <c r="D170" t="s">
        <v>4015</v>
      </c>
      <c r="E170" t="s">
        <v>708</v>
      </c>
      <c r="F170" t="s">
        <v>18379</v>
      </c>
    </row>
    <row r="171" spans="1:6">
      <c r="A171">
        <v>72839</v>
      </c>
      <c r="B171" t="s">
        <v>959</v>
      </c>
      <c r="C171" t="str">
        <f>VLOOKUP(A171,'Cost Center'!A:C,3,FALSE)</f>
        <v>C040601</v>
      </c>
      <c r="D171" t="s">
        <v>4039</v>
      </c>
      <c r="E171" t="s">
        <v>708</v>
      </c>
      <c r="F171" t="s">
        <v>18387</v>
      </c>
    </row>
    <row r="172" spans="1:6">
      <c r="A172" t="s">
        <v>1787</v>
      </c>
      <c r="B172" t="s">
        <v>1788</v>
      </c>
      <c r="C172" t="str">
        <f>VLOOKUP(A172,'Cost Center'!A:C,3,FALSE)</f>
        <v>C040020</v>
      </c>
      <c r="D172" t="s">
        <v>12679</v>
      </c>
      <c r="E172" t="s">
        <v>708</v>
      </c>
      <c r="F172" t="s">
        <v>1787</v>
      </c>
    </row>
    <row r="173" spans="1:6">
      <c r="A173">
        <v>113500</v>
      </c>
      <c r="B173" t="s">
        <v>1072</v>
      </c>
      <c r="C173" t="str">
        <f>VLOOKUP(A173,'Cost Center'!A:C,3,FALSE)</f>
        <v>C030115</v>
      </c>
      <c r="D173" t="s">
        <v>7073</v>
      </c>
      <c r="E173" t="s">
        <v>708</v>
      </c>
      <c r="F173" t="s">
        <v>19103</v>
      </c>
    </row>
    <row r="174" spans="1:6">
      <c r="A174">
        <v>113510</v>
      </c>
      <c r="B174" t="s">
        <v>1073</v>
      </c>
      <c r="C174" t="str">
        <f>VLOOKUP(A174,'Cost Center'!A:C,3,FALSE)</f>
        <v>C040410</v>
      </c>
      <c r="D174" t="s">
        <v>7076</v>
      </c>
      <c r="E174" t="s">
        <v>708</v>
      </c>
      <c r="F174" t="s">
        <v>19104</v>
      </c>
    </row>
    <row r="175" spans="1:6">
      <c r="A175">
        <v>113200</v>
      </c>
      <c r="B175" t="s">
        <v>2018</v>
      </c>
      <c r="C175" t="str">
        <f>VLOOKUP(A175,'Cost Center'!A:C,3,FALSE)</f>
        <v>C042002</v>
      </c>
      <c r="D175" t="s">
        <v>4044</v>
      </c>
      <c r="E175" t="s">
        <v>708</v>
      </c>
      <c r="F175" t="s">
        <v>18389</v>
      </c>
    </row>
    <row r="176" spans="1:6">
      <c r="A176">
        <v>113600</v>
      </c>
      <c r="B176" t="s">
        <v>1075</v>
      </c>
      <c r="C176" t="str">
        <f>VLOOKUP(A176,'Cost Center'!A:C,3,FALSE)</f>
        <v>C030120</v>
      </c>
      <c r="D176" t="s">
        <v>3902</v>
      </c>
      <c r="E176" t="s">
        <v>708</v>
      </c>
      <c r="F176" t="s">
        <v>18342</v>
      </c>
    </row>
    <row r="177" spans="1:6">
      <c r="A177">
        <v>113032</v>
      </c>
      <c r="B177" t="s">
        <v>1040</v>
      </c>
      <c r="C177" t="str">
        <f>VLOOKUP(A177,'Cost Center'!A:C,3,FALSE)</f>
        <v>C042005</v>
      </c>
      <c r="D177" t="s">
        <v>4047</v>
      </c>
      <c r="E177" t="s">
        <v>708</v>
      </c>
      <c r="F177" t="s">
        <v>18390</v>
      </c>
    </row>
    <row r="178" spans="1:6">
      <c r="A178">
        <v>113607</v>
      </c>
      <c r="B178" t="s">
        <v>1077</v>
      </c>
      <c r="C178" t="str">
        <f>VLOOKUP(A178,'Cost Center'!A:C,3,FALSE)</f>
        <v>C042030</v>
      </c>
      <c r="D178" t="s">
        <v>4066</v>
      </c>
      <c r="E178" t="s">
        <v>708</v>
      </c>
      <c r="F178" t="s">
        <v>18395</v>
      </c>
    </row>
    <row r="179" spans="1:6">
      <c r="A179">
        <v>113604</v>
      </c>
      <c r="B179" t="s">
        <v>2019</v>
      </c>
      <c r="C179" t="str">
        <f>VLOOKUP(A179,'Cost Center'!A:C,3,FALSE)</f>
        <v>C042020</v>
      </c>
      <c r="D179" t="s">
        <v>4056</v>
      </c>
      <c r="E179" t="s">
        <v>708</v>
      </c>
      <c r="F179" t="s">
        <v>18393</v>
      </c>
    </row>
    <row r="180" spans="1:6">
      <c r="A180">
        <v>113605</v>
      </c>
      <c r="B180" t="s">
        <v>1076</v>
      </c>
      <c r="C180" t="str">
        <f>VLOOKUP(A180,'Cost Center'!A:C,3,FALSE)</f>
        <v>C042025</v>
      </c>
      <c r="D180" t="s">
        <v>7082</v>
      </c>
      <c r="E180" t="s">
        <v>708</v>
      </c>
      <c r="F180" t="s">
        <v>19106</v>
      </c>
    </row>
    <row r="181" spans="1:6">
      <c r="A181">
        <v>113601</v>
      </c>
      <c r="B181" t="s">
        <v>2020</v>
      </c>
      <c r="C181" t="str">
        <f>VLOOKUP(A181,'Cost Center'!A:C,3,FALSE)</f>
        <v>C042010</v>
      </c>
      <c r="D181" t="s">
        <v>4050</v>
      </c>
      <c r="E181" t="s">
        <v>708</v>
      </c>
      <c r="F181" t="s">
        <v>18391</v>
      </c>
    </row>
    <row r="182" spans="1:6">
      <c r="A182">
        <v>113602</v>
      </c>
      <c r="B182" t="s">
        <v>2021</v>
      </c>
      <c r="C182" t="str">
        <f>VLOOKUP(A182,'Cost Center'!A:C,3,FALSE)</f>
        <v>C042015</v>
      </c>
      <c r="D182" t="s">
        <v>4053</v>
      </c>
      <c r="E182" t="s">
        <v>708</v>
      </c>
      <c r="F182" t="s">
        <v>18392</v>
      </c>
    </row>
    <row r="183" spans="1:6">
      <c r="A183">
        <v>113608</v>
      </c>
      <c r="B183" t="s">
        <v>2022</v>
      </c>
      <c r="C183" t="e">
        <f>VLOOKUP(A183,'Cost Center'!A:C,3,FALSE)</f>
        <v>#N/A</v>
      </c>
      <c r="D183" t="s">
        <v>3624</v>
      </c>
      <c r="E183" t="s">
        <v>708</v>
      </c>
      <c r="F183" t="s">
        <v>19807</v>
      </c>
    </row>
    <row r="184" spans="1:6">
      <c r="A184">
        <v>121030</v>
      </c>
      <c r="B184" t="s">
        <v>1104</v>
      </c>
      <c r="C184" t="str">
        <f>VLOOKUP(A184,'Cost Center'!A:C,3,FALSE)</f>
        <v>C043020</v>
      </c>
      <c r="D184" t="s">
        <v>4085</v>
      </c>
      <c r="E184" t="s">
        <v>708</v>
      </c>
      <c r="F184" t="s">
        <v>18400</v>
      </c>
    </row>
    <row r="185" spans="1:6">
      <c r="A185">
        <v>141000</v>
      </c>
      <c r="B185" t="s">
        <v>2023</v>
      </c>
      <c r="C185" t="e">
        <f>VLOOKUP(A185,'Cost Center'!A:C,3,FALSE)</f>
        <v>#N/A</v>
      </c>
      <c r="D185" t="e">
        <v>#N/A</v>
      </c>
      <c r="E185" t="s">
        <v>708</v>
      </c>
      <c r="F185" t="s">
        <v>19808</v>
      </c>
    </row>
    <row r="186" spans="1:6">
      <c r="A186">
        <v>113520</v>
      </c>
      <c r="B186" t="s">
        <v>1074</v>
      </c>
      <c r="C186" t="str">
        <f>VLOOKUP(A186,'Cost Center'!A:C,3,FALSE)</f>
        <v>C043005</v>
      </c>
      <c r="D186" t="s">
        <v>7079</v>
      </c>
      <c r="E186" t="s">
        <v>708</v>
      </c>
      <c r="F186" t="s">
        <v>19105</v>
      </c>
    </row>
    <row r="187" spans="1:6">
      <c r="A187">
        <v>113070</v>
      </c>
      <c r="B187" t="s">
        <v>1054</v>
      </c>
      <c r="C187" t="str">
        <f>VLOOKUP(A187,'Cost Center'!A:C,3,FALSE)</f>
        <v>C030125</v>
      </c>
      <c r="D187" t="s">
        <v>3905</v>
      </c>
      <c r="E187" t="s">
        <v>708</v>
      </c>
      <c r="F187" t="s">
        <v>18343</v>
      </c>
    </row>
    <row r="188" spans="1:6">
      <c r="A188">
        <v>121010</v>
      </c>
      <c r="B188" t="s">
        <v>1102</v>
      </c>
      <c r="C188" t="str">
        <f>VLOOKUP(A188,'Cost Center'!A:C,3,FALSE)</f>
        <v>C043010</v>
      </c>
      <c r="D188" t="s">
        <v>4079</v>
      </c>
      <c r="E188" t="s">
        <v>708</v>
      </c>
      <c r="F188" t="s">
        <v>18398</v>
      </c>
    </row>
    <row r="189" spans="1:6">
      <c r="A189">
        <v>121020</v>
      </c>
      <c r="B189" t="s">
        <v>1103</v>
      </c>
      <c r="C189" t="str">
        <f>VLOOKUP(A189,'Cost Center'!A:C,3,FALSE)</f>
        <v>C043015</v>
      </c>
      <c r="D189" t="s">
        <v>4082</v>
      </c>
      <c r="E189" t="s">
        <v>708</v>
      </c>
      <c r="F189" t="s">
        <v>18399</v>
      </c>
    </row>
    <row r="190" spans="1:6">
      <c r="A190">
        <v>190110</v>
      </c>
      <c r="B190" t="s">
        <v>1110</v>
      </c>
      <c r="C190" t="str">
        <f>VLOOKUP(A190,'Cost Center'!A:C,3,FALSE)</f>
        <v>C043035</v>
      </c>
      <c r="D190" t="s">
        <v>4090</v>
      </c>
      <c r="E190" t="s">
        <v>708</v>
      </c>
      <c r="F190" t="s">
        <v>18402</v>
      </c>
    </row>
    <row r="191" spans="1:6">
      <c r="A191">
        <v>113001</v>
      </c>
      <c r="B191" t="s">
        <v>1036</v>
      </c>
      <c r="C191" t="str">
        <f>VLOOKUP(A191,'Cost Center'!A:C,3,FALSE)</f>
        <v>C043001</v>
      </c>
      <c r="D191" t="s">
        <v>4073</v>
      </c>
      <c r="E191" t="s">
        <v>708</v>
      </c>
      <c r="F191" t="s">
        <v>18396</v>
      </c>
    </row>
    <row r="192" spans="1:6">
      <c r="A192">
        <v>190120</v>
      </c>
      <c r="B192" t="s">
        <v>2024</v>
      </c>
      <c r="C192" t="str">
        <f>VLOOKUP(A192,'Cost Center'!A:C,3,FALSE)</f>
        <v>C030989</v>
      </c>
      <c r="D192" t="s">
        <v>3958</v>
      </c>
      <c r="E192" t="s">
        <v>708</v>
      </c>
      <c r="F192" t="s">
        <v>18360</v>
      </c>
    </row>
    <row r="193" spans="1:6">
      <c r="A193">
        <v>190400</v>
      </c>
      <c r="B193" t="s">
        <v>2025</v>
      </c>
      <c r="C193" t="str">
        <f>VLOOKUP(A193,'Cost Center'!A:C,3,FALSE)</f>
        <v>C043045</v>
      </c>
      <c r="D193" t="s">
        <v>4094</v>
      </c>
      <c r="E193" t="s">
        <v>708</v>
      </c>
      <c r="F193" t="s">
        <v>18404</v>
      </c>
    </row>
    <row r="194" spans="1:6">
      <c r="A194">
        <v>190020</v>
      </c>
      <c r="B194" t="s">
        <v>2026</v>
      </c>
      <c r="C194" t="str">
        <f>VLOOKUP(A194,'Cost Center'!A:C,3,FALSE)</f>
        <v>C043030</v>
      </c>
      <c r="D194" t="s">
        <v>4087</v>
      </c>
      <c r="E194" t="s">
        <v>708</v>
      </c>
      <c r="F194" t="s">
        <v>18401</v>
      </c>
    </row>
    <row r="195" spans="1:6">
      <c r="A195">
        <v>190200</v>
      </c>
      <c r="B195" t="s">
        <v>2027</v>
      </c>
      <c r="C195" t="str">
        <f>VLOOKUP(A195,'Cost Center'!A:C,3,FALSE)</f>
        <v>C043040</v>
      </c>
      <c r="D195" t="s">
        <v>4092</v>
      </c>
      <c r="E195" t="s">
        <v>708</v>
      </c>
      <c r="F195" t="s">
        <v>18403</v>
      </c>
    </row>
    <row r="196" spans="1:6">
      <c r="A196">
        <v>190500</v>
      </c>
      <c r="B196" t="s">
        <v>2028</v>
      </c>
      <c r="C196" t="str">
        <f>VLOOKUP(A196,'Cost Center'!A:C,3,FALSE)</f>
        <v>C043050</v>
      </c>
      <c r="D196" t="s">
        <v>7424</v>
      </c>
      <c r="E196" t="s">
        <v>708</v>
      </c>
      <c r="F196" t="s">
        <v>19223</v>
      </c>
    </row>
    <row r="197" spans="1:6">
      <c r="A197">
        <v>787020</v>
      </c>
      <c r="B197" t="s">
        <v>2029</v>
      </c>
      <c r="C197" t="e">
        <f>VLOOKUP(A197,'Cost Center'!A:C,3,FALSE)</f>
        <v>#N/A</v>
      </c>
      <c r="D197" t="e">
        <v>#N/A</v>
      </c>
      <c r="E197" t="s">
        <v>708</v>
      </c>
      <c r="F197" t="s">
        <v>19809</v>
      </c>
    </row>
    <row r="198" spans="1:6">
      <c r="A198">
        <v>104028</v>
      </c>
      <c r="B198" t="s">
        <v>2030</v>
      </c>
      <c r="C198" t="str">
        <f>VLOOKUP(A198,'Cost Center'!A:C,3,FALSE)</f>
        <v>C250260</v>
      </c>
      <c r="D198" t="s">
        <v>5609</v>
      </c>
      <c r="E198" t="s">
        <v>708</v>
      </c>
      <c r="F198" t="s">
        <v>18633</v>
      </c>
    </row>
    <row r="199" spans="1:6">
      <c r="A199">
        <v>104029</v>
      </c>
      <c r="B199" t="s">
        <v>2031</v>
      </c>
      <c r="C199" t="str">
        <f>VLOOKUP(A199,'Cost Center'!A:C,3,FALSE)</f>
        <v>C250261</v>
      </c>
      <c r="D199" t="s">
        <v>5611</v>
      </c>
      <c r="E199" t="s">
        <v>708</v>
      </c>
      <c r="F199" t="s">
        <v>18634</v>
      </c>
    </row>
    <row r="200" spans="1:6">
      <c r="A200">
        <v>1053501</v>
      </c>
      <c r="B200" t="s">
        <v>1177</v>
      </c>
      <c r="C200" t="str">
        <f>VLOOKUP(A200,'Cost Center'!A:C,3,FALSE)</f>
        <v>C252125</v>
      </c>
      <c r="D200" t="s">
        <v>7908</v>
      </c>
      <c r="E200" t="s">
        <v>708</v>
      </c>
      <c r="F200" t="s">
        <v>19332</v>
      </c>
    </row>
    <row r="201" spans="1:6">
      <c r="A201">
        <v>104017</v>
      </c>
      <c r="B201" t="s">
        <v>2032</v>
      </c>
      <c r="C201" t="str">
        <f>VLOOKUP(A201,'Cost Center'!A:C,3,FALSE)</f>
        <v>C251137</v>
      </c>
      <c r="D201" t="s">
        <v>5785</v>
      </c>
      <c r="E201" t="s">
        <v>708</v>
      </c>
      <c r="F201" t="s">
        <v>18696</v>
      </c>
    </row>
    <row r="202" spans="1:6">
      <c r="A202">
        <v>429001</v>
      </c>
      <c r="B202" t="s">
        <v>2033</v>
      </c>
      <c r="C202" t="str">
        <f>VLOOKUP(A202,'Cost Center'!A:C,3,FALSE)</f>
        <v>C252020</v>
      </c>
      <c r="D202" t="s">
        <v>6075</v>
      </c>
      <c r="E202" t="s">
        <v>708</v>
      </c>
      <c r="F202" t="s">
        <v>18797</v>
      </c>
    </row>
    <row r="203" spans="1:6">
      <c r="A203">
        <v>528901</v>
      </c>
      <c r="B203" t="s">
        <v>1129</v>
      </c>
      <c r="C203" t="str">
        <f>VLOOKUP(A203,'Cost Center'!A:C,3,FALSE)</f>
        <v>C252050</v>
      </c>
      <c r="D203" t="s">
        <v>7465</v>
      </c>
      <c r="E203" t="s">
        <v>708</v>
      </c>
      <c r="F203" t="s">
        <v>19227</v>
      </c>
    </row>
    <row r="204" spans="1:6">
      <c r="A204">
        <v>529000</v>
      </c>
      <c r="B204" t="s">
        <v>1130</v>
      </c>
      <c r="C204" t="str">
        <f>VLOOKUP(A204,'Cost Center'!A:C,3,FALSE)</f>
        <v>C252002</v>
      </c>
      <c r="D204" t="s">
        <v>7492</v>
      </c>
      <c r="E204" t="s">
        <v>708</v>
      </c>
      <c r="F204" t="s">
        <v>19236</v>
      </c>
    </row>
    <row r="205" spans="1:6">
      <c r="A205">
        <v>529002</v>
      </c>
      <c r="B205" t="s">
        <v>2034</v>
      </c>
      <c r="C205" t="str">
        <f>VLOOKUP(A205,'Cost Center'!A:C,3,FALSE)</f>
        <v>C252127</v>
      </c>
      <c r="D205" t="s">
        <v>7497</v>
      </c>
      <c r="E205" t="s">
        <v>708</v>
      </c>
      <c r="F205" t="s">
        <v>19238</v>
      </c>
    </row>
    <row r="206" spans="1:6">
      <c r="A206">
        <v>529003</v>
      </c>
      <c r="B206" t="s">
        <v>1132</v>
      </c>
      <c r="C206" t="str">
        <f>VLOOKUP(A206,'Cost Center'!A:C,3,FALSE)</f>
        <v>C252120</v>
      </c>
      <c r="D206" t="s">
        <v>7500</v>
      </c>
      <c r="E206" t="s">
        <v>708</v>
      </c>
      <c r="F206" t="s">
        <v>19239</v>
      </c>
    </row>
    <row r="207" spans="1:6">
      <c r="A207">
        <v>529004</v>
      </c>
      <c r="B207" t="s">
        <v>1133</v>
      </c>
      <c r="C207" t="str">
        <f>VLOOKUP(A207,'Cost Center'!A:C,3,FALSE)</f>
        <v>C252051</v>
      </c>
      <c r="D207" t="s">
        <v>7512</v>
      </c>
      <c r="E207" t="s">
        <v>708</v>
      </c>
      <c r="F207" t="s">
        <v>19243</v>
      </c>
    </row>
    <row r="208" spans="1:6">
      <c r="A208">
        <v>529005</v>
      </c>
      <c r="B208" t="s">
        <v>1134</v>
      </c>
      <c r="C208" t="str">
        <f>VLOOKUP(A208,'Cost Center'!A:C,3,FALSE)</f>
        <v>C252090</v>
      </c>
      <c r="D208" t="s">
        <v>7530</v>
      </c>
      <c r="E208" t="s">
        <v>708</v>
      </c>
      <c r="F208" t="s">
        <v>19249</v>
      </c>
    </row>
    <row r="209" spans="1:6">
      <c r="A209">
        <v>529006</v>
      </c>
      <c r="B209" t="s">
        <v>1135</v>
      </c>
      <c r="C209" t="str">
        <f>VLOOKUP(A209,'Cost Center'!A:C,3,FALSE)</f>
        <v>C252010</v>
      </c>
      <c r="D209" t="s">
        <v>7557</v>
      </c>
      <c r="E209" t="s">
        <v>708</v>
      </c>
      <c r="F209" t="s">
        <v>19258</v>
      </c>
    </row>
    <row r="210" spans="1:6">
      <c r="A210">
        <v>529007</v>
      </c>
      <c r="B210" t="s">
        <v>2035</v>
      </c>
      <c r="C210" t="str">
        <f>VLOOKUP(A210,'Cost Center'!A:C,3,FALSE)</f>
        <v>C252091</v>
      </c>
      <c r="D210" t="s">
        <v>7559</v>
      </c>
      <c r="E210" t="s">
        <v>708</v>
      </c>
      <c r="F210" t="s">
        <v>19259</v>
      </c>
    </row>
    <row r="211" spans="1:6">
      <c r="A211">
        <v>529008</v>
      </c>
      <c r="B211" t="s">
        <v>1136</v>
      </c>
      <c r="C211" t="str">
        <f>VLOOKUP(A211,'Cost Center'!A:C,3,FALSE)</f>
        <v>C252121</v>
      </c>
      <c r="D211" t="s">
        <v>7562</v>
      </c>
      <c r="E211" t="s">
        <v>708</v>
      </c>
      <c r="F211" t="s">
        <v>19260</v>
      </c>
    </row>
    <row r="212" spans="1:6">
      <c r="A212">
        <v>529030</v>
      </c>
      <c r="B212" t="s">
        <v>2036</v>
      </c>
      <c r="C212" t="e">
        <f>VLOOKUP(A212,'Cost Center'!A:C,3,FALSE)</f>
        <v>#N/A</v>
      </c>
      <c r="D212" t="e">
        <v>#N/A</v>
      </c>
      <c r="E212" t="s">
        <v>708</v>
      </c>
      <c r="F212" t="s">
        <v>19810</v>
      </c>
    </row>
    <row r="213" spans="1:6">
      <c r="A213">
        <v>529031</v>
      </c>
      <c r="B213" t="s">
        <v>2037</v>
      </c>
      <c r="C213" t="e">
        <f>VLOOKUP(A213,'Cost Center'!A:C,3,FALSE)</f>
        <v>#N/A</v>
      </c>
      <c r="D213" t="e">
        <v>#N/A</v>
      </c>
      <c r="E213" t="s">
        <v>708</v>
      </c>
      <c r="F213" t="s">
        <v>19811</v>
      </c>
    </row>
    <row r="214" spans="1:6">
      <c r="A214">
        <v>529032</v>
      </c>
      <c r="B214" t="s">
        <v>2038</v>
      </c>
      <c r="C214" t="e">
        <f>VLOOKUP(A214,'Cost Center'!A:C,3,FALSE)</f>
        <v>#N/A</v>
      </c>
      <c r="D214" t="e">
        <v>#N/A</v>
      </c>
      <c r="E214" t="s">
        <v>708</v>
      </c>
      <c r="F214" t="s">
        <v>19812</v>
      </c>
    </row>
    <row r="215" spans="1:6">
      <c r="A215">
        <v>529033</v>
      </c>
      <c r="B215" t="s">
        <v>2039</v>
      </c>
      <c r="C215" t="e">
        <f>VLOOKUP(A215,'Cost Center'!A:C,3,FALSE)</f>
        <v>#N/A</v>
      </c>
      <c r="D215" t="e">
        <v>#N/A</v>
      </c>
      <c r="E215" t="s">
        <v>708</v>
      </c>
      <c r="F215" t="s">
        <v>19813</v>
      </c>
    </row>
    <row r="216" spans="1:6">
      <c r="A216">
        <v>529034</v>
      </c>
      <c r="B216" t="s">
        <v>2040</v>
      </c>
      <c r="C216" t="e">
        <f>VLOOKUP(A216,'Cost Center'!A:C,3,FALSE)</f>
        <v>#N/A</v>
      </c>
      <c r="D216" t="e">
        <v>#N/A</v>
      </c>
      <c r="E216" t="s">
        <v>708</v>
      </c>
      <c r="F216" t="s">
        <v>19814</v>
      </c>
    </row>
    <row r="217" spans="1:6">
      <c r="A217">
        <v>529035</v>
      </c>
      <c r="B217" t="s">
        <v>2041</v>
      </c>
      <c r="C217" t="e">
        <f>VLOOKUP(A217,'Cost Center'!A:C,3,FALSE)</f>
        <v>#N/A</v>
      </c>
      <c r="D217" t="e">
        <v>#N/A</v>
      </c>
      <c r="E217" t="s">
        <v>708</v>
      </c>
      <c r="F217" t="s">
        <v>19815</v>
      </c>
    </row>
    <row r="218" spans="1:6">
      <c r="A218">
        <v>529036</v>
      </c>
      <c r="B218" t="s">
        <v>2042</v>
      </c>
      <c r="C218" t="e">
        <f>VLOOKUP(A218,'Cost Center'!A:C,3,FALSE)</f>
        <v>#N/A</v>
      </c>
      <c r="D218" t="e">
        <v>#N/A</v>
      </c>
      <c r="E218" t="s">
        <v>708</v>
      </c>
      <c r="F218" t="s">
        <v>19816</v>
      </c>
    </row>
    <row r="219" spans="1:6">
      <c r="A219">
        <v>529040</v>
      </c>
      <c r="B219" t="s">
        <v>2043</v>
      </c>
      <c r="C219" t="e">
        <f>VLOOKUP(A219,'Cost Center'!A:C,3,FALSE)</f>
        <v>#N/A</v>
      </c>
      <c r="D219" t="e">
        <v>#N/A</v>
      </c>
      <c r="E219" t="s">
        <v>708</v>
      </c>
      <c r="F219" t="s">
        <v>19817</v>
      </c>
    </row>
    <row r="220" spans="1:6">
      <c r="A220">
        <v>529041</v>
      </c>
      <c r="B220" t="s">
        <v>2044</v>
      </c>
      <c r="C220" t="e">
        <f>VLOOKUP(A220,'Cost Center'!A:C,3,FALSE)</f>
        <v>#N/A</v>
      </c>
      <c r="D220" t="e">
        <v>#N/A</v>
      </c>
      <c r="E220" t="s">
        <v>708</v>
      </c>
      <c r="F220" t="s">
        <v>19818</v>
      </c>
    </row>
    <row r="221" spans="1:6">
      <c r="A221">
        <v>529042</v>
      </c>
      <c r="B221" t="s">
        <v>2045</v>
      </c>
      <c r="C221" t="str">
        <f>VLOOKUP(A221,'Cost Center'!A:C,3,FALSE)</f>
        <v>C252011</v>
      </c>
      <c r="D221" t="s">
        <v>7606</v>
      </c>
      <c r="E221" t="s">
        <v>708</v>
      </c>
      <c r="F221" t="s">
        <v>19275</v>
      </c>
    </row>
    <row r="222" spans="1:6">
      <c r="A222">
        <v>529043</v>
      </c>
      <c r="B222" t="s">
        <v>2046</v>
      </c>
      <c r="C222" t="str">
        <f>VLOOKUP(A222,'Cost Center'!A:C,3,FALSE)</f>
        <v>C251136</v>
      </c>
      <c r="D222" t="s">
        <v>7611</v>
      </c>
      <c r="E222" t="s">
        <v>708</v>
      </c>
      <c r="F222" t="s">
        <v>19277</v>
      </c>
    </row>
    <row r="223" spans="1:6">
      <c r="A223">
        <v>529044</v>
      </c>
      <c r="B223" t="s">
        <v>2047</v>
      </c>
      <c r="C223" t="str">
        <f>VLOOKUP(A223,'Cost Center'!A:C,3,FALSE)</f>
        <v>C252133</v>
      </c>
      <c r="D223" t="s">
        <v>7618</v>
      </c>
      <c r="E223" t="s">
        <v>708</v>
      </c>
      <c r="F223" t="s">
        <v>19278</v>
      </c>
    </row>
    <row r="224" spans="1:6">
      <c r="A224">
        <v>529045</v>
      </c>
      <c r="B224" t="s">
        <v>2048</v>
      </c>
      <c r="C224" t="e">
        <f>VLOOKUP(A224,'Cost Center'!A:C,3,FALSE)</f>
        <v>#N/A</v>
      </c>
      <c r="D224" t="e">
        <v>#N/A</v>
      </c>
      <c r="E224" t="s">
        <v>708</v>
      </c>
      <c r="F224" t="s">
        <v>19819</v>
      </c>
    </row>
    <row r="225" spans="1:6">
      <c r="A225">
        <v>529046</v>
      </c>
      <c r="B225" t="s">
        <v>2049</v>
      </c>
      <c r="C225" t="e">
        <f>VLOOKUP(A225,'Cost Center'!A:C,3,FALSE)</f>
        <v>#N/A</v>
      </c>
      <c r="D225" t="e">
        <v>#N/A</v>
      </c>
      <c r="E225" t="s">
        <v>708</v>
      </c>
      <c r="F225" t="s">
        <v>19820</v>
      </c>
    </row>
    <row r="226" spans="1:6">
      <c r="A226">
        <v>529047</v>
      </c>
      <c r="B226" t="s">
        <v>2050</v>
      </c>
      <c r="C226" t="e">
        <f>VLOOKUP(A226,'Cost Center'!A:C,3,FALSE)</f>
        <v>#N/A</v>
      </c>
      <c r="D226" t="e">
        <v>#N/A</v>
      </c>
      <c r="E226" t="s">
        <v>708</v>
      </c>
      <c r="F226" t="s">
        <v>19821</v>
      </c>
    </row>
    <row r="227" spans="1:6">
      <c r="A227">
        <v>529048</v>
      </c>
      <c r="B227" t="s">
        <v>2051</v>
      </c>
      <c r="C227" t="e">
        <f>VLOOKUP(A227,'Cost Center'!A:C,3,FALSE)</f>
        <v>#N/A</v>
      </c>
      <c r="D227" t="e">
        <v>#N/A</v>
      </c>
      <c r="E227" t="s">
        <v>708</v>
      </c>
      <c r="F227" t="s">
        <v>19822</v>
      </c>
    </row>
    <row r="228" spans="1:6">
      <c r="A228">
        <v>529049</v>
      </c>
      <c r="B228" t="s">
        <v>2052</v>
      </c>
      <c r="C228" t="e">
        <f>VLOOKUP(A228,'Cost Center'!A:C,3,FALSE)</f>
        <v>#N/A</v>
      </c>
      <c r="D228" t="e">
        <v>#N/A</v>
      </c>
      <c r="E228" t="s">
        <v>708</v>
      </c>
      <c r="F228" t="s">
        <v>19823</v>
      </c>
    </row>
    <row r="229" spans="1:6">
      <c r="A229">
        <v>1060101</v>
      </c>
      <c r="B229" t="s">
        <v>2053</v>
      </c>
      <c r="C229" t="e">
        <f>VLOOKUP(A229,'Cost Center'!A:C,3,FALSE)</f>
        <v>#N/A</v>
      </c>
      <c r="D229" t="e">
        <v>#N/A</v>
      </c>
      <c r="E229" t="s">
        <v>708</v>
      </c>
      <c r="F229" t="s">
        <v>19824</v>
      </c>
    </row>
    <row r="230" spans="1:6">
      <c r="A230">
        <v>898300</v>
      </c>
      <c r="B230" t="s">
        <v>2054</v>
      </c>
      <c r="C230" t="str">
        <f>VLOOKUP(A230,'Cost Center'!A:C,3,FALSE)</f>
        <v>C252003</v>
      </c>
      <c r="D230" t="s">
        <v>6062</v>
      </c>
      <c r="E230" t="s">
        <v>708</v>
      </c>
      <c r="F230" t="s">
        <v>18792</v>
      </c>
    </row>
    <row r="231" spans="1:6">
      <c r="A231">
        <v>600006</v>
      </c>
      <c r="B231" t="s">
        <v>2055</v>
      </c>
      <c r="C231" t="str">
        <f>VLOOKUP(A231,'Cost Center'!A:C,3,FALSE)</f>
        <v>C252128</v>
      </c>
      <c r="D231" t="s">
        <v>6150</v>
      </c>
      <c r="E231" t="s">
        <v>708</v>
      </c>
      <c r="F231" t="s">
        <v>18825</v>
      </c>
    </row>
    <row r="232" spans="1:6">
      <c r="A232">
        <v>383006</v>
      </c>
      <c r="B232" t="s">
        <v>1116</v>
      </c>
      <c r="C232" t="str">
        <f>VLOOKUP(A232,'Cost Center'!A:C,3,FALSE)</f>
        <v>C252124</v>
      </c>
      <c r="D232" t="s">
        <v>6140</v>
      </c>
      <c r="E232" t="s">
        <v>708</v>
      </c>
      <c r="F232" t="s">
        <v>18821</v>
      </c>
    </row>
    <row r="233" spans="1:6">
      <c r="A233">
        <v>389001</v>
      </c>
      <c r="B233" t="s">
        <v>1118</v>
      </c>
      <c r="C233" t="str">
        <f>VLOOKUP(A233,'Cost Center'!A:C,3,FALSE)</f>
        <v>C252129</v>
      </c>
      <c r="D233" t="s">
        <v>6153</v>
      </c>
      <c r="E233" t="s">
        <v>708</v>
      </c>
      <c r="F233" t="s">
        <v>18826</v>
      </c>
    </row>
    <row r="234" spans="1:6">
      <c r="A234">
        <v>389002</v>
      </c>
      <c r="B234" t="s">
        <v>1119</v>
      </c>
      <c r="C234" t="str">
        <f>VLOOKUP(A234,'Cost Center'!A:C,3,FALSE)</f>
        <v>C252030</v>
      </c>
      <c r="D234" t="s">
        <v>6080</v>
      </c>
      <c r="E234" t="s">
        <v>708</v>
      </c>
      <c r="F234" t="s">
        <v>18799</v>
      </c>
    </row>
    <row r="235" spans="1:6">
      <c r="A235">
        <v>389005</v>
      </c>
      <c r="B235" t="s">
        <v>1121</v>
      </c>
      <c r="C235" t="str">
        <f>VLOOKUP(A235,'Cost Center'!A:C,3,FALSE)</f>
        <v>C252080</v>
      </c>
      <c r="D235" t="s">
        <v>7450</v>
      </c>
      <c r="E235" t="s">
        <v>708</v>
      </c>
      <c r="F235" t="s">
        <v>19226</v>
      </c>
    </row>
    <row r="236" spans="1:6">
      <c r="A236">
        <v>389007</v>
      </c>
      <c r="B236" t="s">
        <v>1122</v>
      </c>
      <c r="C236" t="str">
        <f>VLOOKUP(A236,'Cost Center'!A:C,3,FALSE)</f>
        <v>C252031</v>
      </c>
      <c r="D236" t="s">
        <v>6083</v>
      </c>
      <c r="E236" t="s">
        <v>708</v>
      </c>
      <c r="F236" t="s">
        <v>18800</v>
      </c>
    </row>
    <row r="237" spans="1:6">
      <c r="A237">
        <v>389012</v>
      </c>
      <c r="B237" t="s">
        <v>1126</v>
      </c>
      <c r="C237" t="str">
        <f>VLOOKUP(A237,'Cost Center'!A:C,3,FALSE)</f>
        <v>C252100</v>
      </c>
      <c r="D237" t="s">
        <v>6124</v>
      </c>
      <c r="E237" t="s">
        <v>708</v>
      </c>
      <c r="F237" t="s">
        <v>18814</v>
      </c>
    </row>
    <row r="238" spans="1:6">
      <c r="A238">
        <v>898301</v>
      </c>
      <c r="B238" t="s">
        <v>1167</v>
      </c>
      <c r="C238" t="str">
        <f>VLOOKUP(A238,'Cost Center'!A:C,3,FALSE)</f>
        <v>C252000</v>
      </c>
      <c r="D238" t="s">
        <v>6055</v>
      </c>
      <c r="E238" t="s">
        <v>708</v>
      </c>
      <c r="F238" t="s">
        <v>18789</v>
      </c>
    </row>
    <row r="239" spans="1:6">
      <c r="A239">
        <v>429000</v>
      </c>
      <c r="B239" t="s">
        <v>2056</v>
      </c>
      <c r="C239" t="str">
        <f>VLOOKUP(A239,'Cost Center'!A:C,3,FALSE)</f>
        <v>C252130</v>
      </c>
      <c r="D239" t="s">
        <v>6155</v>
      </c>
      <c r="E239" t="s">
        <v>708</v>
      </c>
      <c r="F239" t="s">
        <v>18827</v>
      </c>
    </row>
    <row r="240" spans="1:6">
      <c r="A240">
        <v>529001</v>
      </c>
      <c r="B240" t="s">
        <v>1131</v>
      </c>
      <c r="C240" t="str">
        <f>VLOOKUP(A240,'Cost Center'!A:C,3,FALSE)</f>
        <v>C252043</v>
      </c>
      <c r="D240" t="s">
        <v>7495</v>
      </c>
      <c r="E240" t="s">
        <v>708</v>
      </c>
      <c r="F240" t="s">
        <v>19237</v>
      </c>
    </row>
    <row r="241" spans="1:6">
      <c r="A241">
        <v>529020</v>
      </c>
      <c r="B241" t="s">
        <v>2057</v>
      </c>
      <c r="C241" t="e">
        <f>VLOOKUP(A241,'Cost Center'!A:C,3,FALSE)</f>
        <v>#N/A</v>
      </c>
      <c r="D241" t="e">
        <v>#N/A</v>
      </c>
      <c r="E241" t="s">
        <v>708</v>
      </c>
      <c r="F241" t="s">
        <v>19825</v>
      </c>
    </row>
    <row r="242" spans="1:6">
      <c r="A242">
        <v>529021</v>
      </c>
      <c r="B242" t="s">
        <v>2058</v>
      </c>
      <c r="C242" t="e">
        <f>VLOOKUP(A242,'Cost Center'!A:C,3,FALSE)</f>
        <v>#N/A</v>
      </c>
      <c r="D242" t="e">
        <v>#N/A</v>
      </c>
      <c r="E242" t="s">
        <v>708</v>
      </c>
      <c r="F242" t="s">
        <v>19826</v>
      </c>
    </row>
    <row r="243" spans="1:6">
      <c r="A243">
        <v>529022</v>
      </c>
      <c r="B243" t="s">
        <v>2059</v>
      </c>
      <c r="C243" t="e">
        <f>VLOOKUP(A243,'Cost Center'!A:C,3,FALSE)</f>
        <v>#N/A</v>
      </c>
      <c r="D243" t="e">
        <v>#N/A</v>
      </c>
      <c r="E243" t="s">
        <v>708</v>
      </c>
      <c r="F243" t="s">
        <v>19827</v>
      </c>
    </row>
    <row r="244" spans="1:6">
      <c r="A244">
        <v>529023</v>
      </c>
      <c r="B244" t="s">
        <v>2060</v>
      </c>
      <c r="C244" t="e">
        <f>VLOOKUP(A244,'Cost Center'!A:C,3,FALSE)</f>
        <v>#N/A</v>
      </c>
      <c r="D244" t="e">
        <v>#N/A</v>
      </c>
      <c r="E244" t="s">
        <v>708</v>
      </c>
      <c r="F244" t="s">
        <v>19828</v>
      </c>
    </row>
    <row r="245" spans="1:6">
      <c r="A245">
        <v>529024</v>
      </c>
      <c r="B245" t="s">
        <v>2061</v>
      </c>
      <c r="C245" t="e">
        <f>VLOOKUP(A245,'Cost Center'!A:C,3,FALSE)</f>
        <v>#N/A</v>
      </c>
      <c r="D245" t="e">
        <v>#N/A</v>
      </c>
      <c r="E245" t="s">
        <v>708</v>
      </c>
      <c r="F245" t="s">
        <v>19829</v>
      </c>
    </row>
    <row r="246" spans="1:6">
      <c r="A246">
        <v>529025</v>
      </c>
      <c r="B246" t="s">
        <v>2062</v>
      </c>
      <c r="C246" t="e">
        <f>VLOOKUP(A246,'Cost Center'!A:C,3,FALSE)</f>
        <v>#N/A</v>
      </c>
      <c r="D246" t="e">
        <v>#N/A</v>
      </c>
      <c r="E246" t="s">
        <v>708</v>
      </c>
      <c r="F246" t="s">
        <v>19830</v>
      </c>
    </row>
    <row r="247" spans="1:6">
      <c r="A247">
        <v>529026</v>
      </c>
      <c r="B247" t="s">
        <v>2063</v>
      </c>
      <c r="C247" t="e">
        <f>VLOOKUP(A247,'Cost Center'!A:C,3,FALSE)</f>
        <v>#N/A</v>
      </c>
      <c r="D247" t="e">
        <v>#N/A</v>
      </c>
      <c r="E247" t="s">
        <v>708</v>
      </c>
      <c r="F247" t="s">
        <v>19831</v>
      </c>
    </row>
    <row r="248" spans="1:6">
      <c r="A248">
        <v>529027</v>
      </c>
      <c r="B248" t="s">
        <v>2064</v>
      </c>
      <c r="C248" t="str">
        <f>VLOOKUP(A248,'Cost Center'!A:C,3,FALSE)</f>
        <v>C252134</v>
      </c>
      <c r="D248" t="s">
        <v>7565</v>
      </c>
      <c r="E248" t="s">
        <v>708</v>
      </c>
      <c r="F248" t="s">
        <v>19261</v>
      </c>
    </row>
    <row r="249" spans="1:6">
      <c r="A249">
        <v>529028</v>
      </c>
      <c r="B249" t="s">
        <v>2065</v>
      </c>
      <c r="C249" t="str">
        <f>VLOOKUP(A249,'Cost Center'!A:C,3,FALSE)</f>
        <v>C252040</v>
      </c>
      <c r="D249" t="s">
        <v>7586</v>
      </c>
      <c r="E249" t="s">
        <v>708</v>
      </c>
      <c r="F249" t="s">
        <v>19268</v>
      </c>
    </row>
    <row r="250" spans="1:6">
      <c r="A250">
        <v>10375</v>
      </c>
      <c r="B250" t="s">
        <v>2066</v>
      </c>
      <c r="C250" t="e">
        <f>VLOOKUP(A250,'Cost Center'!A:C,3,FALSE)</f>
        <v>#N/A</v>
      </c>
      <c r="D250" t="e">
        <v>#N/A</v>
      </c>
      <c r="E250" t="s">
        <v>708</v>
      </c>
      <c r="F250" t="s">
        <v>19832</v>
      </c>
    </row>
    <row r="251" spans="1:6">
      <c r="A251">
        <v>383007</v>
      </c>
      <c r="B251" t="s">
        <v>2067</v>
      </c>
      <c r="C251" t="str">
        <f>VLOOKUP(A251,'Cost Center'!A:C,3,FALSE)</f>
        <v>C251135</v>
      </c>
      <c r="D251" t="s">
        <v>5780</v>
      </c>
      <c r="E251" t="s">
        <v>708</v>
      </c>
      <c r="F251" t="s">
        <v>18694</v>
      </c>
    </row>
    <row r="252" spans="1:6">
      <c r="A252">
        <v>383008</v>
      </c>
      <c r="B252" t="s">
        <v>2068</v>
      </c>
      <c r="C252" t="e">
        <f>VLOOKUP(A252,'Cost Center'!A:C,3,FALSE)</f>
        <v>#N/A</v>
      </c>
      <c r="D252" t="e">
        <v>#N/A</v>
      </c>
      <c r="E252" t="s">
        <v>708</v>
      </c>
      <c r="F252" t="s">
        <v>19833</v>
      </c>
    </row>
    <row r="253" spans="1:6">
      <c r="A253">
        <v>383009</v>
      </c>
      <c r="B253" t="s">
        <v>2069</v>
      </c>
      <c r="C253" t="str">
        <f>VLOOKUP(A253,'Cost Center'!A:C,3,FALSE)</f>
        <v>C252001</v>
      </c>
      <c r="D253" t="s">
        <v>6057</v>
      </c>
      <c r="E253" t="s">
        <v>708</v>
      </c>
      <c r="F253" t="s">
        <v>18790</v>
      </c>
    </row>
    <row r="254" spans="1:6">
      <c r="A254">
        <v>429002</v>
      </c>
      <c r="B254" t="s">
        <v>2070</v>
      </c>
      <c r="C254" t="e">
        <f>VLOOKUP(A254,'Cost Center'!A:C,3,FALSE)</f>
        <v>#N/A</v>
      </c>
      <c r="D254" t="e">
        <v>#N/A</v>
      </c>
      <c r="E254" t="s">
        <v>708</v>
      </c>
      <c r="F254" t="s">
        <v>19834</v>
      </c>
    </row>
    <row r="255" spans="1:6">
      <c r="A255">
        <v>429003</v>
      </c>
      <c r="B255" t="s">
        <v>2071</v>
      </c>
      <c r="C255" t="str">
        <f>VLOOKUP(A255,'Cost Center'!A:C,3,FALSE)</f>
        <v>C252041</v>
      </c>
      <c r="D255" t="s">
        <v>6088</v>
      </c>
      <c r="E255" t="s">
        <v>708</v>
      </c>
      <c r="F255" t="s">
        <v>18802</v>
      </c>
    </row>
    <row r="256" spans="1:6">
      <c r="A256">
        <v>429005</v>
      </c>
      <c r="B256" t="s">
        <v>2072</v>
      </c>
      <c r="C256" t="e">
        <f>VLOOKUP(A256,'Cost Center'!A:C,3,FALSE)</f>
        <v>#N/A</v>
      </c>
      <c r="D256" t="e">
        <v>#N/A</v>
      </c>
      <c r="E256" t="s">
        <v>708</v>
      </c>
      <c r="F256" t="s">
        <v>19835</v>
      </c>
    </row>
    <row r="257" spans="1:6">
      <c r="A257">
        <v>429006</v>
      </c>
      <c r="B257" t="s">
        <v>2073</v>
      </c>
      <c r="C257" t="str">
        <f>VLOOKUP(A257,'Cost Center'!A:C,3,FALSE)</f>
        <v>C252021</v>
      </c>
      <c r="D257" t="s">
        <v>6077</v>
      </c>
      <c r="E257" t="s">
        <v>708</v>
      </c>
      <c r="F257" t="s">
        <v>18798</v>
      </c>
    </row>
    <row r="258" spans="1:6">
      <c r="A258">
        <v>429007</v>
      </c>
      <c r="B258" t="s">
        <v>2074</v>
      </c>
      <c r="C258" t="e">
        <f>VLOOKUP(A258,'Cost Center'!A:C,3,FALSE)</f>
        <v>#N/A</v>
      </c>
      <c r="D258" t="e">
        <v>#N/A</v>
      </c>
      <c r="E258" t="s">
        <v>708</v>
      </c>
      <c r="F258" t="s">
        <v>19836</v>
      </c>
    </row>
    <row r="259" spans="1:6">
      <c r="A259">
        <v>429008</v>
      </c>
      <c r="B259" t="s">
        <v>2075</v>
      </c>
      <c r="C259" t="e">
        <f>VLOOKUP(A259,'Cost Center'!A:C,3,FALSE)</f>
        <v>#N/A</v>
      </c>
      <c r="D259" t="e">
        <v>#N/A</v>
      </c>
      <c r="E259" t="s">
        <v>708</v>
      </c>
      <c r="F259" t="s">
        <v>19837</v>
      </c>
    </row>
    <row r="260" spans="1:6">
      <c r="A260">
        <v>383000</v>
      </c>
      <c r="B260" t="s">
        <v>1113</v>
      </c>
      <c r="C260" t="str">
        <f>VLOOKUP(A260,'Cost Center'!A:C,3,FALSE)</f>
        <v>C252012</v>
      </c>
      <c r="D260" t="s">
        <v>6073</v>
      </c>
      <c r="E260" t="s">
        <v>708</v>
      </c>
      <c r="F260" t="s">
        <v>18796</v>
      </c>
    </row>
    <row r="261" spans="1:6">
      <c r="A261">
        <v>383002</v>
      </c>
      <c r="B261" t="s">
        <v>2076</v>
      </c>
      <c r="C261" t="e">
        <f>VLOOKUP(A261,'Cost Center'!A:C,3,FALSE)</f>
        <v>#N/A</v>
      </c>
      <c r="D261" t="e">
        <v>#N/A</v>
      </c>
      <c r="E261" t="s">
        <v>708</v>
      </c>
      <c r="F261" t="s">
        <v>19838</v>
      </c>
    </row>
    <row r="262" spans="1:6">
      <c r="A262">
        <v>383003</v>
      </c>
      <c r="B262" t="s">
        <v>2077</v>
      </c>
      <c r="C262" t="str">
        <f>VLOOKUP(A262,'Cost Center'!A:C,3,FALSE)</f>
        <v>C252110</v>
      </c>
      <c r="D262" t="s">
        <v>6126</v>
      </c>
      <c r="E262" t="s">
        <v>708</v>
      </c>
      <c r="F262" t="s">
        <v>18815</v>
      </c>
    </row>
    <row r="263" spans="1:6">
      <c r="A263">
        <v>383004</v>
      </c>
      <c r="B263" t="s">
        <v>1115</v>
      </c>
      <c r="C263" t="str">
        <f>VLOOKUP(A263,'Cost Center'!A:C,3,FALSE)</f>
        <v>C252131</v>
      </c>
      <c r="D263" t="s">
        <v>6158</v>
      </c>
      <c r="E263" t="s">
        <v>708</v>
      </c>
      <c r="F263" t="s">
        <v>18828</v>
      </c>
    </row>
    <row r="264" spans="1:6">
      <c r="A264">
        <v>383005</v>
      </c>
      <c r="B264" t="s">
        <v>2078</v>
      </c>
      <c r="C264" t="e">
        <f>VLOOKUP(A264,'Cost Center'!A:C,3,FALSE)</f>
        <v>#N/A</v>
      </c>
      <c r="D264" t="e">
        <v>#N/A</v>
      </c>
      <c r="E264" t="s">
        <v>708</v>
      </c>
      <c r="F264" t="s">
        <v>19839</v>
      </c>
    </row>
    <row r="265" spans="1:6">
      <c r="A265">
        <v>383590</v>
      </c>
      <c r="B265" t="s">
        <v>2079</v>
      </c>
      <c r="C265" t="e">
        <f>VLOOKUP(A265,'Cost Center'!A:C,3,FALSE)</f>
        <v>#N/A</v>
      </c>
      <c r="D265" t="e">
        <v>#N/A</v>
      </c>
      <c r="E265" t="s">
        <v>708</v>
      </c>
      <c r="F265" t="s">
        <v>19840</v>
      </c>
    </row>
    <row r="266" spans="1:6">
      <c r="A266">
        <v>204001</v>
      </c>
      <c r="B266" t="s">
        <v>2080</v>
      </c>
      <c r="C266" t="str">
        <f>VLOOKUP(A266,'Cost Center'!A:C,3,FALSE)</f>
        <v>C252132</v>
      </c>
      <c r="D266" t="s">
        <v>6161</v>
      </c>
      <c r="E266" t="s">
        <v>708</v>
      </c>
      <c r="F266" t="s">
        <v>18829</v>
      </c>
    </row>
    <row r="267" spans="1:6">
      <c r="A267">
        <v>204002</v>
      </c>
      <c r="B267" t="s">
        <v>1112</v>
      </c>
      <c r="C267" t="str">
        <f>VLOOKUP(A267,'Cost Center'!A:C,3,FALSE)</f>
        <v>C252073</v>
      </c>
      <c r="D267" t="s">
        <v>6106</v>
      </c>
      <c r="E267" t="s">
        <v>708</v>
      </c>
      <c r="F267" t="s">
        <v>18808</v>
      </c>
    </row>
    <row r="268" spans="1:6">
      <c r="A268">
        <v>204003</v>
      </c>
      <c r="B268" t="s">
        <v>2081</v>
      </c>
      <c r="C268" t="str">
        <f>VLOOKUP(A268,'Cost Center'!A:C,3,FALSE)</f>
        <v>C252111</v>
      </c>
      <c r="D268" t="s">
        <v>6128</v>
      </c>
      <c r="E268" t="s">
        <v>708</v>
      </c>
      <c r="F268" t="s">
        <v>18816</v>
      </c>
    </row>
    <row r="269" spans="1:6">
      <c r="A269">
        <v>204004</v>
      </c>
      <c r="B269" t="s">
        <v>2082</v>
      </c>
      <c r="C269" t="str">
        <f>VLOOKUP(A269,'Cost Center'!A:C,3,FALSE)</f>
        <v>C252112</v>
      </c>
      <c r="D269" t="s">
        <v>6130</v>
      </c>
      <c r="E269" t="s">
        <v>708</v>
      </c>
      <c r="F269" t="s">
        <v>18817</v>
      </c>
    </row>
    <row r="270" spans="1:6">
      <c r="A270">
        <v>383001</v>
      </c>
      <c r="B270" t="s">
        <v>1114</v>
      </c>
      <c r="C270" t="str">
        <f>VLOOKUP(A270,'Cost Center'!A:C,3,FALSE)</f>
        <v>C252004</v>
      </c>
      <c r="D270" t="s">
        <v>6065</v>
      </c>
      <c r="E270" t="s">
        <v>708</v>
      </c>
      <c r="F270" t="s">
        <v>18793</v>
      </c>
    </row>
    <row r="271" spans="1:6">
      <c r="A271">
        <v>389000</v>
      </c>
      <c r="B271" t="s">
        <v>1117</v>
      </c>
      <c r="C271" t="str">
        <f>VLOOKUP(A271,'Cost Center'!A:C,3,FALSE)</f>
        <v>C252032</v>
      </c>
      <c r="D271" t="s">
        <v>6086</v>
      </c>
      <c r="E271" t="s">
        <v>708</v>
      </c>
      <c r="F271" t="s">
        <v>18801</v>
      </c>
    </row>
    <row r="272" spans="1:6">
      <c r="A272">
        <v>389003</v>
      </c>
      <c r="B272" t="s">
        <v>1120</v>
      </c>
      <c r="C272" t="str">
        <f>VLOOKUP(A272,'Cost Center'!A:C,3,FALSE)</f>
        <v>C252081</v>
      </c>
      <c r="D272" t="s">
        <v>6115</v>
      </c>
      <c r="E272" t="s">
        <v>708</v>
      </c>
      <c r="F272" t="s">
        <v>18811</v>
      </c>
    </row>
    <row r="273" spans="1:6">
      <c r="A273">
        <v>389004</v>
      </c>
      <c r="B273" t="s">
        <v>2083</v>
      </c>
      <c r="C273" t="e">
        <f>VLOOKUP(A273,'Cost Center'!A:C,3,FALSE)</f>
        <v>#N/A</v>
      </c>
      <c r="D273" t="e">
        <v>#N/A</v>
      </c>
      <c r="E273" t="s">
        <v>708</v>
      </c>
      <c r="F273" t="s">
        <v>19841</v>
      </c>
    </row>
    <row r="274" spans="1:6">
      <c r="A274">
        <v>389009</v>
      </c>
      <c r="B274" t="s">
        <v>1123</v>
      </c>
      <c r="C274" t="str">
        <f>VLOOKUP(A274,'Cost Center'!A:C,3,FALSE)</f>
        <v>C252071</v>
      </c>
      <c r="D274" t="s">
        <v>6100</v>
      </c>
      <c r="E274" t="s">
        <v>708</v>
      </c>
      <c r="F274" t="s">
        <v>18806</v>
      </c>
    </row>
    <row r="275" spans="1:6">
      <c r="A275">
        <v>389010</v>
      </c>
      <c r="B275" t="s">
        <v>1124</v>
      </c>
      <c r="C275" t="str">
        <f>VLOOKUP(A275,'Cost Center'!A:C,3,FALSE)</f>
        <v>C252070</v>
      </c>
      <c r="D275" t="s">
        <v>6097</v>
      </c>
      <c r="E275" t="s">
        <v>708</v>
      </c>
      <c r="F275" t="s">
        <v>18805</v>
      </c>
    </row>
    <row r="276" spans="1:6">
      <c r="A276">
        <v>389011</v>
      </c>
      <c r="B276" t="s">
        <v>1125</v>
      </c>
      <c r="C276" t="str">
        <f>VLOOKUP(A276,'Cost Center'!A:C,3,FALSE)</f>
        <v>C252072</v>
      </c>
      <c r="D276" t="s">
        <v>6103</v>
      </c>
      <c r="E276" t="s">
        <v>708</v>
      </c>
      <c r="F276" t="s">
        <v>18807</v>
      </c>
    </row>
    <row r="277" spans="1:6">
      <c r="A277">
        <v>389013</v>
      </c>
      <c r="B277" t="s">
        <v>1127</v>
      </c>
      <c r="C277" t="str">
        <f>VLOOKUP(A277,'Cost Center'!A:C,3,FALSE)</f>
        <v>C252075</v>
      </c>
      <c r="D277" t="s">
        <v>6109</v>
      </c>
      <c r="E277" t="s">
        <v>708</v>
      </c>
      <c r="F277" t="s">
        <v>18809</v>
      </c>
    </row>
    <row r="278" spans="1:6">
      <c r="A278">
        <v>600004</v>
      </c>
      <c r="B278" t="s">
        <v>2084</v>
      </c>
      <c r="C278" t="e">
        <f>VLOOKUP(A278,'Cost Center'!A:C,3,FALSE)</f>
        <v>#N/A</v>
      </c>
      <c r="D278" t="e">
        <v>#N/A</v>
      </c>
      <c r="E278" t="s">
        <v>708</v>
      </c>
      <c r="F278" t="s">
        <v>19842</v>
      </c>
    </row>
    <row r="279" spans="1:6">
      <c r="A279">
        <v>21540</v>
      </c>
      <c r="B279" t="s">
        <v>2085</v>
      </c>
      <c r="C279" t="str">
        <f>VLOOKUP(A279,'Cost Center'!A:C,3,FALSE)</f>
        <v>C251320</v>
      </c>
      <c r="D279" t="s">
        <v>5349</v>
      </c>
      <c r="E279" t="s">
        <v>708</v>
      </c>
      <c r="F279" t="s">
        <v>18557</v>
      </c>
    </row>
    <row r="280" spans="1:6">
      <c r="A280">
        <v>21585</v>
      </c>
      <c r="B280" t="s">
        <v>788</v>
      </c>
      <c r="C280" t="str">
        <f>VLOOKUP(A280,'Cost Center'!A:C,3,FALSE)</f>
        <v>C251321</v>
      </c>
      <c r="D280" t="s">
        <v>5352</v>
      </c>
      <c r="E280" t="s">
        <v>708</v>
      </c>
      <c r="F280" t="s">
        <v>18558</v>
      </c>
    </row>
    <row r="281" spans="1:6">
      <c r="A281">
        <v>21590</v>
      </c>
      <c r="B281" t="s">
        <v>789</v>
      </c>
      <c r="C281" t="str">
        <f>VLOOKUP(A281,'Cost Center'!A:C,3,FALSE)</f>
        <v>C251322</v>
      </c>
      <c r="D281" t="s">
        <v>5363</v>
      </c>
      <c r="E281" t="s">
        <v>708</v>
      </c>
      <c r="F281" t="s">
        <v>18559</v>
      </c>
    </row>
    <row r="282" spans="1:6">
      <c r="A282">
        <v>22000</v>
      </c>
      <c r="B282" t="s">
        <v>2086</v>
      </c>
      <c r="C282" t="str">
        <f>VLOOKUP(A282,'Cost Center'!A:C,3,FALSE)</f>
        <v>C251406</v>
      </c>
      <c r="D282" t="s">
        <v>6029</v>
      </c>
      <c r="E282" t="s">
        <v>708</v>
      </c>
      <c r="F282" t="s">
        <v>18780</v>
      </c>
    </row>
    <row r="283" spans="1:6">
      <c r="A283">
        <v>389008</v>
      </c>
      <c r="B283" t="s">
        <v>2087</v>
      </c>
      <c r="C283" t="str">
        <f>VLOOKUP(A283,'Cost Center'!A:C,3,FALSE)</f>
        <v>C252123</v>
      </c>
      <c r="D283" t="s">
        <v>6137</v>
      </c>
      <c r="E283" t="s">
        <v>708</v>
      </c>
      <c r="F283" t="s">
        <v>18820</v>
      </c>
    </row>
    <row r="284" spans="1:6">
      <c r="A284">
        <v>8560560</v>
      </c>
      <c r="B284" t="s">
        <v>2088</v>
      </c>
      <c r="C284" t="str">
        <f>VLOOKUP(A284,'Cost Center'!A:C,3,FALSE)</f>
        <v>C252126</v>
      </c>
      <c r="D284" t="s">
        <v>8347</v>
      </c>
      <c r="E284" t="s">
        <v>708</v>
      </c>
      <c r="F284" t="s">
        <v>19420</v>
      </c>
    </row>
    <row r="285" spans="1:6">
      <c r="A285">
        <v>8560561</v>
      </c>
      <c r="B285" t="s">
        <v>2089</v>
      </c>
      <c r="C285" t="e">
        <f>VLOOKUP(A285,'Cost Center'!A:C,3,FALSE)</f>
        <v>#N/A</v>
      </c>
      <c r="D285" t="e">
        <v>#N/A</v>
      </c>
      <c r="E285" t="s">
        <v>708</v>
      </c>
      <c r="F285" t="s">
        <v>19843</v>
      </c>
    </row>
    <row r="286" spans="1:6">
      <c r="A286">
        <v>104201</v>
      </c>
      <c r="B286" t="s">
        <v>2090</v>
      </c>
      <c r="C286" t="e">
        <f>VLOOKUP(A286,'Cost Center'!A:C,3,FALSE)</f>
        <v>#N/A</v>
      </c>
      <c r="D286" t="e">
        <v>#N/A</v>
      </c>
      <c r="E286" t="s">
        <v>708</v>
      </c>
      <c r="F286" t="s">
        <v>19844</v>
      </c>
    </row>
    <row r="287" spans="1:6">
      <c r="A287">
        <v>104202</v>
      </c>
      <c r="B287" t="s">
        <v>2091</v>
      </c>
      <c r="C287" t="str">
        <f>VLOOKUP(A287,'Cost Center'!A:C,3,FALSE)</f>
        <v>C253007</v>
      </c>
      <c r="D287" t="s">
        <v>6186</v>
      </c>
      <c r="E287" t="s">
        <v>708</v>
      </c>
      <c r="F287" t="s">
        <v>18839</v>
      </c>
    </row>
    <row r="288" spans="1:6">
      <c r="A288">
        <v>104204</v>
      </c>
      <c r="B288" t="s">
        <v>2092</v>
      </c>
      <c r="C288" t="str">
        <f>VLOOKUP(A288,'Cost Center'!A:C,3,FALSE)</f>
        <v>C253020</v>
      </c>
      <c r="D288" t="s">
        <v>6215</v>
      </c>
      <c r="E288" t="s">
        <v>708</v>
      </c>
      <c r="F288" t="s">
        <v>18850</v>
      </c>
    </row>
    <row r="289" spans="1:6">
      <c r="A289">
        <v>104205</v>
      </c>
      <c r="B289" t="s">
        <v>2093</v>
      </c>
      <c r="C289" t="str">
        <f>VLOOKUP(A289,'Cost Center'!A:C,3,FALSE)</f>
        <v>C253202</v>
      </c>
      <c r="D289" t="s">
        <v>6946</v>
      </c>
      <c r="E289" t="s">
        <v>708</v>
      </c>
      <c r="F289" t="s">
        <v>19058</v>
      </c>
    </row>
    <row r="290" spans="1:6">
      <c r="A290">
        <v>104206</v>
      </c>
      <c r="B290" t="s">
        <v>2094</v>
      </c>
      <c r="C290" t="str">
        <f>VLOOKUP(A290,'Cost Center'!A:C,3,FALSE)</f>
        <v>C253011</v>
      </c>
      <c r="D290" t="s">
        <v>6192</v>
      </c>
      <c r="E290" t="s">
        <v>708</v>
      </c>
      <c r="F290" t="s">
        <v>18841</v>
      </c>
    </row>
    <row r="291" spans="1:6">
      <c r="A291">
        <v>104207</v>
      </c>
      <c r="B291" t="s">
        <v>2095</v>
      </c>
      <c r="C291" t="str">
        <f>VLOOKUP(A291,'Cost Center'!A:C,3,FALSE)</f>
        <v>C253201</v>
      </c>
      <c r="D291" t="s">
        <v>6237</v>
      </c>
      <c r="E291" t="s">
        <v>708</v>
      </c>
      <c r="F291" t="s">
        <v>18859</v>
      </c>
    </row>
    <row r="292" spans="1:6">
      <c r="A292">
        <v>104208</v>
      </c>
      <c r="B292" t="s">
        <v>2096</v>
      </c>
      <c r="C292" t="str">
        <f>VLOOKUP(A292,'Cost Center'!A:C,3,FALSE)</f>
        <v>C253705</v>
      </c>
      <c r="D292" t="s">
        <v>6297</v>
      </c>
      <c r="E292" t="s">
        <v>708</v>
      </c>
      <c r="F292" t="s">
        <v>18880</v>
      </c>
    </row>
    <row r="293" spans="1:6">
      <c r="A293">
        <v>104209</v>
      </c>
      <c r="B293" t="s">
        <v>2097</v>
      </c>
      <c r="C293" t="str">
        <f>VLOOKUP(A293,'Cost Center'!A:C,3,FALSE)</f>
        <v>C253706</v>
      </c>
      <c r="D293" t="s">
        <v>6299</v>
      </c>
      <c r="E293" t="s">
        <v>708</v>
      </c>
      <c r="F293" t="s">
        <v>18881</v>
      </c>
    </row>
    <row r="294" spans="1:6">
      <c r="A294">
        <v>104210</v>
      </c>
      <c r="B294" t="s">
        <v>2098</v>
      </c>
      <c r="C294" t="e">
        <f>VLOOKUP(A294,'Cost Center'!A:C,3,FALSE)</f>
        <v>#N/A</v>
      </c>
      <c r="D294" t="e">
        <v>#N/A</v>
      </c>
      <c r="E294" t="s">
        <v>708</v>
      </c>
      <c r="F294" t="s">
        <v>19845</v>
      </c>
    </row>
    <row r="295" spans="1:6">
      <c r="A295">
        <v>104211</v>
      </c>
      <c r="B295" t="s">
        <v>2099</v>
      </c>
      <c r="C295" t="str">
        <f>VLOOKUP(A295,'Cost Center'!A:C,3,FALSE)</f>
        <v>C253704</v>
      </c>
      <c r="D295" t="s">
        <v>6294</v>
      </c>
      <c r="E295" t="s">
        <v>708</v>
      </c>
      <c r="F295" t="s">
        <v>18879</v>
      </c>
    </row>
    <row r="296" spans="1:6">
      <c r="A296">
        <v>104212</v>
      </c>
      <c r="B296" t="s">
        <v>2100</v>
      </c>
      <c r="C296" t="str">
        <f>VLOOKUP(A296,'Cost Center'!A:C,3,FALSE)</f>
        <v>C253703</v>
      </c>
      <c r="D296" t="s">
        <v>6292</v>
      </c>
      <c r="E296" t="s">
        <v>708</v>
      </c>
      <c r="F296" t="s">
        <v>18878</v>
      </c>
    </row>
    <row r="297" spans="1:6">
      <c r="A297">
        <v>104213</v>
      </c>
      <c r="B297" t="s">
        <v>2101</v>
      </c>
      <c r="C297" t="e">
        <f>VLOOKUP(A297,'Cost Center'!A:C,3,FALSE)</f>
        <v>#N/A</v>
      </c>
      <c r="D297" t="e">
        <v>#N/A</v>
      </c>
      <c r="E297" t="s">
        <v>708</v>
      </c>
      <c r="F297" t="s">
        <v>19846</v>
      </c>
    </row>
    <row r="298" spans="1:6">
      <c r="A298">
        <v>104214</v>
      </c>
      <c r="B298" t="s">
        <v>2102</v>
      </c>
      <c r="C298" t="e">
        <f>VLOOKUP(A298,'Cost Center'!A:C,3,FALSE)</f>
        <v>#N/A</v>
      </c>
      <c r="D298" t="e">
        <v>#N/A</v>
      </c>
      <c r="E298" t="s">
        <v>708</v>
      </c>
      <c r="F298" t="s">
        <v>19847</v>
      </c>
    </row>
    <row r="299" spans="1:6">
      <c r="A299">
        <v>104215</v>
      </c>
      <c r="B299" t="s">
        <v>2103</v>
      </c>
      <c r="C299" t="e">
        <f>VLOOKUP(A299,'Cost Center'!A:C,3,FALSE)</f>
        <v>#N/A</v>
      </c>
      <c r="D299" t="e">
        <v>#N/A</v>
      </c>
      <c r="E299" t="s">
        <v>708</v>
      </c>
      <c r="F299" t="s">
        <v>19848</v>
      </c>
    </row>
    <row r="300" spans="1:6">
      <c r="A300">
        <v>104216</v>
      </c>
      <c r="B300" t="s">
        <v>2104</v>
      </c>
      <c r="C300" t="e">
        <f>VLOOKUP(A300,'Cost Center'!A:C,3,FALSE)</f>
        <v>#N/A</v>
      </c>
      <c r="D300" t="e">
        <v>#N/A</v>
      </c>
      <c r="E300" t="s">
        <v>708</v>
      </c>
      <c r="F300" t="s">
        <v>19849</v>
      </c>
    </row>
    <row r="301" spans="1:6">
      <c r="A301">
        <v>104217</v>
      </c>
      <c r="B301" t="s">
        <v>2105</v>
      </c>
      <c r="C301" t="e">
        <f>VLOOKUP(A301,'Cost Center'!A:C,3,FALSE)</f>
        <v>#N/A</v>
      </c>
      <c r="D301" t="e">
        <v>#N/A</v>
      </c>
      <c r="E301" t="s">
        <v>708</v>
      </c>
      <c r="F301" t="s">
        <v>19850</v>
      </c>
    </row>
    <row r="302" spans="1:6">
      <c r="A302">
        <v>104218</v>
      </c>
      <c r="B302" t="s">
        <v>2106</v>
      </c>
      <c r="C302" t="e">
        <f>VLOOKUP(A302,'Cost Center'!A:C,3,FALSE)</f>
        <v>#N/A</v>
      </c>
      <c r="D302" t="e">
        <v>#N/A</v>
      </c>
      <c r="E302" t="s">
        <v>708</v>
      </c>
      <c r="F302" t="s">
        <v>19851</v>
      </c>
    </row>
    <row r="303" spans="1:6">
      <c r="A303">
        <v>104306</v>
      </c>
      <c r="B303" t="s">
        <v>2107</v>
      </c>
      <c r="C303" t="str">
        <f>VLOOKUP(A303,'Cost Center'!A:C,3,FALSE)</f>
        <v>CI53022</v>
      </c>
      <c r="D303" t="s">
        <v>12932</v>
      </c>
      <c r="E303" t="s">
        <v>708</v>
      </c>
      <c r="F303" t="s">
        <v>19677</v>
      </c>
    </row>
    <row r="304" spans="1:6">
      <c r="A304" t="s">
        <v>2108</v>
      </c>
      <c r="B304" t="s">
        <v>2109</v>
      </c>
      <c r="C304" t="e">
        <f>VLOOKUP(A304,'Cost Center'!A:C,3,FALSE)</f>
        <v>#N/A</v>
      </c>
      <c r="D304" t="e">
        <v>#N/A</v>
      </c>
      <c r="E304" t="s">
        <v>708</v>
      </c>
      <c r="F304" t="s">
        <v>2108</v>
      </c>
    </row>
    <row r="305" spans="1:6">
      <c r="A305">
        <v>104322</v>
      </c>
      <c r="B305" t="s">
        <v>2110</v>
      </c>
      <c r="C305" t="str">
        <f>VLOOKUP(A305,'Cost Center'!A:C,3,FALSE)</f>
        <v>C253717</v>
      </c>
      <c r="D305" t="s">
        <v>6329</v>
      </c>
      <c r="E305" t="s">
        <v>708</v>
      </c>
      <c r="F305" t="s">
        <v>18892</v>
      </c>
    </row>
    <row r="306" spans="1:6">
      <c r="A306">
        <v>104323</v>
      </c>
      <c r="B306" t="s">
        <v>2111</v>
      </c>
      <c r="C306" t="str">
        <f>VLOOKUP(A306,'Cost Center'!A:C,3,FALSE)</f>
        <v>C253718</v>
      </c>
      <c r="D306" t="s">
        <v>6331</v>
      </c>
      <c r="E306" t="s">
        <v>708</v>
      </c>
      <c r="F306" t="s">
        <v>18893</v>
      </c>
    </row>
    <row r="307" spans="1:6">
      <c r="A307">
        <v>1060102</v>
      </c>
      <c r="B307" t="s">
        <v>2112</v>
      </c>
      <c r="C307" t="e">
        <f>VLOOKUP(A307,'Cost Center'!A:C,3,FALSE)</f>
        <v>#N/A</v>
      </c>
      <c r="D307" t="e">
        <v>#N/A</v>
      </c>
      <c r="E307" t="s">
        <v>708</v>
      </c>
      <c r="F307" t="s">
        <v>19852</v>
      </c>
    </row>
    <row r="308" spans="1:6">
      <c r="A308">
        <v>787010</v>
      </c>
      <c r="B308" t="s">
        <v>2113</v>
      </c>
      <c r="C308" t="str">
        <f>VLOOKUP(A308,'Cost Center'!A:C,3,FALSE)</f>
        <v>C253000</v>
      </c>
      <c r="D308" t="s">
        <v>6169</v>
      </c>
      <c r="E308" t="s">
        <v>708</v>
      </c>
      <c r="F308" t="s">
        <v>18832</v>
      </c>
    </row>
    <row r="309" spans="1:6">
      <c r="A309">
        <v>787090</v>
      </c>
      <c r="B309" t="s">
        <v>1143</v>
      </c>
      <c r="C309" t="str">
        <f>VLOOKUP(A309,'Cost Center'!A:C,3,FALSE)</f>
        <v>C253200</v>
      </c>
      <c r="D309" t="s">
        <v>6234</v>
      </c>
      <c r="E309" t="s">
        <v>708</v>
      </c>
      <c r="F309" t="s">
        <v>18858</v>
      </c>
    </row>
    <row r="310" spans="1:6">
      <c r="A310">
        <v>787710</v>
      </c>
      <c r="B310" t="s">
        <v>1159</v>
      </c>
      <c r="C310" t="str">
        <f>VLOOKUP(A310,'Cost Center'!A:C,3,FALSE)</f>
        <v>C253019</v>
      </c>
      <c r="D310" t="s">
        <v>6213</v>
      </c>
      <c r="E310" t="s">
        <v>708</v>
      </c>
      <c r="F310" t="s">
        <v>18849</v>
      </c>
    </row>
    <row r="311" spans="1:6">
      <c r="A311">
        <v>787620</v>
      </c>
      <c r="B311" t="s">
        <v>2114</v>
      </c>
      <c r="C311" t="e">
        <f>VLOOKUP(A311,'Cost Center'!A:C,3,FALSE)</f>
        <v>#N/A</v>
      </c>
      <c r="D311" t="e">
        <v>#N/A</v>
      </c>
      <c r="E311" t="s">
        <v>708</v>
      </c>
      <c r="F311" t="s">
        <v>19853</v>
      </c>
    </row>
    <row r="312" spans="1:6">
      <c r="A312">
        <v>787250</v>
      </c>
      <c r="B312" t="s">
        <v>2115</v>
      </c>
      <c r="C312" t="e">
        <f>VLOOKUP(A312,'Cost Center'!A:C,3,FALSE)</f>
        <v>#N/A</v>
      </c>
      <c r="D312" t="e">
        <v>#N/A</v>
      </c>
      <c r="E312" t="s">
        <v>708</v>
      </c>
      <c r="F312" t="s">
        <v>19854</v>
      </c>
    </row>
    <row r="313" spans="1:6">
      <c r="A313">
        <v>798010</v>
      </c>
      <c r="B313" t="s">
        <v>2116</v>
      </c>
      <c r="C313" t="e">
        <f>VLOOKUP(A313,'Cost Center'!A:C,3,FALSE)</f>
        <v>#N/A</v>
      </c>
      <c r="D313" t="e">
        <v>#N/A</v>
      </c>
      <c r="E313" t="s">
        <v>708</v>
      </c>
      <c r="F313" t="s">
        <v>19855</v>
      </c>
    </row>
    <row r="314" spans="1:6">
      <c r="A314">
        <v>104037</v>
      </c>
      <c r="B314" t="s">
        <v>2117</v>
      </c>
      <c r="C314" t="str">
        <f>VLOOKUP(A314,'Cost Center'!A:C,3,FALSE)</f>
        <v>C250212</v>
      </c>
      <c r="D314" t="s">
        <v>5587</v>
      </c>
      <c r="E314" t="s">
        <v>708</v>
      </c>
      <c r="F314" t="s">
        <v>18624</v>
      </c>
    </row>
    <row r="315" spans="1:6">
      <c r="A315">
        <v>60003</v>
      </c>
      <c r="B315" t="s">
        <v>2118</v>
      </c>
      <c r="C315" t="str">
        <f>VLOOKUP(A315,'Cost Center'!A:C,3,FALSE)</f>
        <v>C253708</v>
      </c>
      <c r="D315" t="s">
        <v>6304</v>
      </c>
      <c r="E315" t="s">
        <v>708</v>
      </c>
      <c r="F315" t="s">
        <v>18883</v>
      </c>
    </row>
    <row r="316" spans="1:6">
      <c r="A316">
        <v>60004</v>
      </c>
      <c r="B316" t="s">
        <v>2119</v>
      </c>
      <c r="C316" t="str">
        <f>VLOOKUP(A316,'Cost Center'!A:C,3,FALSE)</f>
        <v>C253709</v>
      </c>
      <c r="D316" t="s">
        <v>6306</v>
      </c>
      <c r="E316" t="s">
        <v>708</v>
      </c>
      <c r="F316" t="s">
        <v>18884</v>
      </c>
    </row>
    <row r="317" spans="1:6">
      <c r="A317">
        <v>787270</v>
      </c>
      <c r="B317" t="s">
        <v>2120</v>
      </c>
      <c r="C317" t="str">
        <f>VLOOKUP(A317,'Cost Center'!A:C,3,FALSE)</f>
        <v>C253004</v>
      </c>
      <c r="D317" t="s">
        <v>6178</v>
      </c>
      <c r="E317" t="s">
        <v>708</v>
      </c>
      <c r="F317" t="s">
        <v>18836</v>
      </c>
    </row>
    <row r="318" spans="1:6">
      <c r="A318">
        <v>787280</v>
      </c>
      <c r="B318" t="s">
        <v>2121</v>
      </c>
      <c r="C318" t="str">
        <f>VLOOKUP(A318,'Cost Center'!A:C,3,FALSE)</f>
        <v>C253018</v>
      </c>
      <c r="D318" t="s">
        <v>6210</v>
      </c>
      <c r="E318" t="s">
        <v>708</v>
      </c>
      <c r="F318" t="s">
        <v>18848</v>
      </c>
    </row>
    <row r="319" spans="1:6">
      <c r="A319">
        <v>787310</v>
      </c>
      <c r="B319" t="s">
        <v>2122</v>
      </c>
      <c r="C319" t="str">
        <f>VLOOKUP(A319,'Cost Center'!A:C,3,FALSE)</f>
        <v>C253401</v>
      </c>
      <c r="D319" t="s">
        <v>6250</v>
      </c>
      <c r="E319" t="s">
        <v>708</v>
      </c>
      <c r="F319" t="s">
        <v>18863</v>
      </c>
    </row>
    <row r="320" spans="1:6">
      <c r="A320" t="s">
        <v>2123</v>
      </c>
      <c r="B320" t="s">
        <v>2124</v>
      </c>
      <c r="C320" t="str">
        <f>VLOOKUP(A320,'Cost Center'!A:C,3,FALSE)</f>
        <v>C253400</v>
      </c>
      <c r="D320" t="s">
        <v>6248</v>
      </c>
      <c r="E320" t="s">
        <v>708</v>
      </c>
      <c r="F320" t="s">
        <v>2123</v>
      </c>
    </row>
    <row r="321" spans="1:6">
      <c r="A321">
        <v>787630</v>
      </c>
      <c r="B321" t="s">
        <v>2125</v>
      </c>
      <c r="C321" t="str">
        <f>VLOOKUP(A321,'Cost Center'!A:C,3,FALSE)</f>
        <v>C253104</v>
      </c>
      <c r="D321" t="s">
        <v>6229</v>
      </c>
      <c r="E321" t="s">
        <v>708</v>
      </c>
      <c r="F321" t="s">
        <v>18856</v>
      </c>
    </row>
    <row r="322" spans="1:6">
      <c r="A322">
        <v>787230</v>
      </c>
      <c r="B322" t="s">
        <v>1148</v>
      </c>
      <c r="C322" t="str">
        <f>VLOOKUP(A322,'Cost Center'!A:C,3,FALSE)</f>
        <v>C259000</v>
      </c>
      <c r="D322" t="s">
        <v>6496</v>
      </c>
      <c r="E322" t="s">
        <v>708</v>
      </c>
      <c r="F322" t="s">
        <v>18920</v>
      </c>
    </row>
    <row r="323" spans="1:6">
      <c r="A323">
        <v>104024</v>
      </c>
      <c r="B323" t="s">
        <v>2126</v>
      </c>
      <c r="C323" t="e">
        <f>VLOOKUP(A323,'Cost Center'!A:C,3,FALSE)</f>
        <v>#N/A</v>
      </c>
      <c r="D323" t="e">
        <v>#N/A</v>
      </c>
      <c r="E323" t="s">
        <v>708</v>
      </c>
      <c r="F323" t="s">
        <v>19856</v>
      </c>
    </row>
    <row r="324" spans="1:6">
      <c r="A324">
        <v>787140</v>
      </c>
      <c r="B324" t="s">
        <v>1146</v>
      </c>
      <c r="C324" t="str">
        <f>VLOOKUP(A324,'Cost Center'!A:C,3,FALSE)</f>
        <v>C253013</v>
      </c>
      <c r="D324" t="s">
        <v>6198</v>
      </c>
      <c r="E324" t="s">
        <v>708</v>
      </c>
      <c r="F324" t="s">
        <v>18843</v>
      </c>
    </row>
    <row r="325" spans="1:6">
      <c r="A325">
        <v>787180</v>
      </c>
      <c r="B325" t="s">
        <v>1147</v>
      </c>
      <c r="C325" t="str">
        <f>VLOOKUP(A325,'Cost Center'!A:C,3,FALSE)</f>
        <v>C253005</v>
      </c>
      <c r="D325" t="s">
        <v>6181</v>
      </c>
      <c r="E325" t="s">
        <v>708</v>
      </c>
      <c r="F325" t="s">
        <v>18837</v>
      </c>
    </row>
    <row r="326" spans="1:6">
      <c r="A326">
        <v>101250</v>
      </c>
      <c r="B326" t="s">
        <v>1010</v>
      </c>
      <c r="C326" t="str">
        <f>VLOOKUP(A326,'Cost Center'!A:C,3,FALSE)</f>
        <v>C253602</v>
      </c>
      <c r="D326" t="s">
        <v>6883</v>
      </c>
      <c r="E326" t="s">
        <v>708</v>
      </c>
      <c r="F326" t="s">
        <v>19037</v>
      </c>
    </row>
    <row r="327" spans="1:6">
      <c r="A327">
        <v>104026</v>
      </c>
      <c r="B327" t="s">
        <v>2127</v>
      </c>
      <c r="C327" t="str">
        <f>VLOOKUP(A327,'Cost Center'!A:C,3,FALSE)</f>
        <v>C250231</v>
      </c>
      <c r="D327" t="s">
        <v>5595</v>
      </c>
      <c r="E327" t="s">
        <v>708</v>
      </c>
      <c r="F327" t="s">
        <v>18627</v>
      </c>
    </row>
    <row r="328" spans="1:6">
      <c r="A328" t="s">
        <v>2128</v>
      </c>
      <c r="B328" t="s">
        <v>2129</v>
      </c>
      <c r="C328" t="str">
        <f>VLOOKUP(A328,'Cost Center'!A:C,3,FALSE)</f>
        <v>C250230</v>
      </c>
      <c r="D328" t="s">
        <v>5593</v>
      </c>
      <c r="E328" t="s">
        <v>708</v>
      </c>
      <c r="F328" t="s">
        <v>2128</v>
      </c>
    </row>
    <row r="329" spans="1:6">
      <c r="A329">
        <v>787450</v>
      </c>
      <c r="B329" t="s">
        <v>1150</v>
      </c>
      <c r="C329" t="str">
        <f>VLOOKUP(A329,'Cost Center'!A:C,3,FALSE)</f>
        <v>C253601</v>
      </c>
      <c r="D329" t="s">
        <v>7657</v>
      </c>
      <c r="E329" t="s">
        <v>708</v>
      </c>
      <c r="F329" t="s">
        <v>19289</v>
      </c>
    </row>
    <row r="330" spans="1:6">
      <c r="A330">
        <v>787510</v>
      </c>
      <c r="B330" t="s">
        <v>2130</v>
      </c>
      <c r="C330" t="str">
        <f>VLOOKUP(A330,'Cost Center'!A:C,3,FALSE)</f>
        <v>C253505</v>
      </c>
      <c r="D330" t="s">
        <v>7659</v>
      </c>
      <c r="E330" t="s">
        <v>708</v>
      </c>
      <c r="F330" t="s">
        <v>19290</v>
      </c>
    </row>
    <row r="331" spans="1:6">
      <c r="A331">
        <v>787650</v>
      </c>
      <c r="B331" t="s">
        <v>1157</v>
      </c>
      <c r="C331" t="str">
        <f>VLOOKUP(A331,'Cost Center'!A:C,3,FALSE)</f>
        <v>C253600</v>
      </c>
      <c r="D331" t="s">
        <v>7749</v>
      </c>
      <c r="E331" t="s">
        <v>708</v>
      </c>
      <c r="F331" t="s">
        <v>19311</v>
      </c>
    </row>
    <row r="332" spans="1:6">
      <c r="A332">
        <v>787750</v>
      </c>
      <c r="B332" t="s">
        <v>1162</v>
      </c>
      <c r="C332" t="str">
        <f>VLOOKUP(A332,'Cost Center'!A:C,3,FALSE)</f>
        <v>C253603</v>
      </c>
      <c r="D332" t="s">
        <v>7789</v>
      </c>
      <c r="E332" t="s">
        <v>708</v>
      </c>
      <c r="F332" t="s">
        <v>19321</v>
      </c>
    </row>
    <row r="333" spans="1:6">
      <c r="A333">
        <v>60001</v>
      </c>
      <c r="B333" t="s">
        <v>932</v>
      </c>
      <c r="C333" t="str">
        <f>VLOOKUP(A333,'Cost Center'!A:C,3,FALSE)</f>
        <v>C253712</v>
      </c>
      <c r="D333" t="s">
        <v>6315</v>
      </c>
      <c r="E333" t="s">
        <v>708</v>
      </c>
      <c r="F333" t="s">
        <v>18887</v>
      </c>
    </row>
    <row r="334" spans="1:6">
      <c r="A334">
        <v>60002</v>
      </c>
      <c r="B334" t="s">
        <v>2131</v>
      </c>
      <c r="C334" t="e">
        <f>VLOOKUP(A334,'Cost Center'!A:C,3,FALSE)</f>
        <v>#N/A</v>
      </c>
      <c r="D334" t="e">
        <v>#N/A</v>
      </c>
      <c r="E334" t="s">
        <v>708</v>
      </c>
      <c r="F334" t="s">
        <v>19857</v>
      </c>
    </row>
    <row r="335" spans="1:6">
      <c r="A335">
        <v>787490</v>
      </c>
      <c r="B335" t="s">
        <v>1152</v>
      </c>
      <c r="C335" t="str">
        <f>VLOOKUP(A335,'Cost Center'!A:C,3,FALSE)</f>
        <v>C253715</v>
      </c>
      <c r="D335" t="s">
        <v>6324</v>
      </c>
      <c r="E335" t="s">
        <v>708</v>
      </c>
      <c r="F335" t="s">
        <v>18890</v>
      </c>
    </row>
    <row r="336" spans="1:6">
      <c r="A336">
        <v>787610</v>
      </c>
      <c r="B336" t="s">
        <v>1155</v>
      </c>
      <c r="C336" t="str">
        <f>VLOOKUP(A336,'Cost Center'!A:C,3,FALSE)</f>
        <v>C253713</v>
      </c>
      <c r="D336" t="s">
        <v>6318</v>
      </c>
      <c r="E336" t="s">
        <v>708</v>
      </c>
      <c r="F336" t="s">
        <v>18888</v>
      </c>
    </row>
    <row r="337" spans="1:6">
      <c r="A337">
        <v>787300</v>
      </c>
      <c r="B337" t="s">
        <v>2132</v>
      </c>
      <c r="C337" t="str">
        <f>VLOOKUP(A337,'Cost Center'!A:C,3,FALSE)</f>
        <v>C253702</v>
      </c>
      <c r="D337" t="s">
        <v>6290</v>
      </c>
      <c r="E337" t="s">
        <v>708</v>
      </c>
      <c r="F337" t="s">
        <v>18877</v>
      </c>
    </row>
    <row r="338" spans="1:6">
      <c r="A338">
        <v>787320</v>
      </c>
      <c r="B338" t="s">
        <v>2133</v>
      </c>
      <c r="C338" t="e">
        <f>VLOOKUP(A338,'Cost Center'!A:C,3,FALSE)</f>
        <v>#N/A</v>
      </c>
      <c r="D338" t="e">
        <v>#N/A</v>
      </c>
      <c r="E338" t="s">
        <v>708</v>
      </c>
      <c r="F338" t="s">
        <v>19858</v>
      </c>
    </row>
    <row r="339" spans="1:6">
      <c r="A339">
        <v>798060</v>
      </c>
      <c r="B339" t="s">
        <v>2134</v>
      </c>
      <c r="C339" t="e">
        <f>VLOOKUP(A339,'Cost Center'!A:C,3,FALSE)</f>
        <v>#N/A</v>
      </c>
      <c r="D339" t="e">
        <v>#N/A</v>
      </c>
      <c r="E339" t="s">
        <v>708</v>
      </c>
      <c r="F339" t="s">
        <v>19859</v>
      </c>
    </row>
    <row r="340" spans="1:6">
      <c r="A340">
        <v>787120</v>
      </c>
      <c r="B340" t="s">
        <v>1144</v>
      </c>
      <c r="C340" t="str">
        <f>VLOOKUP(A340,'Cost Center'!A:C,3,FALSE)</f>
        <v>C253506</v>
      </c>
      <c r="D340" t="s">
        <v>6270</v>
      </c>
      <c r="E340" t="s">
        <v>708</v>
      </c>
      <c r="F340" t="s">
        <v>18870</v>
      </c>
    </row>
    <row r="341" spans="1:6">
      <c r="A341">
        <v>787530</v>
      </c>
      <c r="B341" t="s">
        <v>2135</v>
      </c>
      <c r="C341" t="e">
        <f>VLOOKUP(A341,'Cost Center'!A:C,3,FALSE)</f>
        <v>#N/A</v>
      </c>
      <c r="D341" t="e">
        <v>#N/A</v>
      </c>
      <c r="E341" t="s">
        <v>708</v>
      </c>
      <c r="F341" t="s">
        <v>19860</v>
      </c>
    </row>
    <row r="342" spans="1:6">
      <c r="A342">
        <v>787560</v>
      </c>
      <c r="B342" t="s">
        <v>1153</v>
      </c>
      <c r="C342" t="str">
        <f>VLOOKUP(A342,'Cost Center'!A:C,3,FALSE)</f>
        <v>C253500</v>
      </c>
      <c r="D342" t="s">
        <v>7676</v>
      </c>
      <c r="E342" t="s">
        <v>708</v>
      </c>
      <c r="F342" t="s">
        <v>19295</v>
      </c>
    </row>
    <row r="343" spans="1:6">
      <c r="A343">
        <v>787580</v>
      </c>
      <c r="B343" t="s">
        <v>2136</v>
      </c>
      <c r="C343" t="e">
        <f>VLOOKUP(A343,'Cost Center'!A:C,3,FALSE)</f>
        <v>#N/A</v>
      </c>
      <c r="D343" t="e">
        <v>#N/A</v>
      </c>
      <c r="E343" t="s">
        <v>708</v>
      </c>
      <c r="F343" t="s">
        <v>19861</v>
      </c>
    </row>
    <row r="344" spans="1:6">
      <c r="A344">
        <v>787660</v>
      </c>
      <c r="B344" t="s">
        <v>1158</v>
      </c>
      <c r="C344" t="str">
        <f>VLOOKUP(A344,'Cost Center'!A:C,3,FALSE)</f>
        <v>C253504</v>
      </c>
      <c r="D344" t="s">
        <v>6264</v>
      </c>
      <c r="E344" t="s">
        <v>708</v>
      </c>
      <c r="F344" t="s">
        <v>18868</v>
      </c>
    </row>
    <row r="345" spans="1:6">
      <c r="A345">
        <v>787740</v>
      </c>
      <c r="B345" t="s">
        <v>1161</v>
      </c>
      <c r="C345" t="str">
        <f>VLOOKUP(A345,'Cost Center'!A:C,3,FALSE)</f>
        <v>C253501</v>
      </c>
      <c r="D345" t="s">
        <v>6256</v>
      </c>
      <c r="E345" t="s">
        <v>708</v>
      </c>
      <c r="F345" t="s">
        <v>18865</v>
      </c>
    </row>
    <row r="346" spans="1:6">
      <c r="A346">
        <v>798040</v>
      </c>
      <c r="B346" t="s">
        <v>1166</v>
      </c>
      <c r="C346" t="str">
        <f>VLOOKUP(A346,'Cost Center'!A:C,3,FALSE)</f>
        <v>C253012</v>
      </c>
      <c r="D346" t="s">
        <v>6195</v>
      </c>
      <c r="E346" t="s">
        <v>708</v>
      </c>
      <c r="F346" t="s">
        <v>18842</v>
      </c>
    </row>
    <row r="347" spans="1:6">
      <c r="A347">
        <v>60005</v>
      </c>
      <c r="B347" t="s">
        <v>933</v>
      </c>
      <c r="C347" t="str">
        <f>VLOOKUP(A347,'Cost Center'!A:C,3,FALSE)</f>
        <v>C253711</v>
      </c>
      <c r="D347" t="s">
        <v>6790</v>
      </c>
      <c r="E347" t="s">
        <v>708</v>
      </c>
      <c r="F347" t="s">
        <v>19006</v>
      </c>
    </row>
    <row r="348" spans="1:6">
      <c r="A348">
        <v>787130</v>
      </c>
      <c r="B348" t="s">
        <v>1145</v>
      </c>
      <c r="C348" t="str">
        <f>VLOOKUP(A348,'Cost Center'!A:C,3,FALSE)</f>
        <v>C253701</v>
      </c>
      <c r="D348" t="s">
        <v>6287</v>
      </c>
      <c r="E348" t="s">
        <v>708</v>
      </c>
      <c r="F348" t="s">
        <v>18876</v>
      </c>
    </row>
    <row r="349" spans="1:6">
      <c r="A349">
        <v>787810</v>
      </c>
      <c r="B349" t="s">
        <v>1163</v>
      </c>
      <c r="C349" t="str">
        <f>VLOOKUP(A349,'Cost Center'!A:C,3,FALSE)</f>
        <v>C253716</v>
      </c>
      <c r="D349" t="s">
        <v>6327</v>
      </c>
      <c r="E349" t="s">
        <v>708</v>
      </c>
      <c r="F349" t="s">
        <v>18891</v>
      </c>
    </row>
    <row r="350" spans="1:6">
      <c r="A350">
        <v>60007</v>
      </c>
      <c r="B350" t="s">
        <v>935</v>
      </c>
      <c r="C350" t="str">
        <f>VLOOKUP(A350,'Cost Center'!A:C,3,FALSE)</f>
        <v>C253714</v>
      </c>
      <c r="D350" t="s">
        <v>6321</v>
      </c>
      <c r="E350" t="s">
        <v>708</v>
      </c>
      <c r="F350" t="s">
        <v>18889</v>
      </c>
    </row>
    <row r="351" spans="1:6">
      <c r="A351">
        <v>787060</v>
      </c>
      <c r="B351" t="s">
        <v>1142</v>
      </c>
      <c r="C351" t="str">
        <f>VLOOKUP(A351,'Cost Center'!A:C,3,FALSE)</f>
        <v>C253002</v>
      </c>
      <c r="D351" t="s">
        <v>6174</v>
      </c>
      <c r="E351" t="s">
        <v>708</v>
      </c>
      <c r="F351" t="s">
        <v>18834</v>
      </c>
    </row>
    <row r="352" spans="1:6">
      <c r="A352">
        <v>104100</v>
      </c>
      <c r="B352" t="s">
        <v>2137</v>
      </c>
      <c r="C352" t="str">
        <f>VLOOKUP(A352,'Cost Center'!A:C,3,FALSE)</f>
        <v>C253105</v>
      </c>
      <c r="D352" t="s">
        <v>6231</v>
      </c>
      <c r="E352" t="s">
        <v>708</v>
      </c>
      <c r="F352" t="s">
        <v>18857</v>
      </c>
    </row>
    <row r="353" spans="1:6">
      <c r="A353">
        <v>104110</v>
      </c>
      <c r="B353" t="s">
        <v>2138</v>
      </c>
      <c r="C353" t="e">
        <f>VLOOKUP(A353,'Cost Center'!A:C,3,FALSE)</f>
        <v>#N/A</v>
      </c>
      <c r="D353" t="e">
        <v>#N/A</v>
      </c>
      <c r="E353" t="s">
        <v>708</v>
      </c>
      <c r="F353" t="s">
        <v>19862</v>
      </c>
    </row>
    <row r="354" spans="1:6">
      <c r="A354">
        <v>787050</v>
      </c>
      <c r="B354" t="s">
        <v>1141</v>
      </c>
      <c r="C354" t="str">
        <f>VLOOKUP(A354,'Cost Center'!A:C,3,FALSE)</f>
        <v>C253014</v>
      </c>
      <c r="D354" t="s">
        <v>7642</v>
      </c>
      <c r="E354" t="s">
        <v>708</v>
      </c>
      <c r="F354" t="s">
        <v>19284</v>
      </c>
    </row>
    <row r="355" spans="1:6">
      <c r="A355">
        <v>787820</v>
      </c>
      <c r="B355" t="s">
        <v>1164</v>
      </c>
      <c r="C355" t="str">
        <f>VLOOKUP(A355,'Cost Center'!A:C,3,FALSE)</f>
        <v>C253001</v>
      </c>
      <c r="D355" t="s">
        <v>6171</v>
      </c>
      <c r="E355" t="s">
        <v>708</v>
      </c>
      <c r="F355" t="s">
        <v>18833</v>
      </c>
    </row>
    <row r="356" spans="1:6">
      <c r="A356">
        <v>787840</v>
      </c>
      <c r="B356" t="s">
        <v>1165</v>
      </c>
      <c r="C356" t="str">
        <f>VLOOKUP(A356,'Cost Center'!A:C,3,FALSE)</f>
        <v>C253015</v>
      </c>
      <c r="D356" t="s">
        <v>6204</v>
      </c>
      <c r="E356" t="s">
        <v>708</v>
      </c>
      <c r="F356" t="s">
        <v>18845</v>
      </c>
    </row>
    <row r="357" spans="1:6">
      <c r="A357">
        <v>60006</v>
      </c>
      <c r="B357" t="s">
        <v>934</v>
      </c>
      <c r="C357" t="str">
        <f>VLOOKUP(A357,'Cost Center'!A:C,3,FALSE)</f>
        <v>C253710</v>
      </c>
      <c r="D357" t="s">
        <v>6309</v>
      </c>
      <c r="E357" t="s">
        <v>708</v>
      </c>
      <c r="F357" t="s">
        <v>18885</v>
      </c>
    </row>
    <row r="358" spans="1:6">
      <c r="A358">
        <v>798020</v>
      </c>
      <c r="B358" t="s">
        <v>2139</v>
      </c>
      <c r="C358" t="e">
        <f>VLOOKUP(A358,'Cost Center'!A:C,3,FALSE)</f>
        <v>#N/A</v>
      </c>
      <c r="D358" t="e">
        <v>#N/A</v>
      </c>
      <c r="E358" t="s">
        <v>708</v>
      </c>
      <c r="F358" t="s">
        <v>19863</v>
      </c>
    </row>
    <row r="359" spans="1:6">
      <c r="A359">
        <v>787640</v>
      </c>
      <c r="B359" t="s">
        <v>1156</v>
      </c>
      <c r="C359" t="str">
        <f>VLOOKUP(A359,'Cost Center'!A:C,3,FALSE)</f>
        <v>C253502</v>
      </c>
      <c r="D359" t="s">
        <v>6259</v>
      </c>
      <c r="E359" t="s">
        <v>708</v>
      </c>
      <c r="F359" t="s">
        <v>18866</v>
      </c>
    </row>
    <row r="360" spans="1:6">
      <c r="A360">
        <v>787641</v>
      </c>
      <c r="B360" t="s">
        <v>2140</v>
      </c>
      <c r="C360" t="str">
        <f>VLOOKUP(A360,'Cost Center'!A:C,3,FALSE)</f>
        <v>C253503</v>
      </c>
      <c r="D360" t="s">
        <v>6261</v>
      </c>
      <c r="E360" t="s">
        <v>708</v>
      </c>
      <c r="F360" t="s">
        <v>18867</v>
      </c>
    </row>
    <row r="361" spans="1:6">
      <c r="A361">
        <v>787200</v>
      </c>
      <c r="B361" t="s">
        <v>2141</v>
      </c>
      <c r="C361" t="e">
        <f>VLOOKUP(A361,'Cost Center'!A:C,3,FALSE)</f>
        <v>#N/A</v>
      </c>
      <c r="D361" t="e">
        <v>#N/A</v>
      </c>
      <c r="E361" t="s">
        <v>708</v>
      </c>
      <c r="F361" t="s">
        <v>19864</v>
      </c>
    </row>
    <row r="362" spans="1:6">
      <c r="A362">
        <v>787210</v>
      </c>
      <c r="B362" t="s">
        <v>2142</v>
      </c>
      <c r="C362" t="str">
        <f>VLOOKUP(A362,'Cost Center'!A:C,3,FALSE)</f>
        <v>C253016</v>
      </c>
      <c r="D362" t="s">
        <v>6206</v>
      </c>
      <c r="E362" t="s">
        <v>708</v>
      </c>
      <c r="F362" t="s">
        <v>18846</v>
      </c>
    </row>
    <row r="363" spans="1:6">
      <c r="A363">
        <v>787730</v>
      </c>
      <c r="B363" t="s">
        <v>1160</v>
      </c>
      <c r="C363" t="str">
        <f>VLOOKUP(A363,'Cost Center'!A:C,3,FALSE)</f>
        <v>C253300</v>
      </c>
      <c r="D363" t="s">
        <v>6243</v>
      </c>
      <c r="E363" t="s">
        <v>708</v>
      </c>
      <c r="F363" t="s">
        <v>18861</v>
      </c>
    </row>
    <row r="364" spans="1:6">
      <c r="A364">
        <v>104203</v>
      </c>
      <c r="B364" t="s">
        <v>2143</v>
      </c>
      <c r="C364" t="str">
        <f>VLOOKUP(A364,'Cost Center'!A:C,3,FALSE)</f>
        <v>C253021</v>
      </c>
      <c r="D364" t="s">
        <v>6217</v>
      </c>
      <c r="E364" t="s">
        <v>708</v>
      </c>
      <c r="F364" t="s">
        <v>18851</v>
      </c>
    </row>
    <row r="365" spans="1:6">
      <c r="A365">
        <v>787030</v>
      </c>
      <c r="B365" t="s">
        <v>1140</v>
      </c>
      <c r="C365" t="str">
        <f>VLOOKUP(A365,'Cost Center'!A:C,3,FALSE)</f>
        <v>C253301</v>
      </c>
      <c r="D365" t="s">
        <v>6246</v>
      </c>
      <c r="E365" t="s">
        <v>708</v>
      </c>
      <c r="F365" t="s">
        <v>18862</v>
      </c>
    </row>
    <row r="366" spans="1:6">
      <c r="A366">
        <v>78735</v>
      </c>
      <c r="B366" t="s">
        <v>2144</v>
      </c>
      <c r="C366" t="e">
        <f>VLOOKUP(A366,'Cost Center'!A:C,3,FALSE)</f>
        <v>#N/A</v>
      </c>
      <c r="D366" t="e">
        <v>#N/A</v>
      </c>
      <c r="E366" t="s">
        <v>708</v>
      </c>
      <c r="F366" t="s">
        <v>19865</v>
      </c>
    </row>
    <row r="367" spans="1:6">
      <c r="A367">
        <v>787760</v>
      </c>
      <c r="B367" t="s">
        <v>2145</v>
      </c>
      <c r="C367" t="str">
        <f>VLOOKUP(A367,'Cost Center'!A:C,3,FALSE)</f>
        <v>C253003</v>
      </c>
      <c r="D367" t="s">
        <v>6176</v>
      </c>
      <c r="E367" t="s">
        <v>708</v>
      </c>
      <c r="F367" t="s">
        <v>18835</v>
      </c>
    </row>
    <row r="368" spans="1:6">
      <c r="A368">
        <v>787460</v>
      </c>
      <c r="B368" t="s">
        <v>2146</v>
      </c>
      <c r="C368" t="e">
        <f>VLOOKUP(A368,'Cost Center'!A:C,3,FALSE)</f>
        <v>#N/A</v>
      </c>
      <c r="D368" t="e">
        <v>#N/A</v>
      </c>
      <c r="E368" t="s">
        <v>708</v>
      </c>
      <c r="F368" t="s">
        <v>19866</v>
      </c>
    </row>
    <row r="369" spans="1:6">
      <c r="A369">
        <v>787150</v>
      </c>
      <c r="B369" t="s">
        <v>2147</v>
      </c>
      <c r="C369" t="e">
        <f>VLOOKUP(A369,'Cost Center'!A:C,3,FALSE)</f>
        <v>#N/A</v>
      </c>
      <c r="D369" t="e">
        <v>#N/A</v>
      </c>
      <c r="E369" t="s">
        <v>708</v>
      </c>
      <c r="F369" t="s">
        <v>19867</v>
      </c>
    </row>
    <row r="370" spans="1:6">
      <c r="A370">
        <v>787160</v>
      </c>
      <c r="B370" t="s">
        <v>2148</v>
      </c>
      <c r="C370" t="str">
        <f>VLOOKUP(A370,'Cost Center'!A:C,3,FALSE)</f>
        <v>C253017</v>
      </c>
      <c r="D370" t="s">
        <v>6208</v>
      </c>
      <c r="E370" t="s">
        <v>708</v>
      </c>
      <c r="F370" t="s">
        <v>18847</v>
      </c>
    </row>
    <row r="371" spans="1:6">
      <c r="A371">
        <v>787720</v>
      </c>
      <c r="B371" t="s">
        <v>2149</v>
      </c>
      <c r="C371" t="str">
        <f>VLOOKUP(A371,'Cost Center'!A:C,3,FALSE)</f>
        <v>C253727</v>
      </c>
      <c r="D371" t="s">
        <v>13215</v>
      </c>
      <c r="E371" t="s">
        <v>708</v>
      </c>
      <c r="F371" t="s">
        <v>19684</v>
      </c>
    </row>
    <row r="372" spans="1:6">
      <c r="A372">
        <v>103301</v>
      </c>
      <c r="B372" t="s">
        <v>2150</v>
      </c>
      <c r="C372" t="str">
        <f>VLOOKUP(A372,'Cost Center'!A:C,3,FALSE)</f>
        <v>C253700</v>
      </c>
      <c r="D372" t="s">
        <v>6284</v>
      </c>
      <c r="E372" t="s">
        <v>708</v>
      </c>
      <c r="F372" t="s">
        <v>18875</v>
      </c>
    </row>
    <row r="373" spans="1:6">
      <c r="A373">
        <v>787380</v>
      </c>
      <c r="B373" t="s">
        <v>2151</v>
      </c>
      <c r="C373" t="str">
        <f>VLOOKUP(A373,'Cost Center'!A:C,3,FALSE)</f>
        <v>C253707</v>
      </c>
      <c r="D373" t="s">
        <v>6302</v>
      </c>
      <c r="E373" t="s">
        <v>708</v>
      </c>
      <c r="F373" t="s">
        <v>18882</v>
      </c>
    </row>
    <row r="374" spans="1:6">
      <c r="A374">
        <v>8560460</v>
      </c>
      <c r="B374" t="s">
        <v>2152</v>
      </c>
      <c r="C374" t="str">
        <f>VLOOKUP(A374,'Cost Center'!A:C,3,FALSE)</f>
        <v>C253006</v>
      </c>
      <c r="D374" t="s">
        <v>8327</v>
      </c>
      <c r="E374" t="s">
        <v>708</v>
      </c>
      <c r="F374" t="s">
        <v>19416</v>
      </c>
    </row>
    <row r="375" spans="1:6">
      <c r="A375">
        <v>8560461</v>
      </c>
      <c r="B375" t="s">
        <v>2153</v>
      </c>
      <c r="C375" t="str">
        <f>VLOOKUP(A375,'Cost Center'!A:C,3,FALSE)</f>
        <v>C253010</v>
      </c>
      <c r="D375" t="s">
        <v>8341</v>
      </c>
      <c r="E375" t="s">
        <v>708</v>
      </c>
      <c r="F375" t="s">
        <v>19417</v>
      </c>
    </row>
    <row r="376" spans="1:6">
      <c r="A376">
        <v>204005</v>
      </c>
      <c r="B376" t="s">
        <v>2154</v>
      </c>
      <c r="C376" t="str">
        <f>VLOOKUP(A376,'Cost Center'!A:C,3,FALSE)</f>
        <v>C252060</v>
      </c>
      <c r="D376" t="s">
        <v>7426</v>
      </c>
      <c r="E376" t="s">
        <v>708</v>
      </c>
      <c r="F376" t="s">
        <v>19224</v>
      </c>
    </row>
    <row r="377" spans="1:6">
      <c r="A377">
        <v>204006</v>
      </c>
      <c r="B377" t="s">
        <v>2155</v>
      </c>
      <c r="C377" t="str">
        <f>VLOOKUP(A377,'Cost Center'!A:C,3,FALSE)</f>
        <v>C259012</v>
      </c>
      <c r="D377" t="s">
        <v>6498</v>
      </c>
      <c r="E377" t="s">
        <v>708</v>
      </c>
      <c r="F377" t="s">
        <v>18921</v>
      </c>
    </row>
    <row r="378" spans="1:6">
      <c r="A378">
        <v>104025</v>
      </c>
      <c r="B378" t="s">
        <v>2156</v>
      </c>
      <c r="C378" t="e">
        <f>VLOOKUP(A378,'Cost Center'!A:C,3,FALSE)</f>
        <v>#N/A</v>
      </c>
      <c r="D378" t="e">
        <v>#N/A</v>
      </c>
      <c r="E378" t="s">
        <v>708</v>
      </c>
      <c r="F378" t="s">
        <v>19868</v>
      </c>
    </row>
    <row r="379" spans="1:6">
      <c r="A379">
        <v>5012</v>
      </c>
      <c r="B379" t="s">
        <v>2157</v>
      </c>
      <c r="C379" t="str">
        <f>VLOOKUP(A379,'Cost Center'!A:C,3,FALSE)</f>
        <v>C254007</v>
      </c>
      <c r="D379" t="s">
        <v>3641</v>
      </c>
      <c r="E379" t="s">
        <v>708</v>
      </c>
      <c r="F379" t="s">
        <v>18259</v>
      </c>
    </row>
    <row r="380" spans="1:6">
      <c r="A380">
        <v>5013</v>
      </c>
      <c r="B380" t="s">
        <v>709</v>
      </c>
      <c r="C380" t="str">
        <f>VLOOKUP(A380,'Cost Center'!A:C,3,FALSE)</f>
        <v>C254013</v>
      </c>
      <c r="D380" t="s">
        <v>3644</v>
      </c>
      <c r="E380" t="s">
        <v>708</v>
      </c>
      <c r="F380" t="s">
        <v>18260</v>
      </c>
    </row>
    <row r="381" spans="1:6">
      <c r="A381">
        <v>5014</v>
      </c>
      <c r="B381" t="s">
        <v>2158</v>
      </c>
      <c r="C381" t="str">
        <f>VLOOKUP(A381,'Cost Center'!A:C,3,FALSE)</f>
        <v>C254023</v>
      </c>
      <c r="D381" t="s">
        <v>3646</v>
      </c>
      <c r="E381" t="s">
        <v>708</v>
      </c>
      <c r="F381" t="s">
        <v>18261</v>
      </c>
    </row>
    <row r="382" spans="1:6">
      <c r="A382" t="s">
        <v>2159</v>
      </c>
      <c r="B382" t="s">
        <v>2160</v>
      </c>
      <c r="C382" t="str">
        <f>VLOOKUP(A382,'Cost Center'!A:C,3,FALSE)</f>
        <v>C254000</v>
      </c>
      <c r="D382" t="s">
        <v>11098</v>
      </c>
      <c r="E382" t="s">
        <v>708</v>
      </c>
      <c r="F382" t="s">
        <v>2159</v>
      </c>
    </row>
    <row r="383" spans="1:6">
      <c r="A383">
        <v>5016</v>
      </c>
      <c r="B383" t="s">
        <v>2161</v>
      </c>
      <c r="C383" t="str">
        <f>VLOOKUP(A383,'Cost Center'!A:C,3,FALSE)</f>
        <v>C254014</v>
      </c>
      <c r="D383" t="s">
        <v>3650</v>
      </c>
      <c r="E383" t="s">
        <v>708</v>
      </c>
      <c r="F383" t="s">
        <v>18263</v>
      </c>
    </row>
    <row r="384" spans="1:6">
      <c r="A384">
        <v>5017</v>
      </c>
      <c r="B384" t="s">
        <v>710</v>
      </c>
      <c r="C384" t="str">
        <f>VLOOKUP(A384,'Cost Center'!A:C,3,FALSE)</f>
        <v>C254021</v>
      </c>
      <c r="D384" t="s">
        <v>3653</v>
      </c>
      <c r="E384" t="s">
        <v>708</v>
      </c>
      <c r="F384" t="s">
        <v>18264</v>
      </c>
    </row>
    <row r="385" spans="1:6">
      <c r="A385">
        <v>5019</v>
      </c>
      <c r="B385" t="s">
        <v>711</v>
      </c>
      <c r="C385" t="str">
        <f>VLOOKUP(A385,'Cost Center'!A:C,3,FALSE)</f>
        <v>C254004</v>
      </c>
      <c r="D385" t="s">
        <v>3667</v>
      </c>
      <c r="E385" t="s">
        <v>708</v>
      </c>
      <c r="F385" t="s">
        <v>18270</v>
      </c>
    </row>
    <row r="386" spans="1:6">
      <c r="A386">
        <v>5021</v>
      </c>
      <c r="B386" t="s">
        <v>712</v>
      </c>
      <c r="C386" t="str">
        <f>VLOOKUP(A386,'Cost Center'!A:C,3,FALSE)</f>
        <v>C254018</v>
      </c>
      <c r="D386" t="s">
        <v>3678</v>
      </c>
      <c r="E386" t="s">
        <v>708</v>
      </c>
      <c r="F386" t="s">
        <v>18274</v>
      </c>
    </row>
    <row r="387" spans="1:6">
      <c r="A387">
        <v>5022</v>
      </c>
      <c r="B387" t="s">
        <v>2162</v>
      </c>
      <c r="C387" t="str">
        <f>VLOOKUP(A387,'Cost Center'!A:C,3,FALSE)</f>
        <v>C254022</v>
      </c>
      <c r="D387" t="s">
        <v>3691</v>
      </c>
      <c r="E387" t="s">
        <v>708</v>
      </c>
      <c r="F387" t="s">
        <v>18277</v>
      </c>
    </row>
    <row r="388" spans="1:6">
      <c r="A388" t="s">
        <v>2163</v>
      </c>
      <c r="B388" t="s">
        <v>2164</v>
      </c>
      <c r="C388" t="str">
        <f>VLOOKUP(A388,'Cost Center'!A:C,3,FALSE)</f>
        <v>C254016</v>
      </c>
      <c r="D388" t="s">
        <v>11132</v>
      </c>
      <c r="E388" t="s">
        <v>708</v>
      </c>
      <c r="F388" t="s">
        <v>2163</v>
      </c>
    </row>
    <row r="389" spans="1:6">
      <c r="A389">
        <v>5024</v>
      </c>
      <c r="B389" t="s">
        <v>2165</v>
      </c>
      <c r="C389" t="str">
        <f>VLOOKUP(A389,'Cost Center'!A:C,3,FALSE)</f>
        <v>C254001</v>
      </c>
      <c r="D389" t="s">
        <v>3693</v>
      </c>
      <c r="E389" t="s">
        <v>708</v>
      </c>
      <c r="F389" t="s">
        <v>18278</v>
      </c>
    </row>
    <row r="390" spans="1:6">
      <c r="A390">
        <v>5026</v>
      </c>
      <c r="B390" t="s">
        <v>2166</v>
      </c>
      <c r="C390" t="str">
        <f>VLOOKUP(A390,'Cost Center'!A:C,3,FALSE)</f>
        <v>C254012</v>
      </c>
      <c r="D390" t="s">
        <v>3695</v>
      </c>
      <c r="E390" t="s">
        <v>708</v>
      </c>
      <c r="F390" t="s">
        <v>18279</v>
      </c>
    </row>
    <row r="391" spans="1:6">
      <c r="A391">
        <v>5029</v>
      </c>
      <c r="B391" t="s">
        <v>2167</v>
      </c>
      <c r="C391" t="str">
        <f>VLOOKUP(A391,'Cost Center'!A:C,3,FALSE)</f>
        <v>C254008</v>
      </c>
      <c r="D391" t="s">
        <v>3712</v>
      </c>
      <c r="E391" t="s">
        <v>708</v>
      </c>
      <c r="F391" t="s">
        <v>18283</v>
      </c>
    </row>
    <row r="392" spans="1:6">
      <c r="A392">
        <v>787070</v>
      </c>
      <c r="B392" t="s">
        <v>2168</v>
      </c>
      <c r="C392" t="e">
        <f>VLOOKUP(A392,'Cost Center'!A:C,3,FALSE)</f>
        <v>#N/A</v>
      </c>
      <c r="D392" t="e">
        <v>#N/A</v>
      </c>
      <c r="E392" t="s">
        <v>708</v>
      </c>
      <c r="F392" t="s">
        <v>19869</v>
      </c>
    </row>
    <row r="393" spans="1:6">
      <c r="A393">
        <v>787220</v>
      </c>
      <c r="B393" t="s">
        <v>2169</v>
      </c>
      <c r="C393" t="str">
        <f>VLOOKUP(A393,'Cost Center'!A:C,3,FALSE)</f>
        <v>C253102</v>
      </c>
      <c r="D393" t="s">
        <v>6225</v>
      </c>
      <c r="E393" t="s">
        <v>708</v>
      </c>
      <c r="F393" t="s">
        <v>18854</v>
      </c>
    </row>
    <row r="394" spans="1:6">
      <c r="A394">
        <v>787430</v>
      </c>
      <c r="B394" t="s">
        <v>1149</v>
      </c>
      <c r="C394" t="str">
        <f>VLOOKUP(A394,'Cost Center'!A:C,3,FALSE)</f>
        <v>C253100</v>
      </c>
      <c r="D394" t="s">
        <v>6220</v>
      </c>
      <c r="E394" t="s">
        <v>708</v>
      </c>
      <c r="F394" t="s">
        <v>18852</v>
      </c>
    </row>
    <row r="395" spans="1:6">
      <c r="A395">
        <v>787550</v>
      </c>
      <c r="B395" t="s">
        <v>2170</v>
      </c>
      <c r="C395" t="str">
        <f>VLOOKUP(A395,'Cost Center'!A:C,3,FALSE)</f>
        <v>C253101</v>
      </c>
      <c r="D395" t="s">
        <v>7667</v>
      </c>
      <c r="E395" t="s">
        <v>708</v>
      </c>
      <c r="F395" t="s">
        <v>19293</v>
      </c>
    </row>
    <row r="396" spans="1:6">
      <c r="A396">
        <v>787830</v>
      </c>
      <c r="B396" t="s">
        <v>2171</v>
      </c>
      <c r="C396" t="str">
        <f>VLOOKUP(A396,'Cost Center'!A:C,3,FALSE)</f>
        <v>C253103</v>
      </c>
      <c r="D396" t="s">
        <v>6227</v>
      </c>
      <c r="E396" t="s">
        <v>708</v>
      </c>
      <c r="F396" t="s">
        <v>18855</v>
      </c>
    </row>
    <row r="397" spans="1:6">
      <c r="A397">
        <v>8560660</v>
      </c>
      <c r="B397" t="s">
        <v>2172</v>
      </c>
      <c r="C397" t="str">
        <f>VLOOKUP(A397,'Cost Center'!A:C,3,FALSE)</f>
        <v>C254002</v>
      </c>
      <c r="D397" t="s">
        <v>8351</v>
      </c>
      <c r="E397" t="s">
        <v>708</v>
      </c>
      <c r="F397" t="s">
        <v>19422</v>
      </c>
    </row>
    <row r="398" spans="1:6">
      <c r="A398">
        <v>8560661</v>
      </c>
      <c r="B398" t="s">
        <v>2173</v>
      </c>
      <c r="C398" t="str">
        <f>VLOOKUP(A398,'Cost Center'!A:C,3,FALSE)</f>
        <v>C254003</v>
      </c>
      <c r="D398" t="s">
        <v>8353</v>
      </c>
      <c r="E398" t="s">
        <v>708</v>
      </c>
      <c r="F398" t="s">
        <v>19423</v>
      </c>
    </row>
    <row r="399" spans="1:6">
      <c r="A399" t="s">
        <v>2174</v>
      </c>
      <c r="B399" t="s">
        <v>2175</v>
      </c>
      <c r="C399" t="str">
        <f>VLOOKUP(A399,'Cost Center'!A:C,3,FALSE)</f>
        <v>C251311</v>
      </c>
      <c r="D399" t="s">
        <v>5816</v>
      </c>
      <c r="E399" t="s">
        <v>708</v>
      </c>
      <c r="F399" t="s">
        <v>2174</v>
      </c>
    </row>
    <row r="400" spans="1:6">
      <c r="A400">
        <v>104020</v>
      </c>
      <c r="B400" t="s">
        <v>2176</v>
      </c>
      <c r="C400" t="str">
        <f>VLOOKUP(A400,'Cost Center'!A:C,3,FALSE)</f>
        <v>C250290</v>
      </c>
      <c r="D400" t="s">
        <v>5615</v>
      </c>
      <c r="E400" t="s">
        <v>708</v>
      </c>
      <c r="F400" t="s">
        <v>18636</v>
      </c>
    </row>
    <row r="401" spans="1:6">
      <c r="A401">
        <v>104023</v>
      </c>
      <c r="B401" t="s">
        <v>2177</v>
      </c>
      <c r="C401" t="str">
        <f>VLOOKUP(A401,'Cost Center'!A:C,3,FALSE)</f>
        <v>C250250</v>
      </c>
      <c r="D401" t="s">
        <v>5601</v>
      </c>
      <c r="E401" t="s">
        <v>708</v>
      </c>
      <c r="F401" t="s">
        <v>18630</v>
      </c>
    </row>
    <row r="402" spans="1:6">
      <c r="A402">
        <v>104030</v>
      </c>
      <c r="B402" t="s">
        <v>2178</v>
      </c>
      <c r="C402" t="str">
        <f>VLOOKUP(A402,'Cost Center'!A:C,3,FALSE)</f>
        <v>C250252</v>
      </c>
      <c r="D402" t="s">
        <v>5607</v>
      </c>
      <c r="E402" t="s">
        <v>708</v>
      </c>
      <c r="F402" t="s">
        <v>18632</v>
      </c>
    </row>
    <row r="403" spans="1:6">
      <c r="A403">
        <v>104036</v>
      </c>
      <c r="B403" t="s">
        <v>1034</v>
      </c>
      <c r="C403" t="str">
        <f>VLOOKUP(A403,'Cost Center'!A:C,3,FALSE)</f>
        <v>C250251</v>
      </c>
      <c r="D403" t="s">
        <v>5604</v>
      </c>
      <c r="E403" t="s">
        <v>708</v>
      </c>
      <c r="F403" t="s">
        <v>18631</v>
      </c>
    </row>
    <row r="404" spans="1:6">
      <c r="A404">
        <v>1013406</v>
      </c>
      <c r="B404" t="s">
        <v>1169</v>
      </c>
      <c r="C404" t="str">
        <f>VLOOKUP(A404,'Cost Center'!A:C,3,FALSE)</f>
        <v>C250523</v>
      </c>
      <c r="D404" t="s">
        <v>5636</v>
      </c>
      <c r="E404" t="s">
        <v>708</v>
      </c>
      <c r="F404" t="s">
        <v>18643</v>
      </c>
    </row>
    <row r="405" spans="1:6">
      <c r="A405">
        <v>1013412</v>
      </c>
      <c r="B405" t="s">
        <v>2179</v>
      </c>
      <c r="C405" t="str">
        <f>VLOOKUP(A405,'Cost Center'!A:C,3,FALSE)</f>
        <v>C250623</v>
      </c>
      <c r="D405" t="s">
        <v>5690</v>
      </c>
      <c r="E405" t="s">
        <v>708</v>
      </c>
      <c r="F405" t="s">
        <v>18659</v>
      </c>
    </row>
    <row r="406" spans="1:6">
      <c r="A406">
        <v>1013413</v>
      </c>
      <c r="B406" t="s">
        <v>2180</v>
      </c>
      <c r="C406" t="e">
        <f>VLOOKUP(A406,'Cost Center'!A:C,3,FALSE)</f>
        <v>#N/A</v>
      </c>
      <c r="D406" t="e">
        <v>#N/A</v>
      </c>
      <c r="E406" t="s">
        <v>708</v>
      </c>
      <c r="F406" t="s">
        <v>19870</v>
      </c>
    </row>
    <row r="407" spans="1:6">
      <c r="A407">
        <v>1013414</v>
      </c>
      <c r="B407" t="s">
        <v>2181</v>
      </c>
      <c r="C407" t="e">
        <f>VLOOKUP(A407,'Cost Center'!A:C,3,FALSE)</f>
        <v>#N/A</v>
      </c>
      <c r="D407" t="e">
        <v>#N/A</v>
      </c>
      <c r="E407" t="s">
        <v>708</v>
      </c>
      <c r="F407" t="s">
        <v>19871</v>
      </c>
    </row>
    <row r="408" spans="1:6">
      <c r="A408">
        <v>1013415</v>
      </c>
      <c r="B408" t="s">
        <v>1170</v>
      </c>
      <c r="C408" t="str">
        <f>VLOOKUP(A408,'Cost Center'!A:C,3,FALSE)</f>
        <v>C250533</v>
      </c>
      <c r="D408" t="s">
        <v>7822</v>
      </c>
      <c r="E408" t="s">
        <v>708</v>
      </c>
      <c r="F408" t="s">
        <v>19322</v>
      </c>
    </row>
    <row r="409" spans="1:6">
      <c r="A409">
        <v>1013416</v>
      </c>
      <c r="B409" t="s">
        <v>1171</v>
      </c>
      <c r="C409" t="str">
        <f>VLOOKUP(A409,'Cost Center'!A:C,3,FALSE)</f>
        <v>C250530</v>
      </c>
      <c r="D409" t="s">
        <v>5639</v>
      </c>
      <c r="E409" t="s">
        <v>708</v>
      </c>
      <c r="F409" t="s">
        <v>18644</v>
      </c>
    </row>
    <row r="410" spans="1:6">
      <c r="A410">
        <v>10255</v>
      </c>
      <c r="B410" t="s">
        <v>741</v>
      </c>
      <c r="C410" t="str">
        <f>VLOOKUP(A410,'Cost Center'!A:C,3,FALSE)</f>
        <v>C250531</v>
      </c>
      <c r="D410" t="s">
        <v>5049</v>
      </c>
      <c r="E410" t="s">
        <v>708</v>
      </c>
      <c r="F410" t="s">
        <v>18486</v>
      </c>
    </row>
    <row r="411" spans="1:6">
      <c r="A411" t="s">
        <v>2182</v>
      </c>
      <c r="B411" t="s">
        <v>2183</v>
      </c>
      <c r="C411" t="str">
        <f>VLOOKUP(A411,'Cost Center'!A:C,3,FALSE)</f>
        <v>C250532</v>
      </c>
      <c r="D411" t="s">
        <v>5644</v>
      </c>
      <c r="E411" t="s">
        <v>708</v>
      </c>
      <c r="F411" t="s">
        <v>2182</v>
      </c>
    </row>
    <row r="412" spans="1:6">
      <c r="A412">
        <v>10331</v>
      </c>
      <c r="B412" t="s">
        <v>753</v>
      </c>
      <c r="C412" t="str">
        <f>VLOOKUP(A412,'Cost Center'!A:C,3,FALSE)</f>
        <v>C250520</v>
      </c>
      <c r="D412" t="s">
        <v>5627</v>
      </c>
      <c r="E412" t="s">
        <v>708</v>
      </c>
      <c r="F412" t="s">
        <v>18640</v>
      </c>
    </row>
    <row r="413" spans="1:6">
      <c r="A413">
        <v>787480</v>
      </c>
      <c r="B413" t="s">
        <v>1151</v>
      </c>
      <c r="C413" t="str">
        <f>VLOOKUP(A413,'Cost Center'!A:C,3,FALSE)</f>
        <v>C250560</v>
      </c>
      <c r="D413" t="s">
        <v>5659</v>
      </c>
      <c r="E413" t="s">
        <v>708</v>
      </c>
      <c r="F413" t="s">
        <v>18648</v>
      </c>
    </row>
    <row r="414" spans="1:6">
      <c r="A414" t="s">
        <v>2184</v>
      </c>
      <c r="B414" t="s">
        <v>2185</v>
      </c>
      <c r="C414" t="str">
        <f>VLOOKUP(A414,'Cost Center'!A:C,3,FALSE)</f>
        <v>C250550</v>
      </c>
      <c r="D414" t="s">
        <v>5653</v>
      </c>
      <c r="E414" t="s">
        <v>708</v>
      </c>
      <c r="F414" t="s">
        <v>2184</v>
      </c>
    </row>
    <row r="415" spans="1:6">
      <c r="A415" t="s">
        <v>2186</v>
      </c>
      <c r="B415" t="s">
        <v>2187</v>
      </c>
      <c r="C415" t="e">
        <f>VLOOKUP(A415,'Cost Center'!A:C,3,FALSE)</f>
        <v>#N/A</v>
      </c>
      <c r="D415" t="e">
        <v>#N/A</v>
      </c>
      <c r="E415" t="s">
        <v>708</v>
      </c>
      <c r="F415" t="s">
        <v>2186</v>
      </c>
    </row>
    <row r="416" spans="1:6">
      <c r="A416" t="s">
        <v>2188</v>
      </c>
      <c r="B416" t="s">
        <v>2189</v>
      </c>
      <c r="C416" t="str">
        <f>VLOOKUP(A416,'Cost Center'!A:C,3,FALSE)</f>
        <v>C250580</v>
      </c>
      <c r="D416" t="s">
        <v>5664</v>
      </c>
      <c r="E416" t="s">
        <v>708</v>
      </c>
      <c r="F416" t="s">
        <v>2188</v>
      </c>
    </row>
    <row r="417" spans="1:6">
      <c r="A417">
        <v>10333</v>
      </c>
      <c r="B417" t="s">
        <v>754</v>
      </c>
      <c r="C417" t="str">
        <f>VLOOKUP(A417,'Cost Center'!A:C,3,FALSE)</f>
        <v>C250521</v>
      </c>
      <c r="D417" t="s">
        <v>5630</v>
      </c>
      <c r="E417" t="s">
        <v>708</v>
      </c>
      <c r="F417" t="s">
        <v>18641</v>
      </c>
    </row>
    <row r="418" spans="1:6">
      <c r="A418">
        <v>10336</v>
      </c>
      <c r="B418" t="s">
        <v>2190</v>
      </c>
      <c r="C418" t="str">
        <f>VLOOKUP(A418,'Cost Center'!A:C,3,FALSE)</f>
        <v>C250610</v>
      </c>
      <c r="D418" t="s">
        <v>5679</v>
      </c>
      <c r="E418" t="s">
        <v>708</v>
      </c>
      <c r="F418" t="s">
        <v>18655</v>
      </c>
    </row>
    <row r="419" spans="1:6">
      <c r="A419">
        <v>10337</v>
      </c>
      <c r="B419" t="s">
        <v>756</v>
      </c>
      <c r="C419" t="str">
        <f>VLOOKUP(A419,'Cost Center'!A:C,3,FALSE)</f>
        <v>C250522</v>
      </c>
      <c r="D419" t="s">
        <v>5633</v>
      </c>
      <c r="E419" t="s">
        <v>708</v>
      </c>
      <c r="F419" t="s">
        <v>18642</v>
      </c>
    </row>
    <row r="420" spans="1:6">
      <c r="A420">
        <v>10812</v>
      </c>
      <c r="B420" t="s">
        <v>2191</v>
      </c>
      <c r="C420" t="e">
        <f>VLOOKUP(A420,'Cost Center'!A:C,3,FALSE)</f>
        <v>#N/A</v>
      </c>
      <c r="D420" t="e">
        <v>#N/A</v>
      </c>
      <c r="E420" t="s">
        <v>708</v>
      </c>
      <c r="F420" t="s">
        <v>19872</v>
      </c>
    </row>
    <row r="421" spans="1:6">
      <c r="A421">
        <v>3000403</v>
      </c>
      <c r="B421" t="s">
        <v>2192</v>
      </c>
      <c r="C421" t="e">
        <f>VLOOKUP(A421,'Cost Center'!A:C,3,FALSE)</f>
        <v>#N/A</v>
      </c>
      <c r="D421" t="e">
        <v>#N/A</v>
      </c>
      <c r="E421" t="s">
        <v>708</v>
      </c>
      <c r="F421" t="s">
        <v>19873</v>
      </c>
    </row>
    <row r="422" spans="1:6">
      <c r="A422">
        <v>3000408</v>
      </c>
      <c r="B422" t="s">
        <v>1179</v>
      </c>
      <c r="C422" t="str">
        <f>VLOOKUP(A422,'Cost Center'!A:C,3,FALSE)</f>
        <v>C250551</v>
      </c>
      <c r="D422" t="s">
        <v>5656</v>
      </c>
      <c r="E422" t="s">
        <v>708</v>
      </c>
      <c r="F422" t="s">
        <v>18647</v>
      </c>
    </row>
    <row r="423" spans="1:6">
      <c r="A423">
        <v>3100427</v>
      </c>
      <c r="B423" t="s">
        <v>2193</v>
      </c>
      <c r="C423" t="e">
        <f>VLOOKUP(A423,'Cost Center'!A:C,3,FALSE)</f>
        <v>#N/A</v>
      </c>
      <c r="D423" t="e">
        <v>#N/A</v>
      </c>
      <c r="E423" t="s">
        <v>708</v>
      </c>
      <c r="F423" t="s">
        <v>19874</v>
      </c>
    </row>
    <row r="424" spans="1:6">
      <c r="A424">
        <v>3100466</v>
      </c>
      <c r="B424" t="s">
        <v>2194</v>
      </c>
      <c r="C424" t="e">
        <f>VLOOKUP(A424,'Cost Center'!A:C,3,FALSE)</f>
        <v>#N/A</v>
      </c>
      <c r="D424" t="e">
        <v>#N/A</v>
      </c>
      <c r="E424" t="s">
        <v>708</v>
      </c>
      <c r="F424" t="s">
        <v>19875</v>
      </c>
    </row>
    <row r="425" spans="1:6">
      <c r="A425">
        <v>3100501</v>
      </c>
      <c r="B425" t="s">
        <v>1187</v>
      </c>
      <c r="C425" t="str">
        <f>VLOOKUP(A425,'Cost Center'!A:C,3,FALSE)</f>
        <v>C250581</v>
      </c>
      <c r="D425" t="s">
        <v>7936</v>
      </c>
      <c r="E425" t="s">
        <v>708</v>
      </c>
      <c r="F425" t="s">
        <v>19342</v>
      </c>
    </row>
    <row r="426" spans="1:6">
      <c r="A426">
        <v>3100502</v>
      </c>
      <c r="B426" t="s">
        <v>2195</v>
      </c>
      <c r="C426" t="e">
        <f>VLOOKUP(A426,'Cost Center'!A:C,3,FALSE)</f>
        <v>#N/A</v>
      </c>
      <c r="D426" t="e">
        <v>#N/A</v>
      </c>
      <c r="E426" t="s">
        <v>708</v>
      </c>
      <c r="F426" t="s">
        <v>19876</v>
      </c>
    </row>
    <row r="427" spans="1:6">
      <c r="A427">
        <v>8211134</v>
      </c>
      <c r="B427" t="s">
        <v>2196</v>
      </c>
      <c r="C427" t="str">
        <f>VLOOKUP(A427,'Cost Center'!A:C,3,FALSE)</f>
        <v>C250626</v>
      </c>
      <c r="D427" t="s">
        <v>5696</v>
      </c>
      <c r="E427" t="s">
        <v>708</v>
      </c>
      <c r="F427" t="s">
        <v>18662</v>
      </c>
    </row>
    <row r="428" spans="1:6">
      <c r="A428">
        <v>5046</v>
      </c>
      <c r="B428" t="s">
        <v>2197</v>
      </c>
      <c r="C428" t="str">
        <f>VLOOKUP(A428,'Cost Center'!A:C,3,FALSE)</f>
        <v>C254006</v>
      </c>
      <c r="D428" t="s">
        <v>3801</v>
      </c>
      <c r="E428" t="s">
        <v>708</v>
      </c>
      <c r="F428" t="s">
        <v>18311</v>
      </c>
    </row>
    <row r="429" spans="1:6">
      <c r="A429">
        <v>5047</v>
      </c>
      <c r="B429" t="s">
        <v>2198</v>
      </c>
      <c r="C429" t="str">
        <f>VLOOKUP(A429,'Cost Center'!A:C,3,FALSE)</f>
        <v>C254010</v>
      </c>
      <c r="D429" t="s">
        <v>3803</v>
      </c>
      <c r="E429" t="s">
        <v>708</v>
      </c>
      <c r="F429" t="s">
        <v>18312</v>
      </c>
    </row>
    <row r="430" spans="1:6">
      <c r="A430">
        <v>52908</v>
      </c>
      <c r="B430" t="s">
        <v>895</v>
      </c>
      <c r="C430" t="str">
        <f>VLOOKUP(A430,'Cost Center'!A:C,3,FALSE)</f>
        <v>C250510</v>
      </c>
      <c r="D430" t="s">
        <v>6121</v>
      </c>
      <c r="E430" t="s">
        <v>708</v>
      </c>
      <c r="F430" t="s">
        <v>18813</v>
      </c>
    </row>
    <row r="431" spans="1:6">
      <c r="A431">
        <v>8560760</v>
      </c>
      <c r="B431" t="s">
        <v>2199</v>
      </c>
      <c r="C431" t="str">
        <f>VLOOKUP(A431,'Cost Center'!A:C,3,FALSE)</f>
        <v>C251399</v>
      </c>
      <c r="D431" t="s">
        <v>8361</v>
      </c>
      <c r="E431" t="s">
        <v>708</v>
      </c>
      <c r="F431" t="s">
        <v>19424</v>
      </c>
    </row>
    <row r="432" spans="1:6">
      <c r="A432">
        <v>8560761</v>
      </c>
      <c r="B432" t="s">
        <v>2200</v>
      </c>
      <c r="C432" t="e">
        <f>VLOOKUP(A432,'Cost Center'!A:C,3,FALSE)</f>
        <v>#N/A</v>
      </c>
      <c r="D432" t="e">
        <v>#N/A</v>
      </c>
      <c r="E432" t="s">
        <v>708</v>
      </c>
      <c r="F432" t="s">
        <v>19877</v>
      </c>
    </row>
    <row r="433" spans="1:6">
      <c r="A433">
        <v>1013420</v>
      </c>
      <c r="B433" t="s">
        <v>2201</v>
      </c>
      <c r="C433" t="e">
        <f>VLOOKUP(A433,'Cost Center'!A:C,3,FALSE)</f>
        <v>#N/A</v>
      </c>
      <c r="D433" t="e">
        <v>#N/A</v>
      </c>
      <c r="E433" t="s">
        <v>708</v>
      </c>
      <c r="F433" t="s">
        <v>19878</v>
      </c>
    </row>
    <row r="434" spans="1:6">
      <c r="A434">
        <v>102130</v>
      </c>
      <c r="B434" t="s">
        <v>2202</v>
      </c>
      <c r="C434" t="str">
        <f>VLOOKUP(A434,'Cost Center'!A:C,3,FALSE)</f>
        <v>C251101</v>
      </c>
      <c r="D434" t="s">
        <v>5775</v>
      </c>
      <c r="E434" t="s">
        <v>708</v>
      </c>
      <c r="F434" t="s">
        <v>18692</v>
      </c>
    </row>
    <row r="435" spans="1:6">
      <c r="A435">
        <v>102140</v>
      </c>
      <c r="B435" t="s">
        <v>2203</v>
      </c>
      <c r="C435" t="str">
        <f>VLOOKUP(A435,'Cost Center'!A:C,3,FALSE)</f>
        <v>C251051</v>
      </c>
      <c r="D435" t="s">
        <v>5754</v>
      </c>
      <c r="E435" t="s">
        <v>708</v>
      </c>
      <c r="F435" t="s">
        <v>18684</v>
      </c>
    </row>
    <row r="436" spans="1:6">
      <c r="A436" t="s">
        <v>2204</v>
      </c>
      <c r="B436" t="s">
        <v>2205</v>
      </c>
      <c r="C436" t="str">
        <f>VLOOKUP(A436,'Cost Center'!A:C,3,FALSE)</f>
        <v>C251050</v>
      </c>
      <c r="D436" t="s">
        <v>5752</v>
      </c>
      <c r="E436" t="s">
        <v>708</v>
      </c>
      <c r="F436" t="s">
        <v>2204</v>
      </c>
    </row>
    <row r="437" spans="1:6">
      <c r="A437">
        <v>102150</v>
      </c>
      <c r="B437" t="s">
        <v>1014</v>
      </c>
      <c r="C437" t="str">
        <f>VLOOKUP(A437,'Cost Center'!A:C,3,FALSE)</f>
        <v>C251102</v>
      </c>
      <c r="D437" t="s">
        <v>6892</v>
      </c>
      <c r="E437" t="s">
        <v>708</v>
      </c>
      <c r="F437" t="s">
        <v>19040</v>
      </c>
    </row>
    <row r="438" spans="1:6">
      <c r="A438">
        <v>102151</v>
      </c>
      <c r="B438" t="s">
        <v>1015</v>
      </c>
      <c r="C438" t="str">
        <f>VLOOKUP(A438,'Cost Center'!A:C,3,FALSE)</f>
        <v>C251008</v>
      </c>
      <c r="D438" t="s">
        <v>6898</v>
      </c>
      <c r="E438" t="s">
        <v>708</v>
      </c>
      <c r="F438" t="s">
        <v>19042</v>
      </c>
    </row>
    <row r="439" spans="1:6">
      <c r="A439">
        <v>102152</v>
      </c>
      <c r="B439" t="s">
        <v>1016</v>
      </c>
      <c r="C439" t="str">
        <f>VLOOKUP(A439,'Cost Center'!A:C,3,FALSE)</f>
        <v>C251011</v>
      </c>
      <c r="D439" t="s">
        <v>6904</v>
      </c>
      <c r="E439" t="s">
        <v>708</v>
      </c>
      <c r="F439" t="s">
        <v>19044</v>
      </c>
    </row>
    <row r="440" spans="1:6">
      <c r="A440">
        <v>102153</v>
      </c>
      <c r="B440" t="s">
        <v>1017</v>
      </c>
      <c r="C440" t="str">
        <f>VLOOKUP(A440,'Cost Center'!A:C,3,FALSE)</f>
        <v>C251012</v>
      </c>
      <c r="D440" t="s">
        <v>6907</v>
      </c>
      <c r="E440" t="s">
        <v>708</v>
      </c>
      <c r="F440" t="s">
        <v>19045</v>
      </c>
    </row>
    <row r="441" spans="1:6">
      <c r="A441">
        <v>102154</v>
      </c>
      <c r="B441" t="s">
        <v>1018</v>
      </c>
      <c r="C441" t="str">
        <f>VLOOKUP(A441,'Cost Center'!A:C,3,FALSE)</f>
        <v>C251010</v>
      </c>
      <c r="D441" t="s">
        <v>6922</v>
      </c>
      <c r="E441" t="s">
        <v>708</v>
      </c>
      <c r="F441" t="s">
        <v>19050</v>
      </c>
    </row>
    <row r="442" spans="1:6">
      <c r="A442">
        <v>102155</v>
      </c>
      <c r="B442" t="s">
        <v>1019</v>
      </c>
      <c r="C442" t="str">
        <f>VLOOKUP(A442,'Cost Center'!A:C,3,FALSE)</f>
        <v>C251001</v>
      </c>
      <c r="D442" t="s">
        <v>6934</v>
      </c>
      <c r="E442" t="s">
        <v>708</v>
      </c>
      <c r="F442" t="s">
        <v>19054</v>
      </c>
    </row>
    <row r="443" spans="1:6">
      <c r="A443">
        <v>102156</v>
      </c>
      <c r="B443" t="s">
        <v>2206</v>
      </c>
      <c r="C443" t="str">
        <f>VLOOKUP(A443,'Cost Center'!A:C,3,FALSE)</f>
        <v>C251007</v>
      </c>
      <c r="D443" t="s">
        <v>6937</v>
      </c>
      <c r="E443" t="s">
        <v>708</v>
      </c>
      <c r="F443" t="s">
        <v>19055</v>
      </c>
    </row>
    <row r="444" spans="1:6">
      <c r="A444">
        <v>102160</v>
      </c>
      <c r="B444" t="s">
        <v>1020</v>
      </c>
      <c r="C444" t="str">
        <f>VLOOKUP(A444,'Cost Center'!A:C,3,FALSE)</f>
        <v>C251014</v>
      </c>
      <c r="D444" t="s">
        <v>5740</v>
      </c>
      <c r="E444" t="s">
        <v>708</v>
      </c>
      <c r="F444" t="s">
        <v>18679</v>
      </c>
    </row>
    <row r="445" spans="1:6">
      <c r="A445">
        <v>102170</v>
      </c>
      <c r="B445" t="s">
        <v>1021</v>
      </c>
      <c r="C445" t="str">
        <f>VLOOKUP(A445,'Cost Center'!A:C,3,FALSE)</f>
        <v>C251006</v>
      </c>
      <c r="D445" t="s">
        <v>5717</v>
      </c>
      <c r="E445" t="s">
        <v>708</v>
      </c>
      <c r="F445" t="s">
        <v>18671</v>
      </c>
    </row>
    <row r="446" spans="1:6">
      <c r="A446">
        <v>102190</v>
      </c>
      <c r="B446" t="s">
        <v>1022</v>
      </c>
      <c r="C446" t="str">
        <f>VLOOKUP(A446,'Cost Center'!A:C,3,FALSE)</f>
        <v>C251002</v>
      </c>
      <c r="D446" t="s">
        <v>5712</v>
      </c>
      <c r="E446" t="s">
        <v>708</v>
      </c>
      <c r="F446" t="s">
        <v>18669</v>
      </c>
    </row>
    <row r="447" spans="1:6">
      <c r="A447">
        <v>102210</v>
      </c>
      <c r="B447" t="s">
        <v>1023</v>
      </c>
      <c r="C447" t="str">
        <f>VLOOKUP(A447,'Cost Center'!A:C,3,FALSE)</f>
        <v>C251100</v>
      </c>
      <c r="D447" t="s">
        <v>5773</v>
      </c>
      <c r="E447" t="s">
        <v>708</v>
      </c>
      <c r="F447" t="s">
        <v>18691</v>
      </c>
    </row>
    <row r="448" spans="1:6">
      <c r="A448">
        <v>102211</v>
      </c>
      <c r="B448" t="s">
        <v>1024</v>
      </c>
      <c r="C448" t="str">
        <f>VLOOKUP(A448,'Cost Center'!A:C,3,FALSE)</f>
        <v>C251070</v>
      </c>
      <c r="D448" t="s">
        <v>5757</v>
      </c>
      <c r="E448" t="s">
        <v>708</v>
      </c>
      <c r="F448" t="s">
        <v>18685</v>
      </c>
    </row>
    <row r="449" spans="1:6">
      <c r="A449">
        <v>102212</v>
      </c>
      <c r="B449" t="s">
        <v>2207</v>
      </c>
      <c r="C449" t="str">
        <f>VLOOKUP(A449,'Cost Center'!A:C,3,FALSE)</f>
        <v>C251071</v>
      </c>
      <c r="D449" t="s">
        <v>5759</v>
      </c>
      <c r="E449" t="s">
        <v>708</v>
      </c>
      <c r="F449" t="s">
        <v>18686</v>
      </c>
    </row>
    <row r="450" spans="1:6">
      <c r="A450">
        <v>102213</v>
      </c>
      <c r="B450" t="s">
        <v>1025</v>
      </c>
      <c r="C450" t="str">
        <f>VLOOKUP(A450,'Cost Center'!A:C,3,FALSE)</f>
        <v>C251072</v>
      </c>
      <c r="D450" t="s">
        <v>5761</v>
      </c>
      <c r="E450" t="s">
        <v>708</v>
      </c>
      <c r="F450" t="s">
        <v>18687</v>
      </c>
    </row>
    <row r="451" spans="1:6">
      <c r="A451">
        <v>102260</v>
      </c>
      <c r="B451" t="s">
        <v>2208</v>
      </c>
      <c r="C451" t="str">
        <f>VLOOKUP(A451,'Cost Center'!A:C,3,FALSE)</f>
        <v>C251018</v>
      </c>
      <c r="D451" t="s">
        <v>5750</v>
      </c>
      <c r="E451" t="s">
        <v>708</v>
      </c>
      <c r="F451" t="s">
        <v>18683</v>
      </c>
    </row>
    <row r="452" spans="1:6">
      <c r="A452">
        <v>102270</v>
      </c>
      <c r="B452" t="s">
        <v>2209</v>
      </c>
      <c r="C452" t="e">
        <f>VLOOKUP(A452,'Cost Center'!A:C,3,FALSE)</f>
        <v>#N/A</v>
      </c>
      <c r="D452" t="e">
        <v>#N/A</v>
      </c>
      <c r="E452" t="s">
        <v>708</v>
      </c>
      <c r="F452" t="s">
        <v>19879</v>
      </c>
    </row>
    <row r="453" spans="1:6">
      <c r="A453">
        <v>102280</v>
      </c>
      <c r="B453" t="s">
        <v>2210</v>
      </c>
      <c r="C453" t="str">
        <f>VLOOKUP(A453,'Cost Center'!A:C,3,FALSE)</f>
        <v>C251015</v>
      </c>
      <c r="D453" t="s">
        <v>5742</v>
      </c>
      <c r="E453" t="s">
        <v>708</v>
      </c>
      <c r="F453" t="s">
        <v>18680</v>
      </c>
    </row>
    <row r="454" spans="1:6">
      <c r="A454">
        <v>102410</v>
      </c>
      <c r="B454" t="s">
        <v>2211</v>
      </c>
      <c r="C454" t="str">
        <f>VLOOKUP(A454,'Cost Center'!A:C,3,FALSE)</f>
        <v>C251013</v>
      </c>
      <c r="D454" t="s">
        <v>5737</v>
      </c>
      <c r="E454" t="s">
        <v>708</v>
      </c>
      <c r="F454" t="s">
        <v>18678</v>
      </c>
    </row>
    <row r="455" spans="1:6">
      <c r="A455">
        <v>10335</v>
      </c>
      <c r="B455" t="s">
        <v>755</v>
      </c>
      <c r="C455" t="str">
        <f>VLOOKUP(A455,'Cost Center'!A:C,3,FALSE)</f>
        <v>C251003</v>
      </c>
      <c r="D455" t="s">
        <v>5094</v>
      </c>
      <c r="E455" t="s">
        <v>708</v>
      </c>
      <c r="F455" t="s">
        <v>18494</v>
      </c>
    </row>
    <row r="456" spans="1:6">
      <c r="A456">
        <v>104101</v>
      </c>
      <c r="B456" t="s">
        <v>2212</v>
      </c>
      <c r="C456" t="e">
        <f>VLOOKUP(A456,'Cost Center'!A:C,3,FALSE)</f>
        <v>#N/A</v>
      </c>
      <c r="D456" t="e">
        <v>#N/A</v>
      </c>
      <c r="E456" t="s">
        <v>708</v>
      </c>
      <c r="F456" t="s">
        <v>19880</v>
      </c>
    </row>
    <row r="457" spans="1:6">
      <c r="A457">
        <v>104102</v>
      </c>
      <c r="B457" t="s">
        <v>2213</v>
      </c>
      <c r="C457" t="e">
        <f>VLOOKUP(A457,'Cost Center'!A:C,3,FALSE)</f>
        <v>#N/A</v>
      </c>
      <c r="D457" t="e">
        <v>#N/A</v>
      </c>
      <c r="E457" t="s">
        <v>708</v>
      </c>
      <c r="F457" t="s">
        <v>19881</v>
      </c>
    </row>
    <row r="458" spans="1:6">
      <c r="A458">
        <v>104103</v>
      </c>
      <c r="B458" t="s">
        <v>2214</v>
      </c>
      <c r="C458" t="e">
        <f>VLOOKUP(A458,'Cost Center'!A:C,3,FALSE)</f>
        <v>#N/A</v>
      </c>
      <c r="D458" t="e">
        <v>#N/A</v>
      </c>
      <c r="E458" t="s">
        <v>708</v>
      </c>
      <c r="F458" t="s">
        <v>19882</v>
      </c>
    </row>
    <row r="459" spans="1:6">
      <c r="A459">
        <v>104104</v>
      </c>
      <c r="B459" t="s">
        <v>2215</v>
      </c>
      <c r="C459" t="e">
        <f>VLOOKUP(A459,'Cost Center'!A:C,3,FALSE)</f>
        <v>#N/A</v>
      </c>
      <c r="D459" t="e">
        <v>#N/A</v>
      </c>
      <c r="E459" t="s">
        <v>708</v>
      </c>
      <c r="F459" t="s">
        <v>19883</v>
      </c>
    </row>
    <row r="460" spans="1:6">
      <c r="A460">
        <v>104105</v>
      </c>
      <c r="B460" t="s">
        <v>2216</v>
      </c>
      <c r="C460" t="e">
        <f>VLOOKUP(A460,'Cost Center'!A:C,3,FALSE)</f>
        <v>#N/A</v>
      </c>
      <c r="D460" t="e">
        <v>#N/A</v>
      </c>
      <c r="E460" t="s">
        <v>708</v>
      </c>
      <c r="F460" t="s">
        <v>19884</v>
      </c>
    </row>
    <row r="461" spans="1:6">
      <c r="A461">
        <v>104106</v>
      </c>
      <c r="B461" t="s">
        <v>2217</v>
      </c>
      <c r="C461" t="e">
        <f>VLOOKUP(A461,'Cost Center'!A:C,3,FALSE)</f>
        <v>#N/A</v>
      </c>
      <c r="D461" t="e">
        <v>#N/A</v>
      </c>
      <c r="E461" t="s">
        <v>708</v>
      </c>
      <c r="F461" t="s">
        <v>19885</v>
      </c>
    </row>
    <row r="462" spans="1:6">
      <c r="A462">
        <v>104107</v>
      </c>
      <c r="B462" t="s">
        <v>2218</v>
      </c>
      <c r="C462" t="e">
        <f>VLOOKUP(A462,'Cost Center'!A:C,3,FALSE)</f>
        <v>#N/A</v>
      </c>
      <c r="D462" t="e">
        <v>#N/A</v>
      </c>
      <c r="E462" t="s">
        <v>708</v>
      </c>
      <c r="F462" t="s">
        <v>19886</v>
      </c>
    </row>
    <row r="463" spans="1:6">
      <c r="A463">
        <v>104108</v>
      </c>
      <c r="B463" t="s">
        <v>2219</v>
      </c>
      <c r="C463" t="e">
        <f>VLOOKUP(A463,'Cost Center'!A:C,3,FALSE)</f>
        <v>#N/A</v>
      </c>
      <c r="D463" t="e">
        <v>#N/A</v>
      </c>
      <c r="E463" t="s">
        <v>708</v>
      </c>
      <c r="F463" t="s">
        <v>19887</v>
      </c>
    </row>
    <row r="464" spans="1:6">
      <c r="A464">
        <v>104307</v>
      </c>
      <c r="B464" t="s">
        <v>2220</v>
      </c>
      <c r="C464" t="str">
        <f>VLOOKUP(A464,'Cost Center'!A:C,3,FALSE)</f>
        <v>C251091</v>
      </c>
      <c r="D464" t="s">
        <v>5770</v>
      </c>
      <c r="E464" t="s">
        <v>708</v>
      </c>
      <c r="F464" t="s">
        <v>18690</v>
      </c>
    </row>
    <row r="465" spans="1:6">
      <c r="A465">
        <v>104308</v>
      </c>
      <c r="B465" t="s">
        <v>2221</v>
      </c>
      <c r="C465" t="str">
        <f>VLOOKUP(A465,'Cost Center'!A:C,3,FALSE)</f>
        <v>C251090</v>
      </c>
      <c r="D465" t="s">
        <v>5767</v>
      </c>
      <c r="E465" t="s">
        <v>708</v>
      </c>
      <c r="F465" t="s">
        <v>18689</v>
      </c>
    </row>
    <row r="466" spans="1:6">
      <c r="A466">
        <v>104321</v>
      </c>
      <c r="B466" t="s">
        <v>2222</v>
      </c>
      <c r="C466" t="str">
        <f>VLOOKUP(A466,'Cost Center'!A:C,3,FALSE)</f>
        <v>C251016</v>
      </c>
      <c r="D466" t="s">
        <v>5745</v>
      </c>
      <c r="E466" t="s">
        <v>708</v>
      </c>
      <c r="F466" t="s">
        <v>18681</v>
      </c>
    </row>
    <row r="467" spans="1:6">
      <c r="A467">
        <v>1060104</v>
      </c>
      <c r="B467" t="s">
        <v>2223</v>
      </c>
      <c r="C467" t="e">
        <f>VLOOKUP(A467,'Cost Center'!A:C,3,FALSE)</f>
        <v>#N/A</v>
      </c>
      <c r="D467" t="e">
        <v>#N/A</v>
      </c>
      <c r="E467" t="s">
        <v>708</v>
      </c>
      <c r="F467" t="s">
        <v>19888</v>
      </c>
    </row>
    <row r="468" spans="1:6">
      <c r="A468">
        <v>3200449</v>
      </c>
      <c r="B468" t="s">
        <v>1194</v>
      </c>
      <c r="C468" t="str">
        <f>VLOOKUP(A468,'Cost Center'!A:C,3,FALSE)</f>
        <v>C251000</v>
      </c>
      <c r="D468" t="s">
        <v>5706</v>
      </c>
      <c r="E468" t="s">
        <v>708</v>
      </c>
      <c r="F468" t="s">
        <v>18667</v>
      </c>
    </row>
    <row r="469" spans="1:6">
      <c r="A469">
        <v>787420</v>
      </c>
      <c r="B469" t="s">
        <v>2224</v>
      </c>
      <c r="C469" t="e">
        <f>VLOOKUP(A469,'Cost Center'!A:C,3,FALSE)</f>
        <v>#N/A</v>
      </c>
      <c r="D469" t="e">
        <v>#N/A</v>
      </c>
      <c r="E469" t="s">
        <v>708</v>
      </c>
      <c r="F469" t="s">
        <v>19889</v>
      </c>
    </row>
    <row r="470" spans="1:6">
      <c r="A470">
        <v>787570</v>
      </c>
      <c r="B470" t="s">
        <v>1154</v>
      </c>
      <c r="C470" t="str">
        <f>VLOOKUP(A470,'Cost Center'!A:C,3,FALSE)</f>
        <v>C251017</v>
      </c>
      <c r="D470" t="s">
        <v>7720</v>
      </c>
      <c r="E470" t="s">
        <v>708</v>
      </c>
      <c r="F470" t="s">
        <v>19305</v>
      </c>
    </row>
    <row r="471" spans="1:6">
      <c r="A471">
        <v>8210328</v>
      </c>
      <c r="B471" t="s">
        <v>1200</v>
      </c>
      <c r="C471" t="str">
        <f>VLOOKUP(A471,'Cost Center'!A:C,3,FALSE)</f>
        <v>C251080</v>
      </c>
      <c r="D471" t="s">
        <v>5764</v>
      </c>
      <c r="E471" t="s">
        <v>708</v>
      </c>
      <c r="F471" t="s">
        <v>18688</v>
      </c>
    </row>
    <row r="472" spans="1:6">
      <c r="A472">
        <v>8210329</v>
      </c>
      <c r="B472" t="s">
        <v>1201</v>
      </c>
      <c r="C472" t="str">
        <f>VLOOKUP(A472,'Cost Center'!A:C,3,FALSE)</f>
        <v>C251009</v>
      </c>
      <c r="D472" t="s">
        <v>5726</v>
      </c>
      <c r="E472" t="s">
        <v>708</v>
      </c>
      <c r="F472" t="s">
        <v>18674</v>
      </c>
    </row>
    <row r="473" spans="1:6">
      <c r="A473">
        <v>8560860</v>
      </c>
      <c r="B473" t="s">
        <v>2225</v>
      </c>
      <c r="C473" t="str">
        <f>VLOOKUP(A473,'Cost Center'!A:C,3,FALSE)</f>
        <v>C251005</v>
      </c>
      <c r="D473" t="s">
        <v>8400</v>
      </c>
      <c r="E473" t="s">
        <v>708</v>
      </c>
      <c r="F473" t="s">
        <v>19425</v>
      </c>
    </row>
    <row r="474" spans="1:6">
      <c r="A474">
        <v>8560861</v>
      </c>
      <c r="B474" t="s">
        <v>2226</v>
      </c>
      <c r="C474" t="e">
        <f>VLOOKUP(A474,'Cost Center'!A:C,3,FALSE)</f>
        <v>#N/A</v>
      </c>
      <c r="D474" t="e">
        <v>#N/A</v>
      </c>
      <c r="E474" t="s">
        <v>708</v>
      </c>
      <c r="F474" t="s">
        <v>19890</v>
      </c>
    </row>
    <row r="475" spans="1:6">
      <c r="A475">
        <v>113900</v>
      </c>
      <c r="B475" t="s">
        <v>2227</v>
      </c>
      <c r="C475" t="e">
        <f>VLOOKUP(A475,'Cost Center'!A:C,3,FALSE)</f>
        <v>#N/A</v>
      </c>
      <c r="D475" t="e">
        <v>#N/A</v>
      </c>
      <c r="E475" t="s">
        <v>708</v>
      </c>
      <c r="F475" t="s">
        <v>19891</v>
      </c>
    </row>
    <row r="476" spans="1:6">
      <c r="A476">
        <v>113901</v>
      </c>
      <c r="B476" t="s">
        <v>2228</v>
      </c>
      <c r="C476" t="str">
        <f>VLOOKUP(A476,'Cost Center'!A:C,3,FALSE)</f>
        <v>C258998</v>
      </c>
      <c r="D476" t="s">
        <v>6493</v>
      </c>
      <c r="E476" t="s">
        <v>708</v>
      </c>
      <c r="F476" t="s">
        <v>18919</v>
      </c>
    </row>
    <row r="477" spans="1:6">
      <c r="A477">
        <v>1053502</v>
      </c>
      <c r="B477" t="s">
        <v>2229</v>
      </c>
      <c r="C477" t="e">
        <f>VLOOKUP(A477,'Cost Center'!A:C,3,FALSE)</f>
        <v>#N/A</v>
      </c>
      <c r="D477" t="e">
        <v>#N/A</v>
      </c>
      <c r="E477" t="s">
        <v>708</v>
      </c>
      <c r="F477" t="s">
        <v>19892</v>
      </c>
    </row>
    <row r="478" spans="1:6">
      <c r="A478">
        <v>1053503</v>
      </c>
      <c r="B478" t="s">
        <v>2230</v>
      </c>
      <c r="C478" t="e">
        <f>VLOOKUP(A478,'Cost Center'!A:C,3,FALSE)</f>
        <v>#N/A</v>
      </c>
      <c r="D478" t="e">
        <v>#N/A</v>
      </c>
      <c r="E478" t="s">
        <v>708</v>
      </c>
      <c r="F478" t="s">
        <v>19893</v>
      </c>
    </row>
    <row r="479" spans="1:6">
      <c r="A479">
        <v>1053500</v>
      </c>
      <c r="B479" t="s">
        <v>1176</v>
      </c>
      <c r="C479" t="str">
        <f>VLOOKUP(A479,'Cost Center'!A:C,3,FALSE)</f>
        <v>C251319</v>
      </c>
      <c r="D479" t="s">
        <v>7905</v>
      </c>
      <c r="E479" t="s">
        <v>708</v>
      </c>
      <c r="F479" t="s">
        <v>19331</v>
      </c>
    </row>
    <row r="480" spans="1:6">
      <c r="A480">
        <v>1053505</v>
      </c>
      <c r="B480" t="s">
        <v>2231</v>
      </c>
      <c r="C480" t="e">
        <f>VLOOKUP(A480,'Cost Center'!A:C,3,FALSE)</f>
        <v>#N/A</v>
      </c>
      <c r="D480" t="e">
        <v>#N/A</v>
      </c>
      <c r="E480" t="s">
        <v>708</v>
      </c>
      <c r="F480" t="s">
        <v>19894</v>
      </c>
    </row>
    <row r="481" spans="1:6">
      <c r="A481">
        <v>1053506</v>
      </c>
      <c r="B481" t="s">
        <v>2232</v>
      </c>
      <c r="C481" t="e">
        <f>VLOOKUP(A481,'Cost Center'!A:C,3,FALSE)</f>
        <v>#N/A</v>
      </c>
      <c r="D481" t="e">
        <v>#N/A</v>
      </c>
      <c r="E481" t="s">
        <v>708</v>
      </c>
      <c r="F481" t="s">
        <v>19895</v>
      </c>
    </row>
    <row r="482" spans="1:6">
      <c r="A482">
        <v>1053508</v>
      </c>
      <c r="B482" t="s">
        <v>2233</v>
      </c>
      <c r="C482" t="e">
        <f>VLOOKUP(A482,'Cost Center'!A:C,3,FALSE)</f>
        <v>#N/A</v>
      </c>
      <c r="D482" t="e">
        <v>#N/A</v>
      </c>
      <c r="E482" t="s">
        <v>708</v>
      </c>
      <c r="F482" t="s">
        <v>19896</v>
      </c>
    </row>
    <row r="483" spans="1:6">
      <c r="A483">
        <v>1053509</v>
      </c>
      <c r="B483" t="s">
        <v>2234</v>
      </c>
      <c r="C483" t="e">
        <f>VLOOKUP(A483,'Cost Center'!A:C,3,FALSE)</f>
        <v>#N/A</v>
      </c>
      <c r="D483" t="e">
        <v>#N/A</v>
      </c>
      <c r="E483" t="s">
        <v>708</v>
      </c>
      <c r="F483" t="s">
        <v>19897</v>
      </c>
    </row>
    <row r="484" spans="1:6">
      <c r="A484">
        <v>10307</v>
      </c>
      <c r="B484" t="s">
        <v>2235</v>
      </c>
      <c r="C484" t="str">
        <f>VLOOKUP(A484,'Cost Center'!A:C,3,FALSE)</f>
        <v>C251413</v>
      </c>
      <c r="D484" t="s">
        <v>6045</v>
      </c>
      <c r="E484" t="s">
        <v>708</v>
      </c>
      <c r="F484" t="s">
        <v>18785</v>
      </c>
    </row>
    <row r="485" spans="1:6">
      <c r="A485" t="s">
        <v>2236</v>
      </c>
      <c r="B485" t="s">
        <v>2237</v>
      </c>
      <c r="C485" t="e">
        <f>VLOOKUP(A485,'Cost Center'!A:C,3,FALSE)</f>
        <v>#N/A</v>
      </c>
      <c r="D485" t="e">
        <v>#N/A</v>
      </c>
      <c r="E485" t="s">
        <v>708</v>
      </c>
      <c r="F485" t="s">
        <v>2236</v>
      </c>
    </row>
    <row r="486" spans="1:6">
      <c r="A486">
        <v>3100443</v>
      </c>
      <c r="B486" t="s">
        <v>1184</v>
      </c>
      <c r="C486" t="str">
        <f>VLOOKUP(A486,'Cost Center'!A:C,3,FALSE)</f>
        <v>C251329</v>
      </c>
      <c r="D486" t="s">
        <v>5856</v>
      </c>
      <c r="E486" t="s">
        <v>708</v>
      </c>
      <c r="F486" t="s">
        <v>18721</v>
      </c>
    </row>
    <row r="487" spans="1:6">
      <c r="A487">
        <v>3200452</v>
      </c>
      <c r="B487" t="s">
        <v>2238</v>
      </c>
      <c r="C487" t="str">
        <f>VLOOKUP(A487,'Cost Center'!A:C,3,FALSE)</f>
        <v>C251339</v>
      </c>
      <c r="D487" t="s">
        <v>7949</v>
      </c>
      <c r="E487" t="s">
        <v>708</v>
      </c>
      <c r="F487" t="s">
        <v>19347</v>
      </c>
    </row>
    <row r="488" spans="1:6">
      <c r="A488">
        <v>3200473</v>
      </c>
      <c r="B488" t="s">
        <v>1197</v>
      </c>
      <c r="C488" t="str">
        <f>VLOOKUP(A488,'Cost Center'!A:C,3,FALSE)</f>
        <v>C251342</v>
      </c>
      <c r="D488" t="s">
        <v>5892</v>
      </c>
      <c r="E488" t="s">
        <v>708</v>
      </c>
      <c r="F488" t="s">
        <v>18733</v>
      </c>
    </row>
    <row r="489" spans="1:6">
      <c r="A489">
        <v>8410726</v>
      </c>
      <c r="B489" t="s">
        <v>2239</v>
      </c>
      <c r="C489" t="e">
        <f>VLOOKUP(A489,'Cost Center'!A:C,3,FALSE)</f>
        <v>#N/A</v>
      </c>
      <c r="D489" t="e">
        <v>#N/A</v>
      </c>
      <c r="E489" t="s">
        <v>708</v>
      </c>
      <c r="F489" t="s">
        <v>19898</v>
      </c>
    </row>
    <row r="490" spans="1:6">
      <c r="A490">
        <v>8520503</v>
      </c>
      <c r="B490" t="s">
        <v>1206</v>
      </c>
      <c r="C490" t="str">
        <f>VLOOKUP(A490,'Cost Center'!A:C,3,FALSE)</f>
        <v>C251363</v>
      </c>
      <c r="D490" t="s">
        <v>8030</v>
      </c>
      <c r="E490" t="s">
        <v>708</v>
      </c>
      <c r="F490" t="s">
        <v>19369</v>
      </c>
    </row>
    <row r="491" spans="1:6">
      <c r="A491" t="s">
        <v>2240</v>
      </c>
      <c r="B491" t="s">
        <v>2241</v>
      </c>
      <c r="C491" t="e">
        <f>VLOOKUP(A491,'Cost Center'!A:C,3,FALSE)</f>
        <v>#N/A</v>
      </c>
      <c r="D491" t="e">
        <v>#N/A</v>
      </c>
      <c r="E491" t="s">
        <v>708</v>
      </c>
      <c r="F491" t="s">
        <v>2240</v>
      </c>
    </row>
    <row r="492" spans="1:6">
      <c r="A492">
        <v>8551043</v>
      </c>
      <c r="B492" t="s">
        <v>1209</v>
      </c>
      <c r="C492" t="str">
        <f>VLOOKUP(A492,'Cost Center'!A:C,3,FALSE)</f>
        <v>C251390</v>
      </c>
      <c r="D492" t="s">
        <v>8258</v>
      </c>
      <c r="E492" t="s">
        <v>708</v>
      </c>
      <c r="F492" t="s">
        <v>19407</v>
      </c>
    </row>
    <row r="493" spans="1:6">
      <c r="A493">
        <v>3100510</v>
      </c>
      <c r="B493" t="s">
        <v>2242</v>
      </c>
      <c r="C493" t="str">
        <f>VLOOKUP(A493,'Cost Center'!A:C,3,FALSE)</f>
        <v>C251332</v>
      </c>
      <c r="D493" t="s">
        <v>7938</v>
      </c>
      <c r="E493" t="s">
        <v>708</v>
      </c>
      <c r="F493" t="s">
        <v>19343</v>
      </c>
    </row>
    <row r="494" spans="1:6">
      <c r="A494">
        <v>10318</v>
      </c>
      <c r="B494" t="s">
        <v>2243</v>
      </c>
      <c r="C494" t="str">
        <f>VLOOKUP(A494,'Cost Center'!A:C,3,FALSE)</f>
        <v>C251304</v>
      </c>
      <c r="D494" t="s">
        <v>5797</v>
      </c>
      <c r="E494" t="s">
        <v>708</v>
      </c>
      <c r="F494" t="s">
        <v>18701</v>
      </c>
    </row>
    <row r="495" spans="1:6">
      <c r="A495">
        <v>10328</v>
      </c>
      <c r="B495" t="s">
        <v>751</v>
      </c>
      <c r="C495" t="str">
        <f>VLOOKUP(A495,'Cost Center'!A:C,3,FALSE)</f>
        <v>C251309</v>
      </c>
      <c r="D495" t="s">
        <v>5811</v>
      </c>
      <c r="E495" t="s">
        <v>708</v>
      </c>
      <c r="F495" t="s">
        <v>18706</v>
      </c>
    </row>
    <row r="496" spans="1:6">
      <c r="A496">
        <v>6121</v>
      </c>
      <c r="B496" t="s">
        <v>2244</v>
      </c>
      <c r="C496" t="str">
        <f>VLOOKUP(A496,'Cost Center'!A:C,3,FALSE)</f>
        <v>C251352</v>
      </c>
      <c r="D496" t="s">
        <v>5916</v>
      </c>
      <c r="E496" t="s">
        <v>708</v>
      </c>
      <c r="F496" t="s">
        <v>18741</v>
      </c>
    </row>
    <row r="497" spans="1:6">
      <c r="A497">
        <v>8530123</v>
      </c>
      <c r="B497" t="s">
        <v>2245</v>
      </c>
      <c r="C497" t="e">
        <f>VLOOKUP(A497,'Cost Center'!A:C,3,FALSE)</f>
        <v>#N/A</v>
      </c>
      <c r="D497" t="e">
        <v>#N/A</v>
      </c>
      <c r="E497" t="s">
        <v>708</v>
      </c>
      <c r="F497" t="s">
        <v>19899</v>
      </c>
    </row>
    <row r="498" spans="1:6">
      <c r="A498">
        <v>8530421</v>
      </c>
      <c r="B498" t="s">
        <v>2246</v>
      </c>
      <c r="C498" t="e">
        <f>VLOOKUP(A498,'Cost Center'!A:C,3,FALSE)</f>
        <v>#N/A</v>
      </c>
      <c r="D498" t="e">
        <v>#N/A</v>
      </c>
      <c r="E498" t="s">
        <v>708</v>
      </c>
      <c r="F498" t="s">
        <v>19900</v>
      </c>
    </row>
    <row r="499" spans="1:6">
      <c r="A499">
        <v>8530522</v>
      </c>
      <c r="B499" t="s">
        <v>2247</v>
      </c>
      <c r="C499" t="e">
        <f>VLOOKUP(A499,'Cost Center'!A:C,3,FALSE)</f>
        <v>#N/A</v>
      </c>
      <c r="D499" t="e">
        <v>#N/A</v>
      </c>
      <c r="E499" t="s">
        <v>708</v>
      </c>
      <c r="F499" t="s">
        <v>19901</v>
      </c>
    </row>
    <row r="500" spans="1:6">
      <c r="A500">
        <v>8530530</v>
      </c>
      <c r="B500" t="s">
        <v>2248</v>
      </c>
      <c r="C500" t="str">
        <f>VLOOKUP(A500,'Cost Center'!A:C,3,FALSE)</f>
        <v>C251372</v>
      </c>
      <c r="D500" t="s">
        <v>8102</v>
      </c>
      <c r="E500" t="s">
        <v>708</v>
      </c>
      <c r="F500" t="s">
        <v>19387</v>
      </c>
    </row>
    <row r="501" spans="1:6">
      <c r="A501">
        <v>10301</v>
      </c>
      <c r="B501" t="s">
        <v>745</v>
      </c>
      <c r="C501" t="str">
        <f>VLOOKUP(A501,'Cost Center'!A:C,3,FALSE)</f>
        <v>C251300</v>
      </c>
      <c r="D501" t="s">
        <v>5788</v>
      </c>
      <c r="E501" t="s">
        <v>708</v>
      </c>
      <c r="F501" t="s">
        <v>18697</v>
      </c>
    </row>
    <row r="502" spans="1:6">
      <c r="A502">
        <v>10322</v>
      </c>
      <c r="B502" t="s">
        <v>2249</v>
      </c>
      <c r="C502" t="str">
        <f>VLOOKUP(A502,'Cost Center'!A:C,3,FALSE)</f>
        <v>C251305</v>
      </c>
      <c r="D502" t="s">
        <v>5799</v>
      </c>
      <c r="E502" t="s">
        <v>708</v>
      </c>
      <c r="F502" t="s">
        <v>18702</v>
      </c>
    </row>
    <row r="503" spans="1:6">
      <c r="A503">
        <v>10327</v>
      </c>
      <c r="B503" t="s">
        <v>750</v>
      </c>
      <c r="C503" t="str">
        <f>VLOOKUP(A503,'Cost Center'!A:C,3,FALSE)</f>
        <v>C251308</v>
      </c>
      <c r="D503" t="s">
        <v>5808</v>
      </c>
      <c r="E503" t="s">
        <v>708</v>
      </c>
      <c r="F503" t="s">
        <v>18705</v>
      </c>
    </row>
    <row r="504" spans="1:6">
      <c r="A504">
        <v>3110371</v>
      </c>
      <c r="B504" t="s">
        <v>2250</v>
      </c>
      <c r="C504" t="str">
        <f>VLOOKUP(A504,'Cost Center'!A:C,3,FALSE)</f>
        <v>C251336</v>
      </c>
      <c r="D504" t="s">
        <v>5874</v>
      </c>
      <c r="E504" t="s">
        <v>708</v>
      </c>
      <c r="F504" t="s">
        <v>18727</v>
      </c>
    </row>
    <row r="505" spans="1:6">
      <c r="A505" t="s">
        <v>2251</v>
      </c>
      <c r="B505" t="s">
        <v>2252</v>
      </c>
      <c r="C505" t="str">
        <f>VLOOKUP(A505,'Cost Center'!A:C,3,FALSE)</f>
        <v>C251357</v>
      </c>
      <c r="D505" t="s">
        <v>5928</v>
      </c>
      <c r="E505" t="s">
        <v>708</v>
      </c>
      <c r="F505" t="s">
        <v>2251</v>
      </c>
    </row>
    <row r="506" spans="1:6">
      <c r="A506" t="s">
        <v>0</v>
      </c>
      <c r="B506" t="s">
        <v>1216</v>
      </c>
      <c r="C506" t="str">
        <f>VLOOKUP(A506,'Cost Center'!A:C,3,FALSE)</f>
        <v>C251365</v>
      </c>
      <c r="D506" t="s">
        <v>11590</v>
      </c>
      <c r="E506" t="s">
        <v>708</v>
      </c>
      <c r="F506" t="s">
        <v>0</v>
      </c>
    </row>
    <row r="507" spans="1:6">
      <c r="A507">
        <v>8550222</v>
      </c>
      <c r="B507" t="s">
        <v>2253</v>
      </c>
      <c r="C507" t="e">
        <f>VLOOKUP(A507,'Cost Center'!A:C,3,FALSE)</f>
        <v>#N/A</v>
      </c>
      <c r="D507" t="e">
        <v>#N/A</v>
      </c>
      <c r="E507" t="s">
        <v>708</v>
      </c>
      <c r="F507" t="s">
        <v>19902</v>
      </c>
    </row>
    <row r="508" spans="1:6">
      <c r="A508">
        <v>8550323</v>
      </c>
      <c r="B508" t="s">
        <v>2254</v>
      </c>
      <c r="C508" t="str">
        <f>VLOOKUP(A508,'Cost Center'!A:C,3,FALSE)</f>
        <v>C251379</v>
      </c>
      <c r="D508" t="s">
        <v>8183</v>
      </c>
      <c r="E508" t="s">
        <v>708</v>
      </c>
      <c r="F508" t="s">
        <v>19395</v>
      </c>
    </row>
    <row r="509" spans="1:6">
      <c r="A509">
        <v>8550424</v>
      </c>
      <c r="B509" t="s">
        <v>2255</v>
      </c>
      <c r="C509" t="str">
        <f>VLOOKUP(A509,'Cost Center'!A:C,3,FALSE)</f>
        <v>C251383</v>
      </c>
      <c r="D509" t="s">
        <v>8215</v>
      </c>
      <c r="E509" t="s">
        <v>708</v>
      </c>
      <c r="F509" t="s">
        <v>19400</v>
      </c>
    </row>
    <row r="510" spans="1:6">
      <c r="A510">
        <v>8550525</v>
      </c>
      <c r="B510" t="s">
        <v>2256</v>
      </c>
      <c r="C510" t="str">
        <f>VLOOKUP(A510,'Cost Center'!A:C,3,FALSE)</f>
        <v>C251388</v>
      </c>
      <c r="D510" t="s">
        <v>8240</v>
      </c>
      <c r="E510" t="s">
        <v>708</v>
      </c>
      <c r="F510" t="s">
        <v>19405</v>
      </c>
    </row>
    <row r="511" spans="1:6">
      <c r="A511">
        <v>8551020</v>
      </c>
      <c r="B511" t="s">
        <v>2257</v>
      </c>
      <c r="C511" t="str">
        <f>VLOOKUP(A511,'Cost Center'!A:C,3,FALSE)</f>
        <v>C251405</v>
      </c>
      <c r="D511" t="s">
        <v>8246</v>
      </c>
      <c r="E511" t="s">
        <v>708</v>
      </c>
      <c r="F511" t="s">
        <v>19406</v>
      </c>
    </row>
    <row r="512" spans="1:6">
      <c r="A512">
        <v>10329</v>
      </c>
      <c r="B512" t="s">
        <v>752</v>
      </c>
      <c r="C512" t="str">
        <f>VLOOKUP(A512,'Cost Center'!A:C,3,FALSE)</f>
        <v>C251310</v>
      </c>
      <c r="D512" t="s">
        <v>5814</v>
      </c>
      <c r="E512" t="s">
        <v>708</v>
      </c>
      <c r="F512" t="s">
        <v>18707</v>
      </c>
    </row>
    <row r="513" spans="1:6">
      <c r="A513">
        <v>3100445</v>
      </c>
      <c r="B513" t="s">
        <v>2258</v>
      </c>
      <c r="C513" t="str">
        <f>VLOOKUP(A513,'Cost Center'!A:C,3,FALSE)</f>
        <v>C251330</v>
      </c>
      <c r="D513" t="s">
        <v>7930</v>
      </c>
      <c r="E513" t="s">
        <v>708</v>
      </c>
      <c r="F513" t="s">
        <v>19340</v>
      </c>
    </row>
    <row r="514" spans="1:6">
      <c r="A514">
        <v>3100545</v>
      </c>
      <c r="B514" t="s">
        <v>1188</v>
      </c>
      <c r="C514" t="str">
        <f>VLOOKUP(A514,'Cost Center'!A:C,3,FALSE)</f>
        <v>C251333</v>
      </c>
      <c r="D514" t="s">
        <v>7941</v>
      </c>
      <c r="E514" t="s">
        <v>708</v>
      </c>
      <c r="F514" t="s">
        <v>19344</v>
      </c>
    </row>
    <row r="515" spans="1:6">
      <c r="A515">
        <v>3200420</v>
      </c>
      <c r="B515" t="s">
        <v>1192</v>
      </c>
      <c r="C515" t="str">
        <f>VLOOKUP(A515,'Cost Center'!A:C,3,FALSE)</f>
        <v>C251337</v>
      </c>
      <c r="D515" t="s">
        <v>5877</v>
      </c>
      <c r="E515" t="s">
        <v>708</v>
      </c>
      <c r="F515" t="s">
        <v>18728</v>
      </c>
    </row>
    <row r="516" spans="1:6">
      <c r="A516">
        <v>8540131</v>
      </c>
      <c r="B516" t="s">
        <v>2259</v>
      </c>
      <c r="C516" t="e">
        <f>VLOOKUP(A516,'Cost Center'!A:C,3,FALSE)</f>
        <v>#N/A</v>
      </c>
      <c r="D516" t="e">
        <v>#N/A</v>
      </c>
      <c r="E516" t="s">
        <v>708</v>
      </c>
      <c r="F516" t="s">
        <v>19903</v>
      </c>
    </row>
    <row r="517" spans="1:6">
      <c r="A517">
        <v>8540531</v>
      </c>
      <c r="B517" t="s">
        <v>2260</v>
      </c>
      <c r="C517" t="e">
        <f>VLOOKUP(A517,'Cost Center'!A:C,3,FALSE)</f>
        <v>#N/A</v>
      </c>
      <c r="D517" t="e">
        <v>#N/A</v>
      </c>
      <c r="E517" t="s">
        <v>708</v>
      </c>
      <c r="F517" t="s">
        <v>19904</v>
      </c>
    </row>
    <row r="518" spans="1:6">
      <c r="A518">
        <v>8545650</v>
      </c>
      <c r="B518" t="s">
        <v>2261</v>
      </c>
      <c r="C518" t="str">
        <f>VLOOKUP(A518,'Cost Center'!A:C,3,FALSE)</f>
        <v>C251377</v>
      </c>
      <c r="D518" t="s">
        <v>8155</v>
      </c>
      <c r="E518" t="s">
        <v>708</v>
      </c>
      <c r="F518" t="s">
        <v>19393</v>
      </c>
    </row>
    <row r="519" spans="1:6">
      <c r="A519">
        <v>8550123</v>
      </c>
      <c r="B519" t="s">
        <v>2262</v>
      </c>
      <c r="C519" t="e">
        <f>VLOOKUP(A519,'Cost Center'!A:C,3,FALSE)</f>
        <v>#N/A</v>
      </c>
      <c r="D519" t="e">
        <v>#N/A</v>
      </c>
      <c r="E519" t="s">
        <v>708</v>
      </c>
      <c r="F519" t="s">
        <v>19905</v>
      </c>
    </row>
    <row r="520" spans="1:6">
      <c r="A520">
        <v>8550124</v>
      </c>
      <c r="B520" t="s">
        <v>2263</v>
      </c>
      <c r="C520" t="e">
        <f>VLOOKUP(A520,'Cost Center'!A:C,3,FALSE)</f>
        <v>#N/A</v>
      </c>
      <c r="D520" t="e">
        <v>#N/A</v>
      </c>
      <c r="E520" t="s">
        <v>708</v>
      </c>
      <c r="F520" t="s">
        <v>19906</v>
      </c>
    </row>
    <row r="521" spans="1:6">
      <c r="A521">
        <v>8550125</v>
      </c>
      <c r="B521" t="s">
        <v>2264</v>
      </c>
      <c r="C521" t="e">
        <f>VLOOKUP(A521,'Cost Center'!A:C,3,FALSE)</f>
        <v>#N/A</v>
      </c>
      <c r="D521" t="e">
        <v>#N/A</v>
      </c>
      <c r="E521" t="s">
        <v>708</v>
      </c>
      <c r="F521" t="s">
        <v>19907</v>
      </c>
    </row>
    <row r="522" spans="1:6">
      <c r="A522">
        <v>8550127</v>
      </c>
      <c r="B522" t="s">
        <v>2265</v>
      </c>
      <c r="C522" t="e">
        <f>VLOOKUP(A522,'Cost Center'!A:C,3,FALSE)</f>
        <v>#N/A</v>
      </c>
      <c r="D522" t="e">
        <v>#N/A</v>
      </c>
      <c r="E522" t="s">
        <v>708</v>
      </c>
      <c r="F522" t="s">
        <v>19908</v>
      </c>
    </row>
    <row r="523" spans="1:6">
      <c r="A523">
        <v>8550304</v>
      </c>
      <c r="B523" t="s">
        <v>2266</v>
      </c>
      <c r="C523" t="str">
        <f>VLOOKUP(A523,'Cost Center'!A:C,3,FALSE)</f>
        <v>C251378</v>
      </c>
      <c r="D523" t="s">
        <v>8166</v>
      </c>
      <c r="E523" t="s">
        <v>708</v>
      </c>
      <c r="F523" t="s">
        <v>19394</v>
      </c>
    </row>
    <row r="524" spans="1:6">
      <c r="A524">
        <v>8550401</v>
      </c>
      <c r="B524" t="s">
        <v>2267</v>
      </c>
      <c r="C524" t="str">
        <f>VLOOKUP(A524,'Cost Center'!A:C,3,FALSE)</f>
        <v>C251380</v>
      </c>
      <c r="D524" t="s">
        <v>8185</v>
      </c>
      <c r="E524" t="s">
        <v>708</v>
      </c>
      <c r="F524" t="s">
        <v>19396</v>
      </c>
    </row>
    <row r="525" spans="1:6">
      <c r="A525">
        <v>8550406</v>
      </c>
      <c r="B525" t="s">
        <v>2268</v>
      </c>
      <c r="C525" t="str">
        <f>VLOOKUP(A525,'Cost Center'!A:C,3,FALSE)</f>
        <v>C251381</v>
      </c>
      <c r="D525" t="s">
        <v>8202</v>
      </c>
      <c r="E525" t="s">
        <v>708</v>
      </c>
      <c r="F525" t="s">
        <v>19397</v>
      </c>
    </row>
    <row r="526" spans="1:6">
      <c r="A526">
        <v>8550415</v>
      </c>
      <c r="B526" t="s">
        <v>2269</v>
      </c>
      <c r="C526" t="e">
        <f>VLOOKUP(A526,'Cost Center'!A:C,3,FALSE)</f>
        <v>#N/A</v>
      </c>
      <c r="D526" t="e">
        <v>#N/A</v>
      </c>
      <c r="E526" t="s">
        <v>708</v>
      </c>
      <c r="F526" t="s">
        <v>19909</v>
      </c>
    </row>
    <row r="527" spans="1:6">
      <c r="A527">
        <v>8550418</v>
      </c>
      <c r="B527" t="s">
        <v>2270</v>
      </c>
      <c r="C527" t="str">
        <f>VLOOKUP(A527,'Cost Center'!A:C,3,FALSE)</f>
        <v>C251382</v>
      </c>
      <c r="D527" t="s">
        <v>8210</v>
      </c>
      <c r="E527" t="s">
        <v>708</v>
      </c>
      <c r="F527" t="s">
        <v>19398</v>
      </c>
    </row>
    <row r="528" spans="1:6">
      <c r="A528">
        <v>8550419</v>
      </c>
      <c r="B528" t="s">
        <v>2271</v>
      </c>
      <c r="C528" t="e">
        <f>VLOOKUP(A528,'Cost Center'!A:C,3,FALSE)</f>
        <v>#N/A</v>
      </c>
      <c r="D528" t="e">
        <v>#N/A</v>
      </c>
      <c r="E528" t="s">
        <v>708</v>
      </c>
      <c r="F528" t="s">
        <v>19910</v>
      </c>
    </row>
    <row r="529" spans="1:6">
      <c r="A529">
        <v>8550505</v>
      </c>
      <c r="B529" t="s">
        <v>2272</v>
      </c>
      <c r="C529" t="e">
        <f>VLOOKUP(A529,'Cost Center'!A:C,3,FALSE)</f>
        <v>#N/A</v>
      </c>
      <c r="D529" t="e">
        <v>#N/A</v>
      </c>
      <c r="E529" t="s">
        <v>708</v>
      </c>
      <c r="F529" t="s">
        <v>19911</v>
      </c>
    </row>
    <row r="530" spans="1:6">
      <c r="A530">
        <v>8550508</v>
      </c>
      <c r="B530" t="s">
        <v>2273</v>
      </c>
      <c r="C530" t="str">
        <f>VLOOKUP(A530,'Cost Center'!A:C,3,FALSE)</f>
        <v>C251384</v>
      </c>
      <c r="D530" t="s">
        <v>8226</v>
      </c>
      <c r="E530" t="s">
        <v>708</v>
      </c>
      <c r="F530" t="s">
        <v>19401</v>
      </c>
    </row>
    <row r="531" spans="1:6">
      <c r="A531">
        <v>8550509</v>
      </c>
      <c r="B531" t="s">
        <v>2274</v>
      </c>
      <c r="C531" t="str">
        <f>VLOOKUP(A531,'Cost Center'!A:C,3,FALSE)</f>
        <v>C251385</v>
      </c>
      <c r="D531" t="s">
        <v>8228</v>
      </c>
      <c r="E531" t="s">
        <v>708</v>
      </c>
      <c r="F531" t="s">
        <v>19402</v>
      </c>
    </row>
    <row r="532" spans="1:6">
      <c r="A532">
        <v>8550510</v>
      </c>
      <c r="B532" t="s">
        <v>2275</v>
      </c>
      <c r="C532" t="str">
        <f>VLOOKUP(A532,'Cost Center'!A:C,3,FALSE)</f>
        <v>C251386</v>
      </c>
      <c r="D532" t="s">
        <v>8233</v>
      </c>
      <c r="E532" t="s">
        <v>708</v>
      </c>
      <c r="F532" t="s">
        <v>19403</v>
      </c>
    </row>
    <row r="533" spans="1:6">
      <c r="A533">
        <v>8550511</v>
      </c>
      <c r="B533" t="s">
        <v>2276</v>
      </c>
      <c r="C533" t="str">
        <f>VLOOKUP(A533,'Cost Center'!A:C,3,FALSE)</f>
        <v>C251387</v>
      </c>
      <c r="D533" t="s">
        <v>8238</v>
      </c>
      <c r="E533" t="s">
        <v>708</v>
      </c>
      <c r="F533" t="s">
        <v>19404</v>
      </c>
    </row>
    <row r="534" spans="1:6">
      <c r="A534">
        <v>504000</v>
      </c>
      <c r="B534" t="s">
        <v>1128</v>
      </c>
      <c r="C534" t="str">
        <f>VLOOKUP(A534,'Cost Center'!A:C,3,FALSE)</f>
        <v>C251412</v>
      </c>
      <c r="D534" t="s">
        <v>8497</v>
      </c>
      <c r="E534" t="s">
        <v>708</v>
      </c>
      <c r="F534" t="s">
        <v>19432</v>
      </c>
    </row>
    <row r="535" spans="1:6">
      <c r="A535">
        <v>10325</v>
      </c>
      <c r="B535" t="s">
        <v>748</v>
      </c>
      <c r="C535" t="str">
        <f>VLOOKUP(A535,'Cost Center'!A:C,3,FALSE)</f>
        <v>C251306</v>
      </c>
      <c r="D535" t="s">
        <v>5091</v>
      </c>
      <c r="E535" t="s">
        <v>708</v>
      </c>
      <c r="F535" t="s">
        <v>18493</v>
      </c>
    </row>
    <row r="536" spans="1:6">
      <c r="A536">
        <v>3200475</v>
      </c>
      <c r="B536" t="s">
        <v>1198</v>
      </c>
      <c r="C536" t="str">
        <f>VLOOKUP(A536,'Cost Center'!A:C,3,FALSE)</f>
        <v>C251408</v>
      </c>
      <c r="D536" t="s">
        <v>7963</v>
      </c>
      <c r="E536" t="s">
        <v>708</v>
      </c>
      <c r="F536" t="s">
        <v>19352</v>
      </c>
    </row>
    <row r="537" spans="1:6">
      <c r="A537">
        <v>38212</v>
      </c>
      <c r="B537" t="s">
        <v>2277</v>
      </c>
      <c r="C537" t="e">
        <f>VLOOKUP(A537,'Cost Center'!A:C,3,FALSE)</f>
        <v>#N/A</v>
      </c>
      <c r="D537" t="e">
        <v>#N/A</v>
      </c>
      <c r="E537" t="s">
        <v>708</v>
      </c>
      <c r="F537" t="s">
        <v>19912</v>
      </c>
    </row>
    <row r="538" spans="1:6">
      <c r="A538">
        <v>38213</v>
      </c>
      <c r="B538" t="s">
        <v>798</v>
      </c>
      <c r="C538" t="str">
        <f>VLOOKUP(A538,'Cost Center'!A:C,3,FALSE)</f>
        <v>C251346</v>
      </c>
      <c r="D538" t="s">
        <v>5903</v>
      </c>
      <c r="E538" t="s">
        <v>708</v>
      </c>
      <c r="F538" t="s">
        <v>18737</v>
      </c>
    </row>
    <row r="539" spans="1:6">
      <c r="A539">
        <v>38214</v>
      </c>
      <c r="B539" t="s">
        <v>799</v>
      </c>
      <c r="C539" t="str">
        <f>VLOOKUP(A539,'Cost Center'!A:C,3,FALSE)</f>
        <v>C251347</v>
      </c>
      <c r="D539" t="s">
        <v>5908</v>
      </c>
      <c r="E539" t="s">
        <v>708</v>
      </c>
      <c r="F539" t="s">
        <v>18738</v>
      </c>
    </row>
    <row r="540" spans="1:6">
      <c r="A540">
        <v>38254</v>
      </c>
      <c r="B540" t="s">
        <v>800</v>
      </c>
      <c r="C540" t="str">
        <f>VLOOKUP(A540,'Cost Center'!A:C,3,FALSE)</f>
        <v>C251348</v>
      </c>
      <c r="D540" t="s">
        <v>5479</v>
      </c>
      <c r="E540" t="s">
        <v>708</v>
      </c>
      <c r="F540" t="s">
        <v>18594</v>
      </c>
    </row>
    <row r="541" spans="1:6">
      <c r="A541">
        <v>38255</v>
      </c>
      <c r="B541" t="s">
        <v>801</v>
      </c>
      <c r="C541" t="str">
        <f>VLOOKUP(A541,'Cost Center'!A:C,3,FALSE)</f>
        <v>C251349</v>
      </c>
      <c r="D541" t="s">
        <v>5482</v>
      </c>
      <c r="E541" t="s">
        <v>708</v>
      </c>
      <c r="F541" t="s">
        <v>18595</v>
      </c>
    </row>
    <row r="542" spans="1:6">
      <c r="A542">
        <v>38259</v>
      </c>
      <c r="B542" t="s">
        <v>802</v>
      </c>
      <c r="C542" t="str">
        <f>VLOOKUP(A542,'Cost Center'!A:C,3,FALSE)</f>
        <v>C251350</v>
      </c>
      <c r="D542" t="s">
        <v>5489</v>
      </c>
      <c r="E542" t="s">
        <v>708</v>
      </c>
      <c r="F542" t="s">
        <v>18596</v>
      </c>
    </row>
    <row r="543" spans="1:6">
      <c r="A543">
        <v>38280</v>
      </c>
      <c r="B543" t="s">
        <v>804</v>
      </c>
      <c r="C543" t="str">
        <f>VLOOKUP(A543,'Cost Center'!A:C,3,FALSE)</f>
        <v>C251351</v>
      </c>
      <c r="D543" t="s">
        <v>5914</v>
      </c>
      <c r="E543" t="s">
        <v>708</v>
      </c>
      <c r="F543" t="s">
        <v>18740</v>
      </c>
    </row>
    <row r="544" spans="1:6">
      <c r="A544">
        <v>48900</v>
      </c>
      <c r="B544" t="s">
        <v>2278</v>
      </c>
      <c r="C544" t="e">
        <f>VLOOKUP(A544,'Cost Center'!A:C,3,FALSE)</f>
        <v>#N/A</v>
      </c>
      <c r="D544" t="e">
        <v>#N/A</v>
      </c>
      <c r="E544" t="s">
        <v>708</v>
      </c>
      <c r="F544" t="s">
        <v>19913</v>
      </c>
    </row>
    <row r="545" spans="1:6">
      <c r="A545">
        <v>6573</v>
      </c>
      <c r="B545" t="s">
        <v>2279</v>
      </c>
      <c r="C545" t="str">
        <f>VLOOKUP(A545,'Cost Center'!A:C,3,FALSE)</f>
        <v>C251353</v>
      </c>
      <c r="D545" t="s">
        <v>3930</v>
      </c>
      <c r="E545" t="s">
        <v>708</v>
      </c>
      <c r="F545" t="s">
        <v>18352</v>
      </c>
    </row>
    <row r="546" spans="1:6">
      <c r="A546">
        <v>72767</v>
      </c>
      <c r="B546" t="s">
        <v>955</v>
      </c>
      <c r="C546" t="str">
        <f>VLOOKUP(A546,'Cost Center'!A:C,3,FALSE)</f>
        <v>C251355</v>
      </c>
      <c r="D546" t="s">
        <v>5924</v>
      </c>
      <c r="E546" t="s">
        <v>708</v>
      </c>
      <c r="F546" t="s">
        <v>18744</v>
      </c>
    </row>
    <row r="547" spans="1:6">
      <c r="A547">
        <v>8520220</v>
      </c>
      <c r="B547" t="s">
        <v>2280</v>
      </c>
      <c r="C547" t="e">
        <f>VLOOKUP(A547,'Cost Center'!A:C,3,FALSE)</f>
        <v>#N/A</v>
      </c>
      <c r="D547" t="e">
        <v>#N/A</v>
      </c>
      <c r="E547" t="s">
        <v>708</v>
      </c>
      <c r="F547" t="s">
        <v>19914</v>
      </c>
    </row>
    <row r="548" spans="1:6">
      <c r="A548">
        <v>8520351</v>
      </c>
      <c r="B548" t="s">
        <v>1203</v>
      </c>
      <c r="C548" t="str">
        <f>VLOOKUP(A548,'Cost Center'!A:C,3,FALSE)</f>
        <v>C251360</v>
      </c>
      <c r="D548" t="s">
        <v>7982</v>
      </c>
      <c r="E548" t="s">
        <v>708</v>
      </c>
      <c r="F548" t="s">
        <v>19359</v>
      </c>
    </row>
    <row r="549" spans="1:6">
      <c r="A549">
        <v>8520418</v>
      </c>
      <c r="B549" t="s">
        <v>1204</v>
      </c>
      <c r="C549" t="str">
        <f>VLOOKUP(A549,'Cost Center'!A:C,3,FALSE)</f>
        <v>C251361</v>
      </c>
      <c r="D549" t="s">
        <v>7997</v>
      </c>
      <c r="E549" t="s">
        <v>708</v>
      </c>
      <c r="F549" t="s">
        <v>19364</v>
      </c>
    </row>
    <row r="550" spans="1:6">
      <c r="A550">
        <v>8520419</v>
      </c>
      <c r="B550" t="s">
        <v>1205</v>
      </c>
      <c r="C550" t="str">
        <f>VLOOKUP(A550,'Cost Center'!A:C,3,FALSE)</f>
        <v>C251362</v>
      </c>
      <c r="D550" t="s">
        <v>8012</v>
      </c>
      <c r="E550" t="s">
        <v>708</v>
      </c>
      <c r="F550" t="s">
        <v>19368</v>
      </c>
    </row>
    <row r="551" spans="1:6">
      <c r="A551">
        <v>8520601</v>
      </c>
      <c r="B551" t="s">
        <v>1207</v>
      </c>
      <c r="C551" t="str">
        <f>VLOOKUP(A551,'Cost Center'!A:C,3,FALSE)</f>
        <v>C251364</v>
      </c>
      <c r="D551" t="s">
        <v>8038</v>
      </c>
      <c r="E551" t="s">
        <v>708</v>
      </c>
      <c r="F551" t="s">
        <v>19370</v>
      </c>
    </row>
    <row r="552" spans="1:6">
      <c r="A552" t="s">
        <v>2281</v>
      </c>
      <c r="B552" t="s">
        <v>2282</v>
      </c>
      <c r="C552" t="str">
        <f>VLOOKUP(A552,'Cost Center'!A:C,3,FALSE)</f>
        <v>C251409</v>
      </c>
      <c r="D552" t="s">
        <v>11655</v>
      </c>
      <c r="E552" t="s">
        <v>708</v>
      </c>
      <c r="F552" t="s">
        <v>2281</v>
      </c>
    </row>
    <row r="553" spans="1:6">
      <c r="A553" t="s">
        <v>5</v>
      </c>
      <c r="B553" t="s">
        <v>1751</v>
      </c>
      <c r="C553" t="str">
        <f>VLOOKUP(A553,'Cost Center'!A:C,3,FALSE)</f>
        <v>C251410</v>
      </c>
      <c r="D553" t="s">
        <v>6038</v>
      </c>
      <c r="E553" t="s">
        <v>708</v>
      </c>
      <c r="F553" t="s">
        <v>5</v>
      </c>
    </row>
    <row r="554" spans="1:6">
      <c r="A554" t="s">
        <v>2283</v>
      </c>
      <c r="B554" t="s">
        <v>2284</v>
      </c>
      <c r="C554" t="str">
        <f>VLOOKUP(A554,'Cost Center'!A:C,3,FALSE)</f>
        <v>C251411</v>
      </c>
      <c r="D554" t="s">
        <v>6040</v>
      </c>
      <c r="E554" t="s">
        <v>708</v>
      </c>
      <c r="F554" t="s">
        <v>2283</v>
      </c>
    </row>
    <row r="555" spans="1:6">
      <c r="A555">
        <v>3110345</v>
      </c>
      <c r="B555" t="s">
        <v>1190</v>
      </c>
      <c r="C555" t="str">
        <f>VLOOKUP(A555,'Cost Center'!A:C,3,FALSE)</f>
        <v>C251335</v>
      </c>
      <c r="D555" t="s">
        <v>7943</v>
      </c>
      <c r="E555" t="s">
        <v>708</v>
      </c>
      <c r="F555" t="s">
        <v>19345</v>
      </c>
    </row>
    <row r="556" spans="1:6">
      <c r="A556">
        <v>1060107</v>
      </c>
      <c r="B556" t="s">
        <v>2285</v>
      </c>
      <c r="C556" t="e">
        <f>VLOOKUP(A556,'Cost Center'!A:C,3,FALSE)</f>
        <v>#N/A</v>
      </c>
      <c r="D556" t="e">
        <v>#N/A</v>
      </c>
      <c r="E556" t="s">
        <v>708</v>
      </c>
      <c r="F556" t="s">
        <v>19915</v>
      </c>
    </row>
    <row r="557" spans="1:6">
      <c r="A557">
        <v>8551030</v>
      </c>
      <c r="B557" t="s">
        <v>2286</v>
      </c>
      <c r="C557" t="e">
        <f>VLOOKUP(A557,'Cost Center'!A:C,3,FALSE)</f>
        <v>#N/A</v>
      </c>
      <c r="D557" t="e">
        <v>#N/A</v>
      </c>
      <c r="E557" t="s">
        <v>708</v>
      </c>
      <c r="F557" t="s">
        <v>19916</v>
      </c>
    </row>
    <row r="558" spans="1:6">
      <c r="A558">
        <v>8565060</v>
      </c>
      <c r="B558" t="s">
        <v>2287</v>
      </c>
      <c r="C558" t="str">
        <f>VLOOKUP(A558,'Cost Center'!A:C,3,FALSE)</f>
        <v>C251401</v>
      </c>
      <c r="D558" t="s">
        <v>8450</v>
      </c>
      <c r="E558" t="s">
        <v>708</v>
      </c>
      <c r="F558" t="s">
        <v>19428</v>
      </c>
    </row>
    <row r="559" spans="1:6">
      <c r="A559">
        <v>8565061</v>
      </c>
      <c r="B559" t="s">
        <v>2288</v>
      </c>
      <c r="C559" t="str">
        <f>VLOOKUP(A559,'Cost Center'!A:C,3,FALSE)</f>
        <v>C251402</v>
      </c>
      <c r="D559" t="s">
        <v>8452</v>
      </c>
      <c r="E559" t="s">
        <v>708</v>
      </c>
      <c r="F559" t="s">
        <v>19429</v>
      </c>
    </row>
    <row r="560" spans="1:6">
      <c r="A560">
        <v>8565062</v>
      </c>
      <c r="B560" t="s">
        <v>2289</v>
      </c>
      <c r="C560" t="e">
        <f>VLOOKUP(A560,'Cost Center'!A:C,3,FALSE)</f>
        <v>#N/A</v>
      </c>
      <c r="D560" t="e">
        <v>#N/A</v>
      </c>
      <c r="E560" t="s">
        <v>708</v>
      </c>
      <c r="F560" t="s">
        <v>19917</v>
      </c>
    </row>
    <row r="561" spans="1:6">
      <c r="A561">
        <v>10316</v>
      </c>
      <c r="B561" t="s">
        <v>2290</v>
      </c>
      <c r="C561" t="str">
        <f>VLOOKUP(A561,'Cost Center'!A:C,3,FALSE)</f>
        <v>C251414</v>
      </c>
      <c r="D561" t="s">
        <v>6047</v>
      </c>
      <c r="E561" t="s">
        <v>708</v>
      </c>
      <c r="F561" t="s">
        <v>18786</v>
      </c>
    </row>
    <row r="562" spans="1:6">
      <c r="A562">
        <v>3100409</v>
      </c>
      <c r="B562" t="s">
        <v>2291</v>
      </c>
      <c r="C562" t="str">
        <f>VLOOKUP(A562,'Cost Center'!A:C,3,FALSE)</f>
        <v>C251326</v>
      </c>
      <c r="D562" t="s">
        <v>5848</v>
      </c>
      <c r="E562" t="s">
        <v>708</v>
      </c>
      <c r="F562" t="s">
        <v>18718</v>
      </c>
    </row>
    <row r="563" spans="1:6">
      <c r="A563">
        <v>3110378</v>
      </c>
      <c r="B563" t="s">
        <v>2292</v>
      </c>
      <c r="C563" t="e">
        <f>VLOOKUP(A563,'Cost Center'!A:C,3,FALSE)</f>
        <v>#N/A</v>
      </c>
      <c r="D563" t="e">
        <v>#N/A</v>
      </c>
      <c r="E563" t="s">
        <v>708</v>
      </c>
      <c r="F563" t="s">
        <v>19918</v>
      </c>
    </row>
    <row r="564" spans="1:6">
      <c r="A564">
        <v>3200417</v>
      </c>
      <c r="B564" t="s">
        <v>2293</v>
      </c>
      <c r="C564" t="e">
        <f>VLOOKUP(A564,'Cost Center'!A:C,3,FALSE)</f>
        <v>#N/A</v>
      </c>
      <c r="D564" t="e">
        <v>#N/A</v>
      </c>
      <c r="E564" t="s">
        <v>708</v>
      </c>
      <c r="F564" t="s">
        <v>19919</v>
      </c>
    </row>
    <row r="565" spans="1:6">
      <c r="A565">
        <v>3110340</v>
      </c>
      <c r="B565" t="s">
        <v>2294</v>
      </c>
      <c r="C565" t="e">
        <f>VLOOKUP(A565,'Cost Center'!A:C,3,FALSE)</f>
        <v>#N/A</v>
      </c>
      <c r="D565" t="e">
        <v>#N/A</v>
      </c>
      <c r="E565" t="s">
        <v>708</v>
      </c>
      <c r="F565" t="s">
        <v>19920</v>
      </c>
    </row>
    <row r="566" spans="1:6">
      <c r="A566">
        <v>3200435</v>
      </c>
      <c r="B566" t="s">
        <v>2295</v>
      </c>
      <c r="C566" t="e">
        <f>VLOOKUP(A566,'Cost Center'!A:C,3,FALSE)</f>
        <v>#N/A</v>
      </c>
      <c r="D566" t="e">
        <v>#N/A</v>
      </c>
      <c r="E566" t="s">
        <v>708</v>
      </c>
      <c r="F566" t="s">
        <v>19921</v>
      </c>
    </row>
    <row r="567" spans="1:6">
      <c r="A567">
        <v>3200468</v>
      </c>
      <c r="B567" t="s">
        <v>2296</v>
      </c>
      <c r="C567" t="e">
        <f>VLOOKUP(A567,'Cost Center'!A:C,3,FALSE)</f>
        <v>#N/A</v>
      </c>
      <c r="D567" t="e">
        <v>#N/A</v>
      </c>
      <c r="E567" t="s">
        <v>708</v>
      </c>
      <c r="F567" t="s">
        <v>19922</v>
      </c>
    </row>
    <row r="568" spans="1:6">
      <c r="A568">
        <v>8530418</v>
      </c>
      <c r="B568" t="s">
        <v>2297</v>
      </c>
      <c r="C568" t="str">
        <f>VLOOKUP(A568,'Cost Center'!A:C,3,FALSE)</f>
        <v>C251368</v>
      </c>
      <c r="D568" t="s">
        <v>8086</v>
      </c>
      <c r="E568" t="s">
        <v>708</v>
      </c>
      <c r="F568" t="s">
        <v>19379</v>
      </c>
    </row>
    <row r="569" spans="1:6">
      <c r="A569">
        <v>8530424</v>
      </c>
      <c r="B569" t="s">
        <v>2298</v>
      </c>
      <c r="C569" t="str">
        <f>VLOOKUP(A569,'Cost Center'!A:C,3,FALSE)</f>
        <v>C251416</v>
      </c>
      <c r="D569" t="s">
        <v>8096</v>
      </c>
      <c r="E569" t="s">
        <v>708</v>
      </c>
      <c r="F569" t="s">
        <v>19384</v>
      </c>
    </row>
    <row r="570" spans="1:6">
      <c r="A570">
        <v>8530525</v>
      </c>
      <c r="B570" t="s">
        <v>2299</v>
      </c>
      <c r="C570" t="str">
        <f>VLOOKUP(A570,'Cost Center'!A:C,3,FALSE)</f>
        <v>C251371</v>
      </c>
      <c r="D570" t="s">
        <v>8100</v>
      </c>
      <c r="E570" t="s">
        <v>708</v>
      </c>
      <c r="F570" t="s">
        <v>19386</v>
      </c>
    </row>
    <row r="571" spans="1:6">
      <c r="A571" t="s">
        <v>2300</v>
      </c>
      <c r="B571" t="s">
        <v>2301</v>
      </c>
      <c r="C571" t="str">
        <f>VLOOKUP(A571,'Cost Center'!A:C,3,FALSE)</f>
        <v>C251373</v>
      </c>
      <c r="D571" t="s">
        <v>11592</v>
      </c>
      <c r="E571" t="s">
        <v>708</v>
      </c>
      <c r="F571" t="s">
        <v>2300</v>
      </c>
    </row>
    <row r="572" spans="1:6">
      <c r="A572">
        <v>8535512</v>
      </c>
      <c r="B572" t="s">
        <v>2302</v>
      </c>
      <c r="C572" t="str">
        <f>VLOOKUP(A572,'Cost Center'!A:C,3,FALSE)</f>
        <v>C251374</v>
      </c>
      <c r="D572" t="s">
        <v>8104</v>
      </c>
      <c r="E572" t="s">
        <v>708</v>
      </c>
      <c r="F572" t="s">
        <v>19388</v>
      </c>
    </row>
    <row r="573" spans="1:6">
      <c r="A573">
        <v>8535555</v>
      </c>
      <c r="B573" t="s">
        <v>2303</v>
      </c>
      <c r="C573" t="str">
        <f>VLOOKUP(A573,'Cost Center'!A:C,3,FALSE)</f>
        <v>C251375</v>
      </c>
      <c r="D573" t="s">
        <v>8106</v>
      </c>
      <c r="E573" t="s">
        <v>708</v>
      </c>
      <c r="F573" t="s">
        <v>19389</v>
      </c>
    </row>
    <row r="574" spans="1:6">
      <c r="A574">
        <v>8530102</v>
      </c>
      <c r="B574" t="s">
        <v>2304</v>
      </c>
      <c r="C574" t="e">
        <f>VLOOKUP(A574,'Cost Center'!A:C,3,FALSE)</f>
        <v>#N/A</v>
      </c>
      <c r="D574" t="e">
        <v>#N/A</v>
      </c>
      <c r="E574" t="s">
        <v>708</v>
      </c>
      <c r="F574" t="s">
        <v>19923</v>
      </c>
    </row>
    <row r="575" spans="1:6">
      <c r="A575">
        <v>8530401</v>
      </c>
      <c r="B575" t="s">
        <v>2305</v>
      </c>
      <c r="C575" t="str">
        <f>VLOOKUP(A575,'Cost Center'!A:C,3,FALSE)</f>
        <v>C251366</v>
      </c>
      <c r="D575" t="s">
        <v>8043</v>
      </c>
      <c r="E575" t="s">
        <v>708</v>
      </c>
      <c r="F575" t="s">
        <v>19372</v>
      </c>
    </row>
    <row r="576" spans="1:6">
      <c r="A576">
        <v>8530511</v>
      </c>
      <c r="B576" t="s">
        <v>2306</v>
      </c>
      <c r="C576" t="e">
        <f>VLOOKUP(A576,'Cost Center'!A:C,3,FALSE)</f>
        <v>#N/A</v>
      </c>
      <c r="D576" t="e">
        <v>#N/A</v>
      </c>
      <c r="E576" t="s">
        <v>708</v>
      </c>
      <c r="F576" t="s">
        <v>19924</v>
      </c>
    </row>
    <row r="577" spans="1:6">
      <c r="A577">
        <v>8530540</v>
      </c>
      <c r="B577" t="s">
        <v>2307</v>
      </c>
      <c r="C577" t="e">
        <f>VLOOKUP(A577,'Cost Center'!A:C,3,FALSE)</f>
        <v>#N/A</v>
      </c>
      <c r="D577" t="e">
        <v>#N/A</v>
      </c>
      <c r="E577" t="s">
        <v>708</v>
      </c>
      <c r="F577" t="s">
        <v>19925</v>
      </c>
    </row>
    <row r="578" spans="1:6">
      <c r="A578">
        <v>10303</v>
      </c>
      <c r="B578" t="s">
        <v>2308</v>
      </c>
      <c r="C578" t="e">
        <f>VLOOKUP(A578,'Cost Center'!A:C,3,FALSE)</f>
        <v>#N/A</v>
      </c>
      <c r="D578" t="e">
        <v>#N/A</v>
      </c>
      <c r="E578" t="s">
        <v>708</v>
      </c>
      <c r="F578" t="s">
        <v>19926</v>
      </c>
    </row>
    <row r="579" spans="1:6">
      <c r="A579">
        <v>1030300</v>
      </c>
      <c r="B579" t="s">
        <v>1173</v>
      </c>
      <c r="C579" t="str">
        <f>VLOOKUP(A579,'Cost Center'!A:C,3,FALSE)</f>
        <v>C251301</v>
      </c>
      <c r="D579" t="s">
        <v>5790</v>
      </c>
      <c r="E579" t="s">
        <v>708</v>
      </c>
      <c r="F579" t="s">
        <v>18698</v>
      </c>
    </row>
    <row r="580" spans="1:6">
      <c r="A580">
        <v>10312</v>
      </c>
      <c r="B580" t="s">
        <v>746</v>
      </c>
      <c r="C580" t="str">
        <f>VLOOKUP(A580,'Cost Center'!A:C,3,FALSE)</f>
        <v>C251303</v>
      </c>
      <c r="D580" t="s">
        <v>5795</v>
      </c>
      <c r="E580" t="s">
        <v>708</v>
      </c>
      <c r="F580" t="s">
        <v>18700</v>
      </c>
    </row>
    <row r="581" spans="1:6">
      <c r="A581">
        <v>10527</v>
      </c>
      <c r="B581" t="s">
        <v>2309</v>
      </c>
      <c r="C581" t="e">
        <f>VLOOKUP(A581,'Cost Center'!A:C,3,FALSE)</f>
        <v>#N/A</v>
      </c>
      <c r="D581" t="e">
        <v>#N/A</v>
      </c>
      <c r="E581" t="s">
        <v>708</v>
      </c>
      <c r="F581" t="s">
        <v>19927</v>
      </c>
    </row>
    <row r="582" spans="1:6">
      <c r="A582">
        <v>1052700</v>
      </c>
      <c r="B582" t="s">
        <v>1174</v>
      </c>
      <c r="C582" t="str">
        <f>VLOOKUP(A582,'Cost Center'!A:C,3,FALSE)</f>
        <v>C251314</v>
      </c>
      <c r="D582" t="s">
        <v>7880</v>
      </c>
      <c r="E582" t="s">
        <v>708</v>
      </c>
      <c r="F582" t="s">
        <v>19325</v>
      </c>
    </row>
    <row r="583" spans="1:6">
      <c r="A583">
        <v>1052701</v>
      </c>
      <c r="B583" t="s">
        <v>2310</v>
      </c>
      <c r="C583" t="e">
        <f>VLOOKUP(A583,'Cost Center'!A:C,3,FALSE)</f>
        <v>#N/A</v>
      </c>
      <c r="D583" t="e">
        <v>#N/A</v>
      </c>
      <c r="E583" t="s">
        <v>708</v>
      </c>
      <c r="F583" t="s">
        <v>19928</v>
      </c>
    </row>
    <row r="584" spans="1:6">
      <c r="A584">
        <v>1052702</v>
      </c>
      <c r="B584" t="s">
        <v>1175</v>
      </c>
      <c r="C584" t="str">
        <f>VLOOKUP(A584,'Cost Center'!A:C,3,FALSE)</f>
        <v>C251315</v>
      </c>
      <c r="D584" t="s">
        <v>7899</v>
      </c>
      <c r="E584" t="s">
        <v>708</v>
      </c>
      <c r="F584" t="s">
        <v>19329</v>
      </c>
    </row>
    <row r="585" spans="1:6">
      <c r="A585">
        <v>1052703</v>
      </c>
      <c r="B585" t="s">
        <v>2311</v>
      </c>
      <c r="C585" t="e">
        <f>VLOOKUP(A585,'Cost Center'!A:C,3,FALSE)</f>
        <v>#N/A</v>
      </c>
      <c r="D585" t="e">
        <v>#N/A</v>
      </c>
      <c r="E585" t="s">
        <v>708</v>
      </c>
      <c r="F585" t="s">
        <v>19929</v>
      </c>
    </row>
    <row r="586" spans="1:6">
      <c r="A586">
        <v>1052704</v>
      </c>
      <c r="B586" t="s">
        <v>2312</v>
      </c>
      <c r="C586" t="e">
        <f>VLOOKUP(A586,'Cost Center'!A:C,3,FALSE)</f>
        <v>#N/A</v>
      </c>
      <c r="D586" t="e">
        <v>#N/A</v>
      </c>
      <c r="E586" t="s">
        <v>708</v>
      </c>
      <c r="F586" t="s">
        <v>19930</v>
      </c>
    </row>
    <row r="587" spans="1:6">
      <c r="A587">
        <v>1052705</v>
      </c>
      <c r="B587" t="s">
        <v>2313</v>
      </c>
      <c r="C587" t="e">
        <f>VLOOKUP(A587,'Cost Center'!A:C,3,FALSE)</f>
        <v>#N/A</v>
      </c>
      <c r="D587" t="e">
        <v>#N/A</v>
      </c>
      <c r="E587" t="s">
        <v>708</v>
      </c>
      <c r="F587" t="s">
        <v>19931</v>
      </c>
    </row>
    <row r="588" spans="1:6">
      <c r="A588">
        <v>1052707</v>
      </c>
      <c r="B588" t="s">
        <v>2314</v>
      </c>
      <c r="C588" t="e">
        <f>VLOOKUP(A588,'Cost Center'!A:C,3,FALSE)</f>
        <v>#N/A</v>
      </c>
      <c r="D588" t="e">
        <v>#N/A</v>
      </c>
      <c r="E588" t="s">
        <v>708</v>
      </c>
      <c r="F588" t="s">
        <v>19932</v>
      </c>
    </row>
    <row r="589" spans="1:6">
      <c r="A589">
        <v>1052708</v>
      </c>
      <c r="B589" t="s">
        <v>2315</v>
      </c>
      <c r="C589" t="e">
        <f>VLOOKUP(A589,'Cost Center'!A:C,3,FALSE)</f>
        <v>#N/A</v>
      </c>
      <c r="D589" t="e">
        <v>#N/A</v>
      </c>
      <c r="E589" t="s">
        <v>708</v>
      </c>
      <c r="F589" t="s">
        <v>19933</v>
      </c>
    </row>
    <row r="590" spans="1:6">
      <c r="A590">
        <v>1052709</v>
      </c>
      <c r="B590" t="s">
        <v>2316</v>
      </c>
      <c r="C590" t="e">
        <f>VLOOKUP(A590,'Cost Center'!A:C,3,FALSE)</f>
        <v>#N/A</v>
      </c>
      <c r="D590" t="e">
        <v>#N/A</v>
      </c>
      <c r="E590" t="s">
        <v>708</v>
      </c>
      <c r="F590" t="s">
        <v>19934</v>
      </c>
    </row>
    <row r="591" spans="1:6">
      <c r="A591">
        <v>3000406</v>
      </c>
      <c r="B591" t="s">
        <v>1178</v>
      </c>
      <c r="C591" t="str">
        <f>VLOOKUP(A591,'Cost Center'!A:C,3,FALSE)</f>
        <v>C251415</v>
      </c>
      <c r="D591" t="s">
        <v>6049</v>
      </c>
      <c r="E591" t="s">
        <v>708</v>
      </c>
      <c r="F591" t="s">
        <v>18787</v>
      </c>
    </row>
    <row r="592" spans="1:6">
      <c r="A592">
        <v>3100408</v>
      </c>
      <c r="B592" t="s">
        <v>2317</v>
      </c>
      <c r="C592" t="str">
        <f>VLOOKUP(A592,'Cost Center'!A:C,3,FALSE)</f>
        <v>C251325</v>
      </c>
      <c r="D592" t="s">
        <v>5846</v>
      </c>
      <c r="E592" t="s">
        <v>708</v>
      </c>
      <c r="F592" t="s">
        <v>18717</v>
      </c>
    </row>
    <row r="593" spans="1:6">
      <c r="A593">
        <v>3200481</v>
      </c>
      <c r="B593" t="s">
        <v>2318</v>
      </c>
      <c r="C593" t="str">
        <f>VLOOKUP(A593,'Cost Center'!A:C,3,FALSE)</f>
        <v>C251343</v>
      </c>
      <c r="D593" t="s">
        <v>5894</v>
      </c>
      <c r="E593" t="s">
        <v>708</v>
      </c>
      <c r="F593" t="s">
        <v>18734</v>
      </c>
    </row>
    <row r="594" spans="1:6">
      <c r="A594">
        <v>38265</v>
      </c>
      <c r="B594" t="s">
        <v>2319</v>
      </c>
      <c r="C594" t="e">
        <f>VLOOKUP(A594,'Cost Center'!A:C,3,FALSE)</f>
        <v>#N/A</v>
      </c>
      <c r="D594" t="e">
        <v>#N/A</v>
      </c>
      <c r="E594" t="s">
        <v>708</v>
      </c>
      <c r="F594" t="s">
        <v>19935</v>
      </c>
    </row>
    <row r="595" spans="1:6">
      <c r="A595">
        <v>72759</v>
      </c>
      <c r="B595" t="s">
        <v>2320</v>
      </c>
      <c r="C595" t="e">
        <f>VLOOKUP(A595,'Cost Center'!A:C,3,FALSE)</f>
        <v>#N/A</v>
      </c>
      <c r="D595" t="e">
        <v>#N/A</v>
      </c>
      <c r="E595" t="s">
        <v>708</v>
      </c>
      <c r="F595" t="s">
        <v>19936</v>
      </c>
    </row>
    <row r="596" spans="1:6">
      <c r="A596">
        <v>8310306</v>
      </c>
      <c r="B596" t="s">
        <v>1202</v>
      </c>
      <c r="C596" t="str">
        <f>VLOOKUP(A596,'Cost Center'!A:C,3,FALSE)</f>
        <v>C251358</v>
      </c>
      <c r="D596" t="s">
        <v>5930</v>
      </c>
      <c r="E596" t="s">
        <v>708</v>
      </c>
      <c r="F596" t="s">
        <v>18746</v>
      </c>
    </row>
    <row r="597" spans="1:6">
      <c r="A597">
        <v>8320625</v>
      </c>
      <c r="B597" t="s">
        <v>2321</v>
      </c>
      <c r="C597" t="str">
        <f>VLOOKUP(A597,'Cost Center'!A:C,3,FALSE)</f>
        <v>C251359</v>
      </c>
      <c r="D597" t="s">
        <v>7973</v>
      </c>
      <c r="E597" t="s">
        <v>708</v>
      </c>
      <c r="F597" t="s">
        <v>19356</v>
      </c>
    </row>
    <row r="598" spans="1:6">
      <c r="A598">
        <v>10529</v>
      </c>
      <c r="B598" t="s">
        <v>2322</v>
      </c>
      <c r="C598" t="str">
        <f>VLOOKUP(A598,'Cost Center'!A:C,3,FALSE)</f>
        <v>C251317</v>
      </c>
      <c r="D598" t="s">
        <v>5119</v>
      </c>
      <c r="E598" t="s">
        <v>708</v>
      </c>
      <c r="F598" t="s">
        <v>18499</v>
      </c>
    </row>
    <row r="599" spans="1:6">
      <c r="A599">
        <v>8530406</v>
      </c>
      <c r="B599" t="s">
        <v>2323</v>
      </c>
      <c r="C599" t="str">
        <f>VLOOKUP(A599,'Cost Center'!A:C,3,FALSE)</f>
        <v>C251367</v>
      </c>
      <c r="D599" t="s">
        <v>8078</v>
      </c>
      <c r="E599" t="s">
        <v>708</v>
      </c>
      <c r="F599" t="s">
        <v>19378</v>
      </c>
    </row>
    <row r="600" spans="1:6">
      <c r="A600">
        <v>8530419</v>
      </c>
      <c r="B600" t="s">
        <v>2324</v>
      </c>
      <c r="C600" t="str">
        <f>VLOOKUP(A600,'Cost Center'!A:C,3,FALSE)</f>
        <v>C251369</v>
      </c>
      <c r="D600" t="s">
        <v>8090</v>
      </c>
      <c r="E600" t="s">
        <v>708</v>
      </c>
      <c r="F600" t="s">
        <v>19381</v>
      </c>
    </row>
    <row r="601" spans="1:6">
      <c r="A601">
        <v>8560418</v>
      </c>
      <c r="B601" t="s">
        <v>2325</v>
      </c>
      <c r="C601" t="str">
        <f>VLOOKUP(A601,'Cost Center'!A:C,3,FALSE)</f>
        <v>C251392</v>
      </c>
      <c r="D601" t="s">
        <v>8286</v>
      </c>
      <c r="E601" t="s">
        <v>708</v>
      </c>
      <c r="F601" t="s">
        <v>19412</v>
      </c>
    </row>
    <row r="602" spans="1:6">
      <c r="A602">
        <v>8560121</v>
      </c>
      <c r="B602" t="s">
        <v>2326</v>
      </c>
      <c r="C602" t="e">
        <f>VLOOKUP(A602,'Cost Center'!A:C,3,FALSE)</f>
        <v>#N/A</v>
      </c>
      <c r="D602" t="e">
        <v>#N/A</v>
      </c>
      <c r="E602" t="s">
        <v>708</v>
      </c>
      <c r="F602" t="s">
        <v>19937</v>
      </c>
    </row>
    <row r="603" spans="1:6">
      <c r="A603">
        <v>8560420</v>
      </c>
      <c r="B603" t="s">
        <v>2327</v>
      </c>
      <c r="C603" t="str">
        <f>VLOOKUP(A603,'Cost Center'!A:C,3,FALSE)</f>
        <v>C251393</v>
      </c>
      <c r="D603" t="s">
        <v>8288</v>
      </c>
      <c r="E603" t="s">
        <v>708</v>
      </c>
      <c r="F603" t="s">
        <v>19413</v>
      </c>
    </row>
    <row r="604" spans="1:6">
      <c r="A604">
        <v>8560423</v>
      </c>
      <c r="B604" t="s">
        <v>2328</v>
      </c>
      <c r="C604" t="str">
        <f>VLOOKUP(A604,'Cost Center'!A:C,3,FALSE)</f>
        <v>C251394</v>
      </c>
      <c r="D604" t="s">
        <v>8290</v>
      </c>
      <c r="E604" t="s">
        <v>708</v>
      </c>
      <c r="F604" t="s">
        <v>19414</v>
      </c>
    </row>
    <row r="605" spans="1:6">
      <c r="A605">
        <v>8560524</v>
      </c>
      <c r="B605" t="s">
        <v>2329</v>
      </c>
      <c r="C605" t="str">
        <f>VLOOKUP(A605,'Cost Center'!A:C,3,FALSE)</f>
        <v>C251396</v>
      </c>
      <c r="D605" t="s">
        <v>8343</v>
      </c>
      <c r="E605" t="s">
        <v>708</v>
      </c>
      <c r="F605" t="s">
        <v>19418</v>
      </c>
    </row>
    <row r="606" spans="1:6">
      <c r="A606">
        <v>8560544</v>
      </c>
      <c r="B606" t="s">
        <v>2330</v>
      </c>
      <c r="C606" t="e">
        <f>VLOOKUP(A606,'Cost Center'!A:C,3,FALSE)</f>
        <v>#N/A</v>
      </c>
      <c r="D606" t="e">
        <v>#N/A</v>
      </c>
      <c r="E606" t="s">
        <v>708</v>
      </c>
      <c r="F606" t="s">
        <v>19938</v>
      </c>
    </row>
    <row r="607" spans="1:6">
      <c r="A607">
        <v>8560564</v>
      </c>
      <c r="B607" t="s">
        <v>2331</v>
      </c>
      <c r="C607" t="str">
        <f>VLOOKUP(A607,'Cost Center'!A:C,3,FALSE)</f>
        <v>C251398</v>
      </c>
      <c r="D607" t="s">
        <v>8349</v>
      </c>
      <c r="E607" t="s">
        <v>708</v>
      </c>
      <c r="F607" t="s">
        <v>19421</v>
      </c>
    </row>
    <row r="608" spans="1:6">
      <c r="A608">
        <v>8565020</v>
      </c>
      <c r="B608" t="s">
        <v>2332</v>
      </c>
      <c r="C608" t="str">
        <f>VLOOKUP(A608,'Cost Center'!A:C,3,FALSE)</f>
        <v>C251400</v>
      </c>
      <c r="D608" t="s">
        <v>8433</v>
      </c>
      <c r="E608" t="s">
        <v>708</v>
      </c>
      <c r="F608" t="s">
        <v>19427</v>
      </c>
    </row>
    <row r="609" spans="1:6">
      <c r="A609">
        <v>10528</v>
      </c>
      <c r="B609" t="s">
        <v>2333</v>
      </c>
      <c r="C609" t="str">
        <f>VLOOKUP(A609,'Cost Center'!A:C,3,FALSE)</f>
        <v>C251316</v>
      </c>
      <c r="D609" t="s">
        <v>5114</v>
      </c>
      <c r="E609" t="s">
        <v>708</v>
      </c>
      <c r="F609" t="s">
        <v>18498</v>
      </c>
    </row>
    <row r="610" spans="1:6">
      <c r="A610">
        <v>10526</v>
      </c>
      <c r="B610" t="s">
        <v>2334</v>
      </c>
      <c r="C610" t="str">
        <f>VLOOKUP(A610,'Cost Center'!A:C,3,FALSE)</f>
        <v>C251313</v>
      </c>
      <c r="D610" t="s">
        <v>5110</v>
      </c>
      <c r="E610" t="s">
        <v>708</v>
      </c>
      <c r="F610" t="s">
        <v>18497</v>
      </c>
    </row>
    <row r="611" spans="1:6">
      <c r="A611">
        <v>8560222</v>
      </c>
      <c r="B611" t="s">
        <v>2335</v>
      </c>
      <c r="C611" t="e">
        <f>VLOOKUP(A611,'Cost Center'!A:C,3,FALSE)</f>
        <v>#N/A</v>
      </c>
      <c r="D611" t="e">
        <v>#N/A</v>
      </c>
      <c r="E611" t="s">
        <v>708</v>
      </c>
      <c r="F611" t="s">
        <v>19939</v>
      </c>
    </row>
    <row r="612" spans="1:6">
      <c r="A612">
        <v>8560233</v>
      </c>
      <c r="B612" t="s">
        <v>2336</v>
      </c>
      <c r="C612" t="e">
        <f>VLOOKUP(A612,'Cost Center'!A:C,3,FALSE)</f>
        <v>#N/A</v>
      </c>
      <c r="D612" t="e">
        <v>#N/A</v>
      </c>
      <c r="E612" t="s">
        <v>708</v>
      </c>
      <c r="F612" t="s">
        <v>19940</v>
      </c>
    </row>
    <row r="613" spans="1:6">
      <c r="A613">
        <v>8565131</v>
      </c>
      <c r="B613" t="s">
        <v>2337</v>
      </c>
      <c r="C613" t="str">
        <f>VLOOKUP(A613,'Cost Center'!A:C,3,FALSE)</f>
        <v>C251404</v>
      </c>
      <c r="D613" t="s">
        <v>8489</v>
      </c>
      <c r="E613" t="s">
        <v>708</v>
      </c>
      <c r="F613" t="s">
        <v>19431</v>
      </c>
    </row>
    <row r="614" spans="1:6">
      <c r="A614">
        <v>8600102</v>
      </c>
      <c r="B614" t="s">
        <v>2338</v>
      </c>
      <c r="C614" t="e">
        <f>VLOOKUP(A614,'Cost Center'!A:C,3,FALSE)</f>
        <v>#N/A</v>
      </c>
      <c r="D614" t="e">
        <v>#N/A</v>
      </c>
      <c r="E614" t="s">
        <v>708</v>
      </c>
      <c r="F614" t="s">
        <v>19941</v>
      </c>
    </row>
    <row r="615" spans="1:6">
      <c r="A615">
        <v>8600509</v>
      </c>
      <c r="B615" t="s">
        <v>2339</v>
      </c>
      <c r="C615" t="e">
        <f>VLOOKUP(A615,'Cost Center'!A:C,3,FALSE)</f>
        <v>#N/A</v>
      </c>
      <c r="D615" t="e">
        <v>#N/A</v>
      </c>
      <c r="E615" t="s">
        <v>708</v>
      </c>
      <c r="F615" t="s">
        <v>19942</v>
      </c>
    </row>
    <row r="616" spans="1:6">
      <c r="A616">
        <v>10304</v>
      </c>
      <c r="B616" t="s">
        <v>2340</v>
      </c>
      <c r="C616" t="e">
        <f>VLOOKUP(A616,'Cost Center'!A:C,3,FALSE)</f>
        <v>#N/A</v>
      </c>
      <c r="D616" t="e">
        <v>#N/A</v>
      </c>
      <c r="E616" t="s">
        <v>708</v>
      </c>
      <c r="F616" t="s">
        <v>19943</v>
      </c>
    </row>
    <row r="617" spans="1:6">
      <c r="A617">
        <v>10305</v>
      </c>
      <c r="B617" t="s">
        <v>2341</v>
      </c>
      <c r="C617" t="str">
        <f>VLOOKUP(A617,'Cost Center'!A:C,3,FALSE)</f>
        <v>C251302</v>
      </c>
      <c r="D617" t="s">
        <v>5088</v>
      </c>
      <c r="E617" t="s">
        <v>708</v>
      </c>
      <c r="F617" t="s">
        <v>18492</v>
      </c>
    </row>
    <row r="618" spans="1:6">
      <c r="A618">
        <v>10306</v>
      </c>
      <c r="B618" t="s">
        <v>2342</v>
      </c>
      <c r="C618" t="e">
        <f>VLOOKUP(A618,'Cost Center'!A:C,3,FALSE)</f>
        <v>#N/A</v>
      </c>
      <c r="D618" t="e">
        <v>#N/A</v>
      </c>
      <c r="E618" t="s">
        <v>708</v>
      </c>
      <c r="F618" t="s">
        <v>19944</v>
      </c>
    </row>
    <row r="619" spans="1:6">
      <c r="A619">
        <v>8540114</v>
      </c>
      <c r="B619" t="s">
        <v>2343</v>
      </c>
      <c r="C619" t="e">
        <f>VLOOKUP(A619,'Cost Center'!A:C,3,FALSE)</f>
        <v>#N/A</v>
      </c>
      <c r="D619" t="e">
        <v>#N/A</v>
      </c>
      <c r="E619" t="s">
        <v>708</v>
      </c>
      <c r="F619" t="s">
        <v>19945</v>
      </c>
    </row>
    <row r="620" spans="1:6">
      <c r="A620">
        <v>8540315</v>
      </c>
      <c r="B620" t="s">
        <v>2344</v>
      </c>
      <c r="C620" t="e">
        <f>VLOOKUP(A620,'Cost Center'!A:C,3,FALSE)</f>
        <v>#N/A</v>
      </c>
      <c r="D620" t="e">
        <v>#N/A</v>
      </c>
      <c r="E620" t="s">
        <v>708</v>
      </c>
      <c r="F620" t="s">
        <v>19946</v>
      </c>
    </row>
    <row r="621" spans="1:6">
      <c r="A621">
        <v>8540411</v>
      </c>
      <c r="B621" t="s">
        <v>2345</v>
      </c>
      <c r="C621" t="e">
        <f>VLOOKUP(A621,'Cost Center'!A:C,3,FALSE)</f>
        <v>#N/A</v>
      </c>
      <c r="D621" t="e">
        <v>#N/A</v>
      </c>
      <c r="E621" t="s">
        <v>708</v>
      </c>
      <c r="F621" t="s">
        <v>19947</v>
      </c>
    </row>
    <row r="622" spans="1:6">
      <c r="A622">
        <v>8540512</v>
      </c>
      <c r="B622" t="s">
        <v>2346</v>
      </c>
      <c r="C622" t="str">
        <f>VLOOKUP(A622,'Cost Center'!A:C,3,FALSE)</f>
        <v>C251376</v>
      </c>
      <c r="D622" t="s">
        <v>8127</v>
      </c>
      <c r="E622" t="s">
        <v>708</v>
      </c>
      <c r="F622" t="s">
        <v>19391</v>
      </c>
    </row>
    <row r="623" spans="1:6">
      <c r="A623">
        <v>3100404</v>
      </c>
      <c r="B623" t="s">
        <v>2347</v>
      </c>
      <c r="C623" t="str">
        <f>VLOOKUP(A623,'Cost Center'!A:C,3,FALSE)</f>
        <v>C251324</v>
      </c>
      <c r="D623" t="s">
        <v>5844</v>
      </c>
      <c r="E623" t="s">
        <v>708</v>
      </c>
      <c r="F623" t="s">
        <v>18716</v>
      </c>
    </row>
    <row r="624" spans="1:6">
      <c r="A624" t="s">
        <v>2348</v>
      </c>
      <c r="B624" t="s">
        <v>2349</v>
      </c>
      <c r="C624" t="str">
        <f>VLOOKUP(A624,'Cost Center'!A:C,3,FALSE)</f>
        <v>C251334</v>
      </c>
      <c r="D624" t="s">
        <v>5869</v>
      </c>
      <c r="E624" t="s">
        <v>708</v>
      </c>
      <c r="F624" t="s">
        <v>2348</v>
      </c>
    </row>
    <row r="625" spans="1:6">
      <c r="A625">
        <v>8560124</v>
      </c>
      <c r="B625" t="s">
        <v>2350</v>
      </c>
      <c r="C625" t="e">
        <f>VLOOKUP(A625,'Cost Center'!A:C,3,FALSE)</f>
        <v>#N/A</v>
      </c>
      <c r="D625" t="e">
        <v>#N/A</v>
      </c>
      <c r="E625" t="s">
        <v>708</v>
      </c>
      <c r="F625" t="s">
        <v>19948</v>
      </c>
    </row>
    <row r="626" spans="1:6">
      <c r="A626">
        <v>8560131</v>
      </c>
      <c r="B626" t="s">
        <v>2351</v>
      </c>
      <c r="C626" t="e">
        <f>VLOOKUP(A626,'Cost Center'!A:C,3,FALSE)</f>
        <v>#N/A</v>
      </c>
      <c r="D626" t="e">
        <v>#N/A</v>
      </c>
      <c r="E626" t="s">
        <v>708</v>
      </c>
      <c r="F626" t="s">
        <v>19949</v>
      </c>
    </row>
    <row r="627" spans="1:6">
      <c r="A627">
        <v>8560232</v>
      </c>
      <c r="B627" t="s">
        <v>2352</v>
      </c>
      <c r="C627" t="e">
        <f>VLOOKUP(A627,'Cost Center'!A:C,3,FALSE)</f>
        <v>#N/A</v>
      </c>
      <c r="D627" t="e">
        <v>#N/A</v>
      </c>
      <c r="E627" t="s">
        <v>708</v>
      </c>
      <c r="F627" t="s">
        <v>19950</v>
      </c>
    </row>
    <row r="628" spans="1:6">
      <c r="A628">
        <v>8560433</v>
      </c>
      <c r="B628" t="s">
        <v>2353</v>
      </c>
      <c r="C628" t="str">
        <f>VLOOKUP(A628,'Cost Center'!A:C,3,FALSE)</f>
        <v>C251395</v>
      </c>
      <c r="D628" t="s">
        <v>8292</v>
      </c>
      <c r="E628" t="s">
        <v>708</v>
      </c>
      <c r="F628" t="s">
        <v>19415</v>
      </c>
    </row>
    <row r="629" spans="1:6">
      <c r="A629">
        <v>8560534</v>
      </c>
      <c r="B629" t="s">
        <v>2354</v>
      </c>
      <c r="C629" t="str">
        <f>VLOOKUP(A629,'Cost Center'!A:C,3,FALSE)</f>
        <v>C251397</v>
      </c>
      <c r="D629" t="s">
        <v>8345</v>
      </c>
      <c r="E629" t="s">
        <v>708</v>
      </c>
      <c r="F629" t="s">
        <v>19419</v>
      </c>
    </row>
    <row r="630" spans="1:6">
      <c r="A630">
        <v>8565130</v>
      </c>
      <c r="B630" t="s">
        <v>2355</v>
      </c>
      <c r="C630" t="str">
        <f>VLOOKUP(A630,'Cost Center'!A:C,3,FALSE)</f>
        <v>C251403</v>
      </c>
      <c r="D630" t="s">
        <v>8472</v>
      </c>
      <c r="E630" t="s">
        <v>708</v>
      </c>
      <c r="F630" t="s">
        <v>19430</v>
      </c>
    </row>
    <row r="631" spans="1:6">
      <c r="A631">
        <v>1030301</v>
      </c>
      <c r="B631" t="s">
        <v>2356</v>
      </c>
      <c r="C631" t="e">
        <f>VLOOKUP(A631,'Cost Center'!A:C,3,FALSE)</f>
        <v>#N/A</v>
      </c>
      <c r="D631" t="e">
        <v>#N/A</v>
      </c>
      <c r="E631" t="s">
        <v>708</v>
      </c>
      <c r="F631" t="s">
        <v>19951</v>
      </c>
    </row>
    <row r="632" spans="1:6">
      <c r="A632">
        <v>1030302</v>
      </c>
      <c r="B632" t="s">
        <v>2357</v>
      </c>
      <c r="C632" t="e">
        <f>VLOOKUP(A632,'Cost Center'!A:C,3,FALSE)</f>
        <v>#N/A</v>
      </c>
      <c r="D632" t="e">
        <v>#N/A</v>
      </c>
      <c r="E632" t="s">
        <v>708</v>
      </c>
      <c r="F632" t="s">
        <v>19952</v>
      </c>
    </row>
    <row r="633" spans="1:6">
      <c r="A633">
        <v>1030305</v>
      </c>
      <c r="B633" t="s">
        <v>2358</v>
      </c>
      <c r="C633" t="e">
        <f>VLOOKUP(A633,'Cost Center'!A:C,3,FALSE)</f>
        <v>#N/A</v>
      </c>
      <c r="D633" t="e">
        <v>#N/A</v>
      </c>
      <c r="E633" t="s">
        <v>708</v>
      </c>
      <c r="F633" t="s">
        <v>19953</v>
      </c>
    </row>
    <row r="634" spans="1:6">
      <c r="A634">
        <v>1030308</v>
      </c>
      <c r="B634" t="s">
        <v>2359</v>
      </c>
      <c r="C634" t="e">
        <f>VLOOKUP(A634,'Cost Center'!A:C,3,FALSE)</f>
        <v>#N/A</v>
      </c>
      <c r="D634" t="e">
        <v>#N/A</v>
      </c>
      <c r="E634" t="s">
        <v>708</v>
      </c>
      <c r="F634" t="s">
        <v>19954</v>
      </c>
    </row>
    <row r="635" spans="1:6">
      <c r="A635">
        <v>1030309</v>
      </c>
      <c r="B635" t="s">
        <v>2360</v>
      </c>
      <c r="C635" t="e">
        <f>VLOOKUP(A635,'Cost Center'!A:C,3,FALSE)</f>
        <v>#N/A</v>
      </c>
      <c r="D635" t="e">
        <v>#N/A</v>
      </c>
      <c r="E635" t="s">
        <v>708</v>
      </c>
      <c r="F635" t="s">
        <v>19955</v>
      </c>
    </row>
    <row r="636" spans="1:6">
      <c r="A636">
        <v>3100407</v>
      </c>
      <c r="B636" t="s">
        <v>2361</v>
      </c>
      <c r="C636" t="e">
        <f>VLOOKUP(A636,'Cost Center'!A:C,3,FALSE)</f>
        <v>#N/A</v>
      </c>
      <c r="D636" t="e">
        <v>#N/A</v>
      </c>
      <c r="E636" t="s">
        <v>708</v>
      </c>
      <c r="F636" t="s">
        <v>19956</v>
      </c>
    </row>
    <row r="637" spans="1:6">
      <c r="A637">
        <v>3100424</v>
      </c>
      <c r="B637" t="s">
        <v>2362</v>
      </c>
      <c r="C637" t="e">
        <f>VLOOKUP(A637,'Cost Center'!A:C,3,FALSE)</f>
        <v>#N/A</v>
      </c>
      <c r="D637" t="e">
        <v>#N/A</v>
      </c>
      <c r="E637" t="s">
        <v>708</v>
      </c>
      <c r="F637" t="s">
        <v>19957</v>
      </c>
    </row>
    <row r="638" spans="1:6">
      <c r="A638">
        <v>3100447</v>
      </c>
      <c r="B638" t="s">
        <v>2363</v>
      </c>
      <c r="C638" t="e">
        <f>VLOOKUP(A638,'Cost Center'!A:C,3,FALSE)</f>
        <v>#N/A</v>
      </c>
      <c r="D638" t="e">
        <v>#N/A</v>
      </c>
      <c r="E638" t="s">
        <v>708</v>
      </c>
      <c r="F638" t="s">
        <v>19958</v>
      </c>
    </row>
    <row r="639" spans="1:6">
      <c r="A639">
        <v>10534</v>
      </c>
      <c r="B639" t="s">
        <v>757</v>
      </c>
      <c r="C639" t="str">
        <f>VLOOKUP(A639,'Cost Center'!A:C,3,FALSE)</f>
        <v>C251318</v>
      </c>
      <c r="D639" t="s">
        <v>5122</v>
      </c>
      <c r="E639" t="s">
        <v>708</v>
      </c>
      <c r="F639" t="s">
        <v>18500</v>
      </c>
    </row>
    <row r="640" spans="1:6">
      <c r="A640">
        <v>3100425</v>
      </c>
      <c r="B640" t="s">
        <v>2364</v>
      </c>
      <c r="C640" t="str">
        <f>VLOOKUP(A640,'Cost Center'!A:C,3,FALSE)</f>
        <v>C251327</v>
      </c>
      <c r="D640" t="s">
        <v>7925</v>
      </c>
      <c r="E640" t="s">
        <v>708</v>
      </c>
      <c r="F640" t="s">
        <v>19338</v>
      </c>
    </row>
    <row r="641" spans="1:6">
      <c r="A641">
        <v>3100448</v>
      </c>
      <c r="B641" t="s">
        <v>1185</v>
      </c>
      <c r="C641" t="str">
        <f>VLOOKUP(A641,'Cost Center'!A:C,3,FALSE)</f>
        <v>C251331</v>
      </c>
      <c r="D641" t="s">
        <v>5861</v>
      </c>
      <c r="E641" t="s">
        <v>708</v>
      </c>
      <c r="F641" t="s">
        <v>18723</v>
      </c>
    </row>
    <row r="642" spans="1:6">
      <c r="A642">
        <v>3200471</v>
      </c>
      <c r="B642" t="s">
        <v>1196</v>
      </c>
      <c r="C642" t="str">
        <f>VLOOKUP(A642,'Cost Center'!A:C,3,FALSE)</f>
        <v>C251341</v>
      </c>
      <c r="D642" t="s">
        <v>5889</v>
      </c>
      <c r="E642" t="s">
        <v>708</v>
      </c>
      <c r="F642" t="s">
        <v>18732</v>
      </c>
    </row>
    <row r="643" spans="1:6">
      <c r="A643">
        <v>10038</v>
      </c>
      <c r="B643" t="s">
        <v>2365</v>
      </c>
      <c r="C643" t="e">
        <f>VLOOKUP(A643,'Cost Center'!A:C,3,FALSE)</f>
        <v>#N/A</v>
      </c>
      <c r="D643" t="e">
        <v>#N/A</v>
      </c>
      <c r="E643" t="s">
        <v>708</v>
      </c>
      <c r="F643" t="s">
        <v>19959</v>
      </c>
    </row>
    <row r="644" spans="1:6">
      <c r="A644">
        <v>10311</v>
      </c>
      <c r="B644" t="s">
        <v>2366</v>
      </c>
      <c r="C644" t="e">
        <f>VLOOKUP(A644,'Cost Center'!A:C,3,FALSE)</f>
        <v>#N/A</v>
      </c>
      <c r="D644" t="e">
        <v>#N/A</v>
      </c>
      <c r="E644" t="s">
        <v>708</v>
      </c>
      <c r="F644" t="s">
        <v>19960</v>
      </c>
    </row>
    <row r="645" spans="1:6">
      <c r="A645">
        <v>8310112</v>
      </c>
      <c r="B645" t="s">
        <v>2367</v>
      </c>
      <c r="C645" t="e">
        <f>VLOOKUP(A645,'Cost Center'!A:C,3,FALSE)</f>
        <v>#N/A</v>
      </c>
      <c r="D645" t="e">
        <v>#N/A</v>
      </c>
      <c r="E645" t="s">
        <v>708</v>
      </c>
      <c r="F645" t="s">
        <v>19961</v>
      </c>
    </row>
    <row r="646" spans="1:6">
      <c r="A646">
        <v>8310623</v>
      </c>
      <c r="B646" t="s">
        <v>2368</v>
      </c>
      <c r="C646" t="e">
        <f>VLOOKUP(A646,'Cost Center'!A:C,3,FALSE)</f>
        <v>#N/A</v>
      </c>
      <c r="D646" t="e">
        <v>#N/A</v>
      </c>
      <c r="E646" t="s">
        <v>708</v>
      </c>
      <c r="F646" t="s">
        <v>19962</v>
      </c>
    </row>
    <row r="647" spans="1:6">
      <c r="A647">
        <v>3100406</v>
      </c>
      <c r="B647" t="s">
        <v>2369</v>
      </c>
      <c r="C647" t="e">
        <f>VLOOKUP(A647,'Cost Center'!A:C,3,FALSE)</f>
        <v>#N/A</v>
      </c>
      <c r="D647" t="e">
        <v>#N/A</v>
      </c>
      <c r="E647" t="s">
        <v>708</v>
      </c>
      <c r="F647" t="s">
        <v>19963</v>
      </c>
    </row>
    <row r="648" spans="1:6">
      <c r="A648">
        <v>3100417</v>
      </c>
      <c r="B648" t="s">
        <v>2370</v>
      </c>
      <c r="C648" t="e">
        <f>VLOOKUP(A648,'Cost Center'!A:C,3,FALSE)</f>
        <v>#N/A</v>
      </c>
      <c r="D648" t="e">
        <v>#N/A</v>
      </c>
      <c r="E648" t="s">
        <v>708</v>
      </c>
      <c r="F648" t="s">
        <v>19964</v>
      </c>
    </row>
    <row r="649" spans="1:6">
      <c r="A649">
        <v>3100421</v>
      </c>
      <c r="B649" t="s">
        <v>2371</v>
      </c>
      <c r="C649" t="e">
        <f>VLOOKUP(A649,'Cost Center'!A:C,3,FALSE)</f>
        <v>#N/A</v>
      </c>
      <c r="D649" t="e">
        <v>#N/A</v>
      </c>
      <c r="E649" t="s">
        <v>708</v>
      </c>
      <c r="F649" t="s">
        <v>19965</v>
      </c>
    </row>
    <row r="650" spans="1:6">
      <c r="A650">
        <v>3100422</v>
      </c>
      <c r="B650" t="s">
        <v>2372</v>
      </c>
      <c r="C650" t="e">
        <f>VLOOKUP(A650,'Cost Center'!A:C,3,FALSE)</f>
        <v>#N/A</v>
      </c>
      <c r="D650" t="e">
        <v>#N/A</v>
      </c>
      <c r="E650" t="s">
        <v>708</v>
      </c>
      <c r="F650" t="s">
        <v>19966</v>
      </c>
    </row>
    <row r="651" spans="1:6">
      <c r="A651">
        <v>3100423</v>
      </c>
      <c r="B651" t="s">
        <v>2373</v>
      </c>
      <c r="C651" t="e">
        <f>VLOOKUP(A651,'Cost Center'!A:C,3,FALSE)</f>
        <v>#N/A</v>
      </c>
      <c r="D651" t="e">
        <v>#N/A</v>
      </c>
      <c r="E651" t="s">
        <v>708</v>
      </c>
      <c r="F651" t="s">
        <v>19967</v>
      </c>
    </row>
    <row r="652" spans="1:6">
      <c r="A652">
        <v>3100426</v>
      </c>
      <c r="B652" t="s">
        <v>2374</v>
      </c>
      <c r="C652" t="str">
        <f>VLOOKUP(A652,'Cost Center'!A:C,3,FALSE)</f>
        <v>C251328</v>
      </c>
      <c r="D652" t="s">
        <v>5853</v>
      </c>
      <c r="E652" t="s">
        <v>708</v>
      </c>
      <c r="F652" t="s">
        <v>18720</v>
      </c>
    </row>
    <row r="653" spans="1:6">
      <c r="A653">
        <v>8414011</v>
      </c>
      <c r="B653" t="s">
        <v>2375</v>
      </c>
      <c r="C653" t="e">
        <f>VLOOKUP(A653,'Cost Center'!A:C,3,FALSE)</f>
        <v>#N/A</v>
      </c>
      <c r="D653" t="e">
        <v>#N/A</v>
      </c>
      <c r="E653" t="s">
        <v>708</v>
      </c>
      <c r="F653" t="s">
        <v>19968</v>
      </c>
    </row>
    <row r="654" spans="1:6">
      <c r="A654" t="s">
        <v>2376</v>
      </c>
      <c r="B654" t="s">
        <v>2377</v>
      </c>
      <c r="C654" t="str">
        <f>VLOOKUP(A654,'Cost Center'!A:C,3,FALSE)</f>
        <v>C251312</v>
      </c>
      <c r="D654" t="s">
        <v>5818</v>
      </c>
      <c r="E654" t="s">
        <v>708</v>
      </c>
      <c r="F654" t="s">
        <v>2376</v>
      </c>
    </row>
    <row r="655" spans="1:6">
      <c r="A655">
        <v>10326</v>
      </c>
      <c r="B655" t="s">
        <v>749</v>
      </c>
      <c r="C655" t="str">
        <f>VLOOKUP(A655,'Cost Center'!A:C,3,FALSE)</f>
        <v>C251307</v>
      </c>
      <c r="D655" t="s">
        <v>5805</v>
      </c>
      <c r="E655" t="s">
        <v>708</v>
      </c>
      <c r="F655" t="s">
        <v>18704</v>
      </c>
    </row>
    <row r="656" spans="1:6">
      <c r="A656">
        <v>3100401</v>
      </c>
      <c r="B656" t="s">
        <v>2378</v>
      </c>
      <c r="C656" t="str">
        <f>VLOOKUP(A656,'Cost Center'!A:C,3,FALSE)</f>
        <v>C251407</v>
      </c>
      <c r="D656" t="s">
        <v>6031</v>
      </c>
      <c r="E656" t="s">
        <v>708</v>
      </c>
      <c r="F656" t="s">
        <v>18781</v>
      </c>
    </row>
    <row r="657" spans="1:6">
      <c r="A657">
        <v>3100403</v>
      </c>
      <c r="B657" t="s">
        <v>1180</v>
      </c>
      <c r="C657" t="str">
        <f>VLOOKUP(A657,'Cost Center'!A:C,3,FALSE)</f>
        <v>C251323</v>
      </c>
      <c r="D657" t="s">
        <v>5842</v>
      </c>
      <c r="E657" t="s">
        <v>708</v>
      </c>
      <c r="F657" t="s">
        <v>18715</v>
      </c>
    </row>
    <row r="658" spans="1:6">
      <c r="A658">
        <v>8530505</v>
      </c>
      <c r="B658" t="s">
        <v>2379</v>
      </c>
      <c r="C658" t="str">
        <f>VLOOKUP(A658,'Cost Center'!A:C,3,FALSE)</f>
        <v>C251370</v>
      </c>
      <c r="D658" t="s">
        <v>8098</v>
      </c>
      <c r="E658" t="s">
        <v>708</v>
      </c>
      <c r="F658" t="s">
        <v>19385</v>
      </c>
    </row>
    <row r="659" spans="1:6">
      <c r="A659">
        <v>3200445</v>
      </c>
      <c r="B659" t="s">
        <v>1193</v>
      </c>
      <c r="C659" t="str">
        <f>VLOOKUP(A659,'Cost Center'!A:C,3,FALSE)</f>
        <v>C251338</v>
      </c>
      <c r="D659" t="s">
        <v>7946</v>
      </c>
      <c r="E659" t="s">
        <v>708</v>
      </c>
      <c r="F659" t="s">
        <v>19346</v>
      </c>
    </row>
    <row r="660" spans="1:6">
      <c r="A660">
        <v>3200463</v>
      </c>
      <c r="B660" t="s">
        <v>1195</v>
      </c>
      <c r="C660" t="str">
        <f>VLOOKUP(A660,'Cost Center'!A:C,3,FALSE)</f>
        <v>C251340</v>
      </c>
      <c r="D660" t="s">
        <v>5886</v>
      </c>
      <c r="E660" t="s">
        <v>708</v>
      </c>
      <c r="F660" t="s">
        <v>18731</v>
      </c>
    </row>
    <row r="661" spans="1:6">
      <c r="A661">
        <v>6575</v>
      </c>
      <c r="B661" t="s">
        <v>2380</v>
      </c>
      <c r="C661" t="str">
        <f>VLOOKUP(A661,'Cost Center'!A:C,3,FALSE)</f>
        <v>C251354</v>
      </c>
      <c r="D661" t="s">
        <v>3946</v>
      </c>
      <c r="E661" t="s">
        <v>708</v>
      </c>
      <c r="F661" t="s">
        <v>18357</v>
      </c>
    </row>
    <row r="662" spans="1:6">
      <c r="A662">
        <v>8000101</v>
      </c>
      <c r="B662" t="s">
        <v>2381</v>
      </c>
      <c r="C662" t="str">
        <f>VLOOKUP(A662,'Cost Center'!A:C,3,FALSE)</f>
        <v>C259013</v>
      </c>
      <c r="D662" t="s">
        <v>6500</v>
      </c>
      <c r="E662" t="s">
        <v>708</v>
      </c>
      <c r="F662" t="s">
        <v>18922</v>
      </c>
    </row>
    <row r="663" spans="1:6">
      <c r="A663">
        <v>8000102</v>
      </c>
      <c r="B663" t="s">
        <v>2382</v>
      </c>
      <c r="C663" t="str">
        <f>VLOOKUP(A663,'Cost Center'!A:C,3,FALSE)</f>
        <v>C259014</v>
      </c>
      <c r="D663" t="s">
        <v>6502</v>
      </c>
      <c r="E663" t="s">
        <v>708</v>
      </c>
      <c r="F663" t="s">
        <v>18923</v>
      </c>
    </row>
    <row r="664" spans="1:6">
      <c r="A664">
        <v>8000103</v>
      </c>
      <c r="B664" t="s">
        <v>2383</v>
      </c>
      <c r="C664" t="str">
        <f>VLOOKUP(A664,'Cost Center'!A:C,3,FALSE)</f>
        <v>C259015</v>
      </c>
      <c r="D664" t="s">
        <v>6504</v>
      </c>
      <c r="E664" t="s">
        <v>708</v>
      </c>
      <c r="F664" t="s">
        <v>18924</v>
      </c>
    </row>
    <row r="665" spans="1:6">
      <c r="A665">
        <v>8000104</v>
      </c>
      <c r="B665" t="s">
        <v>2384</v>
      </c>
      <c r="C665" t="str">
        <f>VLOOKUP(A665,'Cost Center'!A:C,3,FALSE)</f>
        <v>C259016</v>
      </c>
      <c r="D665" t="s">
        <v>6506</v>
      </c>
      <c r="E665" t="s">
        <v>708</v>
      </c>
      <c r="F665" t="s">
        <v>18925</v>
      </c>
    </row>
    <row r="666" spans="1:6">
      <c r="A666">
        <v>8000105</v>
      </c>
      <c r="B666" t="s">
        <v>2385</v>
      </c>
      <c r="C666" t="e">
        <f>VLOOKUP(A666,'Cost Center'!A:C,3,FALSE)</f>
        <v>#N/A</v>
      </c>
      <c r="D666" t="e">
        <v>#N/A</v>
      </c>
      <c r="E666" t="s">
        <v>708</v>
      </c>
      <c r="F666" t="s">
        <v>19969</v>
      </c>
    </row>
    <row r="667" spans="1:6">
      <c r="A667">
        <v>8000106</v>
      </c>
      <c r="B667" t="s">
        <v>2386</v>
      </c>
      <c r="C667" t="e">
        <f>VLOOKUP(A667,'Cost Center'!A:C,3,FALSE)</f>
        <v>#N/A</v>
      </c>
      <c r="D667" t="e">
        <v>#N/A</v>
      </c>
      <c r="E667" t="s">
        <v>708</v>
      </c>
      <c r="F667" t="s">
        <v>19970</v>
      </c>
    </row>
    <row r="668" spans="1:6">
      <c r="A668">
        <v>8000107</v>
      </c>
      <c r="B668" t="s">
        <v>2387</v>
      </c>
      <c r="C668" t="e">
        <f>VLOOKUP(A668,'Cost Center'!A:C,3,FALSE)</f>
        <v>#N/A</v>
      </c>
      <c r="D668" t="e">
        <v>#N/A</v>
      </c>
      <c r="E668" t="s">
        <v>708</v>
      </c>
      <c r="F668" t="s">
        <v>19971</v>
      </c>
    </row>
    <row r="669" spans="1:6">
      <c r="A669">
        <v>8000108</v>
      </c>
      <c r="B669" t="s">
        <v>2388</v>
      </c>
      <c r="C669" t="e">
        <f>VLOOKUP(A669,'Cost Center'!A:C,3,FALSE)</f>
        <v>#N/A</v>
      </c>
      <c r="D669" t="e">
        <v>#N/A</v>
      </c>
      <c r="E669" t="s">
        <v>708</v>
      </c>
      <c r="F669" t="s">
        <v>19972</v>
      </c>
    </row>
    <row r="670" spans="1:6">
      <c r="A670">
        <v>8000109</v>
      </c>
      <c r="B670" t="s">
        <v>2389</v>
      </c>
      <c r="C670" t="str">
        <f>VLOOKUP(A670,'Cost Center'!A:C,3,FALSE)</f>
        <v>C259017</v>
      </c>
      <c r="D670" t="s">
        <v>6508</v>
      </c>
      <c r="E670" t="s">
        <v>708</v>
      </c>
      <c r="F670" t="s">
        <v>18926</v>
      </c>
    </row>
    <row r="671" spans="1:6">
      <c r="A671">
        <v>8000110</v>
      </c>
      <c r="B671" t="s">
        <v>2390</v>
      </c>
      <c r="C671" t="str">
        <f>VLOOKUP(A671,'Cost Center'!A:C,3,FALSE)</f>
        <v>C259018</v>
      </c>
      <c r="D671" t="s">
        <v>6510</v>
      </c>
      <c r="E671" t="s">
        <v>708</v>
      </c>
      <c r="F671" t="s">
        <v>18927</v>
      </c>
    </row>
    <row r="672" spans="1:6">
      <c r="A672">
        <v>8000111</v>
      </c>
      <c r="B672" t="s">
        <v>2391</v>
      </c>
      <c r="C672" t="str">
        <f>VLOOKUP(A672,'Cost Center'!A:C,3,FALSE)</f>
        <v>C259019</v>
      </c>
      <c r="D672" t="s">
        <v>6512</v>
      </c>
      <c r="E672" t="s">
        <v>708</v>
      </c>
      <c r="F672" t="s">
        <v>18928</v>
      </c>
    </row>
    <row r="673" spans="1:6">
      <c r="A673">
        <v>8000112</v>
      </c>
      <c r="B673" t="s">
        <v>2392</v>
      </c>
      <c r="C673" t="str">
        <f>VLOOKUP(A673,'Cost Center'!A:C,3,FALSE)</f>
        <v>C259020</v>
      </c>
      <c r="D673" t="s">
        <v>6514</v>
      </c>
      <c r="E673" t="s">
        <v>708</v>
      </c>
      <c r="F673" t="s">
        <v>18929</v>
      </c>
    </row>
    <row r="674" spans="1:6">
      <c r="A674">
        <v>8000113</v>
      </c>
      <c r="B674" t="s">
        <v>2393</v>
      </c>
      <c r="C674" t="str">
        <f>VLOOKUP(A674,'Cost Center'!A:C,3,FALSE)</f>
        <v>C259021</v>
      </c>
      <c r="D674" t="s">
        <v>6516</v>
      </c>
      <c r="E674" t="s">
        <v>708</v>
      </c>
      <c r="F674" t="s">
        <v>18930</v>
      </c>
    </row>
    <row r="675" spans="1:6">
      <c r="A675">
        <v>8000114</v>
      </c>
      <c r="B675" t="s">
        <v>2394</v>
      </c>
      <c r="C675" t="str">
        <f>VLOOKUP(A675,'Cost Center'!A:C,3,FALSE)</f>
        <v>C259022</v>
      </c>
      <c r="D675" t="s">
        <v>6518</v>
      </c>
      <c r="E675" t="s">
        <v>708</v>
      </c>
      <c r="F675" t="s">
        <v>18931</v>
      </c>
    </row>
    <row r="676" spans="1:6">
      <c r="A676">
        <v>8000115</v>
      </c>
      <c r="B676" t="s">
        <v>2395</v>
      </c>
      <c r="C676" t="str">
        <f>VLOOKUP(A676,'Cost Center'!A:C,3,FALSE)</f>
        <v>C259023</v>
      </c>
      <c r="D676" t="s">
        <v>7965</v>
      </c>
      <c r="E676" t="s">
        <v>708</v>
      </c>
      <c r="F676" t="s">
        <v>19353</v>
      </c>
    </row>
    <row r="677" spans="1:6">
      <c r="A677">
        <v>8000116</v>
      </c>
      <c r="B677" t="s">
        <v>2396</v>
      </c>
      <c r="C677" t="str">
        <f>VLOOKUP(A677,'Cost Center'!A:C,3,FALSE)</f>
        <v>C251356</v>
      </c>
      <c r="D677" t="s">
        <v>5926</v>
      </c>
      <c r="E677" t="s">
        <v>708</v>
      </c>
      <c r="F677" t="s">
        <v>18745</v>
      </c>
    </row>
    <row r="678" spans="1:6">
      <c r="A678">
        <v>5002</v>
      </c>
      <c r="B678" t="s">
        <v>2397</v>
      </c>
      <c r="C678" t="str">
        <f>VLOOKUP(A678,'Cost Center'!A:C,3,FALSE)</f>
        <v>C254015</v>
      </c>
      <c r="D678" t="s">
        <v>3634</v>
      </c>
      <c r="E678" t="s">
        <v>708</v>
      </c>
      <c r="F678" t="s">
        <v>18256</v>
      </c>
    </row>
    <row r="679" spans="1:6">
      <c r="A679">
        <v>5004</v>
      </c>
      <c r="B679" t="s">
        <v>2398</v>
      </c>
      <c r="C679" t="e">
        <f>VLOOKUP(A679,'Cost Center'!A:C,3,FALSE)</f>
        <v>#N/A</v>
      </c>
      <c r="D679" t="e">
        <v>#N/A</v>
      </c>
      <c r="E679" t="s">
        <v>708</v>
      </c>
      <c r="F679" t="s">
        <v>19973</v>
      </c>
    </row>
    <row r="680" spans="1:6">
      <c r="A680">
        <v>5007</v>
      </c>
      <c r="B680" t="s">
        <v>707</v>
      </c>
      <c r="C680" t="str">
        <f>VLOOKUP(A680,'Cost Center'!A:C,3,FALSE)</f>
        <v>C254009</v>
      </c>
      <c r="D680" t="s">
        <v>3639</v>
      </c>
      <c r="E680" t="s">
        <v>708</v>
      </c>
      <c r="F680" t="s">
        <v>18258</v>
      </c>
    </row>
    <row r="681" spans="1:6">
      <c r="A681">
        <v>5011</v>
      </c>
      <c r="B681" t="s">
        <v>2399</v>
      </c>
      <c r="C681" t="e">
        <f>VLOOKUP(A681,'Cost Center'!A:C,3,FALSE)</f>
        <v>#N/A</v>
      </c>
      <c r="D681" t="e">
        <v>#N/A</v>
      </c>
      <c r="E681" t="s">
        <v>708</v>
      </c>
      <c r="F681" t="s">
        <v>19974</v>
      </c>
    </row>
    <row r="682" spans="1:6">
      <c r="A682">
        <v>5015</v>
      </c>
      <c r="B682" t="s">
        <v>2400</v>
      </c>
      <c r="C682" t="str">
        <f>VLOOKUP(A682,'Cost Center'!A:C,3,FALSE)</f>
        <v>C254017</v>
      </c>
      <c r="D682" t="s">
        <v>3648</v>
      </c>
      <c r="E682" t="s">
        <v>708</v>
      </c>
      <c r="F682" t="s">
        <v>18262</v>
      </c>
    </row>
    <row r="683" spans="1:6">
      <c r="A683">
        <v>5020</v>
      </c>
      <c r="B683" t="s">
        <v>2401</v>
      </c>
      <c r="C683" t="str">
        <f>VLOOKUP(A683,'Cost Center'!A:C,3,FALSE)</f>
        <v>C254011</v>
      </c>
      <c r="D683" t="s">
        <v>3675</v>
      </c>
      <c r="E683" t="s">
        <v>708</v>
      </c>
      <c r="F683" t="s">
        <v>18273</v>
      </c>
    </row>
    <row r="684" spans="1:6">
      <c r="A684">
        <v>5027</v>
      </c>
      <c r="B684" t="s">
        <v>2402</v>
      </c>
      <c r="C684" t="str">
        <f>VLOOKUP(A684,'Cost Center'!A:C,3,FALSE)</f>
        <v>C254020</v>
      </c>
      <c r="D684" t="s">
        <v>3706</v>
      </c>
      <c r="E684" t="s">
        <v>708</v>
      </c>
      <c r="F684" t="s">
        <v>18282</v>
      </c>
    </row>
    <row r="685" spans="1:6">
      <c r="A685">
        <v>38100</v>
      </c>
      <c r="B685" t="s">
        <v>796</v>
      </c>
      <c r="C685" t="str">
        <f>VLOOKUP(A685,'Cost Center'!A:C,3,FALSE)</f>
        <v>C251344</v>
      </c>
      <c r="D685" t="s">
        <v>5897</v>
      </c>
      <c r="E685" t="s">
        <v>708</v>
      </c>
      <c r="F685" t="s">
        <v>18735</v>
      </c>
    </row>
    <row r="686" spans="1:6">
      <c r="A686">
        <v>38101</v>
      </c>
      <c r="B686" t="s">
        <v>797</v>
      </c>
      <c r="C686" t="str">
        <f>VLOOKUP(A686,'Cost Center'!A:C,3,FALSE)</f>
        <v>C251345</v>
      </c>
      <c r="D686" t="s">
        <v>5900</v>
      </c>
      <c r="E686" t="s">
        <v>708</v>
      </c>
      <c r="F686" t="s">
        <v>18736</v>
      </c>
    </row>
    <row r="687" spans="1:6">
      <c r="A687">
        <v>10321</v>
      </c>
      <c r="B687" t="s">
        <v>747</v>
      </c>
      <c r="C687" t="str">
        <f>VLOOKUP(A687,'Cost Center'!A:C,3,FALSE)</f>
        <v>C250112</v>
      </c>
      <c r="D687" t="s">
        <v>5564</v>
      </c>
      <c r="E687" t="s">
        <v>708</v>
      </c>
      <c r="F687" t="s">
        <v>18615</v>
      </c>
    </row>
    <row r="688" spans="1:6">
      <c r="A688">
        <v>103314</v>
      </c>
      <c r="B688" t="s">
        <v>2403</v>
      </c>
      <c r="C688" t="e">
        <f>VLOOKUP(A688,'Cost Center'!A:C,3,FALSE)</f>
        <v>#N/A</v>
      </c>
      <c r="D688" t="e">
        <v>#N/A</v>
      </c>
      <c r="E688" t="s">
        <v>708</v>
      </c>
      <c r="F688" t="s">
        <v>19975</v>
      </c>
    </row>
    <row r="689" spans="1:6">
      <c r="A689">
        <v>1060106</v>
      </c>
      <c r="B689" t="s">
        <v>2404</v>
      </c>
      <c r="C689" t="e">
        <f>VLOOKUP(A689,'Cost Center'!A:C,3,FALSE)</f>
        <v>#N/A</v>
      </c>
      <c r="D689" t="e">
        <v>#N/A</v>
      </c>
      <c r="E689" t="s">
        <v>708</v>
      </c>
      <c r="F689" t="s">
        <v>19976</v>
      </c>
    </row>
    <row r="690" spans="1:6">
      <c r="A690">
        <v>3100428</v>
      </c>
      <c r="B690" t="s">
        <v>1181</v>
      </c>
      <c r="C690" t="str">
        <f>VLOOKUP(A690,'Cost Center'!A:C,3,FALSE)</f>
        <v>C250120</v>
      </c>
      <c r="D690" t="s">
        <v>5570</v>
      </c>
      <c r="E690" t="s">
        <v>708</v>
      </c>
      <c r="F690" t="s">
        <v>18617</v>
      </c>
    </row>
    <row r="691" spans="1:6">
      <c r="A691">
        <v>3100467</v>
      </c>
      <c r="B691" t="s">
        <v>2405</v>
      </c>
      <c r="C691" t="str">
        <f>VLOOKUP(A691,'Cost Center'!A:C,3,FALSE)</f>
        <v>C250121</v>
      </c>
      <c r="D691" t="s">
        <v>5572</v>
      </c>
      <c r="E691" t="s">
        <v>708</v>
      </c>
      <c r="F691" t="s">
        <v>18618</v>
      </c>
    </row>
    <row r="692" spans="1:6">
      <c r="A692">
        <v>3100468</v>
      </c>
      <c r="B692" t="s">
        <v>1186</v>
      </c>
      <c r="C692" t="str">
        <f>VLOOKUP(A692,'Cost Center'!A:C,3,FALSE)</f>
        <v>C250122</v>
      </c>
      <c r="D692" t="s">
        <v>5575</v>
      </c>
      <c r="E692" t="s">
        <v>708</v>
      </c>
      <c r="F692" t="s">
        <v>18619</v>
      </c>
    </row>
    <row r="693" spans="1:6">
      <c r="A693">
        <v>3100600</v>
      </c>
      <c r="B693" t="s">
        <v>1189</v>
      </c>
      <c r="C693" t="str">
        <f>VLOOKUP(A693,'Cost Center'!A:C,3,FALSE)</f>
        <v>C250123</v>
      </c>
      <c r="D693" t="s">
        <v>5578</v>
      </c>
      <c r="E693" t="s">
        <v>708</v>
      </c>
      <c r="F693" t="s">
        <v>18620</v>
      </c>
    </row>
    <row r="694" spans="1:6">
      <c r="A694">
        <v>38261</v>
      </c>
      <c r="B694" t="s">
        <v>803</v>
      </c>
      <c r="C694" t="str">
        <f>VLOOKUP(A694,'Cost Center'!A:C,3,FALSE)</f>
        <v>C250113</v>
      </c>
      <c r="D694" t="s">
        <v>5567</v>
      </c>
      <c r="E694" t="s">
        <v>708</v>
      </c>
      <c r="F694" t="s">
        <v>18616</v>
      </c>
    </row>
    <row r="695" spans="1:6">
      <c r="A695">
        <v>5003</v>
      </c>
      <c r="B695" t="s">
        <v>2406</v>
      </c>
      <c r="C695" t="str">
        <f>VLOOKUP(A695,'Cost Center'!A:C,3,FALSE)</f>
        <v>C254019</v>
      </c>
      <c r="D695" t="s">
        <v>3636</v>
      </c>
      <c r="E695" t="s">
        <v>708</v>
      </c>
      <c r="F695" t="s">
        <v>18257</v>
      </c>
    </row>
    <row r="696" spans="1:6">
      <c r="A696">
        <v>5048</v>
      </c>
      <c r="B696" t="s">
        <v>718</v>
      </c>
      <c r="C696" t="str">
        <f>VLOOKUP(A696,'Cost Center'!A:C,3,FALSE)</f>
        <v>C254005</v>
      </c>
      <c r="D696" t="s">
        <v>3808</v>
      </c>
      <c r="E696" t="s">
        <v>708</v>
      </c>
      <c r="F696" t="s">
        <v>18314</v>
      </c>
    </row>
    <row r="697" spans="1:6">
      <c r="A697">
        <v>8020725</v>
      </c>
      <c r="B697" t="s">
        <v>1199</v>
      </c>
      <c r="C697" t="str">
        <f>VLOOKUP(A697,'Cost Center'!A:C,3,FALSE)</f>
        <v>C250100</v>
      </c>
      <c r="D697" t="s">
        <v>7968</v>
      </c>
      <c r="E697" t="s">
        <v>708</v>
      </c>
      <c r="F697" t="s">
        <v>19354</v>
      </c>
    </row>
    <row r="698" spans="1:6">
      <c r="A698">
        <v>8520745</v>
      </c>
      <c r="B698" t="s">
        <v>2407</v>
      </c>
      <c r="C698" t="str">
        <f>VLOOKUP(A698,'Cost Center'!A:C,3,FALSE)</f>
        <v>C250110</v>
      </c>
      <c r="D698" t="s">
        <v>8041</v>
      </c>
      <c r="E698" t="s">
        <v>708</v>
      </c>
      <c r="F698" t="s">
        <v>19371</v>
      </c>
    </row>
    <row r="699" spans="1:6">
      <c r="A699">
        <v>8560360</v>
      </c>
      <c r="B699" t="s">
        <v>2408</v>
      </c>
      <c r="C699" t="str">
        <f>VLOOKUP(A699,'Cost Center'!A:C,3,FALSE)</f>
        <v>C250111</v>
      </c>
      <c r="D699" t="s">
        <v>8273</v>
      </c>
      <c r="E699" t="s">
        <v>708</v>
      </c>
      <c r="F699" t="s">
        <v>19409</v>
      </c>
    </row>
    <row r="700" spans="1:6">
      <c r="A700">
        <v>8560361</v>
      </c>
      <c r="B700" t="s">
        <v>2409</v>
      </c>
      <c r="C700" t="e">
        <f>VLOOKUP(A700,'Cost Center'!A:C,3,FALSE)</f>
        <v>#N/A</v>
      </c>
      <c r="D700" t="e">
        <v>#N/A</v>
      </c>
      <c r="E700" t="s">
        <v>708</v>
      </c>
      <c r="F700" t="s">
        <v>19977</v>
      </c>
    </row>
    <row r="701" spans="1:6">
      <c r="A701">
        <v>1060105</v>
      </c>
      <c r="B701" t="s">
        <v>2410</v>
      </c>
      <c r="C701" t="e">
        <f>VLOOKUP(A701,'Cost Center'!A:C,3,FALSE)</f>
        <v>#N/A</v>
      </c>
      <c r="D701" t="e">
        <v>#N/A</v>
      </c>
      <c r="E701" t="s">
        <v>708</v>
      </c>
      <c r="F701" t="s">
        <v>19978</v>
      </c>
    </row>
    <row r="702" spans="1:6">
      <c r="A702">
        <v>3110389</v>
      </c>
      <c r="B702" t="s">
        <v>1191</v>
      </c>
      <c r="C702" t="str">
        <f>VLOOKUP(A702,'Cost Center'!A:C,3,FALSE)</f>
        <v>C250400</v>
      </c>
      <c r="D702" t="s">
        <v>5618</v>
      </c>
      <c r="E702" t="s">
        <v>708</v>
      </c>
      <c r="F702" t="s">
        <v>18637</v>
      </c>
    </row>
    <row r="703" spans="1:6">
      <c r="A703">
        <v>787700</v>
      </c>
      <c r="B703" t="s">
        <v>2411</v>
      </c>
      <c r="C703" t="e">
        <f>VLOOKUP(A703,'Cost Center'!A:C,3,FALSE)</f>
        <v>#N/A</v>
      </c>
      <c r="D703" t="e">
        <v>#N/A</v>
      </c>
      <c r="E703" t="s">
        <v>708</v>
      </c>
      <c r="F703" t="s">
        <v>19979</v>
      </c>
    </row>
    <row r="704" spans="1:6">
      <c r="A704">
        <v>8540700</v>
      </c>
      <c r="B704" t="s">
        <v>1208</v>
      </c>
      <c r="C704" t="str">
        <f>VLOOKUP(A704,'Cost Center'!A:C,3,FALSE)</f>
        <v>C250401</v>
      </c>
      <c r="D704" t="s">
        <v>8140</v>
      </c>
      <c r="E704" t="s">
        <v>708</v>
      </c>
      <c r="F704" t="s">
        <v>19392</v>
      </c>
    </row>
    <row r="705" spans="1:6">
      <c r="A705">
        <v>8545600</v>
      </c>
      <c r="B705" t="s">
        <v>2412</v>
      </c>
      <c r="C705" t="e">
        <f>VLOOKUP(A705,'Cost Center'!A:C,3,FALSE)</f>
        <v>#N/A</v>
      </c>
      <c r="D705" t="e">
        <v>#N/A</v>
      </c>
      <c r="E705" t="s">
        <v>708</v>
      </c>
      <c r="F705" t="s">
        <v>19980</v>
      </c>
    </row>
    <row r="706" spans="1:6">
      <c r="A706">
        <v>104002</v>
      </c>
      <c r="B706" t="s">
        <v>1026</v>
      </c>
      <c r="C706" t="str">
        <f>VLOOKUP(A706,'Cost Center'!A:C,3,FALSE)</f>
        <v>C250622</v>
      </c>
      <c r="D706" t="s">
        <v>5687</v>
      </c>
      <c r="E706" t="s">
        <v>708</v>
      </c>
      <c r="F706" t="s">
        <v>18658</v>
      </c>
    </row>
    <row r="707" spans="1:6">
      <c r="A707">
        <v>104003</v>
      </c>
      <c r="B707" t="s">
        <v>2413</v>
      </c>
      <c r="C707" t="e">
        <f>VLOOKUP(A707,'Cost Center'!A:C,3,FALSE)</f>
        <v>#N/A</v>
      </c>
      <c r="D707" t="e">
        <v>#N/A</v>
      </c>
      <c r="E707" t="s">
        <v>708</v>
      </c>
      <c r="F707" t="s">
        <v>19981</v>
      </c>
    </row>
    <row r="708" spans="1:6">
      <c r="A708">
        <v>104004</v>
      </c>
      <c r="B708" t="s">
        <v>1027</v>
      </c>
      <c r="C708" t="str">
        <f>VLOOKUP(A708,'Cost Center'!A:C,3,FALSE)</f>
        <v>C250627</v>
      </c>
      <c r="D708" t="s">
        <v>5698</v>
      </c>
      <c r="E708" t="s">
        <v>708</v>
      </c>
      <c r="F708" t="s">
        <v>18663</v>
      </c>
    </row>
    <row r="709" spans="1:6">
      <c r="A709">
        <v>104005</v>
      </c>
      <c r="B709" t="s">
        <v>1028</v>
      </c>
      <c r="C709" t="str">
        <f>VLOOKUP(A709,'Cost Center'!A:C,3,FALSE)</f>
        <v>C250600</v>
      </c>
      <c r="D709" t="s">
        <v>6940</v>
      </c>
      <c r="E709" t="s">
        <v>708</v>
      </c>
      <c r="F709" t="s">
        <v>19056</v>
      </c>
    </row>
    <row r="710" spans="1:6">
      <c r="A710">
        <v>104006</v>
      </c>
      <c r="B710" t="s">
        <v>2414</v>
      </c>
      <c r="C710" t="e">
        <f>VLOOKUP(A710,'Cost Center'!A:C,3,FALSE)</f>
        <v>#N/A</v>
      </c>
      <c r="D710" t="e">
        <v>#N/A</v>
      </c>
      <c r="E710" t="s">
        <v>708</v>
      </c>
      <c r="F710" t="s">
        <v>19982</v>
      </c>
    </row>
    <row r="711" spans="1:6">
      <c r="A711">
        <v>104007</v>
      </c>
      <c r="B711" t="s">
        <v>2415</v>
      </c>
      <c r="C711" t="e">
        <f>VLOOKUP(A711,'Cost Center'!A:C,3,FALSE)</f>
        <v>#N/A</v>
      </c>
      <c r="D711" t="e">
        <v>#N/A</v>
      </c>
      <c r="E711" t="s">
        <v>708</v>
      </c>
      <c r="F711" t="s">
        <v>19983</v>
      </c>
    </row>
    <row r="712" spans="1:6">
      <c r="A712">
        <v>104008</v>
      </c>
      <c r="B712" t="s">
        <v>1029</v>
      </c>
      <c r="C712" t="str">
        <f>VLOOKUP(A712,'Cost Center'!A:C,3,FALSE)</f>
        <v>C250628</v>
      </c>
      <c r="D712" t="s">
        <v>5700</v>
      </c>
      <c r="E712" t="s">
        <v>708</v>
      </c>
      <c r="F712" t="s">
        <v>18664</v>
      </c>
    </row>
    <row r="713" spans="1:6">
      <c r="A713">
        <v>104009</v>
      </c>
      <c r="B713" t="s">
        <v>1030</v>
      </c>
      <c r="C713" t="str">
        <f>VLOOKUP(A713,'Cost Center'!A:C,3,FALSE)</f>
        <v>C250601</v>
      </c>
      <c r="D713" t="s">
        <v>5675</v>
      </c>
      <c r="E713" t="s">
        <v>708</v>
      </c>
      <c r="F713" t="s">
        <v>18653</v>
      </c>
    </row>
    <row r="714" spans="1:6">
      <c r="A714">
        <v>104010</v>
      </c>
      <c r="B714" t="s">
        <v>1031</v>
      </c>
      <c r="C714" t="str">
        <f>VLOOKUP(A714,'Cost Center'!A:C,3,FALSE)</f>
        <v>C250624</v>
      </c>
      <c r="D714" t="s">
        <v>5692</v>
      </c>
      <c r="E714" t="s">
        <v>708</v>
      </c>
      <c r="F714" t="s">
        <v>18660</v>
      </c>
    </row>
    <row r="715" spans="1:6">
      <c r="A715">
        <v>104011</v>
      </c>
      <c r="B715" t="s">
        <v>2416</v>
      </c>
      <c r="C715" t="e">
        <f>VLOOKUP(A715,'Cost Center'!A:C,3,FALSE)</f>
        <v>#N/A</v>
      </c>
      <c r="D715" t="e">
        <v>#N/A</v>
      </c>
      <c r="E715" t="s">
        <v>708</v>
      </c>
      <c r="F715" t="s">
        <v>19984</v>
      </c>
    </row>
    <row r="716" spans="1:6">
      <c r="A716">
        <v>104012</v>
      </c>
      <c r="B716" t="s">
        <v>1032</v>
      </c>
      <c r="C716" t="str">
        <f>VLOOKUP(A716,'Cost Center'!A:C,3,FALSE)</f>
        <v>C250602</v>
      </c>
      <c r="D716" t="s">
        <v>5677</v>
      </c>
      <c r="E716" t="s">
        <v>708</v>
      </c>
      <c r="F716" t="s">
        <v>18654</v>
      </c>
    </row>
    <row r="717" spans="1:6">
      <c r="A717">
        <v>104013</v>
      </c>
      <c r="B717" t="s">
        <v>2417</v>
      </c>
      <c r="C717" t="e">
        <f>VLOOKUP(A717,'Cost Center'!A:C,3,FALSE)</f>
        <v>#N/A</v>
      </c>
      <c r="D717" t="e">
        <v>#N/A</v>
      </c>
      <c r="E717" t="s">
        <v>708</v>
      </c>
      <c r="F717" t="s">
        <v>19985</v>
      </c>
    </row>
    <row r="718" spans="1:6">
      <c r="A718">
        <v>104014</v>
      </c>
      <c r="B718" t="s">
        <v>2418</v>
      </c>
      <c r="C718" t="e">
        <f>VLOOKUP(A718,'Cost Center'!A:C,3,FALSE)</f>
        <v>#N/A</v>
      </c>
      <c r="D718" t="e">
        <v>#N/A</v>
      </c>
      <c r="E718" t="s">
        <v>708</v>
      </c>
      <c r="F718" t="s">
        <v>19986</v>
      </c>
    </row>
    <row r="719" spans="1:6">
      <c r="A719">
        <v>104015</v>
      </c>
      <c r="B719" t="s">
        <v>2419</v>
      </c>
      <c r="C719" t="e">
        <f>VLOOKUP(A719,'Cost Center'!A:C,3,FALSE)</f>
        <v>#N/A</v>
      </c>
      <c r="D719" t="e">
        <v>#N/A</v>
      </c>
      <c r="E719" t="s">
        <v>708</v>
      </c>
      <c r="F719" t="s">
        <v>19987</v>
      </c>
    </row>
    <row r="720" spans="1:6">
      <c r="A720">
        <v>600000</v>
      </c>
      <c r="B720" t="s">
        <v>1137</v>
      </c>
      <c r="C720" t="str">
        <f>VLOOKUP(A720,'Cost Center'!A:C,3,FALSE)</f>
        <v>C250629</v>
      </c>
      <c r="D720" t="s">
        <v>5702</v>
      </c>
      <c r="E720" t="s">
        <v>708</v>
      </c>
      <c r="F720" t="s">
        <v>18665</v>
      </c>
    </row>
    <row r="721" spans="1:6">
      <c r="A721">
        <v>600002</v>
      </c>
      <c r="B721" t="s">
        <v>1138</v>
      </c>
      <c r="C721" t="str">
        <f>VLOOKUP(A721,'Cost Center'!A:C,3,FALSE)</f>
        <v>C250621</v>
      </c>
      <c r="D721" t="s">
        <v>5684</v>
      </c>
      <c r="E721" t="s">
        <v>708</v>
      </c>
      <c r="F721" t="s">
        <v>18657</v>
      </c>
    </row>
    <row r="722" spans="1:6">
      <c r="A722">
        <v>787800</v>
      </c>
      <c r="B722" t="s">
        <v>2420</v>
      </c>
      <c r="C722" t="str">
        <f>VLOOKUP(A722,'Cost Center'!A:C,3,FALSE)</f>
        <v>C250625</v>
      </c>
      <c r="D722" t="s">
        <v>5694</v>
      </c>
      <c r="E722" t="s">
        <v>708</v>
      </c>
      <c r="F722" t="s">
        <v>18661</v>
      </c>
    </row>
    <row r="723" spans="1:6">
      <c r="A723">
        <v>104001</v>
      </c>
      <c r="B723" t="s">
        <v>2421</v>
      </c>
      <c r="C723" t="str">
        <f>VLOOKUP(A723,'Cost Center'!A:C,3,FALSE)</f>
        <v>C250590</v>
      </c>
      <c r="D723" t="s">
        <v>5669</v>
      </c>
      <c r="E723" t="s">
        <v>708</v>
      </c>
      <c r="F723" t="s">
        <v>18651</v>
      </c>
    </row>
    <row r="724" spans="1:6">
      <c r="A724">
        <v>104038</v>
      </c>
      <c r="B724" t="s">
        <v>2422</v>
      </c>
      <c r="C724" t="e">
        <f>VLOOKUP(A724,'Cost Center'!A:C,3,FALSE)</f>
        <v>#N/A</v>
      </c>
      <c r="D724" t="e">
        <v>#N/A</v>
      </c>
      <c r="E724" t="s">
        <v>708</v>
      </c>
      <c r="F724" t="s">
        <v>19988</v>
      </c>
    </row>
    <row r="725" spans="1:6">
      <c r="A725">
        <v>104039</v>
      </c>
      <c r="B725" t="s">
        <v>2423</v>
      </c>
      <c r="C725" t="str">
        <f>VLOOKUP(A725,'Cost Center'!A:C,3,FALSE)</f>
        <v>C250270</v>
      </c>
      <c r="D725" t="s">
        <v>5613</v>
      </c>
      <c r="E725" t="s">
        <v>708</v>
      </c>
      <c r="F725" t="s">
        <v>18635</v>
      </c>
    </row>
    <row r="726" spans="1:6">
      <c r="A726">
        <v>104040</v>
      </c>
      <c r="B726" t="s">
        <v>2424</v>
      </c>
      <c r="C726" t="str">
        <f>VLOOKUP(A726,'Cost Center'!A:C,3,FALSE)</f>
        <v>C250220</v>
      </c>
      <c r="D726" t="s">
        <v>5589</v>
      </c>
      <c r="E726" t="s">
        <v>708</v>
      </c>
      <c r="F726" t="s">
        <v>18625</v>
      </c>
    </row>
    <row r="727" spans="1:6">
      <c r="A727">
        <v>104041</v>
      </c>
      <c r="B727" t="s">
        <v>2425</v>
      </c>
      <c r="C727" t="str">
        <f>VLOOKUP(A727,'Cost Center'!A:C,3,FALSE)</f>
        <v>C250221</v>
      </c>
      <c r="D727" t="s">
        <v>5591</v>
      </c>
      <c r="E727" t="s">
        <v>708</v>
      </c>
      <c r="F727" t="s">
        <v>18626</v>
      </c>
    </row>
    <row r="728" spans="1:6">
      <c r="A728">
        <v>104302</v>
      </c>
      <c r="B728" t="s">
        <v>2426</v>
      </c>
      <c r="C728" t="str">
        <f>VLOOKUP(A728,'Cost Center'!A:C,3,FALSE)</f>
        <v>C250013</v>
      </c>
      <c r="D728" t="s">
        <v>5543</v>
      </c>
      <c r="E728" t="s">
        <v>708</v>
      </c>
      <c r="F728" t="s">
        <v>18608</v>
      </c>
    </row>
    <row r="729" spans="1:6">
      <c r="A729">
        <v>104303</v>
      </c>
      <c r="B729" t="s">
        <v>2427</v>
      </c>
      <c r="C729" t="str">
        <f>VLOOKUP(A729,'Cost Center'!A:C,3,FALSE)</f>
        <v>C250050</v>
      </c>
      <c r="D729" t="s">
        <v>5546</v>
      </c>
      <c r="E729" t="s">
        <v>708</v>
      </c>
      <c r="F729" t="s">
        <v>18609</v>
      </c>
    </row>
    <row r="730" spans="1:6">
      <c r="A730">
        <v>104304</v>
      </c>
      <c r="B730" t="s">
        <v>2428</v>
      </c>
      <c r="C730" t="str">
        <f>VLOOKUP(A730,'Cost Center'!A:C,3,FALSE)</f>
        <v>C250051</v>
      </c>
      <c r="D730" t="s">
        <v>5549</v>
      </c>
      <c r="E730" t="s">
        <v>708</v>
      </c>
      <c r="F730" t="s">
        <v>18610</v>
      </c>
    </row>
    <row r="731" spans="1:6">
      <c r="A731">
        <v>104305</v>
      </c>
      <c r="B731" t="s">
        <v>2429</v>
      </c>
      <c r="C731" t="str">
        <f>VLOOKUP(A731,'Cost Center'!A:C,3,FALSE)</f>
        <v>C250052</v>
      </c>
      <c r="D731" t="s">
        <v>6949</v>
      </c>
      <c r="E731" t="s">
        <v>708</v>
      </c>
      <c r="F731" t="s">
        <v>19059</v>
      </c>
    </row>
    <row r="732" spans="1:6">
      <c r="A732">
        <v>104309</v>
      </c>
      <c r="B732" t="s">
        <v>2430</v>
      </c>
      <c r="C732" t="e">
        <f>VLOOKUP(A732,'Cost Center'!A:C,3,FALSE)</f>
        <v>#N/A</v>
      </c>
      <c r="D732" t="e">
        <v>#N/A</v>
      </c>
      <c r="E732" t="s">
        <v>708</v>
      </c>
      <c r="F732" t="s">
        <v>19989</v>
      </c>
    </row>
    <row r="733" spans="1:6">
      <c r="A733">
        <v>104310</v>
      </c>
      <c r="B733" t="s">
        <v>2431</v>
      </c>
      <c r="C733" t="str">
        <f>VLOOKUP(A733,'Cost Center'!A:C,3,FALSE)</f>
        <v>C250012</v>
      </c>
      <c r="D733" t="s">
        <v>5540</v>
      </c>
      <c r="E733" t="s">
        <v>708</v>
      </c>
      <c r="F733" t="s">
        <v>18607</v>
      </c>
    </row>
    <row r="734" spans="1:6">
      <c r="A734">
        <v>104311</v>
      </c>
      <c r="B734" t="s">
        <v>2432</v>
      </c>
      <c r="C734" t="e">
        <f>VLOOKUP(A734,'Cost Center'!A:C,3,FALSE)</f>
        <v>#N/A</v>
      </c>
      <c r="D734" t="e">
        <v>#N/A</v>
      </c>
      <c r="E734" t="s">
        <v>708</v>
      </c>
      <c r="F734" t="s">
        <v>19990</v>
      </c>
    </row>
    <row r="735" spans="1:6">
      <c r="A735">
        <v>104312</v>
      </c>
      <c r="B735" t="s">
        <v>2433</v>
      </c>
      <c r="C735" t="e">
        <f>VLOOKUP(A735,'Cost Center'!A:C,3,FALSE)</f>
        <v>#N/A</v>
      </c>
      <c r="D735" t="e">
        <v>#N/A</v>
      </c>
      <c r="E735" t="s">
        <v>708</v>
      </c>
      <c r="F735" t="s">
        <v>19991</v>
      </c>
    </row>
    <row r="736" spans="1:6">
      <c r="A736">
        <v>104313</v>
      </c>
      <c r="B736" t="s">
        <v>2434</v>
      </c>
      <c r="C736" t="e">
        <f>VLOOKUP(A736,'Cost Center'!A:C,3,FALSE)</f>
        <v>#N/A</v>
      </c>
      <c r="D736" t="e">
        <v>#N/A</v>
      </c>
      <c r="E736" t="s">
        <v>708</v>
      </c>
      <c r="F736" t="s">
        <v>19992</v>
      </c>
    </row>
    <row r="737" spans="1:6">
      <c r="A737">
        <v>104314</v>
      </c>
      <c r="B737" t="s">
        <v>2435</v>
      </c>
      <c r="C737" t="e">
        <f>VLOOKUP(A737,'Cost Center'!A:C,3,FALSE)</f>
        <v>#N/A</v>
      </c>
      <c r="D737" t="e">
        <v>#N/A</v>
      </c>
      <c r="E737" t="s">
        <v>708</v>
      </c>
      <c r="F737" t="s">
        <v>19993</v>
      </c>
    </row>
    <row r="738" spans="1:6">
      <c r="A738">
        <v>104315</v>
      </c>
      <c r="B738" t="s">
        <v>2436</v>
      </c>
      <c r="C738" t="e">
        <f>VLOOKUP(A738,'Cost Center'!A:C,3,FALSE)</f>
        <v>#N/A</v>
      </c>
      <c r="D738" t="e">
        <v>#N/A</v>
      </c>
      <c r="E738" t="s">
        <v>708</v>
      </c>
      <c r="F738" t="s">
        <v>19994</v>
      </c>
    </row>
    <row r="739" spans="1:6">
      <c r="A739">
        <v>104316</v>
      </c>
      <c r="B739" t="s">
        <v>2437</v>
      </c>
      <c r="C739" t="e">
        <f>VLOOKUP(A739,'Cost Center'!A:C,3,FALSE)</f>
        <v>#N/A</v>
      </c>
      <c r="D739" t="e">
        <v>#N/A</v>
      </c>
      <c r="E739" t="s">
        <v>708</v>
      </c>
      <c r="F739" t="s">
        <v>19995</v>
      </c>
    </row>
    <row r="740" spans="1:6">
      <c r="A740">
        <v>104317</v>
      </c>
      <c r="B740" t="s">
        <v>2438</v>
      </c>
      <c r="C740" t="e">
        <f>VLOOKUP(A740,'Cost Center'!A:C,3,FALSE)</f>
        <v>#N/A</v>
      </c>
      <c r="D740" t="e">
        <v>#N/A</v>
      </c>
      <c r="E740" t="s">
        <v>708</v>
      </c>
      <c r="F740" t="s">
        <v>19996</v>
      </c>
    </row>
    <row r="741" spans="1:6">
      <c r="A741">
        <v>104318</v>
      </c>
      <c r="B741" t="s">
        <v>2439</v>
      </c>
      <c r="C741" t="e">
        <f>VLOOKUP(A741,'Cost Center'!A:C,3,FALSE)</f>
        <v>#N/A</v>
      </c>
      <c r="D741" t="e">
        <v>#N/A</v>
      </c>
      <c r="E741" t="s">
        <v>708</v>
      </c>
      <c r="F741" t="s">
        <v>19997</v>
      </c>
    </row>
    <row r="742" spans="1:6">
      <c r="A742">
        <v>104319</v>
      </c>
      <c r="B742" t="s">
        <v>2440</v>
      </c>
      <c r="C742" t="e">
        <f>VLOOKUP(A742,'Cost Center'!A:C,3,FALSE)</f>
        <v>#N/A</v>
      </c>
      <c r="D742" t="e">
        <v>#N/A</v>
      </c>
      <c r="E742" t="s">
        <v>708</v>
      </c>
      <c r="F742" t="s">
        <v>19998</v>
      </c>
    </row>
    <row r="743" spans="1:6">
      <c r="A743">
        <v>104320</v>
      </c>
      <c r="B743" t="s">
        <v>2441</v>
      </c>
      <c r="C743" t="e">
        <f>VLOOKUP(A743,'Cost Center'!A:C,3,FALSE)</f>
        <v>#N/A</v>
      </c>
      <c r="D743" t="e">
        <v>#N/A</v>
      </c>
      <c r="E743" t="s">
        <v>708</v>
      </c>
      <c r="F743" t="s">
        <v>19999</v>
      </c>
    </row>
    <row r="744" spans="1:6">
      <c r="A744">
        <v>1060103</v>
      </c>
      <c r="B744" t="s">
        <v>2442</v>
      </c>
      <c r="C744" t="e">
        <f>VLOOKUP(A744,'Cost Center'!A:C,3,FALSE)</f>
        <v>#N/A</v>
      </c>
      <c r="D744" t="e">
        <v>#N/A</v>
      </c>
      <c r="E744" t="s">
        <v>708</v>
      </c>
      <c r="F744" t="s">
        <v>20000</v>
      </c>
    </row>
    <row r="745" spans="1:6">
      <c r="A745">
        <v>3100437</v>
      </c>
      <c r="B745" t="s">
        <v>1182</v>
      </c>
      <c r="C745" t="str">
        <f>VLOOKUP(A745,'Cost Center'!A:C,3,FALSE)</f>
        <v>C250010</v>
      </c>
      <c r="D745" t="s">
        <v>5535</v>
      </c>
      <c r="E745" t="s">
        <v>708</v>
      </c>
      <c r="F745" t="s">
        <v>18605</v>
      </c>
    </row>
    <row r="746" spans="1:6">
      <c r="A746">
        <v>3100438</v>
      </c>
      <c r="B746" t="s">
        <v>1183</v>
      </c>
      <c r="C746" t="str">
        <f>VLOOKUP(A746,'Cost Center'!A:C,3,FALSE)</f>
        <v>C250000</v>
      </c>
      <c r="D746" t="s">
        <v>5527</v>
      </c>
      <c r="E746" t="s">
        <v>708</v>
      </c>
      <c r="F746" t="s">
        <v>18602</v>
      </c>
    </row>
    <row r="747" spans="1:6">
      <c r="A747">
        <v>600003</v>
      </c>
      <c r="B747" t="s">
        <v>1139</v>
      </c>
      <c r="C747" t="str">
        <f>VLOOKUP(A747,'Cost Center'!A:C,3,FALSE)</f>
        <v>C250570</v>
      </c>
      <c r="D747" t="s">
        <v>5662</v>
      </c>
      <c r="E747" t="s">
        <v>708</v>
      </c>
      <c r="F747" t="s">
        <v>18649</v>
      </c>
    </row>
    <row r="748" spans="1:6">
      <c r="A748">
        <v>8560160</v>
      </c>
      <c r="B748" t="s">
        <v>2443</v>
      </c>
      <c r="C748" t="str">
        <f>VLOOKUP(A748,'Cost Center'!A:C,3,FALSE)</f>
        <v>C250011</v>
      </c>
      <c r="D748" t="s">
        <v>8271</v>
      </c>
      <c r="E748" t="s">
        <v>708</v>
      </c>
      <c r="F748" t="s">
        <v>19408</v>
      </c>
    </row>
    <row r="749" spans="1:6">
      <c r="A749">
        <v>8560161</v>
      </c>
      <c r="B749" t="s">
        <v>2444</v>
      </c>
      <c r="C749" t="e">
        <f>VLOOKUP(A749,'Cost Center'!A:C,3,FALSE)</f>
        <v>#N/A</v>
      </c>
      <c r="D749" t="e">
        <v>#N/A</v>
      </c>
      <c r="E749" t="s">
        <v>708</v>
      </c>
      <c r="F749" t="s">
        <v>20001</v>
      </c>
    </row>
    <row r="750" spans="1:6">
      <c r="A750">
        <v>3200494</v>
      </c>
      <c r="B750" t="s">
        <v>2445</v>
      </c>
      <c r="C750" t="e">
        <f>VLOOKUP(A750,'Cost Center'!A:C,3,FALSE)</f>
        <v>#N/A</v>
      </c>
      <c r="D750" t="e">
        <v>#N/A</v>
      </c>
      <c r="E750" t="s">
        <v>708</v>
      </c>
      <c r="F750" t="s">
        <v>20002</v>
      </c>
    </row>
    <row r="751" spans="1:6">
      <c r="A751">
        <v>104021</v>
      </c>
      <c r="B751" t="s">
        <v>2446</v>
      </c>
      <c r="C751" t="str">
        <f>VLOOKUP(A751,'Cost Center'!A:C,3,FALSE)</f>
        <v>C250009</v>
      </c>
      <c r="D751" t="s">
        <v>5533</v>
      </c>
      <c r="E751" t="s">
        <v>708</v>
      </c>
      <c r="F751" t="s">
        <v>18604</v>
      </c>
    </row>
    <row r="752" spans="1:6">
      <c r="A752">
        <v>104022</v>
      </c>
      <c r="B752" t="s">
        <v>2447</v>
      </c>
      <c r="C752" t="str">
        <f>VLOOKUP(A752,'Cost Center'!A:C,3,FALSE)</f>
        <v>C250630</v>
      </c>
      <c r="D752" t="s">
        <v>5704</v>
      </c>
      <c r="E752" t="s">
        <v>708</v>
      </c>
      <c r="F752" t="s">
        <v>18666</v>
      </c>
    </row>
    <row r="753" spans="1:6">
      <c r="A753">
        <v>104027</v>
      </c>
      <c r="B753" t="s">
        <v>2448</v>
      </c>
      <c r="C753" t="str">
        <f>VLOOKUP(A753,'Cost Center'!A:C,3,FALSE)</f>
        <v>C250242</v>
      </c>
      <c r="D753" t="s">
        <v>5599</v>
      </c>
      <c r="E753" t="s">
        <v>708</v>
      </c>
      <c r="F753" t="s">
        <v>18629</v>
      </c>
    </row>
    <row r="754" spans="1:6">
      <c r="A754">
        <v>104031</v>
      </c>
      <c r="B754" t="s">
        <v>2449</v>
      </c>
      <c r="C754" t="str">
        <f>VLOOKUP(A754,'Cost Center'!A:C,3,FALSE)</f>
        <v>C250211</v>
      </c>
      <c r="D754" t="s">
        <v>5585</v>
      </c>
      <c r="E754" t="s">
        <v>708</v>
      </c>
      <c r="F754" t="s">
        <v>18623</v>
      </c>
    </row>
    <row r="755" spans="1:6">
      <c r="A755" t="s">
        <v>2450</v>
      </c>
      <c r="B755" t="s">
        <v>2451</v>
      </c>
      <c r="C755" t="str">
        <f>VLOOKUP(A755,'Cost Center'!A:C,3,FALSE)</f>
        <v>C250541</v>
      </c>
      <c r="D755" t="s">
        <v>5651</v>
      </c>
      <c r="E755" t="s">
        <v>708</v>
      </c>
      <c r="F755" t="s">
        <v>2450</v>
      </c>
    </row>
    <row r="756" spans="1:6">
      <c r="A756">
        <v>104032</v>
      </c>
      <c r="B756" t="s">
        <v>1033</v>
      </c>
      <c r="C756" t="str">
        <f>VLOOKUP(A756,'Cost Center'!A:C,3,FALSE)</f>
        <v>C250210</v>
      </c>
      <c r="D756" t="s">
        <v>5583</v>
      </c>
      <c r="E756" t="s">
        <v>708</v>
      </c>
      <c r="F756" t="s">
        <v>18622</v>
      </c>
    </row>
    <row r="757" spans="1:6">
      <c r="A757">
        <v>104033</v>
      </c>
      <c r="B757" t="s">
        <v>2452</v>
      </c>
      <c r="C757" t="str">
        <f>VLOOKUP(A757,'Cost Center'!A:C,3,FALSE)</f>
        <v>C250241</v>
      </c>
      <c r="D757" t="s">
        <v>5597</v>
      </c>
      <c r="E757" t="s">
        <v>708</v>
      </c>
      <c r="F757" t="s">
        <v>18628</v>
      </c>
    </row>
    <row r="758" spans="1:6">
      <c r="A758">
        <v>104034</v>
      </c>
      <c r="B758" t="s">
        <v>2453</v>
      </c>
      <c r="C758" t="str">
        <f>VLOOKUP(A758,'Cost Center'!A:C,3,FALSE)</f>
        <v>C250200</v>
      </c>
      <c r="D758" t="s">
        <v>5580</v>
      </c>
      <c r="E758" t="s">
        <v>708</v>
      </c>
      <c r="F758" t="s">
        <v>18621</v>
      </c>
    </row>
    <row r="759" spans="1:6">
      <c r="A759" t="s">
        <v>2454</v>
      </c>
      <c r="B759" t="s">
        <v>2455</v>
      </c>
      <c r="C759" t="str">
        <f>VLOOKUP(A759,'Cost Center'!A:C,3,FALSE)</f>
        <v>C250540</v>
      </c>
      <c r="D759" t="s">
        <v>5649</v>
      </c>
      <c r="E759" t="s">
        <v>708</v>
      </c>
      <c r="F759" t="s">
        <v>2454</v>
      </c>
    </row>
    <row r="760" spans="1:6">
      <c r="A760">
        <v>104035</v>
      </c>
      <c r="B760" t="s">
        <v>2456</v>
      </c>
      <c r="C760" t="str">
        <f>VLOOKUP(A760,'Cost Center'!A:C,3,FALSE)</f>
        <v>C250008</v>
      </c>
      <c r="D760" t="s">
        <v>6943</v>
      </c>
      <c r="E760" t="s">
        <v>708</v>
      </c>
      <c r="F760" t="s">
        <v>19057</v>
      </c>
    </row>
    <row r="761" spans="1:6">
      <c r="A761">
        <v>104050</v>
      </c>
      <c r="B761" t="s">
        <v>2457</v>
      </c>
      <c r="C761" t="e">
        <f>VLOOKUP(A761,'Cost Center'!A:C,3,FALSE)</f>
        <v>#N/A</v>
      </c>
      <c r="D761" t="e">
        <v>#N/A</v>
      </c>
      <c r="E761" t="s">
        <v>708</v>
      </c>
      <c r="F761" t="s">
        <v>20003</v>
      </c>
    </row>
    <row r="762" spans="1:6">
      <c r="A762">
        <v>1060108</v>
      </c>
      <c r="B762" t="s">
        <v>2458</v>
      </c>
      <c r="C762" t="e">
        <f>VLOOKUP(A762,'Cost Center'!A:C,3,FALSE)</f>
        <v>#N/A</v>
      </c>
      <c r="D762" t="e">
        <v>#N/A</v>
      </c>
      <c r="E762" t="s">
        <v>708</v>
      </c>
      <c r="F762" t="s">
        <v>20004</v>
      </c>
    </row>
    <row r="763" spans="1:6">
      <c r="A763">
        <v>8560260</v>
      </c>
      <c r="B763" t="s">
        <v>2459</v>
      </c>
      <c r="C763" t="e">
        <f>VLOOKUP(A763,'Cost Center'!A:C,3,FALSE)</f>
        <v>#N/A</v>
      </c>
      <c r="D763" t="e">
        <v>#N/A</v>
      </c>
      <c r="E763" t="s">
        <v>708</v>
      </c>
      <c r="F763" t="s">
        <v>20005</v>
      </c>
    </row>
    <row r="764" spans="1:6">
      <c r="A764">
        <v>8560261</v>
      </c>
      <c r="B764" t="s">
        <v>2460</v>
      </c>
      <c r="C764" t="e">
        <f>VLOOKUP(A764,'Cost Center'!A:C,3,FALSE)</f>
        <v>#N/A</v>
      </c>
      <c r="D764" t="e">
        <v>#N/A</v>
      </c>
      <c r="E764" t="s">
        <v>708</v>
      </c>
      <c r="F764" t="s">
        <v>20006</v>
      </c>
    </row>
    <row r="765" spans="1:6">
      <c r="A765">
        <v>8560401</v>
      </c>
      <c r="B765" t="s">
        <v>2461</v>
      </c>
      <c r="C765" t="str">
        <f>VLOOKUP(A765,'Cost Center'!A:C,3,FALSE)</f>
        <v>C251391</v>
      </c>
      <c r="D765" t="s">
        <v>8284</v>
      </c>
      <c r="E765" t="s">
        <v>708</v>
      </c>
      <c r="F765" t="s">
        <v>19411</v>
      </c>
    </row>
    <row r="766" spans="1:6">
      <c r="A766">
        <v>8560960</v>
      </c>
      <c r="B766" t="s">
        <v>2462</v>
      </c>
      <c r="C766" t="str">
        <f>VLOOKUP(A766,'Cost Center'!A:C,3,FALSE)</f>
        <v>C250620</v>
      </c>
      <c r="D766" t="s">
        <v>8414</v>
      </c>
      <c r="E766" t="s">
        <v>708</v>
      </c>
      <c r="F766" t="s">
        <v>19426</v>
      </c>
    </row>
    <row r="767" spans="1:6">
      <c r="A767">
        <v>8560961</v>
      </c>
      <c r="B767" t="s">
        <v>2463</v>
      </c>
      <c r="C767" t="e">
        <f>VLOOKUP(A767,'Cost Center'!A:C,3,FALSE)</f>
        <v>#N/A</v>
      </c>
      <c r="D767" t="e">
        <v>#N/A</v>
      </c>
      <c r="E767" t="s">
        <v>708</v>
      </c>
      <c r="F767" t="s">
        <v>20007</v>
      </c>
    </row>
    <row r="768" spans="1:6">
      <c r="A768">
        <v>110000</v>
      </c>
      <c r="B768" t="s">
        <v>1035</v>
      </c>
      <c r="C768" t="str">
        <f>VLOOKUP(A768,'Cost Center'!A:C,3,FALSE)</f>
        <v>C200591</v>
      </c>
      <c r="D768" t="s">
        <v>5392</v>
      </c>
      <c r="E768" t="s">
        <v>708</v>
      </c>
      <c r="F768" t="s">
        <v>18565</v>
      </c>
    </row>
    <row r="769" spans="1:6">
      <c r="A769">
        <v>110010</v>
      </c>
      <c r="B769" t="s">
        <v>2464</v>
      </c>
      <c r="C769" t="str">
        <f>VLOOKUP(A769,'Cost Center'!A:C,3,FALSE)</f>
        <v>C701001</v>
      </c>
      <c r="D769" t="s">
        <v>10718</v>
      </c>
      <c r="E769" t="s">
        <v>708</v>
      </c>
      <c r="F769" t="s">
        <v>19572</v>
      </c>
    </row>
    <row r="770" spans="1:6">
      <c r="A770">
        <v>110011</v>
      </c>
      <c r="B770" t="s">
        <v>2465</v>
      </c>
      <c r="C770" t="str">
        <f>VLOOKUP(A770,'Cost Center'!A:C,3,FALSE)</f>
        <v>C701002</v>
      </c>
      <c r="D770" t="s">
        <v>10721</v>
      </c>
      <c r="E770" t="s">
        <v>708</v>
      </c>
      <c r="F770" t="s">
        <v>19573</v>
      </c>
    </row>
    <row r="771" spans="1:6">
      <c r="A771">
        <v>110012</v>
      </c>
      <c r="B771" t="s">
        <v>2466</v>
      </c>
      <c r="C771" t="str">
        <f>VLOOKUP(A771,'Cost Center'!A:C,3,FALSE)</f>
        <v>C701003</v>
      </c>
      <c r="D771" t="s">
        <v>10724</v>
      </c>
      <c r="E771" t="s">
        <v>708</v>
      </c>
      <c r="F771" t="s">
        <v>19574</v>
      </c>
    </row>
    <row r="772" spans="1:6">
      <c r="A772">
        <v>110013</v>
      </c>
      <c r="B772" t="s">
        <v>2467</v>
      </c>
      <c r="C772" t="str">
        <f>VLOOKUP(A772,'Cost Center'!A:C,3,FALSE)</f>
        <v>C701004</v>
      </c>
      <c r="D772" t="s">
        <v>10727</v>
      </c>
      <c r="E772" t="s">
        <v>708</v>
      </c>
      <c r="F772" t="s">
        <v>19575</v>
      </c>
    </row>
    <row r="773" spans="1:6">
      <c r="A773">
        <v>110014</v>
      </c>
      <c r="B773" t="s">
        <v>2468</v>
      </c>
      <c r="C773" t="str">
        <f>VLOOKUP(A773,'Cost Center'!A:C,3,FALSE)</f>
        <v>C701005</v>
      </c>
      <c r="D773" t="s">
        <v>10730</v>
      </c>
      <c r="E773" t="s">
        <v>708</v>
      </c>
      <c r="F773" t="s">
        <v>19576</v>
      </c>
    </row>
    <row r="774" spans="1:6">
      <c r="A774">
        <v>110015</v>
      </c>
      <c r="B774" t="s">
        <v>2469</v>
      </c>
      <c r="C774" t="str">
        <f>VLOOKUP(A774,'Cost Center'!A:C,3,FALSE)</f>
        <v>C701006</v>
      </c>
      <c r="D774" t="s">
        <v>6952</v>
      </c>
      <c r="E774" t="s">
        <v>708</v>
      </c>
      <c r="F774" t="s">
        <v>19060</v>
      </c>
    </row>
    <row r="775" spans="1:6">
      <c r="A775">
        <v>110016</v>
      </c>
      <c r="B775" t="s">
        <v>2470</v>
      </c>
      <c r="C775" t="str">
        <f>VLOOKUP(A775,'Cost Center'!A:C,3,FALSE)</f>
        <v>C701007</v>
      </c>
      <c r="D775" t="s">
        <v>10733</v>
      </c>
      <c r="E775" t="s">
        <v>708</v>
      </c>
      <c r="F775" t="s">
        <v>19577</v>
      </c>
    </row>
    <row r="776" spans="1:6">
      <c r="A776">
        <v>110017</v>
      </c>
      <c r="B776" t="s">
        <v>2471</v>
      </c>
      <c r="C776" t="str">
        <f>VLOOKUP(A776,'Cost Center'!A:C,3,FALSE)</f>
        <v>C701008</v>
      </c>
      <c r="D776" t="s">
        <v>10736</v>
      </c>
      <c r="E776" t="s">
        <v>708</v>
      </c>
      <c r="F776" t="s">
        <v>19578</v>
      </c>
    </row>
    <row r="777" spans="1:6">
      <c r="A777">
        <v>110018</v>
      </c>
      <c r="B777" t="s">
        <v>2472</v>
      </c>
      <c r="C777" t="str">
        <f>VLOOKUP(A777,'Cost Center'!A:C,3,FALSE)</f>
        <v>C701009</v>
      </c>
      <c r="D777" t="s">
        <v>10739</v>
      </c>
      <c r="E777" t="s">
        <v>708</v>
      </c>
      <c r="F777" t="s">
        <v>19579</v>
      </c>
    </row>
    <row r="778" spans="1:6">
      <c r="A778">
        <v>1112000</v>
      </c>
      <c r="B778" t="s">
        <v>2473</v>
      </c>
      <c r="C778" t="str">
        <f>VLOOKUP(A778,'Cost Center'!A:C,3,FALSE)</f>
        <v>C030201</v>
      </c>
      <c r="D778" t="s">
        <v>3913</v>
      </c>
      <c r="E778" t="s">
        <v>708</v>
      </c>
      <c r="F778" t="s">
        <v>18346</v>
      </c>
    </row>
    <row r="779" spans="1:6">
      <c r="A779">
        <v>113210</v>
      </c>
      <c r="B779" t="s">
        <v>2474</v>
      </c>
      <c r="C779" t="str">
        <f>VLOOKUP(A779,'Cost Center'!A:C,3,FALSE)</f>
        <v>C200128</v>
      </c>
      <c r="D779" t="s">
        <v>5401</v>
      </c>
      <c r="E779" t="s">
        <v>708</v>
      </c>
      <c r="F779" t="s">
        <v>18568</v>
      </c>
    </row>
    <row r="780" spans="1:6">
      <c r="A780">
        <v>113224</v>
      </c>
      <c r="B780" t="s">
        <v>2475</v>
      </c>
      <c r="C780" t="str">
        <f>VLOOKUP(A780,'Cost Center'!A:C,3,FALSE)</f>
        <v>C010598</v>
      </c>
      <c r="D780" t="s">
        <v>3774</v>
      </c>
      <c r="E780" t="s">
        <v>708</v>
      </c>
      <c r="F780" t="s">
        <v>18301</v>
      </c>
    </row>
    <row r="781" spans="1:6">
      <c r="A781">
        <v>113297</v>
      </c>
      <c r="B781" t="s">
        <v>2476</v>
      </c>
      <c r="C781" t="str">
        <f>VLOOKUP(A781,'Cost Center'!A:C,3,FALSE)</f>
        <v>C790000</v>
      </c>
      <c r="D781" t="s">
        <v>10803</v>
      </c>
      <c r="E781" t="s">
        <v>708</v>
      </c>
      <c r="F781" t="s">
        <v>19581</v>
      </c>
    </row>
    <row r="782" spans="1:6">
      <c r="A782">
        <v>113298</v>
      </c>
      <c r="B782" t="s">
        <v>2477</v>
      </c>
      <c r="C782" t="str">
        <f>VLOOKUP(A782,'Cost Center'!A:C,3,FALSE)</f>
        <v>C790001</v>
      </c>
      <c r="D782" t="s">
        <v>10806</v>
      </c>
      <c r="E782" t="s">
        <v>708</v>
      </c>
      <c r="F782" t="s">
        <v>19582</v>
      </c>
    </row>
    <row r="783" spans="1:6">
      <c r="A783">
        <v>113299</v>
      </c>
      <c r="B783" t="s">
        <v>2478</v>
      </c>
      <c r="C783" t="e">
        <f>VLOOKUP(A783,'Cost Center'!A:C,3,FALSE)</f>
        <v>#N/A</v>
      </c>
      <c r="D783" t="s">
        <v>3624</v>
      </c>
      <c r="E783" t="s">
        <v>708</v>
      </c>
      <c r="F783" t="s">
        <v>20008</v>
      </c>
    </row>
    <row r="784" spans="1:6">
      <c r="A784">
        <v>113302</v>
      </c>
      <c r="B784" t="s">
        <v>2479</v>
      </c>
      <c r="C784" t="str">
        <f>VLOOKUP(A784,'Cost Center'!A:C,3,FALSE)</f>
        <v>C790002</v>
      </c>
      <c r="D784" t="s">
        <v>10809</v>
      </c>
      <c r="E784" t="s">
        <v>708</v>
      </c>
      <c r="F784" t="s">
        <v>19583</v>
      </c>
    </row>
    <row r="785" spans="1:6">
      <c r="A785">
        <v>117000</v>
      </c>
      <c r="B785" t="s">
        <v>2480</v>
      </c>
      <c r="C785" t="str">
        <f>VLOOKUP(A785,'Cost Center'!A:C,3,FALSE)</f>
        <v>C999000</v>
      </c>
      <c r="D785" t="s">
        <v>11393</v>
      </c>
      <c r="E785" t="s">
        <v>708</v>
      </c>
      <c r="F785" t="s">
        <v>19586</v>
      </c>
    </row>
    <row r="786" spans="1:6">
      <c r="A786">
        <v>150350</v>
      </c>
      <c r="B786" t="s">
        <v>2481</v>
      </c>
      <c r="C786" t="str">
        <f>VLOOKUP(A786,'Cost Center'!A:C,3,FALSE)</f>
        <v>C090023</v>
      </c>
      <c r="D786" t="s">
        <v>7301</v>
      </c>
      <c r="E786" t="s">
        <v>708</v>
      </c>
      <c r="F786" t="s">
        <v>19181</v>
      </c>
    </row>
    <row r="787" spans="1:6">
      <c r="A787">
        <v>150352</v>
      </c>
      <c r="B787" t="s">
        <v>2482</v>
      </c>
      <c r="C787" t="e">
        <f>VLOOKUP(A787,'Cost Center'!A:C,3,FALSE)</f>
        <v>#N/A</v>
      </c>
      <c r="D787" t="s">
        <v>3624</v>
      </c>
      <c r="E787" t="s">
        <v>708</v>
      </c>
      <c r="F787" t="s">
        <v>20009</v>
      </c>
    </row>
    <row r="788" spans="1:6">
      <c r="A788">
        <v>150360</v>
      </c>
      <c r="B788" t="s">
        <v>2483</v>
      </c>
      <c r="C788" t="e">
        <f>VLOOKUP(A788,'Cost Center'!A:C,3,FALSE)</f>
        <v>#N/A</v>
      </c>
      <c r="D788" t="s">
        <v>3624</v>
      </c>
      <c r="E788" t="s">
        <v>708</v>
      </c>
      <c r="F788" t="s">
        <v>20010</v>
      </c>
    </row>
    <row r="789" spans="1:6">
      <c r="A789">
        <v>150363</v>
      </c>
      <c r="B789" t="s">
        <v>1108</v>
      </c>
      <c r="C789" t="str">
        <f>VLOOKUP(A789,'Cost Center'!A:C,3,FALSE)</f>
        <v>C090027</v>
      </c>
      <c r="D789" t="s">
        <v>7355</v>
      </c>
      <c r="E789" t="s">
        <v>708</v>
      </c>
      <c r="F789" t="s">
        <v>19199</v>
      </c>
    </row>
    <row r="790" spans="1:6">
      <c r="A790">
        <v>150367</v>
      </c>
      <c r="B790" t="s">
        <v>2484</v>
      </c>
      <c r="C790" t="str">
        <f>VLOOKUP(A790,'Cost Center'!A:C,3,FALSE)</f>
        <v>C090025</v>
      </c>
      <c r="D790" t="s">
        <v>7385</v>
      </c>
      <c r="E790" t="s">
        <v>708</v>
      </c>
      <c r="F790" t="s">
        <v>19209</v>
      </c>
    </row>
    <row r="791" spans="1:6">
      <c r="A791">
        <v>32140</v>
      </c>
      <c r="B791" t="s">
        <v>2485</v>
      </c>
      <c r="C791" t="str">
        <f>VLOOKUP(A791,'Cost Center'!A:C,3,FALSE)</f>
        <v>C200129</v>
      </c>
      <c r="D791" t="s">
        <v>5404</v>
      </c>
      <c r="E791" t="s">
        <v>708</v>
      </c>
      <c r="F791" t="s">
        <v>18569</v>
      </c>
    </row>
    <row r="792" spans="1:6">
      <c r="A792" t="s">
        <v>2486</v>
      </c>
      <c r="B792" t="s">
        <v>2487</v>
      </c>
      <c r="C792" t="str">
        <f>VLOOKUP(A792,'Cost Center'!A:C,3,FALSE)</f>
        <v>C515401</v>
      </c>
      <c r="D792" t="s">
        <v>11223</v>
      </c>
      <c r="E792" t="s">
        <v>708</v>
      </c>
      <c r="F792" t="s">
        <v>2486</v>
      </c>
    </row>
    <row r="793" spans="1:6">
      <c r="A793" t="s">
        <v>2488</v>
      </c>
      <c r="B793" t="s">
        <v>2489</v>
      </c>
      <c r="C793" t="str">
        <f>VLOOKUP(A793,'Cost Center'!A:C,3,FALSE)</f>
        <v>C601030</v>
      </c>
      <c r="D793" t="s">
        <v>11226</v>
      </c>
      <c r="E793" t="s">
        <v>708</v>
      </c>
      <c r="F793" t="s">
        <v>2488</v>
      </c>
    </row>
    <row r="794" spans="1:6">
      <c r="A794">
        <v>8000040</v>
      </c>
      <c r="B794" t="s">
        <v>2490</v>
      </c>
      <c r="C794" t="str">
        <f>VLOOKUP(A794,'Cost Center'!A:C,3,FALSE)</f>
        <v>C010799</v>
      </c>
      <c r="D794" t="s">
        <v>3792</v>
      </c>
      <c r="E794" t="s">
        <v>708</v>
      </c>
      <c r="F794" t="s">
        <v>18307</v>
      </c>
    </row>
    <row r="795" spans="1:6">
      <c r="A795">
        <v>93900</v>
      </c>
      <c r="B795" t="s">
        <v>2491</v>
      </c>
      <c r="C795" t="str">
        <f>VLOOKUP(A795,'Cost Center'!A:C,3,FALSE)</f>
        <v>C900900</v>
      </c>
      <c r="D795" t="s">
        <v>11390</v>
      </c>
      <c r="E795" t="s">
        <v>708</v>
      </c>
      <c r="F795" t="s">
        <v>19585</v>
      </c>
    </row>
    <row r="796" spans="1:6">
      <c r="A796" t="s">
        <v>1950</v>
      </c>
      <c r="B796" t="s">
        <v>1924</v>
      </c>
      <c r="C796" t="str">
        <f>VLOOKUP(A796,'Cost Center'!A:C,3,FALSE)</f>
        <v>C200593</v>
      </c>
      <c r="D796" t="s">
        <v>5511</v>
      </c>
      <c r="E796" t="s">
        <v>708</v>
      </c>
      <c r="F796" t="s">
        <v>1950</v>
      </c>
    </row>
    <row r="797" spans="1:6">
      <c r="A797">
        <v>110008</v>
      </c>
      <c r="B797" t="s">
        <v>2492</v>
      </c>
      <c r="C797" t="e">
        <f>VLOOKUP(A797,'Cost Center'!A:C,3,FALSE)</f>
        <v>#N/A</v>
      </c>
      <c r="D797" t="s">
        <v>3624</v>
      </c>
      <c r="E797" t="s">
        <v>708</v>
      </c>
      <c r="F797" t="s">
        <v>20011</v>
      </c>
    </row>
    <row r="798" spans="1:6">
      <c r="A798">
        <v>110003</v>
      </c>
      <c r="B798" t="s">
        <v>2493</v>
      </c>
      <c r="C798" t="str">
        <f>VLOOKUP(A798,'Cost Center'!A:C,3,FALSE)</f>
        <v>C200126</v>
      </c>
      <c r="D798" t="s">
        <v>5395</v>
      </c>
      <c r="E798" t="s">
        <v>708</v>
      </c>
      <c r="F798" t="s">
        <v>18566</v>
      </c>
    </row>
    <row r="799" spans="1:6">
      <c r="A799">
        <v>113015</v>
      </c>
      <c r="B799" t="s">
        <v>2494</v>
      </c>
      <c r="C799" t="str">
        <f>VLOOKUP(A799,'Cost Center'!A:C,3,FALSE)</f>
        <v>C200127</v>
      </c>
      <c r="D799" t="s">
        <v>6964</v>
      </c>
      <c r="E799" t="s">
        <v>708</v>
      </c>
      <c r="F799" t="s">
        <v>19064</v>
      </c>
    </row>
    <row r="800" spans="1:6">
      <c r="A800">
        <v>113061</v>
      </c>
      <c r="B800" t="s">
        <v>2495</v>
      </c>
      <c r="C800" t="e">
        <f>VLOOKUP(A800,'Cost Center'!A:C,3,FALSE)</f>
        <v>#N/A</v>
      </c>
      <c r="D800" t="s">
        <v>3624</v>
      </c>
      <c r="E800" t="s">
        <v>708</v>
      </c>
      <c r="F800" t="s">
        <v>20012</v>
      </c>
    </row>
    <row r="801" spans="1:6">
      <c r="A801">
        <v>150300</v>
      </c>
      <c r="B801" t="s">
        <v>2496</v>
      </c>
      <c r="C801" t="str">
        <f>VLOOKUP(A801,'Cost Center'!A:C,3,FALSE)</f>
        <v>C200594</v>
      </c>
      <c r="D801" t="s">
        <v>7283</v>
      </c>
      <c r="E801" t="s">
        <v>708</v>
      </c>
      <c r="F801" t="s">
        <v>19175</v>
      </c>
    </row>
    <row r="802" spans="1:6">
      <c r="A802">
        <v>1111000</v>
      </c>
      <c r="B802" t="s">
        <v>2497</v>
      </c>
      <c r="C802" t="str">
        <f>VLOOKUP(A802,'Cost Center'!A:C,3,FALSE)</f>
        <v>C030200</v>
      </c>
      <c r="D802" t="s">
        <v>3910</v>
      </c>
      <c r="E802" t="s">
        <v>708</v>
      </c>
      <c r="F802" t="s">
        <v>18345</v>
      </c>
    </row>
    <row r="803" spans="1:6">
      <c r="A803">
        <v>21770</v>
      </c>
      <c r="B803" t="s">
        <v>2498</v>
      </c>
      <c r="C803" t="str">
        <f>VLOOKUP(A803,'Cost Center'!A:C,3,FALSE)</f>
        <v>C500521</v>
      </c>
      <c r="D803" t="s">
        <v>8094</v>
      </c>
      <c r="E803" t="s">
        <v>708</v>
      </c>
      <c r="F803" t="s">
        <v>19383</v>
      </c>
    </row>
    <row r="804" spans="1:6">
      <c r="A804">
        <v>39900</v>
      </c>
      <c r="B804" t="s">
        <v>2499</v>
      </c>
      <c r="C804" t="e">
        <f>VLOOKUP(A804,'Cost Center'!A:C,3,FALSE)</f>
        <v>#N/A</v>
      </c>
      <c r="D804" t="e">
        <v>#N/A</v>
      </c>
      <c r="E804" t="s">
        <v>708</v>
      </c>
      <c r="F804" t="s">
        <v>20013</v>
      </c>
    </row>
    <row r="805" spans="1:6">
      <c r="A805">
        <v>39903</v>
      </c>
      <c r="B805" t="s">
        <v>2500</v>
      </c>
      <c r="C805" t="e">
        <f>VLOOKUP(A805,'Cost Center'!A:C,3,FALSE)</f>
        <v>#N/A</v>
      </c>
      <c r="D805" t="e">
        <v>#N/A</v>
      </c>
      <c r="E805" t="s">
        <v>708</v>
      </c>
      <c r="F805" t="s">
        <v>20014</v>
      </c>
    </row>
    <row r="806" spans="1:6">
      <c r="A806">
        <v>4160</v>
      </c>
      <c r="B806" t="s">
        <v>2501</v>
      </c>
      <c r="C806" t="str">
        <f>VLOOKUP(A806,'Cost Center'!A:C,3,FALSE)</f>
        <v>C900500</v>
      </c>
      <c r="D806" t="s">
        <v>11387</v>
      </c>
      <c r="E806" t="s">
        <v>708</v>
      </c>
      <c r="F806" t="s">
        <v>19584</v>
      </c>
    </row>
    <row r="807" spans="1:6">
      <c r="A807">
        <v>52950</v>
      </c>
      <c r="B807" t="s">
        <v>2502</v>
      </c>
      <c r="C807" t="str">
        <f>VLOOKUP(A807,'Cost Center'!A:C,3,FALSE)</f>
        <v>C790050</v>
      </c>
      <c r="D807" t="s">
        <v>6132</v>
      </c>
      <c r="E807" t="s">
        <v>708</v>
      </c>
      <c r="F807" t="s">
        <v>18818</v>
      </c>
    </row>
    <row r="808" spans="1:6">
      <c r="A808">
        <v>57910</v>
      </c>
      <c r="B808" t="s">
        <v>2503</v>
      </c>
      <c r="C808" t="e">
        <f>VLOOKUP(A808,'Cost Center'!A:C,3,FALSE)</f>
        <v>#N/A</v>
      </c>
      <c r="D808" t="e">
        <v>#N/A</v>
      </c>
      <c r="E808" t="s">
        <v>708</v>
      </c>
      <c r="F808" t="s">
        <v>20015</v>
      </c>
    </row>
    <row r="809" spans="1:6">
      <c r="A809">
        <v>58900</v>
      </c>
      <c r="B809" t="s">
        <v>2504</v>
      </c>
      <c r="C809" t="e">
        <f>VLOOKUP(A809,'Cost Center'!A:C,3,FALSE)</f>
        <v>#N/A</v>
      </c>
      <c r="D809" t="e">
        <v>#N/A</v>
      </c>
      <c r="E809" t="s">
        <v>708</v>
      </c>
      <c r="F809" t="s">
        <v>20016</v>
      </c>
    </row>
    <row r="810" spans="1:6">
      <c r="A810">
        <v>75500</v>
      </c>
      <c r="B810" t="s">
        <v>2505</v>
      </c>
      <c r="C810" t="e">
        <f>VLOOKUP(A810,'Cost Center'!A:C,3,FALSE)</f>
        <v>#N/A</v>
      </c>
      <c r="D810" t="e">
        <v>#N/A</v>
      </c>
      <c r="E810" t="s">
        <v>708</v>
      </c>
      <c r="F810" t="s">
        <v>20017</v>
      </c>
    </row>
    <row r="811" spans="1:6">
      <c r="A811">
        <v>76910</v>
      </c>
      <c r="B811" t="s">
        <v>2506</v>
      </c>
      <c r="C811" t="e">
        <f>VLOOKUP(A811,'Cost Center'!A:C,3,FALSE)</f>
        <v>#N/A</v>
      </c>
      <c r="D811" t="e">
        <v>#N/A</v>
      </c>
      <c r="E811" t="s">
        <v>708</v>
      </c>
      <c r="F811" t="s">
        <v>20018</v>
      </c>
    </row>
    <row r="812" spans="1:6">
      <c r="A812">
        <v>76920</v>
      </c>
      <c r="B812" t="s">
        <v>2507</v>
      </c>
      <c r="C812" t="e">
        <f>VLOOKUP(A812,'Cost Center'!A:C,3,FALSE)</f>
        <v>#N/A</v>
      </c>
      <c r="D812" t="e">
        <v>#N/A</v>
      </c>
      <c r="E812" t="s">
        <v>708</v>
      </c>
      <c r="F812" t="s">
        <v>20019</v>
      </c>
    </row>
    <row r="813" spans="1:6">
      <c r="A813">
        <v>99017</v>
      </c>
      <c r="B813" t="s">
        <v>2508</v>
      </c>
      <c r="C813" t="e">
        <f>VLOOKUP(A813,'Cost Center'!A:C,3,FALSE)</f>
        <v>#N/A</v>
      </c>
      <c r="D813" t="e">
        <v>#N/A</v>
      </c>
      <c r="E813" t="s">
        <v>708</v>
      </c>
      <c r="F813" t="s">
        <v>20020</v>
      </c>
    </row>
    <row r="814" spans="1:6">
      <c r="A814">
        <v>99990</v>
      </c>
      <c r="B814" t="s">
        <v>2509</v>
      </c>
      <c r="C814" t="str">
        <f>VLOOKUP(A814,'Cost Center'!A:C,3,FALSE)</f>
        <v>C030987</v>
      </c>
      <c r="D814" t="s">
        <v>3951</v>
      </c>
      <c r="E814" t="s">
        <v>708</v>
      </c>
      <c r="F814" t="s">
        <v>18359</v>
      </c>
    </row>
    <row r="815" spans="1:6">
      <c r="A815">
        <v>110019</v>
      </c>
      <c r="B815" t="s">
        <v>2510</v>
      </c>
      <c r="C815" t="str">
        <f>VLOOKUP(A815,'Cost Center'!A:C,3,FALSE)</f>
        <v>C030990</v>
      </c>
      <c r="D815" t="s">
        <v>3961</v>
      </c>
      <c r="E815" t="s">
        <v>708</v>
      </c>
      <c r="F815" t="s">
        <v>18361</v>
      </c>
    </row>
    <row r="816" spans="1:6">
      <c r="A816">
        <v>110020</v>
      </c>
      <c r="B816" t="s">
        <v>2511</v>
      </c>
      <c r="C816" t="str">
        <f>VLOOKUP(A816,'Cost Center'!A:C,3,FALSE)</f>
        <v>C030991</v>
      </c>
      <c r="D816" t="s">
        <v>3964</v>
      </c>
      <c r="E816" t="s">
        <v>708</v>
      </c>
      <c r="F816" t="s">
        <v>18362</v>
      </c>
    </row>
    <row r="817" spans="1:6">
      <c r="A817">
        <v>1003020</v>
      </c>
      <c r="B817" t="s">
        <v>2512</v>
      </c>
      <c r="C817" t="e">
        <f>VLOOKUP(A817,'Cost Center'!A:C,3,FALSE)</f>
        <v>#N/A</v>
      </c>
      <c r="D817" t="s">
        <v>3624</v>
      </c>
      <c r="E817" t="s">
        <v>708</v>
      </c>
      <c r="F817" t="s">
        <v>20021</v>
      </c>
    </row>
    <row r="818" spans="1:6">
      <c r="A818">
        <v>113005</v>
      </c>
      <c r="B818" t="s">
        <v>2513</v>
      </c>
      <c r="C818" t="str">
        <f>VLOOKUP(A818,'Cost Center'!A:C,3,FALSE)</f>
        <v>C090035</v>
      </c>
      <c r="D818" t="s">
        <v>6961</v>
      </c>
      <c r="E818" t="s">
        <v>708</v>
      </c>
      <c r="F818" t="s">
        <v>19063</v>
      </c>
    </row>
    <row r="819" spans="1:6">
      <c r="A819">
        <v>113322</v>
      </c>
      <c r="B819" t="s">
        <v>2514</v>
      </c>
      <c r="C819" t="str">
        <f>VLOOKUP(A819,'Cost Center'!A:C,3,FALSE)</f>
        <v>C030901</v>
      </c>
      <c r="D819" t="s">
        <v>3938</v>
      </c>
      <c r="E819" t="s">
        <v>708</v>
      </c>
      <c r="F819" t="s">
        <v>18354</v>
      </c>
    </row>
    <row r="820" spans="1:6">
      <c r="A820">
        <v>113323</v>
      </c>
      <c r="B820" t="s">
        <v>2515</v>
      </c>
      <c r="C820" t="str">
        <f>VLOOKUP(A820,'Cost Center'!A:C,3,FALSE)</f>
        <v>C030902</v>
      </c>
      <c r="D820" t="s">
        <v>3941</v>
      </c>
      <c r="E820" t="s">
        <v>708</v>
      </c>
      <c r="F820" t="s">
        <v>18355</v>
      </c>
    </row>
    <row r="821" spans="1:6">
      <c r="A821">
        <v>113324</v>
      </c>
      <c r="B821" t="s">
        <v>2516</v>
      </c>
      <c r="C821" t="str">
        <f>VLOOKUP(A821,'Cost Center'!A:C,3,FALSE)</f>
        <v>C030903</v>
      </c>
      <c r="D821" t="s">
        <v>3944</v>
      </c>
      <c r="E821" t="s">
        <v>708</v>
      </c>
      <c r="F821" t="s">
        <v>18356</v>
      </c>
    </row>
    <row r="822" spans="1:6">
      <c r="A822">
        <v>113710</v>
      </c>
      <c r="B822" t="s">
        <v>2517</v>
      </c>
      <c r="C822" t="str">
        <f>VLOOKUP(A822,'Cost Center'!A:C,3,FALSE)</f>
        <v>C030900</v>
      </c>
      <c r="D822" t="s">
        <v>3935</v>
      </c>
      <c r="E822" t="s">
        <v>708</v>
      </c>
      <c r="F822" t="s">
        <v>18353</v>
      </c>
    </row>
    <row r="823" spans="1:6">
      <c r="A823">
        <v>140535</v>
      </c>
      <c r="B823" t="s">
        <v>1107</v>
      </c>
      <c r="C823" t="str">
        <f>VLOOKUP(A823,'Cost Center'!A:C,3,FALSE)</f>
        <v>C090021</v>
      </c>
      <c r="D823" t="s">
        <v>7256</v>
      </c>
      <c r="E823" t="s">
        <v>708</v>
      </c>
      <c r="F823" t="s">
        <v>19166</v>
      </c>
    </row>
    <row r="824" spans="1:6">
      <c r="A824">
        <v>140536</v>
      </c>
      <c r="B824" t="s">
        <v>2518</v>
      </c>
      <c r="C824" t="str">
        <f>VLOOKUP(A824,'Cost Center'!A:C,3,FALSE)</f>
        <v>C090008</v>
      </c>
      <c r="D824" t="s">
        <v>7271</v>
      </c>
      <c r="E824" t="s">
        <v>708</v>
      </c>
      <c r="F824" t="s">
        <v>19171</v>
      </c>
    </row>
    <row r="825" spans="1:6">
      <c r="A825">
        <v>140537</v>
      </c>
      <c r="B825" t="s">
        <v>2519</v>
      </c>
      <c r="C825" t="str">
        <f>VLOOKUP(A825,'Cost Center'!A:C,3,FALSE)</f>
        <v>C090022</v>
      </c>
      <c r="D825" t="s">
        <v>7280</v>
      </c>
      <c r="E825" t="s">
        <v>708</v>
      </c>
      <c r="F825" t="s">
        <v>19174</v>
      </c>
    </row>
    <row r="826" spans="1:6">
      <c r="A826">
        <v>150351</v>
      </c>
      <c r="B826" t="s">
        <v>2520</v>
      </c>
      <c r="C826" t="e">
        <f>VLOOKUP(A826,'Cost Center'!A:C,3,FALSE)</f>
        <v>#N/A</v>
      </c>
      <c r="D826" t="s">
        <v>3624</v>
      </c>
      <c r="E826" t="s">
        <v>708</v>
      </c>
      <c r="F826" t="s">
        <v>20022</v>
      </c>
    </row>
    <row r="827" spans="1:6">
      <c r="A827">
        <v>150353</v>
      </c>
      <c r="B827" t="s">
        <v>2521</v>
      </c>
      <c r="C827" t="e">
        <f>VLOOKUP(A827,'Cost Center'!A:C,3,FALSE)</f>
        <v>#N/A</v>
      </c>
      <c r="D827" t="s">
        <v>3624</v>
      </c>
      <c r="E827" t="s">
        <v>708</v>
      </c>
      <c r="F827" t="s">
        <v>20023</v>
      </c>
    </row>
    <row r="828" spans="1:6">
      <c r="A828">
        <v>150354</v>
      </c>
      <c r="B828" t="s">
        <v>2522</v>
      </c>
      <c r="C828" t="e">
        <f>VLOOKUP(A828,'Cost Center'!A:C,3,FALSE)</f>
        <v>#N/A</v>
      </c>
      <c r="D828" t="s">
        <v>3624</v>
      </c>
      <c r="E828" t="s">
        <v>708</v>
      </c>
      <c r="F828" t="s">
        <v>20024</v>
      </c>
    </row>
    <row r="829" spans="1:6">
      <c r="A829">
        <v>150355</v>
      </c>
      <c r="B829" t="s">
        <v>2523</v>
      </c>
      <c r="C829" t="e">
        <f>VLOOKUP(A829,'Cost Center'!A:C,3,FALSE)</f>
        <v>#N/A</v>
      </c>
      <c r="D829" t="s">
        <v>3624</v>
      </c>
      <c r="E829" t="s">
        <v>708</v>
      </c>
      <c r="F829" t="s">
        <v>20025</v>
      </c>
    </row>
    <row r="830" spans="1:6">
      <c r="A830">
        <v>150356</v>
      </c>
      <c r="B830" t="s">
        <v>2524</v>
      </c>
      <c r="C830" t="str">
        <f>VLOOKUP(A830,'Cost Center'!A:C,3,FALSE)</f>
        <v>C090009</v>
      </c>
      <c r="D830" t="s">
        <v>7337</v>
      </c>
      <c r="E830" t="s">
        <v>708</v>
      </c>
      <c r="F830" t="s">
        <v>19193</v>
      </c>
    </row>
    <row r="831" spans="1:6">
      <c r="A831">
        <v>150357</v>
      </c>
      <c r="B831" t="s">
        <v>2525</v>
      </c>
      <c r="C831" t="str">
        <f>VLOOKUP(A831,'Cost Center'!A:C,3,FALSE)</f>
        <v>C090010</v>
      </c>
      <c r="D831" t="s">
        <v>7340</v>
      </c>
      <c r="E831" t="s">
        <v>708</v>
      </c>
      <c r="F831" t="s">
        <v>19194</v>
      </c>
    </row>
    <row r="832" spans="1:6">
      <c r="A832">
        <v>150358</v>
      </c>
      <c r="B832" t="s">
        <v>2526</v>
      </c>
      <c r="C832" t="str">
        <f>VLOOKUP(A832,'Cost Center'!A:C,3,FALSE)</f>
        <v>C090011</v>
      </c>
      <c r="D832" t="s">
        <v>7343</v>
      </c>
      <c r="E832" t="s">
        <v>708</v>
      </c>
      <c r="F832" t="s">
        <v>19195</v>
      </c>
    </row>
    <row r="833" spans="1:6">
      <c r="A833">
        <v>150359</v>
      </c>
      <c r="B833" t="s">
        <v>2527</v>
      </c>
      <c r="C833" t="e">
        <f>VLOOKUP(A833,'Cost Center'!A:C,3,FALSE)</f>
        <v>#N/A</v>
      </c>
      <c r="D833" t="s">
        <v>3624</v>
      </c>
      <c r="E833" t="s">
        <v>708</v>
      </c>
      <c r="F833" t="s">
        <v>20026</v>
      </c>
    </row>
    <row r="834" spans="1:6">
      <c r="A834">
        <v>150361</v>
      </c>
      <c r="B834" t="s">
        <v>2528</v>
      </c>
      <c r="C834" t="str">
        <f>VLOOKUP(A834,'Cost Center'!A:C,3,FALSE)</f>
        <v>C090012</v>
      </c>
      <c r="D834" t="s">
        <v>7346</v>
      </c>
      <c r="E834" t="s">
        <v>708</v>
      </c>
      <c r="F834" t="s">
        <v>19196</v>
      </c>
    </row>
    <row r="835" spans="1:6">
      <c r="A835">
        <v>150362</v>
      </c>
      <c r="B835" t="s">
        <v>2529</v>
      </c>
      <c r="C835" t="str">
        <f>VLOOKUP(A835,'Cost Center'!A:C,3,FALSE)</f>
        <v>C090026</v>
      </c>
      <c r="D835" t="s">
        <v>7352</v>
      </c>
      <c r="E835" t="s">
        <v>708</v>
      </c>
      <c r="F835" t="s">
        <v>19198</v>
      </c>
    </row>
    <row r="836" spans="1:6">
      <c r="A836">
        <v>150364</v>
      </c>
      <c r="B836" t="s">
        <v>2530</v>
      </c>
      <c r="C836" t="str">
        <f>VLOOKUP(A836,'Cost Center'!A:C,3,FALSE)</f>
        <v>C090028</v>
      </c>
      <c r="D836" t="s">
        <v>7376</v>
      </c>
      <c r="E836" t="s">
        <v>708</v>
      </c>
      <c r="F836" t="s">
        <v>19206</v>
      </c>
    </row>
    <row r="837" spans="1:6">
      <c r="A837">
        <v>150365</v>
      </c>
      <c r="B837" t="s">
        <v>2531</v>
      </c>
      <c r="C837" t="str">
        <f>VLOOKUP(A837,'Cost Center'!A:C,3,FALSE)</f>
        <v>C090029</v>
      </c>
      <c r="D837" t="s">
        <v>7379</v>
      </c>
      <c r="E837" t="s">
        <v>708</v>
      </c>
      <c r="F837" t="s">
        <v>19207</v>
      </c>
    </row>
    <row r="838" spans="1:6">
      <c r="A838">
        <v>150366</v>
      </c>
      <c r="B838" t="s">
        <v>2532</v>
      </c>
      <c r="C838" t="str">
        <f>VLOOKUP(A838,'Cost Center'!A:C,3,FALSE)</f>
        <v>C090024</v>
      </c>
      <c r="D838" t="s">
        <v>7382</v>
      </c>
      <c r="E838" t="s">
        <v>708</v>
      </c>
      <c r="F838" t="s">
        <v>19208</v>
      </c>
    </row>
    <row r="839" spans="1:6">
      <c r="A839">
        <v>150368</v>
      </c>
      <c r="B839" t="s">
        <v>2533</v>
      </c>
      <c r="C839" t="str">
        <f>VLOOKUP(A839,'Cost Center'!A:C,3,FALSE)</f>
        <v>C090033</v>
      </c>
      <c r="D839" t="s">
        <v>7406</v>
      </c>
      <c r="E839" t="s">
        <v>708</v>
      </c>
      <c r="F839" t="s">
        <v>19216</v>
      </c>
    </row>
    <row r="840" spans="1:6">
      <c r="A840">
        <v>150369</v>
      </c>
      <c r="B840" t="s">
        <v>2534</v>
      </c>
      <c r="C840" t="str">
        <f>VLOOKUP(A840,'Cost Center'!A:C,3,FALSE)</f>
        <v>C090030</v>
      </c>
      <c r="D840" t="s">
        <v>7408</v>
      </c>
      <c r="E840" t="s">
        <v>708</v>
      </c>
      <c r="F840" t="s">
        <v>19217</v>
      </c>
    </row>
    <row r="841" spans="1:6">
      <c r="A841">
        <v>22356</v>
      </c>
      <c r="B841" t="s">
        <v>2535</v>
      </c>
      <c r="C841" t="str">
        <f>VLOOKUP(A841,'Cost Center'!A:C,3,FALSE)</f>
        <v>C309001</v>
      </c>
      <c r="D841" t="s">
        <v>5441</v>
      </c>
      <c r="E841" t="s">
        <v>766</v>
      </c>
      <c r="F841" t="s">
        <v>18581</v>
      </c>
    </row>
    <row r="842" spans="1:6">
      <c r="A842">
        <v>22362</v>
      </c>
      <c r="B842" t="s">
        <v>2536</v>
      </c>
      <c r="C842" t="str">
        <f>VLOOKUP(A842,'Cost Center'!A:C,3,FALSE)</f>
        <v>C309002</v>
      </c>
      <c r="D842" t="s">
        <v>6811</v>
      </c>
      <c r="E842" t="s">
        <v>766</v>
      </c>
      <c r="F842" t="s">
        <v>19013</v>
      </c>
    </row>
    <row r="843" spans="1:6">
      <c r="A843">
        <v>37421</v>
      </c>
      <c r="B843" t="s">
        <v>2537</v>
      </c>
      <c r="C843" t="e">
        <f>VLOOKUP(A843,'Cost Center'!A:C,3,FALSE)</f>
        <v>#N/A</v>
      </c>
      <c r="D843" t="s">
        <v>3624</v>
      </c>
      <c r="E843" t="s">
        <v>766</v>
      </c>
      <c r="F843" t="s">
        <v>20027</v>
      </c>
    </row>
    <row r="844" spans="1:6">
      <c r="A844">
        <v>46215</v>
      </c>
      <c r="B844" t="s">
        <v>2538</v>
      </c>
      <c r="C844" t="str">
        <f>VLOOKUP(A844,'Cost Center'!A:C,3,FALSE)</f>
        <v>C309003</v>
      </c>
      <c r="D844" t="s">
        <v>5867</v>
      </c>
      <c r="E844" t="s">
        <v>766</v>
      </c>
      <c r="F844" t="s">
        <v>18725</v>
      </c>
    </row>
    <row r="845" spans="1:6">
      <c r="A845">
        <v>46230</v>
      </c>
      <c r="B845" t="s">
        <v>2539</v>
      </c>
      <c r="C845" t="str">
        <f>VLOOKUP(A845,'Cost Center'!A:C,3,FALSE)</f>
        <v>C309004</v>
      </c>
      <c r="D845" t="s">
        <v>6817</v>
      </c>
      <c r="E845" t="s">
        <v>766</v>
      </c>
      <c r="F845" t="s">
        <v>19015</v>
      </c>
    </row>
    <row r="846" spans="1:6">
      <c r="A846">
        <v>46252</v>
      </c>
      <c r="B846" t="s">
        <v>2540</v>
      </c>
      <c r="C846" t="str">
        <f>VLOOKUP(A846,'Cost Center'!A:C,3,FALSE)</f>
        <v>C309005</v>
      </c>
      <c r="D846" t="s">
        <v>5872</v>
      </c>
      <c r="E846" t="s">
        <v>766</v>
      </c>
      <c r="F846" t="s">
        <v>18726</v>
      </c>
    </row>
    <row r="847" spans="1:6">
      <c r="A847">
        <v>46258</v>
      </c>
      <c r="B847" t="s">
        <v>2541</v>
      </c>
      <c r="C847" t="str">
        <f>VLOOKUP(A847,'Cost Center'!A:C,3,FALSE)</f>
        <v>C309006</v>
      </c>
      <c r="D847" t="s">
        <v>5880</v>
      </c>
      <c r="E847" t="s">
        <v>766</v>
      </c>
      <c r="F847" t="s">
        <v>18729</v>
      </c>
    </row>
    <row r="848" spans="1:6">
      <c r="A848">
        <v>46266</v>
      </c>
      <c r="B848" t="s">
        <v>2542</v>
      </c>
      <c r="C848" t="str">
        <f>VLOOKUP(A848,'Cost Center'!A:C,3,FALSE)</f>
        <v>C309007</v>
      </c>
      <c r="D848" t="s">
        <v>6826</v>
      </c>
      <c r="E848" t="s">
        <v>766</v>
      </c>
      <c r="F848" t="s">
        <v>19018</v>
      </c>
    </row>
    <row r="849" spans="1:6">
      <c r="A849">
        <v>46317</v>
      </c>
      <c r="B849" t="s">
        <v>2543</v>
      </c>
      <c r="C849" t="str">
        <f>VLOOKUP(A849,'Cost Center'!A:C,3,FALSE)</f>
        <v>C309008</v>
      </c>
      <c r="D849" t="s">
        <v>6829</v>
      </c>
      <c r="E849" t="s">
        <v>766</v>
      </c>
      <c r="F849" t="s">
        <v>19019</v>
      </c>
    </row>
    <row r="850" spans="1:6">
      <c r="A850">
        <v>48005</v>
      </c>
      <c r="B850" t="s">
        <v>2544</v>
      </c>
      <c r="C850" t="e">
        <f>VLOOKUP(A850,'Cost Center'!A:C,3,FALSE)</f>
        <v>#N/A</v>
      </c>
      <c r="D850" t="s">
        <v>3624</v>
      </c>
      <c r="E850" t="s">
        <v>766</v>
      </c>
      <c r="F850" t="s">
        <v>20028</v>
      </c>
    </row>
    <row r="851" spans="1:6">
      <c r="A851">
        <v>46295</v>
      </c>
      <c r="B851" t="s">
        <v>2545</v>
      </c>
      <c r="C851" t="str">
        <f>VLOOKUP(A851,'Cost Center'!A:C,3,FALSE)</f>
        <v>C305000</v>
      </c>
      <c r="D851" t="s">
        <v>5883</v>
      </c>
      <c r="E851" t="s">
        <v>766</v>
      </c>
      <c r="F851" t="s">
        <v>18730</v>
      </c>
    </row>
    <row r="852" spans="1:6">
      <c r="A852">
        <v>54333</v>
      </c>
      <c r="B852" t="s">
        <v>2546</v>
      </c>
      <c r="C852" t="str">
        <f>VLOOKUP(A852,'Cost Center'!A:C,3,FALSE)</f>
        <v>C305001</v>
      </c>
      <c r="D852" t="s">
        <v>6521</v>
      </c>
      <c r="E852" t="s">
        <v>766</v>
      </c>
      <c r="F852" t="s">
        <v>18932</v>
      </c>
    </row>
    <row r="853" spans="1:6">
      <c r="A853">
        <v>54895</v>
      </c>
      <c r="B853" t="s">
        <v>2547</v>
      </c>
      <c r="C853" t="e">
        <f>VLOOKUP(A853,'Cost Center'!A:C,3,FALSE)</f>
        <v>#N/A</v>
      </c>
      <c r="D853" t="s">
        <v>3624</v>
      </c>
      <c r="E853" t="s">
        <v>766</v>
      </c>
      <c r="F853" t="s">
        <v>20029</v>
      </c>
    </row>
    <row r="854" spans="1:6">
      <c r="A854">
        <v>54896</v>
      </c>
      <c r="B854" t="s">
        <v>2548</v>
      </c>
      <c r="C854" t="e">
        <f>VLOOKUP(A854,'Cost Center'!A:C,3,FALSE)</f>
        <v>#N/A</v>
      </c>
      <c r="D854" t="s">
        <v>3624</v>
      </c>
      <c r="E854" t="s">
        <v>766</v>
      </c>
      <c r="F854" t="s">
        <v>20030</v>
      </c>
    </row>
    <row r="855" spans="1:6">
      <c r="A855" t="s">
        <v>2549</v>
      </c>
      <c r="B855" t="s">
        <v>2550</v>
      </c>
      <c r="C855" t="e">
        <f>VLOOKUP(A855,'Cost Center'!A:C,3,FALSE)</f>
        <v>#N/A</v>
      </c>
      <c r="D855" t="e">
        <v>#N/A</v>
      </c>
      <c r="E855" t="s">
        <v>766</v>
      </c>
      <c r="F855" t="s">
        <v>2549</v>
      </c>
    </row>
    <row r="856" spans="1:6">
      <c r="A856">
        <v>42634</v>
      </c>
      <c r="B856" t="s">
        <v>2551</v>
      </c>
      <c r="C856" t="str">
        <f>VLOOKUP(A856,'Cost Center'!A:C,3,FALSE)</f>
        <v>C301003</v>
      </c>
      <c r="D856" t="s">
        <v>6622</v>
      </c>
      <c r="E856" t="s">
        <v>766</v>
      </c>
      <c r="F856" t="s">
        <v>18951</v>
      </c>
    </row>
    <row r="857" spans="1:6">
      <c r="A857">
        <v>42638</v>
      </c>
      <c r="B857" t="s">
        <v>842</v>
      </c>
      <c r="C857" t="str">
        <f>VLOOKUP(A857,'Cost Center'!A:C,3,FALSE)</f>
        <v>C301004</v>
      </c>
      <c r="D857" t="s">
        <v>6625</v>
      </c>
      <c r="E857" t="s">
        <v>766</v>
      </c>
      <c r="F857" t="s">
        <v>18952</v>
      </c>
    </row>
    <row r="858" spans="1:6">
      <c r="A858">
        <v>46202</v>
      </c>
      <c r="B858" t="s">
        <v>2552</v>
      </c>
      <c r="C858" t="str">
        <f>VLOOKUP(A858,'Cost Center'!A:C,3,FALSE)</f>
        <v>C301110</v>
      </c>
      <c r="D858" t="s">
        <v>6643</v>
      </c>
      <c r="E858" t="s">
        <v>766</v>
      </c>
      <c r="F858" t="s">
        <v>18958</v>
      </c>
    </row>
    <row r="859" spans="1:6">
      <c r="A859">
        <v>46205</v>
      </c>
      <c r="B859" t="s">
        <v>2553</v>
      </c>
      <c r="C859" t="str">
        <f>VLOOKUP(A859,'Cost Center'!A:C,3,FALSE)</f>
        <v>C301006</v>
      </c>
      <c r="D859" t="s">
        <v>5864</v>
      </c>
      <c r="E859" t="s">
        <v>766</v>
      </c>
      <c r="F859" t="s">
        <v>18724</v>
      </c>
    </row>
    <row r="860" spans="1:6">
      <c r="A860">
        <v>46206</v>
      </c>
      <c r="B860" t="s">
        <v>2554</v>
      </c>
      <c r="C860" t="str">
        <f>VLOOKUP(A860,'Cost Center'!A:C,3,FALSE)</f>
        <v>C301001</v>
      </c>
      <c r="D860" t="s">
        <v>6616</v>
      </c>
      <c r="E860" t="s">
        <v>766</v>
      </c>
      <c r="F860" t="s">
        <v>18949</v>
      </c>
    </row>
    <row r="861" spans="1:6">
      <c r="A861">
        <v>46210</v>
      </c>
      <c r="B861" t="s">
        <v>864</v>
      </c>
      <c r="C861" t="str">
        <f>VLOOKUP(A861,'Cost Center'!A:C,3,FALSE)</f>
        <v>C301000</v>
      </c>
      <c r="D861" t="s">
        <v>6613</v>
      </c>
      <c r="E861" t="s">
        <v>766</v>
      </c>
      <c r="F861" t="s">
        <v>18948</v>
      </c>
    </row>
    <row r="862" spans="1:6">
      <c r="A862">
        <v>46213</v>
      </c>
      <c r="B862" t="s">
        <v>866</v>
      </c>
      <c r="C862" t="str">
        <f>VLOOKUP(A862,'Cost Center'!A:C,3,FALSE)</f>
        <v>C301007</v>
      </c>
      <c r="D862" t="s">
        <v>6634</v>
      </c>
      <c r="E862" t="s">
        <v>766</v>
      </c>
      <c r="F862" t="s">
        <v>18955</v>
      </c>
    </row>
    <row r="863" spans="1:6">
      <c r="A863">
        <v>46214</v>
      </c>
      <c r="B863" t="s">
        <v>2555</v>
      </c>
      <c r="C863" t="str">
        <f>VLOOKUP(A863,'Cost Center'!A:C,3,FALSE)</f>
        <v>C301111</v>
      </c>
      <c r="D863" t="s">
        <v>6646</v>
      </c>
      <c r="E863" t="s">
        <v>766</v>
      </c>
      <c r="F863" t="s">
        <v>18959</v>
      </c>
    </row>
    <row r="864" spans="1:6">
      <c r="A864">
        <v>46216</v>
      </c>
      <c r="B864" t="s">
        <v>867</v>
      </c>
      <c r="C864" t="str">
        <f>VLOOKUP(A864,'Cost Center'!A:C,3,FALSE)</f>
        <v>C301008</v>
      </c>
      <c r="D864" t="s">
        <v>6637</v>
      </c>
      <c r="E864" t="s">
        <v>766</v>
      </c>
      <c r="F864" t="s">
        <v>18956</v>
      </c>
    </row>
    <row r="865" spans="1:6">
      <c r="A865">
        <v>46217</v>
      </c>
      <c r="B865" t="s">
        <v>2556</v>
      </c>
      <c r="C865" t="str">
        <f>VLOOKUP(A865,'Cost Center'!A:C,3,FALSE)</f>
        <v>C301112</v>
      </c>
      <c r="D865" t="s">
        <v>6649</v>
      </c>
      <c r="E865" t="s">
        <v>766</v>
      </c>
      <c r="F865" t="s">
        <v>18960</v>
      </c>
    </row>
    <row r="866" spans="1:6">
      <c r="A866">
        <v>46218</v>
      </c>
      <c r="B866" t="s">
        <v>2557</v>
      </c>
      <c r="C866" t="str">
        <f>VLOOKUP(A866,'Cost Center'!A:C,3,FALSE)</f>
        <v>C301113</v>
      </c>
      <c r="D866" t="s">
        <v>6652</v>
      </c>
      <c r="E866" t="s">
        <v>766</v>
      </c>
      <c r="F866" t="s">
        <v>18961</v>
      </c>
    </row>
    <row r="867" spans="1:6">
      <c r="A867">
        <v>72763</v>
      </c>
      <c r="B867" t="s">
        <v>2558</v>
      </c>
      <c r="C867" t="str">
        <f>VLOOKUP(A867,'Cost Center'!A:C,3,FALSE)</f>
        <v>C301114</v>
      </c>
      <c r="D867" t="s">
        <v>6655</v>
      </c>
      <c r="E867" t="s">
        <v>766</v>
      </c>
      <c r="F867" t="s">
        <v>18962</v>
      </c>
    </row>
    <row r="868" spans="1:6">
      <c r="A868">
        <v>72764</v>
      </c>
      <c r="B868" t="s">
        <v>954</v>
      </c>
      <c r="C868" t="str">
        <f>VLOOKUP(A868,'Cost Center'!A:C,3,FALSE)</f>
        <v>C301005</v>
      </c>
      <c r="D868" t="s">
        <v>6628</v>
      </c>
      <c r="E868" t="s">
        <v>766</v>
      </c>
      <c r="F868" t="s">
        <v>18953</v>
      </c>
    </row>
    <row r="869" spans="1:6">
      <c r="A869">
        <v>72766</v>
      </c>
      <c r="B869" t="s">
        <v>2559</v>
      </c>
      <c r="C869" t="str">
        <f>VLOOKUP(A869,'Cost Center'!A:C,3,FALSE)</f>
        <v>C301115</v>
      </c>
      <c r="D869" t="s">
        <v>6658</v>
      </c>
      <c r="E869" t="s">
        <v>766</v>
      </c>
      <c r="F869" t="s">
        <v>18963</v>
      </c>
    </row>
    <row r="870" spans="1:6">
      <c r="A870">
        <v>72773</v>
      </c>
      <c r="B870" t="s">
        <v>956</v>
      </c>
      <c r="C870" t="str">
        <f>VLOOKUP(A870,'Cost Center'!A:C,3,FALSE)</f>
        <v>C301116</v>
      </c>
      <c r="D870" t="s">
        <v>6661</v>
      </c>
      <c r="E870" t="s">
        <v>766</v>
      </c>
      <c r="F870" t="s">
        <v>18964</v>
      </c>
    </row>
    <row r="871" spans="1:6">
      <c r="A871">
        <v>72775</v>
      </c>
      <c r="B871" t="s">
        <v>957</v>
      </c>
      <c r="C871" t="str">
        <f>VLOOKUP(A871,'Cost Center'!A:C,3,FALSE)</f>
        <v>C301002</v>
      </c>
      <c r="D871" t="s">
        <v>6823</v>
      </c>
      <c r="E871" t="s">
        <v>766</v>
      </c>
      <c r="F871" t="s">
        <v>19017</v>
      </c>
    </row>
    <row r="872" spans="1:6">
      <c r="A872">
        <v>72810</v>
      </c>
      <c r="B872" t="s">
        <v>2560</v>
      </c>
      <c r="C872" t="str">
        <f>VLOOKUP(A872,'Cost Center'!A:C,3,FALSE)</f>
        <v>C301117</v>
      </c>
      <c r="D872" t="s">
        <v>6664</v>
      </c>
      <c r="E872" t="s">
        <v>766</v>
      </c>
      <c r="F872" t="s">
        <v>18965</v>
      </c>
    </row>
    <row r="873" spans="1:6">
      <c r="A873">
        <v>72885</v>
      </c>
      <c r="B873" t="s">
        <v>2561</v>
      </c>
      <c r="C873" t="e">
        <f>VLOOKUP(A873,'Cost Center'!A:C,3,FALSE)</f>
        <v>#N/A</v>
      </c>
      <c r="D873" t="s">
        <v>3624</v>
      </c>
      <c r="E873" t="s">
        <v>766</v>
      </c>
      <c r="F873" t="s">
        <v>20031</v>
      </c>
    </row>
    <row r="874" spans="1:6">
      <c r="A874">
        <v>93300</v>
      </c>
      <c r="B874" t="s">
        <v>2562</v>
      </c>
      <c r="C874" t="str">
        <f>VLOOKUP(A874,'Cost Center'!A:C,3,FALSE)</f>
        <v>C301118</v>
      </c>
      <c r="D874" t="s">
        <v>6667</v>
      </c>
      <c r="E874" t="s">
        <v>766</v>
      </c>
      <c r="F874" t="s">
        <v>18966</v>
      </c>
    </row>
    <row r="875" spans="1:6">
      <c r="A875">
        <v>93380</v>
      </c>
      <c r="B875" t="s">
        <v>2563</v>
      </c>
      <c r="C875" t="str">
        <f>VLOOKUP(A875,'Cost Center'!A:C,3,FALSE)</f>
        <v>C301999</v>
      </c>
      <c r="D875" t="s">
        <v>6676</v>
      </c>
      <c r="E875" t="s">
        <v>766</v>
      </c>
      <c r="F875" t="s">
        <v>18969</v>
      </c>
    </row>
    <row r="876" spans="1:6">
      <c r="A876" t="s">
        <v>2564</v>
      </c>
      <c r="B876" t="s">
        <v>2565</v>
      </c>
      <c r="C876" t="str">
        <f>VLOOKUP(A876,'Cost Center'!A:C,3,FALSE)</f>
        <v>C290200</v>
      </c>
      <c r="D876" t="s">
        <v>6532</v>
      </c>
      <c r="E876" t="s">
        <v>766</v>
      </c>
      <c r="F876" t="s">
        <v>2564</v>
      </c>
    </row>
    <row r="877" spans="1:6">
      <c r="A877">
        <v>93309</v>
      </c>
      <c r="B877" t="s">
        <v>2566</v>
      </c>
      <c r="C877" t="str">
        <f>VLOOKUP(A877,'Cost Center'!A:C,3,FALSE)</f>
        <v>C301800</v>
      </c>
      <c r="D877" t="s">
        <v>6670</v>
      </c>
      <c r="E877" t="s">
        <v>766</v>
      </c>
      <c r="F877" t="s">
        <v>18967</v>
      </c>
    </row>
    <row r="878" spans="1:6">
      <c r="A878">
        <v>93319</v>
      </c>
      <c r="B878" t="s">
        <v>2567</v>
      </c>
      <c r="C878" t="str">
        <f>VLOOKUP(A878,'Cost Center'!A:C,3,FALSE)</f>
        <v>C301801</v>
      </c>
      <c r="D878" t="s">
        <v>6673</v>
      </c>
      <c r="E878" t="s">
        <v>766</v>
      </c>
      <c r="F878" t="s">
        <v>18968</v>
      </c>
    </row>
    <row r="879" spans="1:6">
      <c r="A879">
        <v>46203</v>
      </c>
      <c r="B879" t="s">
        <v>862</v>
      </c>
      <c r="C879" t="str">
        <f>VLOOKUP(A879,'Cost Center'!A:C,3,FALSE)</f>
        <v>C303000</v>
      </c>
      <c r="D879" t="s">
        <v>6721</v>
      </c>
      <c r="E879" t="s">
        <v>766</v>
      </c>
      <c r="F879" t="s">
        <v>18984</v>
      </c>
    </row>
    <row r="880" spans="1:6">
      <c r="A880">
        <v>46204</v>
      </c>
      <c r="B880" t="s">
        <v>863</v>
      </c>
      <c r="C880" t="str">
        <f>VLOOKUP(A880,'Cost Center'!A:C,3,FALSE)</f>
        <v>C303001</v>
      </c>
      <c r="D880" t="s">
        <v>6724</v>
      </c>
      <c r="E880" t="s">
        <v>766</v>
      </c>
      <c r="F880" t="s">
        <v>18985</v>
      </c>
    </row>
    <row r="881" spans="1:6">
      <c r="A881">
        <v>51913</v>
      </c>
      <c r="B881" t="s">
        <v>2568</v>
      </c>
      <c r="C881" t="str">
        <f>VLOOKUP(A881,'Cost Center'!A:C,3,FALSE)</f>
        <v>C303052</v>
      </c>
      <c r="D881" t="s">
        <v>6034</v>
      </c>
      <c r="E881" t="s">
        <v>766</v>
      </c>
      <c r="F881" t="s">
        <v>18782</v>
      </c>
    </row>
    <row r="882" spans="1:6">
      <c r="A882">
        <v>72793</v>
      </c>
      <c r="B882" t="s">
        <v>2569</v>
      </c>
      <c r="C882" t="str">
        <f>VLOOKUP(A882,'Cost Center'!A:C,3,FALSE)</f>
        <v>C303007</v>
      </c>
      <c r="D882" t="s">
        <v>6730</v>
      </c>
      <c r="E882" t="s">
        <v>766</v>
      </c>
      <c r="F882" t="s">
        <v>18987</v>
      </c>
    </row>
    <row r="883" spans="1:6">
      <c r="A883">
        <v>93200</v>
      </c>
      <c r="B883" t="s">
        <v>992</v>
      </c>
      <c r="C883" t="str">
        <f>VLOOKUP(A883,'Cost Center'!A:C,3,FALSE)</f>
        <v>C303008</v>
      </c>
      <c r="D883" t="s">
        <v>6733</v>
      </c>
      <c r="E883" t="s">
        <v>766</v>
      </c>
      <c r="F883" t="s">
        <v>18988</v>
      </c>
    </row>
    <row r="884" spans="1:6">
      <c r="A884">
        <v>93201</v>
      </c>
      <c r="B884" t="s">
        <v>2570</v>
      </c>
      <c r="C884" t="str">
        <f>VLOOKUP(A884,'Cost Center'!A:C,3,FALSE)</f>
        <v>C303053</v>
      </c>
      <c r="D884" t="s">
        <v>6748</v>
      </c>
      <c r="E884" t="s">
        <v>766</v>
      </c>
      <c r="F884" t="s">
        <v>18993</v>
      </c>
    </row>
    <row r="885" spans="1:6">
      <c r="A885">
        <v>93202</v>
      </c>
      <c r="B885" t="s">
        <v>993</v>
      </c>
      <c r="C885" t="str">
        <f>VLOOKUP(A885,'Cost Center'!A:C,3,FALSE)</f>
        <v>C303009</v>
      </c>
      <c r="D885" t="s">
        <v>6736</v>
      </c>
      <c r="E885" t="s">
        <v>766</v>
      </c>
      <c r="F885" t="s">
        <v>18989</v>
      </c>
    </row>
    <row r="886" spans="1:6">
      <c r="A886">
        <v>93204</v>
      </c>
      <c r="B886" t="s">
        <v>2571</v>
      </c>
      <c r="C886" t="str">
        <f>VLOOKUP(A886,'Cost Center'!A:C,3,FALSE)</f>
        <v>C252089</v>
      </c>
      <c r="D886" t="s">
        <v>3624</v>
      </c>
      <c r="E886" t="s">
        <v>766</v>
      </c>
      <c r="F886" t="s">
        <v>19784</v>
      </c>
    </row>
    <row r="887" spans="1:6">
      <c r="A887">
        <v>93212</v>
      </c>
      <c r="B887" t="s">
        <v>2572</v>
      </c>
      <c r="C887" t="str">
        <f>VLOOKUP(A887,'Cost Center'!A:C,3,FALSE)</f>
        <v>C303054</v>
      </c>
      <c r="D887" t="s">
        <v>6751</v>
      </c>
      <c r="E887" t="s">
        <v>766</v>
      </c>
      <c r="F887" t="s">
        <v>18994</v>
      </c>
    </row>
    <row r="888" spans="1:6">
      <c r="A888">
        <v>93323</v>
      </c>
      <c r="B888" t="s">
        <v>2573</v>
      </c>
      <c r="C888" t="e">
        <f>VLOOKUP(A888,'Cost Center'!A:C,3,FALSE)</f>
        <v>#N/A</v>
      </c>
      <c r="D888" t="s">
        <v>3624</v>
      </c>
      <c r="E888" t="s">
        <v>766</v>
      </c>
      <c r="F888" t="s">
        <v>20032</v>
      </c>
    </row>
    <row r="889" spans="1:6">
      <c r="A889" t="s">
        <v>2574</v>
      </c>
      <c r="B889" t="s">
        <v>2575</v>
      </c>
      <c r="C889" t="str">
        <f>VLOOKUP(A889,'Cost Center'!A:C,3,FALSE)</f>
        <v>C290100</v>
      </c>
      <c r="D889" t="s">
        <v>11623</v>
      </c>
      <c r="E889" t="s">
        <v>766</v>
      </c>
      <c r="F889" t="s">
        <v>2574</v>
      </c>
    </row>
    <row r="890" spans="1:6">
      <c r="A890" t="s">
        <v>2576</v>
      </c>
      <c r="B890" t="s">
        <v>2577</v>
      </c>
      <c r="C890" t="str">
        <f>VLOOKUP(A890,'Cost Center'!A:C,3,FALSE)</f>
        <v>C290102</v>
      </c>
      <c r="D890" t="s">
        <v>6528</v>
      </c>
      <c r="E890" t="s">
        <v>766</v>
      </c>
      <c r="F890" t="s">
        <v>2576</v>
      </c>
    </row>
    <row r="891" spans="1:6">
      <c r="A891" t="s">
        <v>2578</v>
      </c>
      <c r="B891" t="s">
        <v>2579</v>
      </c>
      <c r="C891" t="str">
        <f>VLOOKUP(A891,'Cost Center'!A:C,3,FALSE)</f>
        <v>C290103</v>
      </c>
      <c r="D891" t="s">
        <v>6530</v>
      </c>
      <c r="E891" t="s">
        <v>766</v>
      </c>
      <c r="F891" t="s">
        <v>2578</v>
      </c>
    </row>
    <row r="892" spans="1:6">
      <c r="A892" t="s">
        <v>2580</v>
      </c>
      <c r="B892" t="s">
        <v>2581</v>
      </c>
      <c r="C892" t="str">
        <f>VLOOKUP(A892,'Cost Center'!A:C,3,FALSE)</f>
        <v>C290104</v>
      </c>
      <c r="D892" t="s">
        <v>11636</v>
      </c>
      <c r="E892" t="s">
        <v>766</v>
      </c>
      <c r="F892" t="s">
        <v>2580</v>
      </c>
    </row>
    <row r="893" spans="1:6">
      <c r="A893" t="s">
        <v>575</v>
      </c>
      <c r="B893" t="s">
        <v>1257</v>
      </c>
      <c r="C893" t="str">
        <f>VLOOKUP(A893,'Cost Center'!A:C,3,FALSE)</f>
        <v>C303055</v>
      </c>
      <c r="D893" t="s">
        <v>11653</v>
      </c>
      <c r="E893" t="s">
        <v>766</v>
      </c>
      <c r="F893" t="s">
        <v>575</v>
      </c>
    </row>
    <row r="894" spans="1:6">
      <c r="A894">
        <v>46237</v>
      </c>
      <c r="B894" t="s">
        <v>2582</v>
      </c>
      <c r="C894" t="str">
        <f>VLOOKUP(A894,'Cost Center'!A:C,3,FALSE)</f>
        <v>C303056</v>
      </c>
      <c r="D894" t="s">
        <v>6757</v>
      </c>
      <c r="E894" t="s">
        <v>766</v>
      </c>
      <c r="F894" t="s">
        <v>18996</v>
      </c>
    </row>
    <row r="895" spans="1:6">
      <c r="A895">
        <v>46267</v>
      </c>
      <c r="B895" t="s">
        <v>2583</v>
      </c>
      <c r="C895" t="e">
        <f>VLOOKUP(A895,'Cost Center'!A:C,3,FALSE)</f>
        <v>#N/A</v>
      </c>
      <c r="D895" t="s">
        <v>3624</v>
      </c>
      <c r="E895" t="s">
        <v>766</v>
      </c>
      <c r="F895" t="s">
        <v>20033</v>
      </c>
    </row>
    <row r="896" spans="1:6">
      <c r="A896">
        <v>56000</v>
      </c>
      <c r="B896" t="s">
        <v>924</v>
      </c>
      <c r="C896" t="str">
        <f>VLOOKUP(A896,'Cost Center'!A:C,3,FALSE)</f>
        <v>C303100</v>
      </c>
      <c r="D896" t="s">
        <v>6631</v>
      </c>
      <c r="E896" t="s">
        <v>766</v>
      </c>
      <c r="F896" t="s">
        <v>18954</v>
      </c>
    </row>
    <row r="897" spans="1:6">
      <c r="A897">
        <v>56101</v>
      </c>
      <c r="B897" t="s">
        <v>926</v>
      </c>
      <c r="C897" t="str">
        <f>VLOOKUP(A897,'Cost Center'!A:C,3,FALSE)</f>
        <v>C303101</v>
      </c>
      <c r="D897" t="s">
        <v>6709</v>
      </c>
      <c r="E897" t="s">
        <v>766</v>
      </c>
      <c r="F897" t="s">
        <v>18980</v>
      </c>
    </row>
    <row r="898" spans="1:6">
      <c r="A898">
        <v>56102</v>
      </c>
      <c r="B898" t="s">
        <v>927</v>
      </c>
      <c r="C898" t="str">
        <f>VLOOKUP(A898,'Cost Center'!A:C,3,FALSE)</f>
        <v>C303102</v>
      </c>
      <c r="D898" t="s">
        <v>6727</v>
      </c>
      <c r="E898" t="s">
        <v>766</v>
      </c>
      <c r="F898" t="s">
        <v>18986</v>
      </c>
    </row>
    <row r="899" spans="1:6">
      <c r="A899">
        <v>56103</v>
      </c>
      <c r="B899" t="s">
        <v>928</v>
      </c>
      <c r="C899" t="str">
        <f>VLOOKUP(A899,'Cost Center'!A:C,3,FALSE)</f>
        <v>C303103</v>
      </c>
      <c r="D899" t="s">
        <v>6739</v>
      </c>
      <c r="E899" t="s">
        <v>766</v>
      </c>
      <c r="F899" t="s">
        <v>18990</v>
      </c>
    </row>
    <row r="900" spans="1:6">
      <c r="A900">
        <v>56500</v>
      </c>
      <c r="B900" t="s">
        <v>930</v>
      </c>
      <c r="C900" t="str">
        <f>VLOOKUP(A900,'Cost Center'!A:C,3,FALSE)</f>
        <v>C303150</v>
      </c>
      <c r="D900" t="s">
        <v>6754</v>
      </c>
      <c r="E900" t="s">
        <v>766</v>
      </c>
      <c r="F900" t="s">
        <v>18995</v>
      </c>
    </row>
    <row r="901" spans="1:6">
      <c r="A901">
        <v>56501</v>
      </c>
      <c r="B901" t="s">
        <v>2584</v>
      </c>
      <c r="C901" t="str">
        <f>VLOOKUP(A901,'Cost Center'!A:C,3,FALSE)</f>
        <v>C303151</v>
      </c>
      <c r="D901" t="s">
        <v>6766</v>
      </c>
      <c r="E901" t="s">
        <v>766</v>
      </c>
      <c r="F901" t="s">
        <v>18998</v>
      </c>
    </row>
    <row r="902" spans="1:6">
      <c r="A902">
        <v>56502</v>
      </c>
      <c r="B902" t="s">
        <v>2585</v>
      </c>
      <c r="C902" t="str">
        <f>VLOOKUP(A902,'Cost Center'!A:C,3,FALSE)</f>
        <v>C303200</v>
      </c>
      <c r="D902" t="s">
        <v>6769</v>
      </c>
      <c r="E902" t="s">
        <v>766</v>
      </c>
      <c r="F902" t="s">
        <v>18999</v>
      </c>
    </row>
    <row r="903" spans="1:6">
      <c r="A903">
        <v>56503</v>
      </c>
      <c r="B903" t="s">
        <v>2586</v>
      </c>
      <c r="C903" t="e">
        <f>VLOOKUP(A903,'Cost Center'!A:C,3,FALSE)</f>
        <v>#N/A</v>
      </c>
      <c r="D903" t="s">
        <v>3624</v>
      </c>
      <c r="E903" t="s">
        <v>766</v>
      </c>
      <c r="F903" t="s">
        <v>20034</v>
      </c>
    </row>
    <row r="904" spans="1:6">
      <c r="A904">
        <v>56504</v>
      </c>
      <c r="B904" t="s">
        <v>2587</v>
      </c>
      <c r="C904" t="e">
        <f>VLOOKUP(A904,'Cost Center'!A:C,3,FALSE)</f>
        <v>#N/A</v>
      </c>
      <c r="D904" t="s">
        <v>3624</v>
      </c>
      <c r="E904" t="s">
        <v>766</v>
      </c>
      <c r="F904" t="s">
        <v>20035</v>
      </c>
    </row>
    <row r="905" spans="1:6">
      <c r="A905">
        <v>56505</v>
      </c>
      <c r="B905" t="s">
        <v>2588</v>
      </c>
      <c r="C905" t="str">
        <f>VLOOKUP(A905,'Cost Center'!A:C,3,FALSE)</f>
        <v>C303201</v>
      </c>
      <c r="D905" t="s">
        <v>6772</v>
      </c>
      <c r="E905" t="s">
        <v>766</v>
      </c>
      <c r="F905" t="s">
        <v>19000</v>
      </c>
    </row>
    <row r="906" spans="1:6">
      <c r="A906">
        <v>56506</v>
      </c>
      <c r="B906" t="s">
        <v>2589</v>
      </c>
      <c r="C906" t="str">
        <f>VLOOKUP(A906,'Cost Center'!A:C,3,FALSE)</f>
        <v>C303160</v>
      </c>
      <c r="D906" t="s">
        <v>6775</v>
      </c>
      <c r="E906" t="s">
        <v>766</v>
      </c>
      <c r="F906" t="s">
        <v>19001</v>
      </c>
    </row>
    <row r="907" spans="1:6">
      <c r="A907">
        <v>56509</v>
      </c>
      <c r="B907" t="s">
        <v>2590</v>
      </c>
      <c r="C907" t="str">
        <f>VLOOKUP(A907,'Cost Center'!A:C,3,FALSE)</f>
        <v>C090015</v>
      </c>
      <c r="D907" t="s">
        <v>6778</v>
      </c>
      <c r="E907" t="s">
        <v>766</v>
      </c>
      <c r="F907" t="s">
        <v>19002</v>
      </c>
    </row>
    <row r="908" spans="1:6">
      <c r="A908" t="s">
        <v>2591</v>
      </c>
      <c r="B908" t="s">
        <v>2592</v>
      </c>
      <c r="C908" t="str">
        <f>VLOOKUP(A908,'Cost Center'!A:C,3,FALSE)</f>
        <v>C290101</v>
      </c>
      <c r="D908" t="s">
        <v>11628</v>
      </c>
      <c r="E908" t="s">
        <v>766</v>
      </c>
      <c r="F908" t="s">
        <v>2591</v>
      </c>
    </row>
    <row r="909" spans="1:6">
      <c r="A909">
        <v>53990</v>
      </c>
      <c r="B909" t="s">
        <v>915</v>
      </c>
      <c r="C909" t="str">
        <f>VLOOKUP(A909,'Cost Center'!A:C,3,FALSE)</f>
        <v>C303050</v>
      </c>
      <c r="D909" t="s">
        <v>6358</v>
      </c>
      <c r="E909" t="s">
        <v>766</v>
      </c>
      <c r="F909" t="s">
        <v>18902</v>
      </c>
    </row>
    <row r="910" spans="1:6">
      <c r="A910">
        <v>53991</v>
      </c>
      <c r="B910" t="s">
        <v>2593</v>
      </c>
      <c r="C910" t="str">
        <f>VLOOKUP(A910,'Cost Center'!A:C,3,FALSE)</f>
        <v>C303058</v>
      </c>
      <c r="D910" t="s">
        <v>3624</v>
      </c>
      <c r="E910" t="s">
        <v>766</v>
      </c>
      <c r="F910" t="s">
        <v>19786</v>
      </c>
    </row>
    <row r="911" spans="1:6">
      <c r="A911">
        <v>53993</v>
      </c>
      <c r="B911" t="s">
        <v>916</v>
      </c>
      <c r="C911" t="str">
        <f>VLOOKUP(A911,'Cost Center'!A:C,3,FALSE)</f>
        <v>C303051</v>
      </c>
      <c r="D911" t="s">
        <v>6361</v>
      </c>
      <c r="E911" t="s">
        <v>766</v>
      </c>
      <c r="F911" t="s">
        <v>18903</v>
      </c>
    </row>
    <row r="912" spans="1:6">
      <c r="A912">
        <v>46290</v>
      </c>
      <c r="B912" t="s">
        <v>869</v>
      </c>
      <c r="C912" t="str">
        <f>VLOOKUP(A912,'Cost Center'!A:C,3,FALSE)</f>
        <v>C301009</v>
      </c>
      <c r="D912" t="s">
        <v>6640</v>
      </c>
      <c r="E912" t="s">
        <v>766</v>
      </c>
      <c r="F912" t="s">
        <v>18957</v>
      </c>
    </row>
    <row r="913" spans="1:6">
      <c r="A913" t="s">
        <v>2594</v>
      </c>
      <c r="B913" t="s">
        <v>2595</v>
      </c>
      <c r="C913" t="e">
        <f>VLOOKUP(A913,'Cost Center'!A:C,3,FALSE)</f>
        <v>#N/A</v>
      </c>
      <c r="D913" t="s">
        <v>3624</v>
      </c>
      <c r="E913" t="s">
        <v>766</v>
      </c>
      <c r="F913" t="s">
        <v>2594</v>
      </c>
    </row>
    <row r="914" spans="1:6">
      <c r="A914" t="s">
        <v>2596</v>
      </c>
      <c r="B914" t="s">
        <v>2597</v>
      </c>
      <c r="C914" t="str">
        <f>VLOOKUP(A914,'Cost Center'!A:C,3,FALSE)</f>
        <v>C303090</v>
      </c>
      <c r="D914" t="s">
        <v>6763</v>
      </c>
      <c r="E914" t="s">
        <v>766</v>
      </c>
      <c r="F914" t="s">
        <v>2596</v>
      </c>
    </row>
    <row r="915" spans="1:6">
      <c r="A915" t="s">
        <v>1210</v>
      </c>
      <c r="B915" t="s">
        <v>1211</v>
      </c>
      <c r="C915" t="str">
        <f>VLOOKUP(A915,'Cost Center'!A:C,3,FALSE)</f>
        <v>C610312</v>
      </c>
      <c r="D915" t="s">
        <v>10293</v>
      </c>
      <c r="E915" t="s">
        <v>766</v>
      </c>
      <c r="F915" t="s">
        <v>1210</v>
      </c>
    </row>
    <row r="916" spans="1:6">
      <c r="A916" t="s">
        <v>2598</v>
      </c>
      <c r="B916" t="s">
        <v>2599</v>
      </c>
      <c r="C916" t="str">
        <f>VLOOKUP(A916,'Cost Center'!A:C,3,FALSE)</f>
        <v>C610162</v>
      </c>
      <c r="D916" t="s">
        <v>9840</v>
      </c>
      <c r="E916" t="s">
        <v>766</v>
      </c>
      <c r="F916" t="s">
        <v>2598</v>
      </c>
    </row>
    <row r="917" spans="1:6">
      <c r="A917" t="s">
        <v>2600</v>
      </c>
      <c r="B917" t="s">
        <v>2601</v>
      </c>
      <c r="C917" t="e">
        <f>VLOOKUP(A917,'Cost Center'!A:C,3,FALSE)</f>
        <v>#N/A</v>
      </c>
      <c r="D917" t="s">
        <v>3624</v>
      </c>
      <c r="E917" t="s">
        <v>766</v>
      </c>
      <c r="F917" t="s">
        <v>2600</v>
      </c>
    </row>
    <row r="918" spans="1:6">
      <c r="A918" t="s">
        <v>2602</v>
      </c>
      <c r="B918" t="s">
        <v>2603</v>
      </c>
      <c r="C918" t="str">
        <f>VLOOKUP(A918,'Cost Center'!A:C,3,FALSE)</f>
        <v>CI61171</v>
      </c>
      <c r="D918" t="s">
        <v>9198</v>
      </c>
      <c r="E918" t="s">
        <v>766</v>
      </c>
      <c r="F918" t="s">
        <v>2602</v>
      </c>
    </row>
    <row r="919" spans="1:6">
      <c r="A919" t="s">
        <v>2604</v>
      </c>
      <c r="B919" t="s">
        <v>2605</v>
      </c>
      <c r="C919" t="str">
        <f>VLOOKUP(A919,'Cost Center'!A:C,3,FALSE)</f>
        <v>CI00927</v>
      </c>
      <c r="D919" t="s">
        <v>9201</v>
      </c>
      <c r="E919" t="s">
        <v>766</v>
      </c>
      <c r="F919" t="s">
        <v>2604</v>
      </c>
    </row>
    <row r="920" spans="1:6">
      <c r="A920" t="s">
        <v>2606</v>
      </c>
      <c r="B920" t="s">
        <v>2607</v>
      </c>
      <c r="C920" t="str">
        <f>VLOOKUP(A920,'Cost Center'!A:C,3,FALSE)</f>
        <v>CI60128</v>
      </c>
      <c r="D920" t="s">
        <v>13092</v>
      </c>
      <c r="E920" t="s">
        <v>766</v>
      </c>
      <c r="F920" t="s">
        <v>2606</v>
      </c>
    </row>
    <row r="921" spans="1:6">
      <c r="A921" t="s">
        <v>2608</v>
      </c>
      <c r="B921" t="s">
        <v>2609</v>
      </c>
      <c r="C921" t="e">
        <f>VLOOKUP(A921,'Cost Center'!A:C,3,FALSE)</f>
        <v>#N/A</v>
      </c>
      <c r="D921" t="s">
        <v>3624</v>
      </c>
      <c r="E921" t="s">
        <v>766</v>
      </c>
      <c r="F921" t="s">
        <v>2608</v>
      </c>
    </row>
    <row r="922" spans="1:6">
      <c r="A922" t="s">
        <v>2610</v>
      </c>
      <c r="B922" t="s">
        <v>2611</v>
      </c>
      <c r="C922" t="str">
        <f>VLOOKUP(A922,'Cost Center'!A:C,3,FALSE)</f>
        <v>C610200</v>
      </c>
      <c r="D922" t="s">
        <v>9517</v>
      </c>
      <c r="E922" t="s">
        <v>766</v>
      </c>
      <c r="F922" t="s">
        <v>2610</v>
      </c>
    </row>
    <row r="923" spans="1:6">
      <c r="A923">
        <v>46291</v>
      </c>
      <c r="B923" t="s">
        <v>870</v>
      </c>
      <c r="C923" t="str">
        <f>VLOOKUP(A923,'Cost Center'!A:C,3,FALSE)</f>
        <v>C303300</v>
      </c>
      <c r="D923" t="s">
        <v>6793</v>
      </c>
      <c r="E923" t="s">
        <v>766</v>
      </c>
      <c r="F923" t="s">
        <v>19007</v>
      </c>
    </row>
    <row r="924" spans="1:6">
      <c r="A924" t="s">
        <v>2612</v>
      </c>
      <c r="B924" t="s">
        <v>2613</v>
      </c>
      <c r="C924" t="e">
        <f>VLOOKUP(A924,'Cost Center'!A:C,3,FALSE)</f>
        <v>#N/A</v>
      </c>
      <c r="D924" t="s">
        <v>3624</v>
      </c>
      <c r="E924" t="s">
        <v>766</v>
      </c>
      <c r="F924" t="s">
        <v>2612</v>
      </c>
    </row>
    <row r="925" spans="1:6">
      <c r="A925" t="s">
        <v>1214</v>
      </c>
      <c r="B925" t="s">
        <v>1215</v>
      </c>
      <c r="C925" t="str">
        <f>VLOOKUP(A925,'Cost Center'!A:C,3,FALSE)</f>
        <v>C601028</v>
      </c>
      <c r="D925" t="s">
        <v>11296</v>
      </c>
      <c r="E925" t="s">
        <v>766</v>
      </c>
      <c r="F925" t="s">
        <v>1214</v>
      </c>
    </row>
    <row r="926" spans="1:6">
      <c r="A926">
        <v>54878</v>
      </c>
      <c r="B926" t="s">
        <v>2614</v>
      </c>
      <c r="C926" t="str">
        <f>VLOOKUP(A926,'Cost Center'!A:C,3,FALSE)</f>
        <v>C303301</v>
      </c>
      <c r="D926" t="s">
        <v>6539</v>
      </c>
      <c r="E926" t="s">
        <v>766</v>
      </c>
      <c r="F926" t="s">
        <v>18935</v>
      </c>
    </row>
    <row r="927" spans="1:6">
      <c r="A927">
        <v>7513</v>
      </c>
      <c r="B927" t="s">
        <v>2615</v>
      </c>
      <c r="C927" t="str">
        <f>VLOOKUP(A927,'Cost Center'!A:C,3,FALSE)</f>
        <v>C303302</v>
      </c>
      <c r="D927" t="s">
        <v>4540</v>
      </c>
      <c r="E927" t="s">
        <v>766</v>
      </c>
      <c r="F927" t="s">
        <v>18458</v>
      </c>
    </row>
    <row r="928" spans="1:6">
      <c r="A928">
        <v>93209</v>
      </c>
      <c r="B928" t="s">
        <v>2616</v>
      </c>
      <c r="C928" t="str">
        <f>VLOOKUP(A928,'Cost Center'!A:C,3,FALSE)</f>
        <v>C303080</v>
      </c>
      <c r="D928" t="s">
        <v>6760</v>
      </c>
      <c r="E928" t="s">
        <v>766</v>
      </c>
      <c r="F928" t="s">
        <v>18997</v>
      </c>
    </row>
    <row r="929" spans="1:6">
      <c r="A929">
        <v>51906</v>
      </c>
      <c r="B929" t="s">
        <v>892</v>
      </c>
      <c r="C929" t="str">
        <f>VLOOKUP(A929,'Cost Center'!A:C,3,FALSE)</f>
        <v>C302002</v>
      </c>
      <c r="D929" t="s">
        <v>6021</v>
      </c>
      <c r="E929" t="s">
        <v>766</v>
      </c>
      <c r="F929" t="s">
        <v>18777</v>
      </c>
    </row>
    <row r="930" spans="1:6">
      <c r="A930">
        <v>93205</v>
      </c>
      <c r="B930" t="s">
        <v>2617</v>
      </c>
      <c r="C930" t="e">
        <f>VLOOKUP(A930,'Cost Center'!A:C,3,FALSE)</f>
        <v>#N/A</v>
      </c>
      <c r="D930" t="s">
        <v>3624</v>
      </c>
      <c r="E930" t="s">
        <v>766</v>
      </c>
      <c r="F930" t="s">
        <v>20036</v>
      </c>
    </row>
    <row r="931" spans="1:6">
      <c r="A931">
        <v>93206</v>
      </c>
      <c r="B931" t="s">
        <v>994</v>
      </c>
      <c r="C931" t="str">
        <f>VLOOKUP(A931,'Cost Center'!A:C,3,FALSE)</f>
        <v>C302001</v>
      </c>
      <c r="D931" t="s">
        <v>6682</v>
      </c>
      <c r="E931" t="s">
        <v>766</v>
      </c>
      <c r="F931" t="s">
        <v>18971</v>
      </c>
    </row>
    <row r="932" spans="1:6">
      <c r="A932">
        <v>93228</v>
      </c>
      <c r="B932" t="s">
        <v>2618</v>
      </c>
      <c r="C932" t="str">
        <f>VLOOKUP(A932,'Cost Center'!A:C,3,FALSE)</f>
        <v>C302110</v>
      </c>
      <c r="D932" t="s">
        <v>3624</v>
      </c>
      <c r="E932" t="s">
        <v>766</v>
      </c>
      <c r="F932" t="s">
        <v>19785</v>
      </c>
    </row>
    <row r="933" spans="1:6">
      <c r="A933">
        <v>93236</v>
      </c>
      <c r="B933" t="s">
        <v>2619</v>
      </c>
      <c r="C933" t="e">
        <f>VLOOKUP(A933,'Cost Center'!A:C,3,FALSE)</f>
        <v>#N/A</v>
      </c>
      <c r="D933" t="s">
        <v>3624</v>
      </c>
      <c r="E933" t="s">
        <v>766</v>
      </c>
      <c r="F933" t="s">
        <v>20037</v>
      </c>
    </row>
    <row r="934" spans="1:6">
      <c r="A934">
        <v>93240</v>
      </c>
      <c r="B934" t="s">
        <v>1001</v>
      </c>
      <c r="C934" t="str">
        <f>VLOOKUP(A934,'Cost Center'!A:C,3,FALSE)</f>
        <v>C302000</v>
      </c>
      <c r="D934" t="s">
        <v>6679</v>
      </c>
      <c r="E934" t="s">
        <v>766</v>
      </c>
      <c r="F934" t="s">
        <v>18970</v>
      </c>
    </row>
    <row r="935" spans="1:6">
      <c r="A935">
        <v>93244</v>
      </c>
      <c r="B935" t="s">
        <v>2620</v>
      </c>
      <c r="C935" t="str">
        <f>VLOOKUP(A935,'Cost Center'!A:C,3,FALSE)</f>
        <v>C302107</v>
      </c>
      <c r="D935" t="s">
        <v>6712</v>
      </c>
      <c r="E935" t="s">
        <v>766</v>
      </c>
      <c r="F935" t="s">
        <v>18981</v>
      </c>
    </row>
    <row r="936" spans="1:6">
      <c r="A936">
        <v>93245</v>
      </c>
      <c r="B936" t="s">
        <v>2621</v>
      </c>
      <c r="C936" t="e">
        <f>VLOOKUP(A936,'Cost Center'!A:C,3,FALSE)</f>
        <v>#N/A</v>
      </c>
      <c r="D936" t="s">
        <v>3624</v>
      </c>
      <c r="E936" t="s">
        <v>766</v>
      </c>
      <c r="F936" t="s">
        <v>20038</v>
      </c>
    </row>
    <row r="937" spans="1:6">
      <c r="A937">
        <v>93270</v>
      </c>
      <c r="B937" t="s">
        <v>2622</v>
      </c>
      <c r="C937" t="str">
        <f>VLOOKUP(A937,'Cost Center'!A:C,3,FALSE)</f>
        <v>C302050</v>
      </c>
      <c r="D937" t="s">
        <v>6688</v>
      </c>
      <c r="E937" t="s">
        <v>766</v>
      </c>
      <c r="F937" t="s">
        <v>18973</v>
      </c>
    </row>
    <row r="938" spans="1:6">
      <c r="A938">
        <v>93271</v>
      </c>
      <c r="B938" t="s">
        <v>2623</v>
      </c>
      <c r="C938" t="str">
        <f>VLOOKUP(A938,'Cost Center'!A:C,3,FALSE)</f>
        <v>C302108</v>
      </c>
      <c r="D938" t="s">
        <v>6715</v>
      </c>
      <c r="E938" t="s">
        <v>766</v>
      </c>
      <c r="F938" t="s">
        <v>18982</v>
      </c>
    </row>
    <row r="939" spans="1:6">
      <c r="A939" t="s">
        <v>2624</v>
      </c>
      <c r="B939" t="s">
        <v>2625</v>
      </c>
      <c r="C939" t="str">
        <f>VLOOKUP(A939,'Cost Center'!A:C,3,FALSE)</f>
        <v>C290300</v>
      </c>
      <c r="D939" t="s">
        <v>6534</v>
      </c>
      <c r="E939" t="s">
        <v>766</v>
      </c>
      <c r="F939" t="s">
        <v>2624</v>
      </c>
    </row>
    <row r="940" spans="1:6">
      <c r="A940" t="s">
        <v>2626</v>
      </c>
      <c r="B940" t="s">
        <v>2627</v>
      </c>
      <c r="C940" t="str">
        <f>VLOOKUP(A940,'Cost Center'!A:C,3,FALSE)</f>
        <v>C290301</v>
      </c>
      <c r="D940" t="s">
        <v>6536</v>
      </c>
      <c r="E940" t="s">
        <v>766</v>
      </c>
      <c r="F940" t="s">
        <v>2626</v>
      </c>
    </row>
    <row r="941" spans="1:6">
      <c r="A941">
        <v>54891</v>
      </c>
      <c r="B941" t="s">
        <v>2628</v>
      </c>
      <c r="C941" t="str">
        <f>VLOOKUP(A941,'Cost Center'!A:C,3,FALSE)</f>
        <v>C090032</v>
      </c>
      <c r="D941" t="s">
        <v>6581</v>
      </c>
      <c r="E941" t="s">
        <v>766</v>
      </c>
      <c r="F941" t="s">
        <v>18940</v>
      </c>
    </row>
    <row r="942" spans="1:6">
      <c r="A942">
        <v>54894</v>
      </c>
      <c r="B942" t="s">
        <v>2629</v>
      </c>
      <c r="C942" t="str">
        <f>VLOOKUP(A942,'Cost Center'!A:C,3,FALSE)</f>
        <v>C090014</v>
      </c>
      <c r="D942" t="s">
        <v>6584</v>
      </c>
      <c r="E942" t="s">
        <v>766</v>
      </c>
      <c r="F942" t="s">
        <v>18941</v>
      </c>
    </row>
    <row r="943" spans="1:6">
      <c r="A943">
        <v>93220</v>
      </c>
      <c r="B943" t="s">
        <v>996</v>
      </c>
      <c r="C943" t="str">
        <f>VLOOKUP(A943,'Cost Center'!A:C,3,FALSE)</f>
        <v>C302100</v>
      </c>
      <c r="D943" t="s">
        <v>6691</v>
      </c>
      <c r="E943" t="s">
        <v>766</v>
      </c>
      <c r="F943" t="s">
        <v>18974</v>
      </c>
    </row>
    <row r="944" spans="1:6">
      <c r="A944">
        <v>93221</v>
      </c>
      <c r="B944" t="s">
        <v>997</v>
      </c>
      <c r="C944" t="str">
        <f>VLOOKUP(A944,'Cost Center'!A:C,3,FALSE)</f>
        <v>C302101</v>
      </c>
      <c r="D944" t="s">
        <v>6694</v>
      </c>
      <c r="E944" t="s">
        <v>766</v>
      </c>
      <c r="F944" t="s">
        <v>18975</v>
      </c>
    </row>
    <row r="945" spans="1:6">
      <c r="A945">
        <v>93222</v>
      </c>
      <c r="B945" t="s">
        <v>998</v>
      </c>
      <c r="C945" t="str">
        <f>VLOOKUP(A945,'Cost Center'!A:C,3,FALSE)</f>
        <v>C302102</v>
      </c>
      <c r="D945" t="s">
        <v>6697</v>
      </c>
      <c r="E945" t="s">
        <v>766</v>
      </c>
      <c r="F945" t="s">
        <v>18976</v>
      </c>
    </row>
    <row r="946" spans="1:6">
      <c r="A946">
        <v>93223</v>
      </c>
      <c r="B946" t="s">
        <v>2630</v>
      </c>
      <c r="C946" t="str">
        <f>VLOOKUP(A946,'Cost Center'!A:C,3,FALSE)</f>
        <v>C302105</v>
      </c>
      <c r="D946" t="s">
        <v>6706</v>
      </c>
      <c r="E946" t="s">
        <v>766</v>
      </c>
      <c r="F946" t="s">
        <v>18979</v>
      </c>
    </row>
    <row r="947" spans="1:6">
      <c r="A947">
        <v>93225</v>
      </c>
      <c r="B947" t="s">
        <v>2631</v>
      </c>
      <c r="C947" t="str">
        <f>VLOOKUP(A947,'Cost Center'!A:C,3,FALSE)</f>
        <v>C302106</v>
      </c>
      <c r="D947" t="s">
        <v>6862</v>
      </c>
      <c r="E947" t="s">
        <v>766</v>
      </c>
      <c r="F947" t="s">
        <v>19030</v>
      </c>
    </row>
    <row r="948" spans="1:6">
      <c r="A948">
        <v>93227</v>
      </c>
      <c r="B948" t="s">
        <v>999</v>
      </c>
      <c r="C948" t="str">
        <f>VLOOKUP(A948,'Cost Center'!A:C,3,FALSE)</f>
        <v>C302103</v>
      </c>
      <c r="D948" t="s">
        <v>6700</v>
      </c>
      <c r="E948" t="s">
        <v>766</v>
      </c>
      <c r="F948" t="s">
        <v>18977</v>
      </c>
    </row>
    <row r="949" spans="1:6">
      <c r="A949">
        <v>93231</v>
      </c>
      <c r="B949" t="s">
        <v>1000</v>
      </c>
      <c r="C949" t="str">
        <f>VLOOKUP(A949,'Cost Center'!A:C,3,FALSE)</f>
        <v>C302104</v>
      </c>
      <c r="D949" t="s">
        <v>6703</v>
      </c>
      <c r="E949" t="s">
        <v>766</v>
      </c>
      <c r="F949" t="s">
        <v>18978</v>
      </c>
    </row>
    <row r="950" spans="1:6">
      <c r="A950">
        <v>93232</v>
      </c>
      <c r="B950" t="s">
        <v>2632</v>
      </c>
      <c r="C950" t="str">
        <f>VLOOKUP(A950,'Cost Center'!A:C,3,FALSE)</f>
        <v>C302109</v>
      </c>
      <c r="D950" t="s">
        <v>6718</v>
      </c>
      <c r="E950" t="s">
        <v>766</v>
      </c>
      <c r="F950" t="s">
        <v>18983</v>
      </c>
    </row>
    <row r="951" spans="1:6">
      <c r="A951">
        <v>56100</v>
      </c>
      <c r="B951" t="s">
        <v>925</v>
      </c>
      <c r="C951" t="str">
        <f>VLOOKUP(A951,'Cost Center'!A:C,3,FALSE)</f>
        <v>C303104</v>
      </c>
      <c r="D951" t="s">
        <v>6685</v>
      </c>
      <c r="E951" t="s">
        <v>766</v>
      </c>
      <c r="F951" t="s">
        <v>18972</v>
      </c>
    </row>
    <row r="952" spans="1:6">
      <c r="A952">
        <v>93241</v>
      </c>
      <c r="B952" t="s">
        <v>1002</v>
      </c>
      <c r="C952" t="str">
        <f>VLOOKUP(A952,'Cost Center'!A:C,3,FALSE)</f>
        <v>C300005</v>
      </c>
      <c r="D952" t="s">
        <v>6598</v>
      </c>
      <c r="E952" t="s">
        <v>766</v>
      </c>
      <c r="F952" t="s">
        <v>18943</v>
      </c>
    </row>
    <row r="953" spans="1:6">
      <c r="A953">
        <v>93242</v>
      </c>
      <c r="B953" t="s">
        <v>1003</v>
      </c>
      <c r="C953" t="str">
        <f>VLOOKUP(A953,'Cost Center'!A:C,3,FALSE)</f>
        <v>C300010</v>
      </c>
      <c r="D953" t="s">
        <v>6601</v>
      </c>
      <c r="E953" t="s">
        <v>766</v>
      </c>
      <c r="F953" t="s">
        <v>18944</v>
      </c>
    </row>
    <row r="954" spans="1:6">
      <c r="A954">
        <v>93243</v>
      </c>
      <c r="B954" t="s">
        <v>1004</v>
      </c>
      <c r="C954" t="str">
        <f>VLOOKUP(A954,'Cost Center'!A:C,3,FALSE)</f>
        <v>C300011</v>
      </c>
      <c r="D954" t="s">
        <v>6604</v>
      </c>
      <c r="E954" t="s">
        <v>766</v>
      </c>
      <c r="F954" t="s">
        <v>18945</v>
      </c>
    </row>
    <row r="955" spans="1:6">
      <c r="A955">
        <v>10031</v>
      </c>
      <c r="B955" t="s">
        <v>2633</v>
      </c>
      <c r="C955" t="str">
        <f>VLOOKUP(A955,'Cost Center'!A:C,3,FALSE)</f>
        <v>C350645</v>
      </c>
      <c r="D955" t="s">
        <v>7286</v>
      </c>
      <c r="E955" t="s">
        <v>766</v>
      </c>
      <c r="F955" t="s">
        <v>19176</v>
      </c>
    </row>
    <row r="956" spans="1:6">
      <c r="A956" t="s">
        <v>2634</v>
      </c>
      <c r="B956" t="s">
        <v>2635</v>
      </c>
      <c r="C956" t="str">
        <f>VLOOKUP(A956,'Cost Center'!A:C,3,FALSE)</f>
        <v>C601001</v>
      </c>
      <c r="D956" t="s">
        <v>9390</v>
      </c>
      <c r="E956" t="s">
        <v>766</v>
      </c>
      <c r="F956" t="s">
        <v>2634</v>
      </c>
    </row>
    <row r="957" spans="1:6">
      <c r="A957" t="s">
        <v>2636</v>
      </c>
      <c r="B957" t="s">
        <v>2637</v>
      </c>
      <c r="C957" t="str">
        <f>VLOOKUP(A957,'Cost Center'!A:C,3,FALSE)</f>
        <v>C052015</v>
      </c>
      <c r="D957" t="s">
        <v>4244</v>
      </c>
      <c r="E957" t="s">
        <v>766</v>
      </c>
      <c r="F957" t="s">
        <v>2636</v>
      </c>
    </row>
    <row r="958" spans="1:6">
      <c r="A958">
        <v>11117</v>
      </c>
      <c r="B958" t="s">
        <v>765</v>
      </c>
      <c r="C958" t="str">
        <f>VLOOKUP(A958,'Cost Center'!A:C,3,FALSE)</f>
        <v>C350500</v>
      </c>
      <c r="D958" t="s">
        <v>6877</v>
      </c>
      <c r="E958" t="s">
        <v>766</v>
      </c>
      <c r="F958" t="s">
        <v>19035</v>
      </c>
    </row>
    <row r="959" spans="1:6">
      <c r="A959">
        <v>13235</v>
      </c>
      <c r="B959" t="s">
        <v>774</v>
      </c>
      <c r="C959" t="str">
        <f>VLOOKUP(A959,'Cost Center'!A:C,3,FALSE)</f>
        <v>C350501</v>
      </c>
      <c r="D959" t="s">
        <v>5186</v>
      </c>
      <c r="E959" t="s">
        <v>766</v>
      </c>
      <c r="F959" t="s">
        <v>18516</v>
      </c>
    </row>
    <row r="960" spans="1:6">
      <c r="A960">
        <v>22235</v>
      </c>
      <c r="B960" t="s">
        <v>2638</v>
      </c>
      <c r="C960" t="str">
        <f>VLOOKUP(A960,'Cost Center'!A:C,3,FALSE)</f>
        <v>C350502</v>
      </c>
      <c r="D960" t="s">
        <v>5384</v>
      </c>
      <c r="E960" t="s">
        <v>766</v>
      </c>
      <c r="F960" t="s">
        <v>18562</v>
      </c>
    </row>
    <row r="961" spans="1:6">
      <c r="A961">
        <v>41928</v>
      </c>
      <c r="B961" t="s">
        <v>2639</v>
      </c>
      <c r="C961" t="str">
        <f>VLOOKUP(A961,'Cost Center'!A:C,3,FALSE)</f>
        <v>C350646</v>
      </c>
      <c r="D961" t="s">
        <v>7289</v>
      </c>
      <c r="E961" t="s">
        <v>766</v>
      </c>
      <c r="F961" t="s">
        <v>19177</v>
      </c>
    </row>
    <row r="962" spans="1:6">
      <c r="A962">
        <v>42372</v>
      </c>
      <c r="B962" t="s">
        <v>811</v>
      </c>
      <c r="C962" t="str">
        <f>VLOOKUP(A962,'Cost Center'!A:C,3,FALSE)</f>
        <v>CI35643</v>
      </c>
      <c r="D962" t="s">
        <v>12682</v>
      </c>
      <c r="E962" t="s">
        <v>766</v>
      </c>
      <c r="F962" t="s">
        <v>19662</v>
      </c>
    </row>
    <row r="963" spans="1:6">
      <c r="A963">
        <v>42374</v>
      </c>
      <c r="B963" t="s">
        <v>813</v>
      </c>
      <c r="C963" t="str">
        <f>VLOOKUP(A963,'Cost Center'!A:C,3,FALSE)</f>
        <v>CI35644</v>
      </c>
      <c r="D963" t="s">
        <v>12685</v>
      </c>
      <c r="E963" t="s">
        <v>766</v>
      </c>
      <c r="F963" t="s">
        <v>19663</v>
      </c>
    </row>
    <row r="964" spans="1:6">
      <c r="A964">
        <v>42401</v>
      </c>
      <c r="B964" t="s">
        <v>2640</v>
      </c>
      <c r="C964" t="str">
        <f>VLOOKUP(A964,'Cost Center'!A:C,3,FALSE)</f>
        <v>C350503</v>
      </c>
      <c r="D964" t="s">
        <v>6886</v>
      </c>
      <c r="E964" t="s">
        <v>766</v>
      </c>
      <c r="F964" t="s">
        <v>19038</v>
      </c>
    </row>
    <row r="965" spans="1:6">
      <c r="A965">
        <v>42403</v>
      </c>
      <c r="B965" t="s">
        <v>814</v>
      </c>
      <c r="C965" t="str">
        <f>VLOOKUP(A965,'Cost Center'!A:C,3,FALSE)</f>
        <v>C350504</v>
      </c>
      <c r="D965" t="s">
        <v>6889</v>
      </c>
      <c r="E965" t="s">
        <v>766</v>
      </c>
      <c r="F965" t="s">
        <v>19039</v>
      </c>
    </row>
    <row r="966" spans="1:6">
      <c r="A966">
        <v>42405</v>
      </c>
      <c r="B966" t="s">
        <v>815</v>
      </c>
      <c r="C966" t="str">
        <f>VLOOKUP(A966,'Cost Center'!A:C,3,FALSE)</f>
        <v>C350505</v>
      </c>
      <c r="D966" t="s">
        <v>5555</v>
      </c>
      <c r="E966" t="s">
        <v>766</v>
      </c>
      <c r="F966" t="s">
        <v>18612</v>
      </c>
    </row>
    <row r="967" spans="1:6">
      <c r="A967">
        <v>42406</v>
      </c>
      <c r="B967" t="s">
        <v>2641</v>
      </c>
      <c r="C967" t="e">
        <f>VLOOKUP(A967,'Cost Center'!A:C,3,FALSE)</f>
        <v>#N/A</v>
      </c>
      <c r="D967" t="s">
        <v>3624</v>
      </c>
      <c r="E967" t="s">
        <v>766</v>
      </c>
      <c r="F967" t="s">
        <v>20039</v>
      </c>
    </row>
    <row r="968" spans="1:6">
      <c r="A968">
        <v>42421</v>
      </c>
      <c r="B968" t="s">
        <v>816</v>
      </c>
      <c r="C968" t="str">
        <f>VLOOKUP(A968,'Cost Center'!A:C,3,FALSE)</f>
        <v>C350506</v>
      </c>
      <c r="D968" t="s">
        <v>6895</v>
      </c>
      <c r="E968" t="s">
        <v>766</v>
      </c>
      <c r="F968" t="s">
        <v>19041</v>
      </c>
    </row>
    <row r="969" spans="1:6">
      <c r="A969">
        <v>42422</v>
      </c>
      <c r="B969" t="s">
        <v>2642</v>
      </c>
      <c r="C969" t="str">
        <f>VLOOKUP(A969,'Cost Center'!A:C,3,FALSE)</f>
        <v>C350647</v>
      </c>
      <c r="D969" t="s">
        <v>7292</v>
      </c>
      <c r="E969" t="s">
        <v>766</v>
      </c>
      <c r="F969" t="s">
        <v>19178</v>
      </c>
    </row>
    <row r="970" spans="1:6">
      <c r="A970">
        <v>42426</v>
      </c>
      <c r="B970" t="s">
        <v>2643</v>
      </c>
      <c r="C970" t="str">
        <f>VLOOKUP(A970,'Cost Center'!A:C,3,FALSE)</f>
        <v>C350648</v>
      </c>
      <c r="D970" t="s">
        <v>7295</v>
      </c>
      <c r="E970" t="s">
        <v>766</v>
      </c>
      <c r="F970" t="s">
        <v>19179</v>
      </c>
    </row>
    <row r="971" spans="1:6">
      <c r="A971">
        <v>42435</v>
      </c>
      <c r="B971" t="s">
        <v>817</v>
      </c>
      <c r="C971" t="str">
        <f>VLOOKUP(A971,'Cost Center'!A:C,3,FALSE)</f>
        <v>C350507</v>
      </c>
      <c r="D971" t="s">
        <v>5558</v>
      </c>
      <c r="E971" t="s">
        <v>766</v>
      </c>
      <c r="F971" t="s">
        <v>18613</v>
      </c>
    </row>
    <row r="972" spans="1:6">
      <c r="A972">
        <v>42446</v>
      </c>
      <c r="B972" t="s">
        <v>2644</v>
      </c>
      <c r="C972" t="str">
        <f>VLOOKUP(A972,'Cost Center'!A:C,3,FALSE)</f>
        <v>C350508</v>
      </c>
      <c r="D972" t="s">
        <v>6901</v>
      </c>
      <c r="E972" t="s">
        <v>766</v>
      </c>
      <c r="F972" t="s">
        <v>19043</v>
      </c>
    </row>
    <row r="973" spans="1:6">
      <c r="A973">
        <v>42447</v>
      </c>
      <c r="B973" t="s">
        <v>2645</v>
      </c>
      <c r="C973" t="str">
        <f>VLOOKUP(A973,'Cost Center'!A:C,3,FALSE)</f>
        <v>C350649</v>
      </c>
      <c r="D973" t="s">
        <v>7298</v>
      </c>
      <c r="E973" t="s">
        <v>766</v>
      </c>
      <c r="F973" t="s">
        <v>19180</v>
      </c>
    </row>
    <row r="974" spans="1:6">
      <c r="A974">
        <v>42450</v>
      </c>
      <c r="B974" t="s">
        <v>818</v>
      </c>
      <c r="C974" t="str">
        <f>VLOOKUP(A974,'Cost Center'!A:C,3,FALSE)</f>
        <v>C350644</v>
      </c>
      <c r="D974" t="s">
        <v>5561</v>
      </c>
      <c r="E974" t="s">
        <v>766</v>
      </c>
      <c r="F974" t="s">
        <v>18614</v>
      </c>
    </row>
    <row r="975" spans="1:6">
      <c r="A975">
        <v>42456</v>
      </c>
      <c r="B975" t="s">
        <v>2646</v>
      </c>
      <c r="C975" t="str">
        <f>VLOOKUP(A975,'Cost Center'!A:C,3,FALSE)</f>
        <v>C350650</v>
      </c>
      <c r="D975" t="s">
        <v>5621</v>
      </c>
      <c r="E975" t="s">
        <v>766</v>
      </c>
      <c r="F975" t="s">
        <v>18638</v>
      </c>
    </row>
    <row r="976" spans="1:6">
      <c r="A976">
        <v>42458</v>
      </c>
      <c r="B976" t="s">
        <v>819</v>
      </c>
      <c r="C976" t="str">
        <f>VLOOKUP(A976,'Cost Center'!A:C,3,FALSE)</f>
        <v>C350509</v>
      </c>
      <c r="D976" t="s">
        <v>5624</v>
      </c>
      <c r="E976" t="s">
        <v>766</v>
      </c>
      <c r="F976" t="s">
        <v>18639</v>
      </c>
    </row>
    <row r="977" spans="1:6">
      <c r="A977">
        <v>42459</v>
      </c>
      <c r="B977" t="s">
        <v>820</v>
      </c>
      <c r="C977" t="str">
        <f>VLOOKUP(A977,'Cost Center'!A:C,3,FALSE)</f>
        <v>C350510</v>
      </c>
      <c r="D977" t="s">
        <v>5642</v>
      </c>
      <c r="E977" t="s">
        <v>766</v>
      </c>
      <c r="F977" t="s">
        <v>18645</v>
      </c>
    </row>
    <row r="978" spans="1:6">
      <c r="A978">
        <v>42460</v>
      </c>
      <c r="B978" t="s">
        <v>2647</v>
      </c>
      <c r="C978" t="str">
        <f>VLOOKUP(A978,'Cost Center'!A:C,3,FALSE)</f>
        <v>C350511</v>
      </c>
      <c r="D978" t="s">
        <v>6910</v>
      </c>
      <c r="E978" t="s">
        <v>766</v>
      </c>
      <c r="F978" t="s">
        <v>19046</v>
      </c>
    </row>
    <row r="979" spans="1:6">
      <c r="A979">
        <v>42462</v>
      </c>
      <c r="B979" t="s">
        <v>2648</v>
      </c>
      <c r="C979" t="e">
        <f>VLOOKUP(A979,'Cost Center'!A:C,3,FALSE)</f>
        <v>#N/A</v>
      </c>
      <c r="D979" t="s">
        <v>3624</v>
      </c>
      <c r="E979" t="s">
        <v>766</v>
      </c>
      <c r="F979" t="s">
        <v>20040</v>
      </c>
    </row>
    <row r="980" spans="1:6">
      <c r="A980">
        <v>42463</v>
      </c>
      <c r="B980" t="s">
        <v>821</v>
      </c>
      <c r="C980" t="str">
        <f>VLOOKUP(A980,'Cost Center'!A:C,3,FALSE)</f>
        <v>C350651</v>
      </c>
      <c r="D980" t="s">
        <v>7304</v>
      </c>
      <c r="E980" t="s">
        <v>766</v>
      </c>
      <c r="F980" t="s">
        <v>19182</v>
      </c>
    </row>
    <row r="981" spans="1:6">
      <c r="A981">
        <v>42466</v>
      </c>
      <c r="B981" t="s">
        <v>822</v>
      </c>
      <c r="C981" t="str">
        <f>VLOOKUP(A981,'Cost Center'!A:C,3,FALSE)</f>
        <v>C350652</v>
      </c>
      <c r="D981" t="s">
        <v>7307</v>
      </c>
      <c r="E981" t="s">
        <v>766</v>
      </c>
      <c r="F981" t="s">
        <v>19183</v>
      </c>
    </row>
    <row r="982" spans="1:6">
      <c r="A982">
        <v>42469</v>
      </c>
      <c r="B982" t="s">
        <v>2649</v>
      </c>
      <c r="C982" t="str">
        <f>VLOOKUP(A982,'Cost Center'!A:C,3,FALSE)</f>
        <v>CI35645</v>
      </c>
      <c r="D982" t="s">
        <v>12688</v>
      </c>
      <c r="E982" t="s">
        <v>766</v>
      </c>
      <c r="F982" t="s">
        <v>19664</v>
      </c>
    </row>
    <row r="983" spans="1:6">
      <c r="A983">
        <v>42471</v>
      </c>
      <c r="B983" t="s">
        <v>823</v>
      </c>
      <c r="C983" t="str">
        <f>VLOOKUP(A983,'Cost Center'!A:C,3,FALSE)</f>
        <v>C350512</v>
      </c>
      <c r="D983" t="s">
        <v>6913</v>
      </c>
      <c r="E983" t="s">
        <v>766</v>
      </c>
      <c r="F983" t="s">
        <v>19047</v>
      </c>
    </row>
    <row r="984" spans="1:6">
      <c r="A984">
        <v>42472</v>
      </c>
      <c r="B984" t="s">
        <v>2650</v>
      </c>
      <c r="C984" t="str">
        <f>VLOOKUP(A984,'Cost Center'!A:C,3,FALSE)</f>
        <v>C350653</v>
      </c>
      <c r="D984" t="s">
        <v>7310</v>
      </c>
      <c r="E984" t="s">
        <v>766</v>
      </c>
      <c r="F984" t="s">
        <v>19184</v>
      </c>
    </row>
    <row r="985" spans="1:6">
      <c r="A985">
        <v>42473</v>
      </c>
      <c r="B985" t="s">
        <v>824</v>
      </c>
      <c r="C985" t="str">
        <f>VLOOKUP(A985,'Cost Center'!A:C,3,FALSE)</f>
        <v>C350513</v>
      </c>
      <c r="D985" t="s">
        <v>6916</v>
      </c>
      <c r="E985" t="s">
        <v>766</v>
      </c>
      <c r="F985" t="s">
        <v>19048</v>
      </c>
    </row>
    <row r="986" spans="1:6">
      <c r="A986">
        <v>42474</v>
      </c>
      <c r="B986" t="s">
        <v>825</v>
      </c>
      <c r="C986" t="str">
        <f>VLOOKUP(A986,'Cost Center'!A:C,3,FALSE)</f>
        <v>C350514</v>
      </c>
      <c r="D986" t="s">
        <v>6919</v>
      </c>
      <c r="E986" t="s">
        <v>766</v>
      </c>
      <c r="F986" t="s">
        <v>19049</v>
      </c>
    </row>
    <row r="987" spans="1:6">
      <c r="A987">
        <v>42475</v>
      </c>
      <c r="B987" t="s">
        <v>826</v>
      </c>
      <c r="C987" t="str">
        <f>VLOOKUP(A987,'Cost Center'!A:C,3,FALSE)</f>
        <v>C350515</v>
      </c>
      <c r="D987" t="s">
        <v>5647</v>
      </c>
      <c r="E987" t="s">
        <v>766</v>
      </c>
      <c r="F987" t="s">
        <v>18646</v>
      </c>
    </row>
    <row r="988" spans="1:6">
      <c r="A988">
        <v>42476</v>
      </c>
      <c r="B988" t="s">
        <v>827</v>
      </c>
      <c r="C988" t="str">
        <f>VLOOKUP(A988,'Cost Center'!A:C,3,FALSE)</f>
        <v>C350516</v>
      </c>
      <c r="D988" t="s">
        <v>6925</v>
      </c>
      <c r="E988" t="s">
        <v>766</v>
      </c>
      <c r="F988" t="s">
        <v>19051</v>
      </c>
    </row>
    <row r="989" spans="1:6">
      <c r="A989">
        <v>42491</v>
      </c>
      <c r="B989" t="s">
        <v>828</v>
      </c>
      <c r="C989" t="str">
        <f>VLOOKUP(A989,'Cost Center'!A:C,3,FALSE)</f>
        <v>C350517</v>
      </c>
      <c r="D989" t="s">
        <v>6928</v>
      </c>
      <c r="E989" t="s">
        <v>766</v>
      </c>
      <c r="F989" t="s">
        <v>19052</v>
      </c>
    </row>
    <row r="990" spans="1:6">
      <c r="A990">
        <v>42498</v>
      </c>
      <c r="B990" t="s">
        <v>2651</v>
      </c>
      <c r="C990" t="str">
        <f>VLOOKUP(A990,'Cost Center'!A:C,3,FALSE)</f>
        <v>C350518</v>
      </c>
      <c r="D990" t="s">
        <v>6931</v>
      </c>
      <c r="E990" t="s">
        <v>766</v>
      </c>
      <c r="F990" t="s">
        <v>19053</v>
      </c>
    </row>
    <row r="991" spans="1:6">
      <c r="A991">
        <v>42501</v>
      </c>
      <c r="B991" t="s">
        <v>829</v>
      </c>
      <c r="C991" t="str">
        <f>VLOOKUP(A991,'Cost Center'!A:C,3,FALSE)</f>
        <v>C350519</v>
      </c>
      <c r="D991" t="s">
        <v>5667</v>
      </c>
      <c r="E991" t="s">
        <v>766</v>
      </c>
      <c r="F991" t="s">
        <v>18650</v>
      </c>
    </row>
    <row r="992" spans="1:6">
      <c r="A992">
        <v>42502</v>
      </c>
      <c r="B992" t="s">
        <v>830</v>
      </c>
      <c r="C992" t="str">
        <f>VLOOKUP(A992,'Cost Center'!A:C,3,FALSE)</f>
        <v>C350520</v>
      </c>
      <c r="D992" t="s">
        <v>5672</v>
      </c>
      <c r="E992" t="s">
        <v>766</v>
      </c>
      <c r="F992" t="s">
        <v>18652</v>
      </c>
    </row>
    <row r="993" spans="1:6">
      <c r="A993">
        <v>42504</v>
      </c>
      <c r="B993" t="s">
        <v>2652</v>
      </c>
      <c r="C993" t="str">
        <f>VLOOKUP(A993,'Cost Center'!A:C,3,FALSE)</f>
        <v>C350521</v>
      </c>
      <c r="D993" t="s">
        <v>5709</v>
      </c>
      <c r="E993" t="s">
        <v>766</v>
      </c>
      <c r="F993" t="s">
        <v>18668</v>
      </c>
    </row>
    <row r="994" spans="1:6">
      <c r="A994">
        <v>42528</v>
      </c>
      <c r="B994" t="s">
        <v>2653</v>
      </c>
      <c r="C994" t="str">
        <f>VLOOKUP(A994,'Cost Center'!A:C,3,FALSE)</f>
        <v>C350522</v>
      </c>
      <c r="D994" t="s">
        <v>5715</v>
      </c>
      <c r="E994" t="s">
        <v>766</v>
      </c>
      <c r="F994" t="s">
        <v>18670</v>
      </c>
    </row>
    <row r="995" spans="1:6">
      <c r="A995">
        <v>42539</v>
      </c>
      <c r="B995" t="s">
        <v>832</v>
      </c>
      <c r="C995" t="str">
        <f>VLOOKUP(A995,'Cost Center'!A:C,3,FALSE)</f>
        <v>C350523</v>
      </c>
      <c r="D995" t="s">
        <v>5720</v>
      </c>
      <c r="E995" t="s">
        <v>766</v>
      </c>
      <c r="F995" t="s">
        <v>18672</v>
      </c>
    </row>
    <row r="996" spans="1:6">
      <c r="A996">
        <v>42556</v>
      </c>
      <c r="B996" t="s">
        <v>2654</v>
      </c>
      <c r="C996" t="str">
        <f>VLOOKUP(A996,'Cost Center'!A:C,3,FALSE)</f>
        <v>C350524</v>
      </c>
      <c r="D996" t="s">
        <v>5723</v>
      </c>
      <c r="E996" t="s">
        <v>766</v>
      </c>
      <c r="F996" t="s">
        <v>18673</v>
      </c>
    </row>
    <row r="997" spans="1:6">
      <c r="A997">
        <v>42575</v>
      </c>
      <c r="B997" t="s">
        <v>833</v>
      </c>
      <c r="C997" t="str">
        <f>VLOOKUP(A997,'Cost Center'!A:C,3,FALSE)</f>
        <v>C350525</v>
      </c>
      <c r="D997" t="s">
        <v>5729</v>
      </c>
      <c r="E997" t="s">
        <v>766</v>
      </c>
      <c r="F997" t="s">
        <v>18675</v>
      </c>
    </row>
    <row r="998" spans="1:6">
      <c r="A998">
        <v>42576</v>
      </c>
      <c r="B998" t="s">
        <v>834</v>
      </c>
      <c r="C998" t="str">
        <f>VLOOKUP(A998,'Cost Center'!A:C,3,FALSE)</f>
        <v>C350526</v>
      </c>
      <c r="D998" t="s">
        <v>5732</v>
      </c>
      <c r="E998" t="s">
        <v>766</v>
      </c>
      <c r="F998" t="s">
        <v>18676</v>
      </c>
    </row>
    <row r="999" spans="1:6">
      <c r="A999">
        <v>42577</v>
      </c>
      <c r="B999" t="s">
        <v>835</v>
      </c>
      <c r="C999" t="str">
        <f>VLOOKUP(A999,'Cost Center'!A:C,3,FALSE)</f>
        <v>C350527</v>
      </c>
      <c r="D999" t="s">
        <v>5735</v>
      </c>
      <c r="E999" t="s">
        <v>766</v>
      </c>
      <c r="F999" t="s">
        <v>18677</v>
      </c>
    </row>
    <row r="1000" spans="1:6">
      <c r="A1000">
        <v>42578</v>
      </c>
      <c r="B1000" t="s">
        <v>2655</v>
      </c>
      <c r="C1000" t="str">
        <f>VLOOKUP(A1000,'Cost Center'!A:C,3,FALSE)</f>
        <v>C350528</v>
      </c>
      <c r="D1000" t="s">
        <v>5748</v>
      </c>
      <c r="E1000" t="s">
        <v>766</v>
      </c>
      <c r="F1000" t="s">
        <v>18682</v>
      </c>
    </row>
    <row r="1001" spans="1:6">
      <c r="A1001">
        <v>42579</v>
      </c>
      <c r="B1001" t="s">
        <v>2656</v>
      </c>
      <c r="C1001" t="str">
        <f>VLOOKUP(A1001,'Cost Center'!A:C,3,FALSE)</f>
        <v>C350529</v>
      </c>
      <c r="D1001" t="s">
        <v>5778</v>
      </c>
      <c r="E1001" t="s">
        <v>766</v>
      </c>
      <c r="F1001" t="s">
        <v>18693</v>
      </c>
    </row>
    <row r="1002" spans="1:6">
      <c r="A1002">
        <v>42616</v>
      </c>
      <c r="B1002" t="s">
        <v>2657</v>
      </c>
      <c r="C1002" t="str">
        <f>VLOOKUP(A1002,'Cost Center'!A:C,3,FALSE)</f>
        <v>C350530</v>
      </c>
      <c r="D1002" t="s">
        <v>6967</v>
      </c>
      <c r="E1002" t="s">
        <v>766</v>
      </c>
      <c r="F1002" t="s">
        <v>19065</v>
      </c>
    </row>
    <row r="1003" spans="1:6">
      <c r="A1003">
        <v>42618</v>
      </c>
      <c r="B1003" t="s">
        <v>836</v>
      </c>
      <c r="C1003" t="str">
        <f>VLOOKUP(A1003,'Cost Center'!A:C,3,FALSE)</f>
        <v>C350531</v>
      </c>
      <c r="D1003" t="s">
        <v>6970</v>
      </c>
      <c r="E1003" t="s">
        <v>766</v>
      </c>
      <c r="F1003" t="s">
        <v>19066</v>
      </c>
    </row>
    <row r="1004" spans="1:6">
      <c r="A1004">
        <v>42621</v>
      </c>
      <c r="B1004" t="s">
        <v>837</v>
      </c>
      <c r="C1004" t="str">
        <f>VLOOKUP(A1004,'Cost Center'!A:C,3,FALSE)</f>
        <v>C350532</v>
      </c>
      <c r="D1004" t="s">
        <v>6973</v>
      </c>
      <c r="E1004" t="s">
        <v>766</v>
      </c>
      <c r="F1004" t="s">
        <v>19067</v>
      </c>
    </row>
    <row r="1005" spans="1:6">
      <c r="A1005">
        <v>42622</v>
      </c>
      <c r="B1005" t="s">
        <v>2658</v>
      </c>
      <c r="C1005" t="str">
        <f>VLOOKUP(A1005,'Cost Center'!A:C,3,FALSE)</f>
        <v>CI3564X</v>
      </c>
      <c r="D1005" t="s">
        <v>12694</v>
      </c>
      <c r="E1005" t="s">
        <v>766</v>
      </c>
      <c r="F1005" t="s">
        <v>19665</v>
      </c>
    </row>
    <row r="1006" spans="1:6">
      <c r="A1006">
        <v>42623</v>
      </c>
      <c r="B1006" t="s">
        <v>838</v>
      </c>
      <c r="C1006" t="str">
        <f>VLOOKUP(A1006,'Cost Center'!A:C,3,FALSE)</f>
        <v>C350533</v>
      </c>
      <c r="D1006" t="s">
        <v>6976</v>
      </c>
      <c r="E1006" t="s">
        <v>766</v>
      </c>
      <c r="F1006" t="s">
        <v>19068</v>
      </c>
    </row>
    <row r="1007" spans="1:6">
      <c r="A1007">
        <v>42624</v>
      </c>
      <c r="B1007" t="s">
        <v>839</v>
      </c>
      <c r="C1007" t="e">
        <f>VLOOKUP(A1007,'Cost Center'!A:C,3,FALSE)</f>
        <v>#N/A</v>
      </c>
      <c r="D1007" t="s">
        <v>3624</v>
      </c>
      <c r="E1007" t="s">
        <v>766</v>
      </c>
      <c r="F1007" t="s">
        <v>20041</v>
      </c>
    </row>
    <row r="1008" spans="1:6">
      <c r="A1008">
        <v>42626</v>
      </c>
      <c r="B1008" t="s">
        <v>840</v>
      </c>
      <c r="C1008" t="str">
        <f>VLOOKUP(A1008,'Cost Center'!A:C,3,FALSE)</f>
        <v>C350534</v>
      </c>
      <c r="D1008" t="s">
        <v>6979</v>
      </c>
      <c r="E1008" t="s">
        <v>766</v>
      </c>
      <c r="F1008" t="s">
        <v>19069</v>
      </c>
    </row>
    <row r="1009" spans="1:6">
      <c r="A1009">
        <v>42628</v>
      </c>
      <c r="B1009" t="s">
        <v>2659</v>
      </c>
      <c r="C1009" t="str">
        <f>VLOOKUP(A1009,'Cost Center'!A:C,3,FALSE)</f>
        <v>C350535</v>
      </c>
      <c r="D1009" t="s">
        <v>6982</v>
      </c>
      <c r="E1009" t="s">
        <v>766</v>
      </c>
      <c r="F1009" t="s">
        <v>19070</v>
      </c>
    </row>
    <row r="1010" spans="1:6">
      <c r="A1010">
        <v>42630</v>
      </c>
      <c r="B1010" t="s">
        <v>2660</v>
      </c>
      <c r="C1010" t="e">
        <f>VLOOKUP(A1010,'Cost Center'!A:C,3,FALSE)</f>
        <v>#N/A</v>
      </c>
      <c r="D1010" t="s">
        <v>3624</v>
      </c>
      <c r="E1010" t="s">
        <v>766</v>
      </c>
      <c r="F1010" t="s">
        <v>20042</v>
      </c>
    </row>
    <row r="1011" spans="1:6">
      <c r="A1011">
        <v>42631</v>
      </c>
      <c r="B1011" t="s">
        <v>2661</v>
      </c>
      <c r="C1011" t="str">
        <f>VLOOKUP(A1011,'Cost Center'!A:C,3,FALSE)</f>
        <v>C350536</v>
      </c>
      <c r="D1011" t="s">
        <v>6985</v>
      </c>
      <c r="E1011" t="s">
        <v>766</v>
      </c>
      <c r="F1011" t="s">
        <v>19071</v>
      </c>
    </row>
    <row r="1012" spans="1:6">
      <c r="A1012">
        <v>42637</v>
      </c>
      <c r="B1012" t="s">
        <v>2662</v>
      </c>
      <c r="C1012" t="str">
        <f>VLOOKUP(A1012,'Cost Center'!A:C,3,FALSE)</f>
        <v>C350537</v>
      </c>
      <c r="D1012" t="s">
        <v>6988</v>
      </c>
      <c r="E1012" t="s">
        <v>766</v>
      </c>
      <c r="F1012" t="s">
        <v>19072</v>
      </c>
    </row>
    <row r="1013" spans="1:6">
      <c r="A1013">
        <v>42639</v>
      </c>
      <c r="B1013" t="s">
        <v>2663</v>
      </c>
      <c r="C1013" t="e">
        <f>VLOOKUP(A1013,'Cost Center'!A:C,3,FALSE)</f>
        <v>#N/A</v>
      </c>
      <c r="D1013" t="s">
        <v>3624</v>
      </c>
      <c r="E1013" t="s">
        <v>766</v>
      </c>
      <c r="F1013" t="s">
        <v>20043</v>
      </c>
    </row>
    <row r="1014" spans="1:6">
      <c r="A1014">
        <v>42640</v>
      </c>
      <c r="B1014" t="s">
        <v>2664</v>
      </c>
      <c r="C1014" t="e">
        <f>VLOOKUP(A1014,'Cost Center'!A:C,3,FALSE)</f>
        <v>#N/A</v>
      </c>
      <c r="D1014" t="s">
        <v>3624</v>
      </c>
      <c r="E1014" t="s">
        <v>766</v>
      </c>
      <c r="F1014" t="s">
        <v>20044</v>
      </c>
    </row>
    <row r="1015" spans="1:6">
      <c r="A1015">
        <v>42641</v>
      </c>
      <c r="B1015" t="s">
        <v>843</v>
      </c>
      <c r="C1015" t="str">
        <f>VLOOKUP(A1015,'Cost Center'!A:C,3,FALSE)</f>
        <v>C350654</v>
      </c>
      <c r="D1015" t="s">
        <v>7313</v>
      </c>
      <c r="E1015" t="s">
        <v>766</v>
      </c>
      <c r="F1015" t="s">
        <v>19185</v>
      </c>
    </row>
    <row r="1016" spans="1:6">
      <c r="A1016">
        <v>42642</v>
      </c>
      <c r="B1016" t="s">
        <v>844</v>
      </c>
      <c r="C1016" t="str">
        <f>VLOOKUP(A1016,'Cost Center'!A:C,3,FALSE)</f>
        <v>C350538</v>
      </c>
      <c r="D1016" t="s">
        <v>6991</v>
      </c>
      <c r="E1016" t="s">
        <v>766</v>
      </c>
      <c r="F1016" t="s">
        <v>19073</v>
      </c>
    </row>
    <row r="1017" spans="1:6">
      <c r="A1017">
        <v>42644</v>
      </c>
      <c r="B1017" t="s">
        <v>845</v>
      </c>
      <c r="C1017" t="str">
        <f>VLOOKUP(A1017,'Cost Center'!A:C,3,FALSE)</f>
        <v>C350539</v>
      </c>
      <c r="D1017" t="s">
        <v>6994</v>
      </c>
      <c r="E1017" t="s">
        <v>766</v>
      </c>
      <c r="F1017" t="s">
        <v>19074</v>
      </c>
    </row>
    <row r="1018" spans="1:6">
      <c r="A1018">
        <v>42645</v>
      </c>
      <c r="B1018" t="s">
        <v>846</v>
      </c>
      <c r="C1018" t="str">
        <f>VLOOKUP(A1018,'Cost Center'!A:C,3,FALSE)</f>
        <v>C350540</v>
      </c>
      <c r="D1018" t="s">
        <v>5783</v>
      </c>
      <c r="E1018" t="s">
        <v>766</v>
      </c>
      <c r="F1018" t="s">
        <v>18695</v>
      </c>
    </row>
    <row r="1019" spans="1:6">
      <c r="A1019">
        <v>42646</v>
      </c>
      <c r="B1019" t="s">
        <v>847</v>
      </c>
      <c r="C1019" t="str">
        <f>VLOOKUP(A1019,'Cost Center'!A:C,3,FALSE)</f>
        <v>C350541</v>
      </c>
      <c r="D1019" t="s">
        <v>6999</v>
      </c>
      <c r="E1019" t="s">
        <v>766</v>
      </c>
      <c r="F1019" t="s">
        <v>19076</v>
      </c>
    </row>
    <row r="1020" spans="1:6">
      <c r="A1020">
        <v>42647</v>
      </c>
      <c r="B1020" t="s">
        <v>848</v>
      </c>
      <c r="C1020" t="str">
        <f>VLOOKUP(A1020,'Cost Center'!A:C,3,FALSE)</f>
        <v>C350542</v>
      </c>
      <c r="D1020" t="s">
        <v>7002</v>
      </c>
      <c r="E1020" t="s">
        <v>766</v>
      </c>
      <c r="F1020" t="s">
        <v>19077</v>
      </c>
    </row>
    <row r="1021" spans="1:6">
      <c r="A1021">
        <v>42648</v>
      </c>
      <c r="B1021" t="s">
        <v>849</v>
      </c>
      <c r="C1021" t="str">
        <f>VLOOKUP(A1021,'Cost Center'!A:C,3,FALSE)</f>
        <v>C350543</v>
      </c>
      <c r="D1021" t="s">
        <v>7005</v>
      </c>
      <c r="E1021" t="s">
        <v>766</v>
      </c>
      <c r="F1021" t="s">
        <v>19078</v>
      </c>
    </row>
    <row r="1022" spans="1:6">
      <c r="A1022">
        <v>42649</v>
      </c>
      <c r="B1022" t="s">
        <v>2665</v>
      </c>
      <c r="C1022" t="str">
        <f>VLOOKUP(A1022,'Cost Center'!A:C,3,FALSE)</f>
        <v>C350655</v>
      </c>
      <c r="D1022" t="s">
        <v>7316</v>
      </c>
      <c r="E1022" t="s">
        <v>766</v>
      </c>
      <c r="F1022" t="s">
        <v>19186</v>
      </c>
    </row>
    <row r="1023" spans="1:6">
      <c r="A1023">
        <v>42650</v>
      </c>
      <c r="B1023" t="s">
        <v>2666</v>
      </c>
      <c r="C1023" t="str">
        <f>VLOOKUP(A1023,'Cost Center'!A:C,3,FALSE)</f>
        <v>C350643</v>
      </c>
      <c r="D1023" t="s">
        <v>5793</v>
      </c>
      <c r="E1023" t="s">
        <v>766</v>
      </c>
      <c r="F1023" t="s">
        <v>18699</v>
      </c>
    </row>
    <row r="1024" spans="1:6">
      <c r="A1024">
        <v>42651</v>
      </c>
      <c r="B1024" t="s">
        <v>850</v>
      </c>
      <c r="C1024" t="str">
        <f>VLOOKUP(A1024,'Cost Center'!A:C,3,FALSE)</f>
        <v>C350544</v>
      </c>
      <c r="D1024" t="s">
        <v>5802</v>
      </c>
      <c r="E1024" t="s">
        <v>766</v>
      </c>
      <c r="F1024" t="s">
        <v>18703</v>
      </c>
    </row>
    <row r="1025" spans="1:6">
      <c r="A1025">
        <v>42652</v>
      </c>
      <c r="B1025" t="s">
        <v>851</v>
      </c>
      <c r="C1025" t="str">
        <f>VLOOKUP(A1025,'Cost Center'!A:C,3,FALSE)</f>
        <v>C350545</v>
      </c>
      <c r="D1025" t="s">
        <v>5821</v>
      </c>
      <c r="E1025" t="s">
        <v>766</v>
      </c>
      <c r="F1025" t="s">
        <v>18708</v>
      </c>
    </row>
    <row r="1026" spans="1:6">
      <c r="A1026">
        <v>42653</v>
      </c>
      <c r="B1026" t="s">
        <v>2667</v>
      </c>
      <c r="C1026" t="e">
        <f>VLOOKUP(A1026,'Cost Center'!A:C,3,FALSE)</f>
        <v>#N/A</v>
      </c>
      <c r="D1026" t="s">
        <v>3624</v>
      </c>
      <c r="E1026" t="s">
        <v>766</v>
      </c>
      <c r="F1026" t="s">
        <v>20045</v>
      </c>
    </row>
    <row r="1027" spans="1:6">
      <c r="A1027">
        <v>42655</v>
      </c>
      <c r="B1027" t="s">
        <v>2668</v>
      </c>
      <c r="C1027" t="str">
        <f>VLOOKUP(A1027,'Cost Center'!A:C,3,FALSE)</f>
        <v>C350656</v>
      </c>
      <c r="D1027" t="s">
        <v>5824</v>
      </c>
      <c r="E1027" t="s">
        <v>766</v>
      </c>
      <c r="F1027" t="s">
        <v>18709</v>
      </c>
    </row>
    <row r="1028" spans="1:6">
      <c r="A1028">
        <v>42656</v>
      </c>
      <c r="B1028" t="s">
        <v>2669</v>
      </c>
      <c r="C1028" t="e">
        <f>VLOOKUP(A1028,'Cost Center'!A:C,3,FALSE)</f>
        <v>#N/A</v>
      </c>
      <c r="D1028" t="s">
        <v>3624</v>
      </c>
      <c r="E1028" t="s">
        <v>766</v>
      </c>
      <c r="F1028" t="s">
        <v>20046</v>
      </c>
    </row>
    <row r="1029" spans="1:6">
      <c r="A1029">
        <v>42657</v>
      </c>
      <c r="B1029" t="s">
        <v>852</v>
      </c>
      <c r="C1029" t="str">
        <f>VLOOKUP(A1029,'Cost Center'!A:C,3,FALSE)</f>
        <v>C350546</v>
      </c>
      <c r="D1029" t="s">
        <v>5827</v>
      </c>
      <c r="E1029" t="s">
        <v>766</v>
      </c>
      <c r="F1029" t="s">
        <v>18710</v>
      </c>
    </row>
    <row r="1030" spans="1:6">
      <c r="A1030">
        <v>42658</v>
      </c>
      <c r="B1030" t="s">
        <v>2670</v>
      </c>
      <c r="C1030" t="str">
        <f>VLOOKUP(A1030,'Cost Center'!A:C,3,FALSE)</f>
        <v>C350547</v>
      </c>
      <c r="D1030" t="s">
        <v>5830</v>
      </c>
      <c r="E1030" t="s">
        <v>766</v>
      </c>
      <c r="F1030" t="s">
        <v>18711</v>
      </c>
    </row>
    <row r="1031" spans="1:6">
      <c r="A1031">
        <v>42659</v>
      </c>
      <c r="B1031" t="s">
        <v>2671</v>
      </c>
      <c r="C1031" t="str">
        <f>VLOOKUP(A1031,'Cost Center'!A:C,3,FALSE)</f>
        <v>C350548</v>
      </c>
      <c r="D1031" t="s">
        <v>5833</v>
      </c>
      <c r="E1031" t="s">
        <v>766</v>
      </c>
      <c r="F1031" t="s">
        <v>18712</v>
      </c>
    </row>
    <row r="1032" spans="1:6">
      <c r="A1032">
        <v>42660</v>
      </c>
      <c r="B1032" t="s">
        <v>853</v>
      </c>
      <c r="C1032" t="str">
        <f>VLOOKUP(A1032,'Cost Center'!A:C,3,FALSE)</f>
        <v>C350549</v>
      </c>
      <c r="D1032" t="s">
        <v>7021</v>
      </c>
      <c r="E1032" t="s">
        <v>766</v>
      </c>
      <c r="F1032" t="s">
        <v>19084</v>
      </c>
    </row>
    <row r="1033" spans="1:6">
      <c r="A1033">
        <v>42661</v>
      </c>
      <c r="B1033" t="s">
        <v>854</v>
      </c>
      <c r="C1033" t="str">
        <f>VLOOKUP(A1033,'Cost Center'!A:C,3,FALSE)</f>
        <v>C350550</v>
      </c>
      <c r="D1033" t="s">
        <v>7024</v>
      </c>
      <c r="E1033" t="s">
        <v>766</v>
      </c>
      <c r="F1033" t="s">
        <v>19085</v>
      </c>
    </row>
    <row r="1034" spans="1:6">
      <c r="A1034">
        <v>42662</v>
      </c>
      <c r="B1034" t="s">
        <v>855</v>
      </c>
      <c r="C1034" t="str">
        <f>VLOOKUP(A1034,'Cost Center'!A:C,3,FALSE)</f>
        <v>C350551</v>
      </c>
      <c r="D1034" t="s">
        <v>7027</v>
      </c>
      <c r="E1034" t="s">
        <v>766</v>
      </c>
      <c r="F1034" t="s">
        <v>19086</v>
      </c>
    </row>
    <row r="1035" spans="1:6">
      <c r="A1035">
        <v>42663</v>
      </c>
      <c r="B1035" t="s">
        <v>2672</v>
      </c>
      <c r="C1035" t="str">
        <f>VLOOKUP(A1035,'Cost Center'!A:C,3,FALSE)</f>
        <v>C350552</v>
      </c>
      <c r="D1035" t="s">
        <v>7030</v>
      </c>
      <c r="E1035" t="s">
        <v>766</v>
      </c>
      <c r="F1035" t="s">
        <v>19087</v>
      </c>
    </row>
    <row r="1036" spans="1:6">
      <c r="A1036">
        <v>42700</v>
      </c>
      <c r="B1036" t="s">
        <v>856</v>
      </c>
      <c r="C1036" t="str">
        <f>VLOOKUP(A1036,'Cost Center'!A:C,3,FALSE)</f>
        <v>C350657</v>
      </c>
      <c r="D1036" t="s">
        <v>7319</v>
      </c>
      <c r="E1036" t="s">
        <v>766</v>
      </c>
      <c r="F1036" t="s">
        <v>19187</v>
      </c>
    </row>
    <row r="1037" spans="1:6">
      <c r="A1037">
        <v>42722</v>
      </c>
      <c r="B1037" t="s">
        <v>857</v>
      </c>
      <c r="C1037" t="str">
        <f>VLOOKUP(A1037,'Cost Center'!A:C,3,FALSE)</f>
        <v>C350658</v>
      </c>
      <c r="D1037" t="s">
        <v>7322</v>
      </c>
      <c r="E1037" t="s">
        <v>766</v>
      </c>
      <c r="F1037" t="s">
        <v>19188</v>
      </c>
    </row>
    <row r="1038" spans="1:6">
      <c r="A1038">
        <v>42723</v>
      </c>
      <c r="B1038" t="s">
        <v>2673</v>
      </c>
      <c r="C1038" t="str">
        <f>VLOOKUP(A1038,'Cost Center'!A:C,3,FALSE)</f>
        <v>C350659</v>
      </c>
      <c r="D1038" t="s">
        <v>7325</v>
      </c>
      <c r="E1038" t="s">
        <v>766</v>
      </c>
      <c r="F1038" t="s">
        <v>19189</v>
      </c>
    </row>
    <row r="1039" spans="1:6">
      <c r="A1039">
        <v>42724</v>
      </c>
      <c r="B1039" t="s">
        <v>2674</v>
      </c>
      <c r="C1039" t="str">
        <f>VLOOKUP(A1039,'Cost Center'!A:C,3,FALSE)</f>
        <v>C350660</v>
      </c>
      <c r="D1039" t="s">
        <v>7328</v>
      </c>
      <c r="E1039" t="s">
        <v>766</v>
      </c>
      <c r="F1039" t="s">
        <v>19190</v>
      </c>
    </row>
    <row r="1040" spans="1:6">
      <c r="A1040">
        <v>42725</v>
      </c>
      <c r="B1040" t="s">
        <v>2675</v>
      </c>
      <c r="C1040" t="e">
        <f>VLOOKUP(A1040,'Cost Center'!A:C,3,FALSE)</f>
        <v>#N/A</v>
      </c>
      <c r="D1040" t="s">
        <v>3624</v>
      </c>
      <c r="E1040" t="s">
        <v>766</v>
      </c>
      <c r="F1040" t="s">
        <v>20047</v>
      </c>
    </row>
    <row r="1041" spans="1:6">
      <c r="A1041">
        <v>42726</v>
      </c>
      <c r="B1041" t="s">
        <v>2676</v>
      </c>
      <c r="C1041" t="str">
        <f>VLOOKUP(A1041,'Cost Center'!A:C,3,FALSE)</f>
        <v>C350661</v>
      </c>
      <c r="D1041" t="s">
        <v>7331</v>
      </c>
      <c r="E1041" t="s">
        <v>766</v>
      </c>
      <c r="F1041" t="s">
        <v>19191</v>
      </c>
    </row>
    <row r="1042" spans="1:6">
      <c r="A1042">
        <v>42727</v>
      </c>
      <c r="B1042" t="s">
        <v>2677</v>
      </c>
      <c r="C1042" t="str">
        <f>VLOOKUP(A1042,'Cost Center'!A:C,3,FALSE)</f>
        <v>C090013</v>
      </c>
      <c r="D1042" t="s">
        <v>4534</v>
      </c>
      <c r="E1042" t="s">
        <v>766</v>
      </c>
      <c r="F1042" t="s">
        <v>18456</v>
      </c>
    </row>
    <row r="1043" spans="1:6">
      <c r="A1043">
        <v>42728</v>
      </c>
      <c r="B1043" t="s">
        <v>2678</v>
      </c>
      <c r="C1043" t="e">
        <f>VLOOKUP(A1043,'Cost Center'!A:C,3,FALSE)</f>
        <v>#N/A</v>
      </c>
      <c r="D1043" t="s">
        <v>3624</v>
      </c>
      <c r="E1043" t="s">
        <v>766</v>
      </c>
      <c r="F1043" t="s">
        <v>20048</v>
      </c>
    </row>
    <row r="1044" spans="1:6">
      <c r="A1044">
        <v>42791</v>
      </c>
      <c r="B1044" t="s">
        <v>858</v>
      </c>
      <c r="C1044" t="str">
        <f>VLOOKUP(A1044,'Cost Center'!A:C,3,FALSE)</f>
        <v>C350553</v>
      </c>
      <c r="D1044" t="s">
        <v>7033</v>
      </c>
      <c r="E1044" t="s">
        <v>766</v>
      </c>
      <c r="F1044" t="s">
        <v>19088</v>
      </c>
    </row>
    <row r="1045" spans="1:6">
      <c r="A1045">
        <v>42945</v>
      </c>
      <c r="B1045" t="s">
        <v>2679</v>
      </c>
      <c r="C1045" t="str">
        <f>VLOOKUP(A1045,'Cost Center'!A:C,3,FALSE)</f>
        <v>CI35632</v>
      </c>
      <c r="D1045" t="s">
        <v>5836</v>
      </c>
      <c r="E1045" t="s">
        <v>766</v>
      </c>
      <c r="F1045" t="s">
        <v>18713</v>
      </c>
    </row>
    <row r="1046" spans="1:6">
      <c r="A1046">
        <v>43000</v>
      </c>
      <c r="B1046" t="s">
        <v>859</v>
      </c>
      <c r="C1046" t="str">
        <f>VLOOKUP(A1046,'Cost Center'!A:C,3,FALSE)</f>
        <v>C350554</v>
      </c>
      <c r="D1046" t="s">
        <v>7036</v>
      </c>
      <c r="E1046" t="s">
        <v>766</v>
      </c>
      <c r="F1046" t="s">
        <v>19089</v>
      </c>
    </row>
    <row r="1047" spans="1:6">
      <c r="A1047">
        <v>45303</v>
      </c>
      <c r="B1047" t="s">
        <v>2680</v>
      </c>
      <c r="C1047" t="str">
        <f>VLOOKUP(A1047,'Cost Center'!A:C,3,FALSE)</f>
        <v>C350555</v>
      </c>
      <c r="D1047" t="s">
        <v>5851</v>
      </c>
      <c r="E1047" t="s">
        <v>766</v>
      </c>
      <c r="F1047" t="s">
        <v>18719</v>
      </c>
    </row>
    <row r="1048" spans="1:6">
      <c r="A1048">
        <v>45306</v>
      </c>
      <c r="B1048" t="s">
        <v>860</v>
      </c>
      <c r="C1048" t="str">
        <f>VLOOKUP(A1048,'Cost Center'!A:C,3,FALSE)</f>
        <v>C350556</v>
      </c>
      <c r="D1048" t="s">
        <v>5859</v>
      </c>
      <c r="E1048" t="s">
        <v>766</v>
      </c>
      <c r="F1048" t="s">
        <v>18722</v>
      </c>
    </row>
    <row r="1049" spans="1:6">
      <c r="A1049">
        <v>46211</v>
      </c>
      <c r="B1049" t="s">
        <v>865</v>
      </c>
      <c r="C1049" t="str">
        <f>VLOOKUP(A1049,'Cost Center'!A:C,3,FALSE)</f>
        <v>C350557</v>
      </c>
      <c r="D1049" t="s">
        <v>7044</v>
      </c>
      <c r="E1049" t="s">
        <v>766</v>
      </c>
      <c r="F1049" t="s">
        <v>19092</v>
      </c>
    </row>
    <row r="1050" spans="1:6">
      <c r="A1050">
        <v>46294</v>
      </c>
      <c r="B1050" t="s">
        <v>2681</v>
      </c>
      <c r="C1050" t="str">
        <f>VLOOKUP(A1050,'Cost Center'!A:C,3,FALSE)</f>
        <v>C350662</v>
      </c>
      <c r="D1050" t="s">
        <v>7334</v>
      </c>
      <c r="E1050" t="s">
        <v>766</v>
      </c>
      <c r="F1050" t="s">
        <v>19192</v>
      </c>
    </row>
    <row r="1051" spans="1:6">
      <c r="A1051">
        <v>46340</v>
      </c>
      <c r="B1051" t="s">
        <v>2682</v>
      </c>
      <c r="C1051" t="str">
        <f>VLOOKUP(A1051,'Cost Center'!A:C,3,FALSE)</f>
        <v>C350558</v>
      </c>
      <c r="D1051" t="s">
        <v>7047</v>
      </c>
      <c r="E1051" t="s">
        <v>766</v>
      </c>
      <c r="F1051" t="s">
        <v>19093</v>
      </c>
    </row>
    <row r="1052" spans="1:6">
      <c r="A1052">
        <v>50031</v>
      </c>
      <c r="B1052" t="s">
        <v>871</v>
      </c>
      <c r="C1052" t="str">
        <f>VLOOKUP(A1052,'Cost Center'!A:C,3,FALSE)</f>
        <v>C350559</v>
      </c>
      <c r="D1052" t="s">
        <v>5911</v>
      </c>
      <c r="E1052" t="s">
        <v>766</v>
      </c>
      <c r="F1052" t="s">
        <v>18739</v>
      </c>
    </row>
    <row r="1053" spans="1:6">
      <c r="A1053">
        <v>50032</v>
      </c>
      <c r="B1053" t="s">
        <v>872</v>
      </c>
      <c r="C1053" t="e">
        <f>VLOOKUP(A1053,'Cost Center'!A:C,3,FALSE)</f>
        <v>#N/A</v>
      </c>
      <c r="D1053" t="s">
        <v>3624</v>
      </c>
      <c r="E1053" t="s">
        <v>766</v>
      </c>
      <c r="F1053" t="s">
        <v>20049</v>
      </c>
    </row>
    <row r="1054" spans="1:6">
      <c r="A1054">
        <v>50033</v>
      </c>
      <c r="B1054" t="s">
        <v>873</v>
      </c>
      <c r="C1054" t="str">
        <f>VLOOKUP(A1054,'Cost Center'!A:C,3,FALSE)</f>
        <v>C350560</v>
      </c>
      <c r="D1054" t="s">
        <v>5919</v>
      </c>
      <c r="E1054" t="s">
        <v>766</v>
      </c>
      <c r="F1054" t="s">
        <v>18742</v>
      </c>
    </row>
    <row r="1055" spans="1:6">
      <c r="A1055">
        <v>50034</v>
      </c>
      <c r="B1055" t="s">
        <v>874</v>
      </c>
      <c r="C1055" t="str">
        <f>VLOOKUP(A1055,'Cost Center'!A:C,3,FALSE)</f>
        <v>C350561</v>
      </c>
      <c r="D1055" t="s">
        <v>5922</v>
      </c>
      <c r="E1055" t="s">
        <v>766</v>
      </c>
      <c r="F1055" t="s">
        <v>18743</v>
      </c>
    </row>
    <row r="1056" spans="1:6">
      <c r="A1056">
        <v>50035</v>
      </c>
      <c r="B1056" t="s">
        <v>875</v>
      </c>
      <c r="C1056" t="str">
        <f>VLOOKUP(A1056,'Cost Center'!A:C,3,FALSE)</f>
        <v>C350562</v>
      </c>
      <c r="D1056" t="s">
        <v>5933</v>
      </c>
      <c r="E1056" t="s">
        <v>766</v>
      </c>
      <c r="F1056" t="s">
        <v>18747</v>
      </c>
    </row>
    <row r="1057" spans="1:6">
      <c r="A1057">
        <v>50036</v>
      </c>
      <c r="B1057" t="s">
        <v>2683</v>
      </c>
      <c r="C1057" t="str">
        <f>VLOOKUP(A1057,'Cost Center'!A:C,3,FALSE)</f>
        <v>C350663</v>
      </c>
      <c r="D1057" t="s">
        <v>5936</v>
      </c>
      <c r="E1057" t="s">
        <v>766</v>
      </c>
      <c r="F1057" t="s">
        <v>18748</v>
      </c>
    </row>
    <row r="1058" spans="1:6">
      <c r="A1058">
        <v>50037</v>
      </c>
      <c r="B1058" t="s">
        <v>2684</v>
      </c>
      <c r="C1058" t="str">
        <f>VLOOKUP(A1058,'Cost Center'!A:C,3,FALSE)</f>
        <v>C350664</v>
      </c>
      <c r="D1058" t="s">
        <v>5939</v>
      </c>
      <c r="E1058" t="s">
        <v>766</v>
      </c>
      <c r="F1058" t="s">
        <v>18749</v>
      </c>
    </row>
    <row r="1059" spans="1:6">
      <c r="A1059">
        <v>50038</v>
      </c>
      <c r="B1059" t="s">
        <v>876</v>
      </c>
      <c r="C1059" t="str">
        <f>VLOOKUP(A1059,'Cost Center'!A:C,3,FALSE)</f>
        <v>C350563</v>
      </c>
      <c r="D1059" t="s">
        <v>5942</v>
      </c>
      <c r="E1059" t="s">
        <v>766</v>
      </c>
      <c r="F1059" t="s">
        <v>18750</v>
      </c>
    </row>
    <row r="1060" spans="1:6">
      <c r="A1060">
        <v>51903</v>
      </c>
      <c r="B1060" t="s">
        <v>2685</v>
      </c>
      <c r="C1060" t="str">
        <f>VLOOKUP(A1060,'Cost Center'!A:C,3,FALSE)</f>
        <v>C350665</v>
      </c>
      <c r="D1060" t="s">
        <v>6015</v>
      </c>
      <c r="E1060" t="s">
        <v>766</v>
      </c>
      <c r="F1060" t="s">
        <v>18775</v>
      </c>
    </row>
    <row r="1061" spans="1:6">
      <c r="A1061">
        <v>51905</v>
      </c>
      <c r="B1061" t="s">
        <v>891</v>
      </c>
      <c r="C1061" t="str">
        <f>VLOOKUP(A1061,'Cost Center'!A:C,3,FALSE)</f>
        <v>C350900</v>
      </c>
      <c r="D1061" t="s">
        <v>6018</v>
      </c>
      <c r="E1061" t="s">
        <v>766</v>
      </c>
      <c r="F1061" t="s">
        <v>18776</v>
      </c>
    </row>
    <row r="1062" spans="1:6">
      <c r="A1062">
        <v>52260</v>
      </c>
      <c r="B1062" t="s">
        <v>894</v>
      </c>
      <c r="C1062" t="e">
        <f>VLOOKUP(A1062,'Cost Center'!A:C,3,FALSE)</f>
        <v>#N/A</v>
      </c>
      <c r="D1062" t="s">
        <v>3624</v>
      </c>
      <c r="E1062" t="s">
        <v>766</v>
      </c>
      <c r="F1062" t="s">
        <v>20050</v>
      </c>
    </row>
    <row r="1063" spans="1:6">
      <c r="A1063">
        <v>52261</v>
      </c>
      <c r="B1063" t="s">
        <v>2686</v>
      </c>
      <c r="C1063" t="str">
        <f>VLOOKUP(A1063,'Cost Center'!A:C,3,FALSE)</f>
        <v>C303002</v>
      </c>
      <c r="D1063" t="s">
        <v>6094</v>
      </c>
      <c r="E1063" t="s">
        <v>766</v>
      </c>
      <c r="F1063" t="s">
        <v>18804</v>
      </c>
    </row>
    <row r="1064" spans="1:6">
      <c r="A1064">
        <v>52262</v>
      </c>
      <c r="B1064" t="s">
        <v>2687</v>
      </c>
      <c r="C1064" t="str">
        <f>VLOOKUP(A1064,'Cost Center'!A:C,3,FALSE)</f>
        <v>C350564</v>
      </c>
      <c r="D1064" t="s">
        <v>6112</v>
      </c>
      <c r="E1064" t="s">
        <v>766</v>
      </c>
      <c r="F1064" t="s">
        <v>18810</v>
      </c>
    </row>
    <row r="1065" spans="1:6">
      <c r="A1065">
        <v>52263</v>
      </c>
      <c r="B1065" t="s">
        <v>2688</v>
      </c>
      <c r="C1065" t="str">
        <f>VLOOKUP(A1065,'Cost Center'!A:C,3,FALSE)</f>
        <v>C303110</v>
      </c>
      <c r="D1065" t="s">
        <v>6118</v>
      </c>
      <c r="E1065" t="s">
        <v>766</v>
      </c>
      <c r="F1065" t="s">
        <v>18812</v>
      </c>
    </row>
    <row r="1066" spans="1:6">
      <c r="A1066">
        <v>53750</v>
      </c>
      <c r="B1066" t="s">
        <v>897</v>
      </c>
      <c r="C1066" t="str">
        <f>VLOOKUP(A1066,'Cost Center'!A:C,3,FALSE)</f>
        <v>C350565</v>
      </c>
      <c r="D1066" t="s">
        <v>6145</v>
      </c>
      <c r="E1066" t="s">
        <v>766</v>
      </c>
      <c r="F1066" t="s">
        <v>18823</v>
      </c>
    </row>
    <row r="1067" spans="1:6">
      <c r="A1067">
        <v>53801</v>
      </c>
      <c r="B1067" t="s">
        <v>898</v>
      </c>
      <c r="C1067" t="str">
        <f>VLOOKUP(A1067,'Cost Center'!A:C,3,FALSE)</f>
        <v>C350566</v>
      </c>
      <c r="D1067" t="s">
        <v>6148</v>
      </c>
      <c r="E1067" t="s">
        <v>766</v>
      </c>
      <c r="F1067" t="s">
        <v>18824</v>
      </c>
    </row>
    <row r="1068" spans="1:6">
      <c r="A1068">
        <v>53802</v>
      </c>
      <c r="B1068" t="s">
        <v>899</v>
      </c>
      <c r="C1068" t="str">
        <f>VLOOKUP(A1068,'Cost Center'!A:C,3,FALSE)</f>
        <v>C350567</v>
      </c>
      <c r="D1068" t="s">
        <v>6164</v>
      </c>
      <c r="E1068" t="s">
        <v>766</v>
      </c>
      <c r="F1068" t="s">
        <v>18830</v>
      </c>
    </row>
    <row r="1069" spans="1:6">
      <c r="A1069">
        <v>53803</v>
      </c>
      <c r="B1069" t="s">
        <v>2689</v>
      </c>
      <c r="C1069" t="str">
        <f>VLOOKUP(A1069,'Cost Center'!A:C,3,FALSE)</f>
        <v>CI35542</v>
      </c>
      <c r="D1069" t="s">
        <v>6167</v>
      </c>
      <c r="E1069" t="s">
        <v>766</v>
      </c>
      <c r="F1069" t="s">
        <v>18831</v>
      </c>
    </row>
    <row r="1070" spans="1:6">
      <c r="A1070">
        <v>53804</v>
      </c>
      <c r="B1070" t="s">
        <v>900</v>
      </c>
      <c r="C1070" t="str">
        <f>VLOOKUP(A1070,'Cost Center'!A:C,3,FALSE)</f>
        <v>C350568</v>
      </c>
      <c r="D1070" t="s">
        <v>6184</v>
      </c>
      <c r="E1070" t="s">
        <v>766</v>
      </c>
      <c r="F1070" t="s">
        <v>18838</v>
      </c>
    </row>
    <row r="1071" spans="1:6">
      <c r="A1071">
        <v>53850</v>
      </c>
      <c r="B1071" t="s">
        <v>901</v>
      </c>
      <c r="C1071" t="str">
        <f>VLOOKUP(A1071,'Cost Center'!A:C,3,FALSE)</f>
        <v>C350569</v>
      </c>
      <c r="D1071" t="s">
        <v>6189</v>
      </c>
      <c r="E1071" t="s">
        <v>766</v>
      </c>
      <c r="F1071" t="s">
        <v>18840</v>
      </c>
    </row>
    <row r="1072" spans="1:6">
      <c r="A1072">
        <v>53851</v>
      </c>
      <c r="B1072" t="s">
        <v>2690</v>
      </c>
      <c r="C1072" t="str">
        <f>VLOOKUP(A1072,'Cost Center'!A:C,3,FALSE)</f>
        <v>C350666</v>
      </c>
      <c r="D1072" t="s">
        <v>6201</v>
      </c>
      <c r="E1072" t="s">
        <v>766</v>
      </c>
      <c r="F1072" t="s">
        <v>18844</v>
      </c>
    </row>
    <row r="1073" spans="1:6">
      <c r="A1073">
        <v>53940</v>
      </c>
      <c r="B1073" t="s">
        <v>903</v>
      </c>
      <c r="C1073" t="str">
        <f>VLOOKUP(A1073,'Cost Center'!A:C,3,FALSE)</f>
        <v>C350570</v>
      </c>
      <c r="D1073" t="s">
        <v>6240</v>
      </c>
      <c r="E1073" t="s">
        <v>766</v>
      </c>
      <c r="F1073" t="s">
        <v>18860</v>
      </c>
    </row>
    <row r="1074" spans="1:6">
      <c r="A1074">
        <v>53970</v>
      </c>
      <c r="B1074" t="s">
        <v>905</v>
      </c>
      <c r="C1074" t="str">
        <f>VLOOKUP(A1074,'Cost Center'!A:C,3,FALSE)</f>
        <v>C350571</v>
      </c>
      <c r="D1074" t="s">
        <v>6273</v>
      </c>
      <c r="E1074" t="s">
        <v>766</v>
      </c>
      <c r="F1074" t="s">
        <v>18871</v>
      </c>
    </row>
    <row r="1075" spans="1:6">
      <c r="A1075">
        <v>53980</v>
      </c>
      <c r="B1075" t="s">
        <v>906</v>
      </c>
      <c r="C1075" t="str">
        <f>VLOOKUP(A1075,'Cost Center'!A:C,3,FALSE)</f>
        <v>C350572</v>
      </c>
      <c r="D1075" t="s">
        <v>6276</v>
      </c>
      <c r="E1075" t="s">
        <v>766</v>
      </c>
      <c r="F1075" t="s">
        <v>18872</v>
      </c>
    </row>
    <row r="1076" spans="1:6">
      <c r="A1076">
        <v>53982</v>
      </c>
      <c r="B1076" t="s">
        <v>907</v>
      </c>
      <c r="C1076" t="str">
        <f>VLOOKUP(A1076,'Cost Center'!A:C,3,FALSE)</f>
        <v>C350573</v>
      </c>
      <c r="D1076" t="s">
        <v>6279</v>
      </c>
      <c r="E1076" t="s">
        <v>766</v>
      </c>
      <c r="F1076" t="s">
        <v>18873</v>
      </c>
    </row>
    <row r="1077" spans="1:6">
      <c r="A1077">
        <v>53983</v>
      </c>
      <c r="B1077" t="s">
        <v>908</v>
      </c>
      <c r="C1077" t="str">
        <f>VLOOKUP(A1077,'Cost Center'!A:C,3,FALSE)</f>
        <v>C350574</v>
      </c>
      <c r="D1077" t="s">
        <v>6282</v>
      </c>
      <c r="E1077" t="s">
        <v>766</v>
      </c>
      <c r="F1077" t="s">
        <v>18874</v>
      </c>
    </row>
    <row r="1078" spans="1:6">
      <c r="A1078">
        <v>53984</v>
      </c>
      <c r="B1078" t="s">
        <v>909</v>
      </c>
      <c r="C1078" t="str">
        <f>VLOOKUP(A1078,'Cost Center'!A:C,3,FALSE)</f>
        <v>C350575</v>
      </c>
      <c r="D1078" t="s">
        <v>6312</v>
      </c>
      <c r="E1078" t="s">
        <v>766</v>
      </c>
      <c r="F1078" t="s">
        <v>18886</v>
      </c>
    </row>
    <row r="1079" spans="1:6">
      <c r="A1079">
        <v>53985</v>
      </c>
      <c r="B1079" t="s">
        <v>910</v>
      </c>
      <c r="C1079" t="str">
        <f>VLOOKUP(A1079,'Cost Center'!A:C,3,FALSE)</f>
        <v>C350576</v>
      </c>
      <c r="D1079" t="s">
        <v>6343</v>
      </c>
      <c r="E1079" t="s">
        <v>766</v>
      </c>
      <c r="F1079" t="s">
        <v>18897</v>
      </c>
    </row>
    <row r="1080" spans="1:6">
      <c r="A1080">
        <v>53986</v>
      </c>
      <c r="B1080" t="s">
        <v>911</v>
      </c>
      <c r="C1080" t="str">
        <f>VLOOKUP(A1080,'Cost Center'!A:C,3,FALSE)</f>
        <v>C350577</v>
      </c>
      <c r="D1080" t="s">
        <v>6346</v>
      </c>
      <c r="E1080" t="s">
        <v>766</v>
      </c>
      <c r="F1080" t="s">
        <v>18898</v>
      </c>
    </row>
    <row r="1081" spans="1:6">
      <c r="A1081">
        <v>53987</v>
      </c>
      <c r="B1081" t="s">
        <v>912</v>
      </c>
      <c r="C1081" t="str">
        <f>VLOOKUP(A1081,'Cost Center'!A:C,3,FALSE)</f>
        <v>C350667</v>
      </c>
      <c r="D1081" t="s">
        <v>6349</v>
      </c>
      <c r="E1081" t="s">
        <v>766</v>
      </c>
      <c r="F1081" t="s">
        <v>18899</v>
      </c>
    </row>
    <row r="1082" spans="1:6">
      <c r="A1082">
        <v>53988</v>
      </c>
      <c r="B1082" t="s">
        <v>913</v>
      </c>
      <c r="C1082" t="str">
        <f>VLOOKUP(A1082,'Cost Center'!A:C,3,FALSE)</f>
        <v>C350578</v>
      </c>
      <c r="D1082" t="s">
        <v>6352</v>
      </c>
      <c r="E1082" t="s">
        <v>766</v>
      </c>
      <c r="F1082" t="s">
        <v>18900</v>
      </c>
    </row>
    <row r="1083" spans="1:6">
      <c r="A1083">
        <v>53989</v>
      </c>
      <c r="B1083" t="s">
        <v>914</v>
      </c>
      <c r="C1083" t="str">
        <f>VLOOKUP(A1083,'Cost Center'!A:C,3,FALSE)</f>
        <v>C350579</v>
      </c>
      <c r="D1083" t="s">
        <v>6355</v>
      </c>
      <c r="E1083" t="s">
        <v>766</v>
      </c>
      <c r="F1083" t="s">
        <v>18901</v>
      </c>
    </row>
    <row r="1084" spans="1:6">
      <c r="A1084">
        <v>53994</v>
      </c>
      <c r="B1084" t="s">
        <v>917</v>
      </c>
      <c r="C1084" t="str">
        <f>VLOOKUP(A1084,'Cost Center'!A:C,3,FALSE)</f>
        <v>C350580</v>
      </c>
      <c r="D1084" t="s">
        <v>6364</v>
      </c>
      <c r="E1084" t="s">
        <v>766</v>
      </c>
      <c r="F1084" t="s">
        <v>18904</v>
      </c>
    </row>
    <row r="1085" spans="1:6">
      <c r="A1085">
        <v>53995</v>
      </c>
      <c r="B1085" t="s">
        <v>918</v>
      </c>
      <c r="C1085" t="str">
        <f>VLOOKUP(A1085,'Cost Center'!A:C,3,FALSE)</f>
        <v>C350581</v>
      </c>
      <c r="D1085" t="s">
        <v>6367</v>
      </c>
      <c r="E1085" t="s">
        <v>766</v>
      </c>
      <c r="F1085" t="s">
        <v>18905</v>
      </c>
    </row>
    <row r="1086" spans="1:6">
      <c r="A1086">
        <v>53996</v>
      </c>
      <c r="B1086" t="s">
        <v>2691</v>
      </c>
      <c r="C1086" t="str">
        <f>VLOOKUP(A1086,'Cost Center'!A:C,3,FALSE)</f>
        <v>C350668</v>
      </c>
      <c r="D1086" t="s">
        <v>6370</v>
      </c>
      <c r="E1086" t="s">
        <v>766</v>
      </c>
      <c r="F1086" t="s">
        <v>18906</v>
      </c>
    </row>
    <row r="1087" spans="1:6">
      <c r="A1087">
        <v>54025</v>
      </c>
      <c r="B1087" t="s">
        <v>2692</v>
      </c>
      <c r="C1087" t="str">
        <f>VLOOKUP(A1087,'Cost Center'!A:C,3,FALSE)</f>
        <v>C350582</v>
      </c>
      <c r="D1087" t="s">
        <v>6382</v>
      </c>
      <c r="E1087" t="s">
        <v>766</v>
      </c>
      <c r="F1087" t="s">
        <v>18910</v>
      </c>
    </row>
    <row r="1088" spans="1:6">
      <c r="A1088">
        <v>54026</v>
      </c>
      <c r="B1088" t="s">
        <v>2693</v>
      </c>
      <c r="C1088" t="str">
        <f>VLOOKUP(A1088,'Cost Center'!A:C,3,FALSE)</f>
        <v>C350669</v>
      </c>
      <c r="D1088" t="s">
        <v>6385</v>
      </c>
      <c r="E1088" t="s">
        <v>766</v>
      </c>
      <c r="F1088" t="s">
        <v>18911</v>
      </c>
    </row>
    <row r="1089" spans="1:6">
      <c r="A1089">
        <v>54101</v>
      </c>
      <c r="B1089" t="s">
        <v>2694</v>
      </c>
      <c r="C1089" t="str">
        <f>VLOOKUP(A1089,'Cost Center'!A:C,3,FALSE)</f>
        <v>C350670</v>
      </c>
      <c r="D1089" t="s">
        <v>6388</v>
      </c>
      <c r="E1089" t="s">
        <v>766</v>
      </c>
      <c r="F1089" t="s">
        <v>18912</v>
      </c>
    </row>
    <row r="1090" spans="1:6">
      <c r="A1090">
        <v>54871</v>
      </c>
      <c r="B1090" t="s">
        <v>2695</v>
      </c>
      <c r="C1090" t="str">
        <f>VLOOKUP(A1090,'Cost Center'!A:C,3,FALSE)</f>
        <v>C350671</v>
      </c>
      <c r="D1090" t="s">
        <v>6526</v>
      </c>
      <c r="E1090" t="s">
        <v>766</v>
      </c>
      <c r="F1090" t="s">
        <v>18934</v>
      </c>
    </row>
    <row r="1091" spans="1:6">
      <c r="A1091">
        <v>54872</v>
      </c>
      <c r="B1091" t="s">
        <v>2696</v>
      </c>
      <c r="C1091" t="e">
        <f>VLOOKUP(A1091,'Cost Center'!A:C,3,FALSE)</f>
        <v>#N/A</v>
      </c>
      <c r="D1091" t="s">
        <v>3624</v>
      </c>
      <c r="E1091" t="s">
        <v>766</v>
      </c>
      <c r="F1091" t="s">
        <v>20051</v>
      </c>
    </row>
    <row r="1092" spans="1:6">
      <c r="A1092">
        <v>54880</v>
      </c>
      <c r="B1092" t="s">
        <v>923</v>
      </c>
      <c r="C1092" t="str">
        <f>VLOOKUP(A1092,'Cost Center'!A:C,3,FALSE)</f>
        <v>C350583</v>
      </c>
      <c r="D1092" t="s">
        <v>6552</v>
      </c>
      <c r="E1092" t="s">
        <v>766</v>
      </c>
      <c r="F1092" t="s">
        <v>18936</v>
      </c>
    </row>
    <row r="1093" spans="1:6">
      <c r="A1093">
        <v>54886</v>
      </c>
      <c r="B1093" t="s">
        <v>2697</v>
      </c>
      <c r="C1093" t="str">
        <f>VLOOKUP(A1093,'Cost Center'!A:C,3,FALSE)</f>
        <v>CI35646</v>
      </c>
      <c r="D1093" t="s">
        <v>6570</v>
      </c>
      <c r="E1093" t="s">
        <v>766</v>
      </c>
      <c r="F1093" t="s">
        <v>18937</v>
      </c>
    </row>
    <row r="1094" spans="1:6">
      <c r="A1094">
        <v>54887</v>
      </c>
      <c r="B1094" t="s">
        <v>2698</v>
      </c>
      <c r="C1094" t="str">
        <f>VLOOKUP(A1094,'Cost Center'!A:C,3,FALSE)</f>
        <v>CI35647</v>
      </c>
      <c r="D1094" t="s">
        <v>6575</v>
      </c>
      <c r="E1094" t="s">
        <v>766</v>
      </c>
      <c r="F1094" t="s">
        <v>18938</v>
      </c>
    </row>
    <row r="1095" spans="1:6">
      <c r="A1095">
        <v>54890</v>
      </c>
      <c r="B1095" t="s">
        <v>2699</v>
      </c>
      <c r="C1095" t="str">
        <f>VLOOKUP(A1095,'Cost Center'!A:C,3,FALSE)</f>
        <v>C350672</v>
      </c>
      <c r="D1095" t="s">
        <v>6578</v>
      </c>
      <c r="E1095" t="s">
        <v>766</v>
      </c>
      <c r="F1095" t="s">
        <v>18939</v>
      </c>
    </row>
    <row r="1096" spans="1:6">
      <c r="A1096">
        <v>56200</v>
      </c>
      <c r="B1096" t="s">
        <v>929</v>
      </c>
      <c r="C1096" t="str">
        <f>VLOOKUP(A1096,'Cost Center'!A:C,3,FALSE)</f>
        <v>C350584</v>
      </c>
      <c r="D1096" t="s">
        <v>6742</v>
      </c>
      <c r="E1096" t="s">
        <v>766</v>
      </c>
      <c r="F1096" t="s">
        <v>18991</v>
      </c>
    </row>
    <row r="1097" spans="1:6">
      <c r="A1097">
        <v>56510</v>
      </c>
      <c r="B1097" t="s">
        <v>931</v>
      </c>
      <c r="C1097" t="str">
        <f>VLOOKUP(A1097,'Cost Center'!A:C,3,FALSE)</f>
        <v>C350585</v>
      </c>
      <c r="D1097" t="s">
        <v>6781</v>
      </c>
      <c r="E1097" t="s">
        <v>766</v>
      </c>
      <c r="F1097" t="s">
        <v>19003</v>
      </c>
    </row>
    <row r="1098" spans="1:6">
      <c r="A1098">
        <v>69320</v>
      </c>
      <c r="B1098" t="s">
        <v>936</v>
      </c>
      <c r="C1098" t="str">
        <f>VLOOKUP(A1098,'Cost Center'!A:C,3,FALSE)</f>
        <v>C350586</v>
      </c>
      <c r="D1098" t="s">
        <v>7118</v>
      </c>
      <c r="E1098" t="s">
        <v>766</v>
      </c>
      <c r="F1098" t="s">
        <v>19119</v>
      </c>
    </row>
    <row r="1099" spans="1:6">
      <c r="A1099">
        <v>72001</v>
      </c>
      <c r="B1099" t="s">
        <v>2700</v>
      </c>
      <c r="C1099" t="str">
        <f>VLOOKUP(A1099,'Cost Center'!A:C,3,FALSE)</f>
        <v>C350673</v>
      </c>
      <c r="D1099" t="s">
        <v>7349</v>
      </c>
      <c r="E1099" t="s">
        <v>766</v>
      </c>
      <c r="F1099" t="s">
        <v>19197</v>
      </c>
    </row>
    <row r="1100" spans="1:6">
      <c r="A1100">
        <v>72002</v>
      </c>
      <c r="B1100" t="s">
        <v>2701</v>
      </c>
      <c r="C1100" t="str">
        <f>VLOOKUP(A1100,'Cost Center'!A:C,3,FALSE)</f>
        <v>CI35607</v>
      </c>
      <c r="D1100" t="s">
        <v>12673</v>
      </c>
      <c r="E1100" t="s">
        <v>766</v>
      </c>
      <c r="F1100" t="s">
        <v>19661</v>
      </c>
    </row>
    <row r="1101" spans="1:6">
      <c r="A1101">
        <v>72006</v>
      </c>
      <c r="B1101" t="s">
        <v>938</v>
      </c>
      <c r="C1101" t="str">
        <f>VLOOKUP(A1101,'Cost Center'!A:C,3,FALSE)</f>
        <v>C350587</v>
      </c>
      <c r="D1101" t="s">
        <v>7121</v>
      </c>
      <c r="E1101" t="s">
        <v>766</v>
      </c>
      <c r="F1101" t="s">
        <v>19120</v>
      </c>
    </row>
    <row r="1102" spans="1:6">
      <c r="A1102">
        <v>72008</v>
      </c>
      <c r="B1102" t="s">
        <v>939</v>
      </c>
      <c r="C1102" t="e">
        <f>VLOOKUP(A1102,'Cost Center'!A:C,3,FALSE)</f>
        <v>#N/A</v>
      </c>
      <c r="D1102" t="s">
        <v>3624</v>
      </c>
      <c r="E1102" t="s">
        <v>766</v>
      </c>
      <c r="F1102" t="s">
        <v>20052</v>
      </c>
    </row>
    <row r="1103" spans="1:6">
      <c r="A1103">
        <v>72018</v>
      </c>
      <c r="B1103" t="s">
        <v>940</v>
      </c>
      <c r="C1103" t="str">
        <f>VLOOKUP(A1103,'Cost Center'!A:C,3,FALSE)</f>
        <v>C350588</v>
      </c>
      <c r="D1103" t="s">
        <v>7124</v>
      </c>
      <c r="E1103" t="s">
        <v>766</v>
      </c>
      <c r="F1103" t="s">
        <v>19121</v>
      </c>
    </row>
    <row r="1104" spans="1:6">
      <c r="A1104">
        <v>72020</v>
      </c>
      <c r="B1104" t="s">
        <v>941</v>
      </c>
      <c r="C1104" t="str">
        <f>VLOOKUP(A1104,'Cost Center'!A:C,3,FALSE)</f>
        <v>C350589</v>
      </c>
      <c r="D1104" t="s">
        <v>7127</v>
      </c>
      <c r="E1104" t="s">
        <v>766</v>
      </c>
      <c r="F1104" t="s">
        <v>19122</v>
      </c>
    </row>
    <row r="1105" spans="1:6">
      <c r="A1105">
        <v>72110</v>
      </c>
      <c r="B1105" t="s">
        <v>942</v>
      </c>
      <c r="C1105" t="str">
        <f>VLOOKUP(A1105,'Cost Center'!A:C,3,FALSE)</f>
        <v>C350590</v>
      </c>
      <c r="D1105" t="s">
        <v>7130</v>
      </c>
      <c r="E1105" t="s">
        <v>766</v>
      </c>
      <c r="F1105" t="s">
        <v>19123</v>
      </c>
    </row>
    <row r="1106" spans="1:6">
      <c r="A1106">
        <v>72121</v>
      </c>
      <c r="B1106" t="s">
        <v>2702</v>
      </c>
      <c r="C1106" t="str">
        <f>VLOOKUP(A1106,'Cost Center'!A:C,3,FALSE)</f>
        <v>CI35536</v>
      </c>
      <c r="D1106" t="s">
        <v>12658</v>
      </c>
      <c r="E1106" t="s">
        <v>766</v>
      </c>
      <c r="F1106" t="s">
        <v>19658</v>
      </c>
    </row>
    <row r="1107" spans="1:6">
      <c r="A1107">
        <v>72125</v>
      </c>
      <c r="B1107" t="s">
        <v>943</v>
      </c>
      <c r="C1107" t="str">
        <f>VLOOKUP(A1107,'Cost Center'!A:C,3,FALSE)</f>
        <v>C350674</v>
      </c>
      <c r="D1107" t="s">
        <v>6796</v>
      </c>
      <c r="E1107" t="s">
        <v>766</v>
      </c>
      <c r="F1107" t="s">
        <v>19008</v>
      </c>
    </row>
    <row r="1108" spans="1:6">
      <c r="A1108">
        <v>72138</v>
      </c>
      <c r="B1108" t="s">
        <v>2703</v>
      </c>
      <c r="C1108" t="e">
        <f>VLOOKUP(A1108,'Cost Center'!A:C,3,FALSE)</f>
        <v>#N/A</v>
      </c>
      <c r="D1108" t="s">
        <v>3624</v>
      </c>
      <c r="E1108" t="s">
        <v>766</v>
      </c>
      <c r="F1108" t="s">
        <v>20053</v>
      </c>
    </row>
    <row r="1109" spans="1:6">
      <c r="A1109">
        <v>72201</v>
      </c>
      <c r="B1109" t="s">
        <v>2704</v>
      </c>
      <c r="C1109" t="e">
        <f>VLOOKUP(A1109,'Cost Center'!A:C,3,FALSE)</f>
        <v>#N/A</v>
      </c>
      <c r="D1109" t="s">
        <v>3624</v>
      </c>
      <c r="E1109" t="s">
        <v>766</v>
      </c>
      <c r="F1109" t="s">
        <v>20054</v>
      </c>
    </row>
    <row r="1110" spans="1:6">
      <c r="A1110">
        <v>72212</v>
      </c>
      <c r="B1110" t="s">
        <v>2705</v>
      </c>
      <c r="C1110" t="str">
        <f>VLOOKUP(A1110,'Cost Center'!A:C,3,FALSE)</f>
        <v>CI35543</v>
      </c>
      <c r="D1110" t="s">
        <v>12664</v>
      </c>
      <c r="E1110" t="s">
        <v>766</v>
      </c>
      <c r="F1110" t="s">
        <v>19659</v>
      </c>
    </row>
    <row r="1111" spans="1:6">
      <c r="A1111">
        <v>72250</v>
      </c>
      <c r="B1111" t="s">
        <v>2706</v>
      </c>
      <c r="C1111" t="str">
        <f>VLOOKUP(A1111,'Cost Center'!A:C,3,FALSE)</f>
        <v>C350591</v>
      </c>
      <c r="D1111" t="s">
        <v>6799</v>
      </c>
      <c r="E1111" t="s">
        <v>766</v>
      </c>
      <c r="F1111" t="s">
        <v>19009</v>
      </c>
    </row>
    <row r="1112" spans="1:6">
      <c r="A1112">
        <v>72251</v>
      </c>
      <c r="B1112" t="s">
        <v>2707</v>
      </c>
      <c r="C1112" t="str">
        <f>VLOOKUP(A1112,'Cost Center'!A:C,3,FALSE)</f>
        <v>C350592</v>
      </c>
      <c r="D1112" t="s">
        <v>6802</v>
      </c>
      <c r="E1112" t="s">
        <v>766</v>
      </c>
      <c r="F1112" t="s">
        <v>19010</v>
      </c>
    </row>
    <row r="1113" spans="1:6">
      <c r="A1113">
        <v>72321</v>
      </c>
      <c r="B1113" t="s">
        <v>2708</v>
      </c>
      <c r="C1113" t="e">
        <f>VLOOKUP(A1113,'Cost Center'!A:C,3,FALSE)</f>
        <v>#N/A</v>
      </c>
      <c r="D1113" t="s">
        <v>3624</v>
      </c>
      <c r="E1113" t="s">
        <v>766</v>
      </c>
      <c r="F1113" t="s">
        <v>20055</v>
      </c>
    </row>
    <row r="1114" spans="1:6">
      <c r="A1114">
        <v>72374</v>
      </c>
      <c r="B1114" t="s">
        <v>2709</v>
      </c>
      <c r="C1114" t="str">
        <f>VLOOKUP(A1114,'Cost Center'!A:C,3,FALSE)</f>
        <v>C350593</v>
      </c>
      <c r="D1114" t="s">
        <v>7133</v>
      </c>
      <c r="E1114" t="s">
        <v>766</v>
      </c>
      <c r="F1114" t="s">
        <v>19124</v>
      </c>
    </row>
    <row r="1115" spans="1:6">
      <c r="A1115">
        <v>72375</v>
      </c>
      <c r="B1115" t="s">
        <v>944</v>
      </c>
      <c r="C1115" t="str">
        <f>VLOOKUP(A1115,'Cost Center'!A:C,3,FALSE)</f>
        <v>C350675</v>
      </c>
      <c r="D1115" t="s">
        <v>6805</v>
      </c>
      <c r="E1115" t="s">
        <v>766</v>
      </c>
      <c r="F1115" t="s">
        <v>19011</v>
      </c>
    </row>
    <row r="1116" spans="1:6">
      <c r="A1116">
        <v>72376</v>
      </c>
      <c r="B1116" t="s">
        <v>945</v>
      </c>
      <c r="C1116" t="str">
        <f>VLOOKUP(A1116,'Cost Center'!A:C,3,FALSE)</f>
        <v>C350594</v>
      </c>
      <c r="D1116" t="s">
        <v>7136</v>
      </c>
      <c r="E1116" t="s">
        <v>766</v>
      </c>
      <c r="F1116" t="s">
        <v>19125</v>
      </c>
    </row>
    <row r="1117" spans="1:6">
      <c r="A1117">
        <v>72377</v>
      </c>
      <c r="B1117" t="s">
        <v>2710</v>
      </c>
      <c r="C1117" t="str">
        <f>VLOOKUP(A1117,'Cost Center'!A:C,3,FALSE)</f>
        <v>C350595</v>
      </c>
      <c r="D1117" t="s">
        <v>7139</v>
      </c>
      <c r="E1117" t="s">
        <v>766</v>
      </c>
      <c r="F1117" t="s">
        <v>19126</v>
      </c>
    </row>
    <row r="1118" spans="1:6">
      <c r="A1118">
        <v>72378</v>
      </c>
      <c r="B1118" t="s">
        <v>946</v>
      </c>
      <c r="C1118" t="str">
        <f>VLOOKUP(A1118,'Cost Center'!A:C,3,FALSE)</f>
        <v>C350676</v>
      </c>
      <c r="D1118" t="s">
        <v>7358</v>
      </c>
      <c r="E1118" t="s">
        <v>766</v>
      </c>
      <c r="F1118" t="s">
        <v>19200</v>
      </c>
    </row>
    <row r="1119" spans="1:6">
      <c r="A1119">
        <v>72379</v>
      </c>
      <c r="B1119" t="s">
        <v>2711</v>
      </c>
      <c r="C1119" t="str">
        <f>VLOOKUP(A1119,'Cost Center'!A:C,3,FALSE)</f>
        <v>C350596</v>
      </c>
      <c r="D1119" t="s">
        <v>7142</v>
      </c>
      <c r="E1119" t="s">
        <v>766</v>
      </c>
      <c r="F1119" t="s">
        <v>19127</v>
      </c>
    </row>
    <row r="1120" spans="1:6">
      <c r="A1120">
        <v>72380</v>
      </c>
      <c r="B1120" t="s">
        <v>947</v>
      </c>
      <c r="C1120" t="str">
        <f>VLOOKUP(A1120,'Cost Center'!A:C,3,FALSE)</f>
        <v>C350597</v>
      </c>
      <c r="D1120" t="s">
        <v>7145</v>
      </c>
      <c r="E1120" t="s">
        <v>766</v>
      </c>
      <c r="F1120" t="s">
        <v>19128</v>
      </c>
    </row>
    <row r="1121" spans="1:6">
      <c r="A1121">
        <v>72382</v>
      </c>
      <c r="B1121" t="s">
        <v>2712</v>
      </c>
      <c r="C1121" t="str">
        <f>VLOOKUP(A1121,'Cost Center'!A:C,3,FALSE)</f>
        <v>C350598</v>
      </c>
      <c r="D1121" t="s">
        <v>7148</v>
      </c>
      <c r="E1121" t="s">
        <v>766</v>
      </c>
      <c r="F1121" t="s">
        <v>19129</v>
      </c>
    </row>
    <row r="1122" spans="1:6">
      <c r="A1122">
        <v>72401</v>
      </c>
      <c r="B1122" t="s">
        <v>2713</v>
      </c>
      <c r="C1122" t="str">
        <f>VLOOKUP(A1122,'Cost Center'!A:C,3,FALSE)</f>
        <v>C350599</v>
      </c>
      <c r="D1122" t="s">
        <v>7151</v>
      </c>
      <c r="E1122" t="s">
        <v>766</v>
      </c>
      <c r="F1122" t="s">
        <v>19130</v>
      </c>
    </row>
    <row r="1123" spans="1:6">
      <c r="A1123">
        <v>72403</v>
      </c>
      <c r="B1123" t="s">
        <v>948</v>
      </c>
      <c r="C1123" t="str">
        <f>VLOOKUP(A1123,'Cost Center'!A:C,3,FALSE)</f>
        <v>C350600</v>
      </c>
      <c r="D1123" t="s">
        <v>7154</v>
      </c>
      <c r="E1123" t="s">
        <v>766</v>
      </c>
      <c r="F1123" t="s">
        <v>19131</v>
      </c>
    </row>
    <row r="1124" spans="1:6">
      <c r="A1124">
        <v>72404</v>
      </c>
      <c r="B1124" t="s">
        <v>2714</v>
      </c>
      <c r="C1124" t="str">
        <f>VLOOKUP(A1124,'Cost Center'!A:C,3,FALSE)</f>
        <v>C350601</v>
      </c>
      <c r="D1124" t="s">
        <v>7157</v>
      </c>
      <c r="E1124" t="s">
        <v>766</v>
      </c>
      <c r="F1124" t="s">
        <v>19132</v>
      </c>
    </row>
    <row r="1125" spans="1:6">
      <c r="A1125">
        <v>72416</v>
      </c>
      <c r="B1125" t="s">
        <v>949</v>
      </c>
      <c r="C1125" t="str">
        <f>VLOOKUP(A1125,'Cost Center'!A:C,3,FALSE)</f>
        <v>C350602</v>
      </c>
      <c r="D1125" t="s">
        <v>7160</v>
      </c>
      <c r="E1125" t="s">
        <v>766</v>
      </c>
      <c r="F1125" t="s">
        <v>19133</v>
      </c>
    </row>
    <row r="1126" spans="1:6">
      <c r="A1126">
        <v>72425</v>
      </c>
      <c r="B1126" t="s">
        <v>2715</v>
      </c>
      <c r="C1126" t="str">
        <f>VLOOKUP(A1126,'Cost Center'!A:C,3,FALSE)</f>
        <v>CI35544</v>
      </c>
      <c r="D1126" t="s">
        <v>6808</v>
      </c>
      <c r="E1126" t="s">
        <v>766</v>
      </c>
      <c r="F1126" t="s">
        <v>19012</v>
      </c>
    </row>
    <row r="1127" spans="1:6">
      <c r="A1127">
        <v>72426</v>
      </c>
      <c r="B1127" t="s">
        <v>2716</v>
      </c>
      <c r="C1127" t="e">
        <f>VLOOKUP(A1127,'Cost Center'!A:C,3,FALSE)</f>
        <v>#N/A</v>
      </c>
      <c r="D1127" t="s">
        <v>3624</v>
      </c>
      <c r="E1127" t="s">
        <v>766</v>
      </c>
      <c r="F1127" t="s">
        <v>20056</v>
      </c>
    </row>
    <row r="1128" spans="1:6">
      <c r="A1128">
        <v>72429</v>
      </c>
      <c r="B1128" t="s">
        <v>2717</v>
      </c>
      <c r="C1128" t="str">
        <f>VLOOKUP(A1128,'Cost Center'!A:C,3,FALSE)</f>
        <v>C350603</v>
      </c>
      <c r="D1128" t="s">
        <v>7163</v>
      </c>
      <c r="E1128" t="s">
        <v>766</v>
      </c>
      <c r="F1128" t="s">
        <v>19134</v>
      </c>
    </row>
    <row r="1129" spans="1:6">
      <c r="A1129">
        <v>72551</v>
      </c>
      <c r="B1129" t="s">
        <v>950</v>
      </c>
      <c r="C1129" t="str">
        <f>VLOOKUP(A1129,'Cost Center'!A:C,3,FALSE)</f>
        <v>C350604</v>
      </c>
      <c r="D1129" t="s">
        <v>6814</v>
      </c>
      <c r="E1129" t="s">
        <v>766</v>
      </c>
      <c r="F1129" t="s">
        <v>19014</v>
      </c>
    </row>
    <row r="1130" spans="1:6">
      <c r="A1130">
        <v>72552</v>
      </c>
      <c r="B1130" t="s">
        <v>951</v>
      </c>
      <c r="C1130" t="str">
        <f>VLOOKUP(A1130,'Cost Center'!A:C,3,FALSE)</f>
        <v>C350605</v>
      </c>
      <c r="D1130" t="s">
        <v>6820</v>
      </c>
      <c r="E1130" t="s">
        <v>766</v>
      </c>
      <c r="F1130" t="s">
        <v>19016</v>
      </c>
    </row>
    <row r="1131" spans="1:6">
      <c r="A1131">
        <v>72737</v>
      </c>
      <c r="B1131" t="s">
        <v>952</v>
      </c>
      <c r="C1131" t="str">
        <f>VLOOKUP(A1131,'Cost Center'!A:C,3,FALSE)</f>
        <v>C350606</v>
      </c>
      <c r="D1131" t="s">
        <v>7169</v>
      </c>
      <c r="E1131" t="s">
        <v>766</v>
      </c>
      <c r="F1131" t="s">
        <v>19137</v>
      </c>
    </row>
    <row r="1132" spans="1:6">
      <c r="A1132">
        <v>72740</v>
      </c>
      <c r="B1132" t="s">
        <v>953</v>
      </c>
      <c r="C1132" t="e">
        <f>VLOOKUP(A1132,'Cost Center'!A:C,3,FALSE)</f>
        <v>#N/A</v>
      </c>
      <c r="D1132" t="s">
        <v>3624</v>
      </c>
      <c r="E1132" t="s">
        <v>766</v>
      </c>
      <c r="F1132" t="s">
        <v>20057</v>
      </c>
    </row>
    <row r="1133" spans="1:6">
      <c r="A1133">
        <v>72774</v>
      </c>
      <c r="B1133" t="s">
        <v>2718</v>
      </c>
      <c r="C1133" t="str">
        <f>VLOOKUP(A1133,'Cost Center'!A:C,3,FALSE)</f>
        <v>CI35598</v>
      </c>
      <c r="D1133" t="s">
        <v>12670</v>
      </c>
      <c r="E1133" t="s">
        <v>766</v>
      </c>
      <c r="F1133" t="s">
        <v>19660</v>
      </c>
    </row>
    <row r="1134" spans="1:6">
      <c r="A1134">
        <v>72784</v>
      </c>
      <c r="B1134" t="s">
        <v>958</v>
      </c>
      <c r="C1134" t="str">
        <f>VLOOKUP(A1134,'Cost Center'!A:C,3,FALSE)</f>
        <v>C350607</v>
      </c>
      <c r="D1134" t="s">
        <v>7172</v>
      </c>
      <c r="E1134" t="s">
        <v>766</v>
      </c>
      <c r="F1134" t="s">
        <v>19138</v>
      </c>
    </row>
    <row r="1135" spans="1:6">
      <c r="A1135">
        <v>72806</v>
      </c>
      <c r="B1135" t="s">
        <v>2719</v>
      </c>
      <c r="C1135" t="str">
        <f>VLOOKUP(A1135,'Cost Center'!A:C,3,FALSE)</f>
        <v>C350608</v>
      </c>
      <c r="D1135" t="s">
        <v>7175</v>
      </c>
      <c r="E1135" t="s">
        <v>766</v>
      </c>
      <c r="F1135" t="s">
        <v>19139</v>
      </c>
    </row>
    <row r="1136" spans="1:6">
      <c r="A1136">
        <v>72825</v>
      </c>
      <c r="B1136" t="s">
        <v>2720</v>
      </c>
      <c r="C1136" t="str">
        <f>VLOOKUP(A1136,'Cost Center'!A:C,3,FALSE)</f>
        <v>CI35608</v>
      </c>
      <c r="D1136" t="s">
        <v>6835</v>
      </c>
      <c r="E1136" t="s">
        <v>766</v>
      </c>
      <c r="F1136" t="s">
        <v>19021</v>
      </c>
    </row>
    <row r="1137" spans="1:6">
      <c r="A1137">
        <v>72841</v>
      </c>
      <c r="B1137" t="s">
        <v>960</v>
      </c>
      <c r="C1137" t="str">
        <f>VLOOKUP(A1137,'Cost Center'!A:C,3,FALSE)</f>
        <v>C350609</v>
      </c>
      <c r="D1137" t="s">
        <v>7178</v>
      </c>
      <c r="E1137" t="s">
        <v>766</v>
      </c>
      <c r="F1137" t="s">
        <v>19140</v>
      </c>
    </row>
    <row r="1138" spans="1:6">
      <c r="A1138">
        <v>72843</v>
      </c>
      <c r="B1138" t="s">
        <v>2721</v>
      </c>
      <c r="C1138" t="str">
        <f>VLOOKUP(A1138,'Cost Center'!A:C,3,FALSE)</f>
        <v>C350677</v>
      </c>
      <c r="D1138" t="s">
        <v>7361</v>
      </c>
      <c r="E1138" t="s">
        <v>766</v>
      </c>
      <c r="F1138" t="s">
        <v>19201</v>
      </c>
    </row>
    <row r="1139" spans="1:6">
      <c r="A1139">
        <v>72846</v>
      </c>
      <c r="B1139" t="s">
        <v>961</v>
      </c>
      <c r="C1139" t="str">
        <f>VLOOKUP(A1139,'Cost Center'!A:C,3,FALSE)</f>
        <v>C350610</v>
      </c>
      <c r="D1139" t="s">
        <v>7181</v>
      </c>
      <c r="E1139" t="s">
        <v>766</v>
      </c>
      <c r="F1139" t="s">
        <v>19141</v>
      </c>
    </row>
    <row r="1140" spans="1:6">
      <c r="A1140">
        <v>72852</v>
      </c>
      <c r="B1140" t="s">
        <v>962</v>
      </c>
      <c r="C1140" t="str">
        <f>VLOOKUP(A1140,'Cost Center'!A:C,3,FALSE)</f>
        <v>C350611</v>
      </c>
      <c r="D1140" t="s">
        <v>6838</v>
      </c>
      <c r="E1140" t="s">
        <v>766</v>
      </c>
      <c r="F1140" t="s">
        <v>19022</v>
      </c>
    </row>
    <row r="1141" spans="1:6">
      <c r="A1141">
        <v>72874</v>
      </c>
      <c r="B1141" t="s">
        <v>2722</v>
      </c>
      <c r="C1141" t="str">
        <f>VLOOKUP(A1141,'Cost Center'!A:C,3,FALSE)</f>
        <v>C350678</v>
      </c>
      <c r="D1141" t="s">
        <v>7364</v>
      </c>
      <c r="E1141" t="s">
        <v>766</v>
      </c>
      <c r="F1141" t="s">
        <v>19202</v>
      </c>
    </row>
    <row r="1142" spans="1:6">
      <c r="A1142">
        <v>72901</v>
      </c>
      <c r="B1142" t="s">
        <v>963</v>
      </c>
      <c r="C1142" t="str">
        <f>VLOOKUP(A1142,'Cost Center'!A:C,3,FALSE)</f>
        <v>C350612</v>
      </c>
      <c r="D1142" t="s">
        <v>7187</v>
      </c>
      <c r="E1142" t="s">
        <v>766</v>
      </c>
      <c r="F1142" t="s">
        <v>19143</v>
      </c>
    </row>
    <row r="1143" spans="1:6">
      <c r="A1143">
        <v>72907</v>
      </c>
      <c r="B1143" t="s">
        <v>2723</v>
      </c>
      <c r="C1143" t="str">
        <f>VLOOKUP(A1143,'Cost Center'!A:C,3,FALSE)</f>
        <v>C350613</v>
      </c>
      <c r="D1143" t="s">
        <v>7190</v>
      </c>
      <c r="E1143" t="s">
        <v>766</v>
      </c>
      <c r="F1143" t="s">
        <v>19144</v>
      </c>
    </row>
    <row r="1144" spans="1:6">
      <c r="A1144">
        <v>72911</v>
      </c>
      <c r="B1144" t="s">
        <v>964</v>
      </c>
      <c r="C1144" t="str">
        <f>VLOOKUP(A1144,'Cost Center'!A:C,3,FALSE)</f>
        <v>C350614</v>
      </c>
      <c r="D1144" t="s">
        <v>7193</v>
      </c>
      <c r="E1144" t="s">
        <v>766</v>
      </c>
      <c r="F1144" t="s">
        <v>19145</v>
      </c>
    </row>
    <row r="1145" spans="1:6">
      <c r="A1145">
        <v>72912</v>
      </c>
      <c r="B1145" t="s">
        <v>965</v>
      </c>
      <c r="C1145" t="str">
        <f>VLOOKUP(A1145,'Cost Center'!A:C,3,FALSE)</f>
        <v>C350615</v>
      </c>
      <c r="D1145" t="s">
        <v>7196</v>
      </c>
      <c r="E1145" t="s">
        <v>766</v>
      </c>
      <c r="F1145" t="s">
        <v>19146</v>
      </c>
    </row>
    <row r="1146" spans="1:6">
      <c r="A1146">
        <v>72916</v>
      </c>
      <c r="B1146" t="s">
        <v>966</v>
      </c>
      <c r="C1146" t="str">
        <f>VLOOKUP(A1146,'Cost Center'!A:C,3,FALSE)</f>
        <v>C350616</v>
      </c>
      <c r="D1146" t="s">
        <v>7199</v>
      </c>
      <c r="E1146" t="s">
        <v>766</v>
      </c>
      <c r="F1146" t="s">
        <v>19147</v>
      </c>
    </row>
    <row r="1147" spans="1:6">
      <c r="A1147">
        <v>72931</v>
      </c>
      <c r="B1147" t="s">
        <v>967</v>
      </c>
      <c r="C1147" t="str">
        <f>VLOOKUP(A1147,'Cost Center'!A:C,3,FALSE)</f>
        <v>C350617</v>
      </c>
      <c r="D1147" t="s">
        <v>7202</v>
      </c>
      <c r="E1147" t="s">
        <v>766</v>
      </c>
      <c r="F1147" t="s">
        <v>19148</v>
      </c>
    </row>
    <row r="1148" spans="1:6">
      <c r="A1148">
        <v>72932</v>
      </c>
      <c r="B1148" t="s">
        <v>2724</v>
      </c>
      <c r="C1148" t="str">
        <f>VLOOKUP(A1148,'Cost Center'!A:C,3,FALSE)</f>
        <v>C350618</v>
      </c>
      <c r="D1148" t="s">
        <v>7205</v>
      </c>
      <c r="E1148" t="s">
        <v>766</v>
      </c>
      <c r="F1148" t="s">
        <v>19149</v>
      </c>
    </row>
    <row r="1149" spans="1:6">
      <c r="A1149">
        <v>72940</v>
      </c>
      <c r="B1149" t="s">
        <v>968</v>
      </c>
      <c r="C1149" t="str">
        <f>VLOOKUP(A1149,'Cost Center'!A:C,3,FALSE)</f>
        <v>C350619</v>
      </c>
      <c r="D1149" t="s">
        <v>7208</v>
      </c>
      <c r="E1149" t="s">
        <v>766</v>
      </c>
      <c r="F1149" t="s">
        <v>19150</v>
      </c>
    </row>
    <row r="1150" spans="1:6">
      <c r="A1150">
        <v>72943</v>
      </c>
      <c r="B1150" t="s">
        <v>2725</v>
      </c>
      <c r="C1150" t="str">
        <f>VLOOKUP(A1150,'Cost Center'!A:C,3,FALSE)</f>
        <v>C350620</v>
      </c>
      <c r="D1150" t="s">
        <v>7211</v>
      </c>
      <c r="E1150" t="s">
        <v>766</v>
      </c>
      <c r="F1150" t="s">
        <v>19151</v>
      </c>
    </row>
    <row r="1151" spans="1:6">
      <c r="A1151">
        <v>72972</v>
      </c>
      <c r="B1151" t="s">
        <v>970</v>
      </c>
      <c r="C1151" t="str">
        <f>VLOOKUP(A1151,'Cost Center'!A:C,3,FALSE)</f>
        <v>C350621</v>
      </c>
      <c r="D1151" t="s">
        <v>7214</v>
      </c>
      <c r="E1151" t="s">
        <v>766</v>
      </c>
      <c r="F1151" t="s">
        <v>19152</v>
      </c>
    </row>
    <row r="1152" spans="1:6">
      <c r="A1152">
        <v>72973</v>
      </c>
      <c r="B1152" t="s">
        <v>971</v>
      </c>
      <c r="C1152" t="str">
        <f>VLOOKUP(A1152,'Cost Center'!A:C,3,FALSE)</f>
        <v>C350622</v>
      </c>
      <c r="D1152" t="s">
        <v>7217</v>
      </c>
      <c r="E1152" t="s">
        <v>766</v>
      </c>
      <c r="F1152" t="s">
        <v>19153</v>
      </c>
    </row>
    <row r="1153" spans="1:6">
      <c r="A1153">
        <v>72974</v>
      </c>
      <c r="B1153" t="s">
        <v>972</v>
      </c>
      <c r="C1153" t="str">
        <f>VLOOKUP(A1153,'Cost Center'!A:C,3,FALSE)</f>
        <v>C350623</v>
      </c>
      <c r="D1153" t="s">
        <v>7220</v>
      </c>
      <c r="E1153" t="s">
        <v>766</v>
      </c>
      <c r="F1153" t="s">
        <v>19154</v>
      </c>
    </row>
    <row r="1154" spans="1:6">
      <c r="A1154">
        <v>72979</v>
      </c>
      <c r="B1154" t="s">
        <v>2726</v>
      </c>
      <c r="C1154" t="str">
        <f>VLOOKUP(A1154,'Cost Center'!A:C,3,FALSE)</f>
        <v>C350624</v>
      </c>
      <c r="D1154" t="s">
        <v>7223</v>
      </c>
      <c r="E1154" t="s">
        <v>766</v>
      </c>
      <c r="F1154" t="s">
        <v>19155</v>
      </c>
    </row>
    <row r="1155" spans="1:6">
      <c r="A1155">
        <v>72984</v>
      </c>
      <c r="B1155" t="s">
        <v>973</v>
      </c>
      <c r="C1155" t="str">
        <f>VLOOKUP(A1155,'Cost Center'!A:C,3,FALSE)</f>
        <v>C350625</v>
      </c>
      <c r="D1155" t="s">
        <v>7226</v>
      </c>
      <c r="E1155" t="s">
        <v>766</v>
      </c>
      <c r="F1155" t="s">
        <v>19156</v>
      </c>
    </row>
    <row r="1156" spans="1:6">
      <c r="A1156">
        <v>72985</v>
      </c>
      <c r="B1156" t="s">
        <v>974</v>
      </c>
      <c r="C1156" t="e">
        <f>VLOOKUP(A1156,'Cost Center'!A:C,3,FALSE)</f>
        <v>#N/A</v>
      </c>
      <c r="D1156" t="s">
        <v>3624</v>
      </c>
      <c r="E1156" t="s">
        <v>766</v>
      </c>
      <c r="F1156" t="s">
        <v>20058</v>
      </c>
    </row>
    <row r="1157" spans="1:6">
      <c r="A1157">
        <v>72986</v>
      </c>
      <c r="B1157" t="s">
        <v>975</v>
      </c>
      <c r="C1157" t="str">
        <f>VLOOKUP(A1157,'Cost Center'!A:C,3,FALSE)</f>
        <v>C350626</v>
      </c>
      <c r="D1157" t="s">
        <v>7229</v>
      </c>
      <c r="E1157" t="s">
        <v>766</v>
      </c>
      <c r="F1157" t="s">
        <v>19157</v>
      </c>
    </row>
    <row r="1158" spans="1:6">
      <c r="A1158">
        <v>72987</v>
      </c>
      <c r="B1158" t="s">
        <v>976</v>
      </c>
      <c r="C1158" t="str">
        <f>VLOOKUP(A1158,'Cost Center'!A:C,3,FALSE)</f>
        <v>C350627</v>
      </c>
      <c r="D1158" t="s">
        <v>7232</v>
      </c>
      <c r="E1158" t="s">
        <v>766</v>
      </c>
      <c r="F1158" t="s">
        <v>19158</v>
      </c>
    </row>
    <row r="1159" spans="1:6">
      <c r="A1159">
        <v>72988</v>
      </c>
      <c r="B1159" t="s">
        <v>977</v>
      </c>
      <c r="C1159" t="str">
        <f>VLOOKUP(A1159,'Cost Center'!A:C,3,FALSE)</f>
        <v>C350628</v>
      </c>
      <c r="D1159" t="s">
        <v>7235</v>
      </c>
      <c r="E1159" t="s">
        <v>766</v>
      </c>
      <c r="F1159" t="s">
        <v>19159</v>
      </c>
    </row>
    <row r="1160" spans="1:6">
      <c r="A1160">
        <v>72989</v>
      </c>
      <c r="B1160" t="s">
        <v>978</v>
      </c>
      <c r="C1160" t="str">
        <f>VLOOKUP(A1160,'Cost Center'!A:C,3,FALSE)</f>
        <v>C350629</v>
      </c>
      <c r="D1160" t="s">
        <v>7238</v>
      </c>
      <c r="E1160" t="s">
        <v>766</v>
      </c>
      <c r="F1160" t="s">
        <v>19160</v>
      </c>
    </row>
    <row r="1161" spans="1:6">
      <c r="A1161">
        <v>72990</v>
      </c>
      <c r="B1161" t="s">
        <v>979</v>
      </c>
      <c r="C1161" t="str">
        <f>VLOOKUP(A1161,'Cost Center'!A:C,3,FALSE)</f>
        <v>C350630</v>
      </c>
      <c r="D1161" t="s">
        <v>7241</v>
      </c>
      <c r="E1161" t="s">
        <v>766</v>
      </c>
      <c r="F1161" t="s">
        <v>19161</v>
      </c>
    </row>
    <row r="1162" spans="1:6">
      <c r="A1162">
        <v>72991</v>
      </c>
      <c r="B1162" t="s">
        <v>980</v>
      </c>
      <c r="C1162" t="str">
        <f>VLOOKUP(A1162,'Cost Center'!A:C,3,FALSE)</f>
        <v>C350631</v>
      </c>
      <c r="D1162" t="s">
        <v>7244</v>
      </c>
      <c r="E1162" t="s">
        <v>766</v>
      </c>
      <c r="F1162" t="s">
        <v>19162</v>
      </c>
    </row>
    <row r="1163" spans="1:6">
      <c r="A1163">
        <v>72992</v>
      </c>
      <c r="B1163" t="s">
        <v>981</v>
      </c>
      <c r="C1163" t="str">
        <f>VLOOKUP(A1163,'Cost Center'!A:C,3,FALSE)</f>
        <v>C350632</v>
      </c>
      <c r="D1163" t="s">
        <v>7247</v>
      </c>
      <c r="E1163" t="s">
        <v>766</v>
      </c>
      <c r="F1163" t="s">
        <v>19163</v>
      </c>
    </row>
    <row r="1164" spans="1:6">
      <c r="A1164">
        <v>72993</v>
      </c>
      <c r="B1164" t="s">
        <v>982</v>
      </c>
      <c r="C1164" t="str">
        <f>VLOOKUP(A1164,'Cost Center'!A:C,3,FALSE)</f>
        <v>C350633</v>
      </c>
      <c r="D1164" t="s">
        <v>7250</v>
      </c>
      <c r="E1164" t="s">
        <v>766</v>
      </c>
      <c r="F1164" t="s">
        <v>19164</v>
      </c>
    </row>
    <row r="1165" spans="1:6">
      <c r="A1165">
        <v>72994</v>
      </c>
      <c r="B1165" t="s">
        <v>983</v>
      </c>
      <c r="C1165" t="str">
        <f>VLOOKUP(A1165,'Cost Center'!A:C,3,FALSE)</f>
        <v>C350634</v>
      </c>
      <c r="D1165" t="s">
        <v>7253</v>
      </c>
      <c r="E1165" t="s">
        <v>766</v>
      </c>
      <c r="F1165" t="s">
        <v>19165</v>
      </c>
    </row>
    <row r="1166" spans="1:6">
      <c r="A1166">
        <v>72995</v>
      </c>
      <c r="B1166" t="s">
        <v>984</v>
      </c>
      <c r="C1166" t="str">
        <f>VLOOKUP(A1166,'Cost Center'!A:C,3,FALSE)</f>
        <v>C350635</v>
      </c>
      <c r="D1166" t="s">
        <v>6841</v>
      </c>
      <c r="E1166" t="s">
        <v>766</v>
      </c>
      <c r="F1166" t="s">
        <v>19023</v>
      </c>
    </row>
    <row r="1167" spans="1:6">
      <c r="A1167">
        <v>72996</v>
      </c>
      <c r="B1167" t="s">
        <v>2727</v>
      </c>
      <c r="C1167" t="str">
        <f>VLOOKUP(A1167,'Cost Center'!A:C,3,FALSE)</f>
        <v>C350679</v>
      </c>
      <c r="D1167" t="s">
        <v>7367</v>
      </c>
      <c r="E1167" t="s">
        <v>766</v>
      </c>
      <c r="F1167" t="s">
        <v>19203</v>
      </c>
    </row>
    <row r="1168" spans="1:6">
      <c r="A1168">
        <v>72997</v>
      </c>
      <c r="B1168" t="s">
        <v>985</v>
      </c>
      <c r="C1168" t="str">
        <f>VLOOKUP(A1168,'Cost Center'!A:C,3,FALSE)</f>
        <v>C350636</v>
      </c>
      <c r="D1168" t="s">
        <v>7259</v>
      </c>
      <c r="E1168" t="s">
        <v>766</v>
      </c>
      <c r="F1168" t="s">
        <v>19167</v>
      </c>
    </row>
    <row r="1169" spans="1:6">
      <c r="A1169">
        <v>72998</v>
      </c>
      <c r="B1169" t="s">
        <v>2728</v>
      </c>
      <c r="C1169" t="str">
        <f>VLOOKUP(A1169,'Cost Center'!A:C,3,FALSE)</f>
        <v>C350680</v>
      </c>
      <c r="D1169" t="s">
        <v>7370</v>
      </c>
      <c r="E1169" t="s">
        <v>766</v>
      </c>
      <c r="F1169" t="s">
        <v>19204</v>
      </c>
    </row>
    <row r="1170" spans="1:6">
      <c r="A1170">
        <v>73000</v>
      </c>
      <c r="B1170" t="s">
        <v>2729</v>
      </c>
      <c r="C1170" t="str">
        <f>VLOOKUP(A1170,'Cost Center'!A:C,3,FALSE)</f>
        <v>C350681</v>
      </c>
      <c r="D1170" t="s">
        <v>7373</v>
      </c>
      <c r="E1170" t="s">
        <v>766</v>
      </c>
      <c r="F1170" t="s">
        <v>19205</v>
      </c>
    </row>
    <row r="1171" spans="1:6">
      <c r="A1171">
        <v>73001</v>
      </c>
      <c r="B1171" t="s">
        <v>2730</v>
      </c>
      <c r="C1171" t="str">
        <f>VLOOKUP(A1171,'Cost Center'!A:C,3,FALSE)</f>
        <v>C350637</v>
      </c>
      <c r="D1171" t="s">
        <v>7262</v>
      </c>
      <c r="E1171" t="s">
        <v>766</v>
      </c>
      <c r="F1171" t="s">
        <v>19168</v>
      </c>
    </row>
    <row r="1172" spans="1:6">
      <c r="A1172">
        <v>73010</v>
      </c>
      <c r="B1172" t="s">
        <v>2731</v>
      </c>
      <c r="C1172" t="str">
        <f>VLOOKUP(A1172,'Cost Center'!A:C,3,FALSE)</f>
        <v>C350638</v>
      </c>
      <c r="D1172" t="s">
        <v>7265</v>
      </c>
      <c r="E1172" t="s">
        <v>766</v>
      </c>
      <c r="F1172" t="s">
        <v>19169</v>
      </c>
    </row>
    <row r="1173" spans="1:6">
      <c r="A1173">
        <v>73015</v>
      </c>
      <c r="B1173" t="s">
        <v>2732</v>
      </c>
      <c r="C1173" t="e">
        <f>VLOOKUP(A1173,'Cost Center'!A:C,3,FALSE)</f>
        <v>#N/A</v>
      </c>
      <c r="D1173" t="s">
        <v>3624</v>
      </c>
      <c r="E1173" t="s">
        <v>766</v>
      </c>
      <c r="F1173" t="s">
        <v>20059</v>
      </c>
    </row>
    <row r="1174" spans="1:6">
      <c r="A1174">
        <v>73016</v>
      </c>
      <c r="B1174" t="s">
        <v>2733</v>
      </c>
      <c r="C1174" t="e">
        <f>VLOOKUP(A1174,'Cost Center'!A:C,3,FALSE)</f>
        <v>#N/A</v>
      </c>
      <c r="D1174" t="s">
        <v>3624</v>
      </c>
      <c r="E1174" t="s">
        <v>766</v>
      </c>
      <c r="F1174" t="s">
        <v>20060</v>
      </c>
    </row>
    <row r="1175" spans="1:6">
      <c r="A1175">
        <v>7514</v>
      </c>
      <c r="B1175" t="s">
        <v>2734</v>
      </c>
      <c r="C1175" t="str">
        <f>VLOOKUP(A1175,'Cost Center'!A:C,3,FALSE)</f>
        <v>C350682</v>
      </c>
      <c r="D1175" t="s">
        <v>4552</v>
      </c>
      <c r="E1175" t="s">
        <v>766</v>
      </c>
      <c r="F1175" t="s">
        <v>18460</v>
      </c>
    </row>
    <row r="1176" spans="1:6">
      <c r="A1176">
        <v>84429</v>
      </c>
      <c r="B1176" t="s">
        <v>986</v>
      </c>
      <c r="C1176" t="str">
        <f>VLOOKUP(A1176,'Cost Center'!A:C,3,FALSE)</f>
        <v>C350639</v>
      </c>
      <c r="D1176" t="s">
        <v>7268</v>
      </c>
      <c r="E1176" t="s">
        <v>766</v>
      </c>
      <c r="F1176" t="s">
        <v>19170</v>
      </c>
    </row>
    <row r="1177" spans="1:6">
      <c r="A1177">
        <v>85711</v>
      </c>
      <c r="B1177" t="s">
        <v>987</v>
      </c>
      <c r="C1177" t="str">
        <f>VLOOKUP(A1177,'Cost Center'!A:C,3,FALSE)</f>
        <v>C350640</v>
      </c>
      <c r="D1177" t="s">
        <v>6847</v>
      </c>
      <c r="E1177" t="s">
        <v>766</v>
      </c>
      <c r="F1177" t="s">
        <v>19025</v>
      </c>
    </row>
    <row r="1178" spans="1:6">
      <c r="A1178">
        <v>93207</v>
      </c>
      <c r="B1178" t="s">
        <v>995</v>
      </c>
      <c r="C1178" t="str">
        <f>VLOOKUP(A1178,'Cost Center'!A:C,3,FALSE)</f>
        <v>C350641</v>
      </c>
      <c r="D1178" t="s">
        <v>7274</v>
      </c>
      <c r="E1178" t="s">
        <v>766</v>
      </c>
      <c r="F1178" t="s">
        <v>19172</v>
      </c>
    </row>
    <row r="1179" spans="1:6">
      <c r="A1179">
        <v>93260</v>
      </c>
      <c r="B1179" t="s">
        <v>1007</v>
      </c>
      <c r="C1179" t="str">
        <f>VLOOKUP(A1179,'Cost Center'!A:C,3,FALSE)</f>
        <v>C350642</v>
      </c>
      <c r="D1179" t="s">
        <v>7277</v>
      </c>
      <c r="E1179" t="s">
        <v>766</v>
      </c>
      <c r="F1179" t="s">
        <v>19173</v>
      </c>
    </row>
    <row r="1180" spans="1:6">
      <c r="A1180">
        <v>12000</v>
      </c>
      <c r="B1180" t="s">
        <v>2735</v>
      </c>
      <c r="C1180" t="str">
        <f>VLOOKUP(A1180,'Cost Center'!A:C,3,FALSE)</f>
        <v>C300014</v>
      </c>
      <c r="D1180" t="s">
        <v>6610</v>
      </c>
      <c r="E1180" t="s">
        <v>766</v>
      </c>
      <c r="F1180" t="s">
        <v>18947</v>
      </c>
    </row>
    <row r="1181" spans="1:6">
      <c r="A1181">
        <v>14100</v>
      </c>
      <c r="B1181" t="s">
        <v>2736</v>
      </c>
      <c r="C1181" t="str">
        <f>VLOOKUP(A1181,'Cost Center'!A:C,3,FALSE)</f>
        <v>C300012</v>
      </c>
      <c r="D1181" t="s">
        <v>6607</v>
      </c>
      <c r="E1181" t="s">
        <v>766</v>
      </c>
      <c r="F1181" t="s">
        <v>18946</v>
      </c>
    </row>
    <row r="1182" spans="1:6">
      <c r="A1182">
        <v>42210</v>
      </c>
      <c r="B1182" t="s">
        <v>2737</v>
      </c>
      <c r="C1182" t="e">
        <f>VLOOKUP(A1182,'Cost Center'!A:C,3,FALSE)</f>
        <v>#N/A</v>
      </c>
      <c r="D1182" t="s">
        <v>3624</v>
      </c>
      <c r="E1182" t="s">
        <v>766</v>
      </c>
      <c r="F1182" t="s">
        <v>20061</v>
      </c>
    </row>
    <row r="1183" spans="1:6">
      <c r="A1183">
        <v>46269</v>
      </c>
      <c r="B1183" t="s">
        <v>868</v>
      </c>
      <c r="C1183" t="str">
        <f>VLOOKUP(A1183,'Cost Center'!A:C,3,FALSE)</f>
        <v>C300000</v>
      </c>
      <c r="D1183" t="s">
        <v>6595</v>
      </c>
      <c r="E1183" t="s">
        <v>766</v>
      </c>
      <c r="F1183" t="s">
        <v>18942</v>
      </c>
    </row>
    <row r="1184" spans="1:6">
      <c r="A1184">
        <v>54325</v>
      </c>
      <c r="B1184" t="s">
        <v>2738</v>
      </c>
      <c r="C1184" t="e">
        <f>VLOOKUP(A1184,'Cost Center'!A:C,3,FALSE)</f>
        <v>#N/A</v>
      </c>
      <c r="D1184" t="s">
        <v>3624</v>
      </c>
      <c r="E1184" t="s">
        <v>766</v>
      </c>
      <c r="F1184" t="s">
        <v>20062</v>
      </c>
    </row>
    <row r="1185" spans="1:6">
      <c r="A1185">
        <v>93005</v>
      </c>
      <c r="B1185" t="s">
        <v>2739</v>
      </c>
      <c r="C1185" t="str">
        <f>VLOOKUP(A1185,'Cost Center'!A:C,3,FALSE)</f>
        <v>C300013</v>
      </c>
      <c r="D1185" t="s">
        <v>6850</v>
      </c>
      <c r="E1185" t="s">
        <v>766</v>
      </c>
      <c r="F1185" t="s">
        <v>19026</v>
      </c>
    </row>
    <row r="1186" spans="1:6">
      <c r="A1186">
        <v>93014</v>
      </c>
      <c r="B1186" t="s">
        <v>2740</v>
      </c>
      <c r="C1186" t="str">
        <f>VLOOKUP(A1186,'Cost Center'!A:C,3,FALSE)</f>
        <v>C090034</v>
      </c>
      <c r="D1186" t="s">
        <v>5212</v>
      </c>
      <c r="E1186" t="s">
        <v>766</v>
      </c>
      <c r="F1186" t="s">
        <v>18525</v>
      </c>
    </row>
    <row r="1187" spans="1:6">
      <c r="A1187">
        <v>93017</v>
      </c>
      <c r="B1187" t="s">
        <v>2741</v>
      </c>
      <c r="C1187" t="e">
        <f>VLOOKUP(A1187,'Cost Center'!A:C,3,FALSE)</f>
        <v>#N/A</v>
      </c>
      <c r="D1187" t="s">
        <v>3624</v>
      </c>
      <c r="E1187" t="s">
        <v>766</v>
      </c>
      <c r="F1187" t="s">
        <v>20063</v>
      </c>
    </row>
    <row r="1188" spans="1:6">
      <c r="A1188" t="s">
        <v>2742</v>
      </c>
      <c r="B1188" t="s">
        <v>2743</v>
      </c>
      <c r="C1188" t="str">
        <f>VLOOKUP(A1188,'Cost Center'!A:C,3,FALSE)</f>
        <v>C090017</v>
      </c>
      <c r="D1188" t="s">
        <v>4546</v>
      </c>
      <c r="E1188" t="s">
        <v>766</v>
      </c>
      <c r="F1188" t="s">
        <v>2742</v>
      </c>
    </row>
    <row r="1189" spans="1:6">
      <c r="A1189">
        <v>13100</v>
      </c>
      <c r="B1189" t="s">
        <v>772</v>
      </c>
      <c r="C1189" t="str">
        <f>VLOOKUP(A1189,'Cost Center'!A:C,3,FALSE)</f>
        <v>C010430</v>
      </c>
      <c r="D1189" t="s">
        <v>3733</v>
      </c>
      <c r="E1189" t="s">
        <v>766</v>
      </c>
      <c r="F1189" t="s">
        <v>18290</v>
      </c>
    </row>
    <row r="1190" spans="1:6">
      <c r="A1190">
        <v>13150</v>
      </c>
      <c r="B1190" t="s">
        <v>773</v>
      </c>
      <c r="C1190" t="str">
        <f>VLOOKUP(A1190,'Cost Center'!A:C,3,FALSE)</f>
        <v>C010170</v>
      </c>
      <c r="D1190" t="s">
        <v>5183</v>
      </c>
      <c r="E1190" t="s">
        <v>766</v>
      </c>
      <c r="F1190" t="s">
        <v>18515</v>
      </c>
    </row>
    <row r="1191" spans="1:6">
      <c r="A1191">
        <v>15010</v>
      </c>
      <c r="B1191" t="s">
        <v>777</v>
      </c>
      <c r="C1191" t="str">
        <f>VLOOKUP(A1191,'Cost Center'!A:C,3,FALSE)</f>
        <v>CI10170</v>
      </c>
      <c r="D1191" t="s">
        <v>5192</v>
      </c>
      <c r="E1191" t="s">
        <v>766</v>
      </c>
      <c r="F1191" t="s">
        <v>18518</v>
      </c>
    </row>
    <row r="1192" spans="1:6">
      <c r="A1192">
        <v>39701</v>
      </c>
      <c r="B1192" t="s">
        <v>809</v>
      </c>
      <c r="C1192" t="str">
        <f>VLOOKUP(A1192,'Cost Center'!A:C,3,FALSE)</f>
        <v>C010431</v>
      </c>
      <c r="D1192" t="s">
        <v>3736</v>
      </c>
      <c r="E1192" t="s">
        <v>766</v>
      </c>
      <c r="F1192" t="s">
        <v>18291</v>
      </c>
    </row>
    <row r="1193" spans="1:6">
      <c r="A1193">
        <v>39702</v>
      </c>
      <c r="B1193" t="s">
        <v>810</v>
      </c>
      <c r="C1193" t="str">
        <f>VLOOKUP(A1193,'Cost Center'!A:C,3,FALSE)</f>
        <v>C010432</v>
      </c>
      <c r="D1193" t="s">
        <v>3739</v>
      </c>
      <c r="E1193" t="s">
        <v>766</v>
      </c>
      <c r="F1193" t="s">
        <v>18292</v>
      </c>
    </row>
    <row r="1194" spans="1:6">
      <c r="A1194">
        <v>46201</v>
      </c>
      <c r="B1194" t="s">
        <v>861</v>
      </c>
      <c r="C1194" t="str">
        <f>VLOOKUP(A1194,'Cost Center'!A:C,3,FALSE)</f>
        <v>C010433</v>
      </c>
      <c r="D1194" t="s">
        <v>3742</v>
      </c>
      <c r="E1194" t="s">
        <v>766</v>
      </c>
      <c r="F1194" t="s">
        <v>18293</v>
      </c>
    </row>
    <row r="1195" spans="1:6">
      <c r="A1195">
        <v>53992</v>
      </c>
      <c r="B1195" t="s">
        <v>2744</v>
      </c>
      <c r="C1195" t="e">
        <f>VLOOKUP(A1195,'Cost Center'!A:C,3,FALSE)</f>
        <v>#N/A</v>
      </c>
      <c r="D1195" t="s">
        <v>3624</v>
      </c>
      <c r="E1195" t="s">
        <v>766</v>
      </c>
      <c r="F1195" t="s">
        <v>20064</v>
      </c>
    </row>
    <row r="1196" spans="1:6">
      <c r="A1196">
        <v>54330</v>
      </c>
      <c r="B1196" t="s">
        <v>921</v>
      </c>
      <c r="C1196" t="str">
        <f>VLOOKUP(A1196,'Cost Center'!A:C,3,FALSE)</f>
        <v>CI10171</v>
      </c>
      <c r="D1196" t="s">
        <v>6437</v>
      </c>
      <c r="E1196" t="s">
        <v>766</v>
      </c>
      <c r="F1196" t="s">
        <v>18917</v>
      </c>
    </row>
    <row r="1197" spans="1:6">
      <c r="A1197">
        <v>54334</v>
      </c>
      <c r="B1197" t="s">
        <v>922</v>
      </c>
      <c r="C1197" t="str">
        <f>VLOOKUP(A1197,'Cost Center'!A:C,3,FALSE)</f>
        <v>C010434</v>
      </c>
      <c r="D1197" t="s">
        <v>6523</v>
      </c>
      <c r="E1197" t="s">
        <v>766</v>
      </c>
      <c r="F1197" t="s">
        <v>18933</v>
      </c>
    </row>
    <row r="1198" spans="1:6">
      <c r="A1198">
        <v>10741</v>
      </c>
      <c r="B1198" t="s">
        <v>2745</v>
      </c>
      <c r="C1198" t="str">
        <f>VLOOKUP(A1198,'Cost Center'!A:C,3,FALSE)</f>
        <v>C500301</v>
      </c>
      <c r="D1198" t="s">
        <v>7971</v>
      </c>
      <c r="E1198" t="s">
        <v>766</v>
      </c>
      <c r="F1198" t="s">
        <v>19355</v>
      </c>
    </row>
    <row r="1199" spans="1:6">
      <c r="A1199">
        <v>32144</v>
      </c>
      <c r="B1199" t="s">
        <v>2746</v>
      </c>
      <c r="C1199" t="str">
        <f>VLOOKUP(A1199,'Cost Center'!A:C,3,FALSE)</f>
        <v>C500313</v>
      </c>
      <c r="D1199" t="s">
        <v>7994</v>
      </c>
      <c r="E1199" t="s">
        <v>766</v>
      </c>
      <c r="F1199" t="s">
        <v>19363</v>
      </c>
    </row>
    <row r="1200" spans="1:6">
      <c r="A1200">
        <v>32145</v>
      </c>
      <c r="B1200" t="s">
        <v>2747</v>
      </c>
      <c r="C1200" t="str">
        <f>VLOOKUP(A1200,'Cost Center'!A:C,3,FALSE)</f>
        <v>C500302</v>
      </c>
      <c r="D1200" t="s">
        <v>5468</v>
      </c>
      <c r="E1200" t="s">
        <v>766</v>
      </c>
      <c r="F1200" t="s">
        <v>18590</v>
      </c>
    </row>
    <row r="1201" spans="1:6">
      <c r="A1201">
        <v>32146</v>
      </c>
      <c r="B1201" t="s">
        <v>2748</v>
      </c>
      <c r="C1201" t="str">
        <f>VLOOKUP(A1201,'Cost Center'!A:C,3,FALSE)</f>
        <v>C500310</v>
      </c>
      <c r="D1201" t="s">
        <v>7985</v>
      </c>
      <c r="E1201" t="s">
        <v>766</v>
      </c>
      <c r="F1201" t="s">
        <v>19360</v>
      </c>
    </row>
    <row r="1202" spans="1:6">
      <c r="A1202">
        <v>32147</v>
      </c>
      <c r="B1202" t="s">
        <v>2749</v>
      </c>
      <c r="C1202" t="e">
        <f>VLOOKUP(A1202,'Cost Center'!A:C,3,FALSE)</f>
        <v>#N/A</v>
      </c>
      <c r="D1202" t="s">
        <v>3624</v>
      </c>
      <c r="E1202" t="s">
        <v>766</v>
      </c>
      <c r="F1202" t="s">
        <v>20065</v>
      </c>
    </row>
    <row r="1203" spans="1:6">
      <c r="A1203">
        <v>32148</v>
      </c>
      <c r="B1203" t="s">
        <v>2750</v>
      </c>
      <c r="C1203" t="str">
        <f>VLOOKUP(A1203,'Cost Center'!A:C,3,FALSE)</f>
        <v>C500311</v>
      </c>
      <c r="D1203" t="s">
        <v>7988</v>
      </c>
      <c r="E1203" t="s">
        <v>766</v>
      </c>
      <c r="F1203" t="s">
        <v>19361</v>
      </c>
    </row>
    <row r="1204" spans="1:6">
      <c r="A1204">
        <v>32150</v>
      </c>
      <c r="B1204" t="s">
        <v>2751</v>
      </c>
      <c r="C1204" t="str">
        <f>VLOOKUP(A1204,'Cost Center'!A:C,3,FALSE)</f>
        <v>C500320</v>
      </c>
      <c r="D1204" t="s">
        <v>5471</v>
      </c>
      <c r="E1204" t="s">
        <v>766</v>
      </c>
      <c r="F1204" t="s">
        <v>18591</v>
      </c>
    </row>
    <row r="1205" spans="1:6">
      <c r="A1205">
        <v>32160</v>
      </c>
      <c r="B1205" t="s">
        <v>2752</v>
      </c>
      <c r="C1205" t="str">
        <f>VLOOKUP(A1205,'Cost Center'!A:C,3,FALSE)</f>
        <v>C500330</v>
      </c>
      <c r="D1205" t="s">
        <v>8003</v>
      </c>
      <c r="E1205" t="s">
        <v>766</v>
      </c>
      <c r="F1205" t="s">
        <v>19366</v>
      </c>
    </row>
    <row r="1206" spans="1:6">
      <c r="A1206">
        <v>32170</v>
      </c>
      <c r="B1206" t="s">
        <v>2753</v>
      </c>
      <c r="C1206" t="str">
        <f>VLOOKUP(A1206,'Cost Center'!A:C,3,FALSE)</f>
        <v>C500303</v>
      </c>
      <c r="D1206" t="s">
        <v>7976</v>
      </c>
      <c r="E1206" t="s">
        <v>766</v>
      </c>
      <c r="F1206" t="s">
        <v>19357</v>
      </c>
    </row>
    <row r="1207" spans="1:6">
      <c r="A1207">
        <v>33301</v>
      </c>
      <c r="B1207" t="s">
        <v>2754</v>
      </c>
      <c r="C1207" t="str">
        <f>VLOOKUP(A1207,'Cost Center'!A:C,3,FALSE)</f>
        <v>C500304</v>
      </c>
      <c r="D1207" t="s">
        <v>7979</v>
      </c>
      <c r="E1207" t="s">
        <v>766</v>
      </c>
      <c r="F1207" t="s">
        <v>19358</v>
      </c>
    </row>
    <row r="1208" spans="1:6">
      <c r="A1208">
        <v>56201</v>
      </c>
      <c r="B1208" t="s">
        <v>2755</v>
      </c>
      <c r="C1208" t="str">
        <f>VLOOKUP(A1208,'Cost Center'!A:C,3,FALSE)</f>
        <v>C500305</v>
      </c>
      <c r="D1208" t="s">
        <v>6745</v>
      </c>
      <c r="E1208" t="s">
        <v>766</v>
      </c>
      <c r="F1208" t="s">
        <v>18992</v>
      </c>
    </row>
    <row r="1209" spans="1:6">
      <c r="A1209">
        <v>72611</v>
      </c>
      <c r="B1209" t="s">
        <v>2756</v>
      </c>
      <c r="C1209" t="str">
        <f>VLOOKUP(A1209,'Cost Center'!A:C,3,FALSE)</f>
        <v>C500321</v>
      </c>
      <c r="D1209" t="s">
        <v>8000</v>
      </c>
      <c r="E1209" t="s">
        <v>766</v>
      </c>
      <c r="F1209" t="s">
        <v>19365</v>
      </c>
    </row>
    <row r="1210" spans="1:6">
      <c r="A1210">
        <v>72948</v>
      </c>
      <c r="B1210" t="s">
        <v>969</v>
      </c>
      <c r="C1210" t="str">
        <f>VLOOKUP(A1210,'Cost Center'!A:C,3,FALSE)</f>
        <v>C500331</v>
      </c>
      <c r="D1210" t="s">
        <v>8006</v>
      </c>
      <c r="E1210" t="s">
        <v>766</v>
      </c>
      <c r="F1210" t="s">
        <v>19367</v>
      </c>
    </row>
    <row r="1211" spans="1:6">
      <c r="A1211">
        <v>54300</v>
      </c>
      <c r="B1211" t="s">
        <v>2757</v>
      </c>
      <c r="C1211" t="str">
        <f>VLOOKUP(A1211,'Cost Center'!A:C,3,FALSE)</f>
        <v>C700038</v>
      </c>
      <c r="D1211" t="s">
        <v>6391</v>
      </c>
      <c r="E1211" t="s">
        <v>766</v>
      </c>
      <c r="F1211" t="s">
        <v>18913</v>
      </c>
    </row>
    <row r="1212" spans="1:6">
      <c r="A1212">
        <v>54310</v>
      </c>
      <c r="B1212" t="s">
        <v>2758</v>
      </c>
      <c r="C1212" t="str">
        <f>VLOOKUP(A1212,'Cost Center'!A:C,3,FALSE)</f>
        <v>C700039</v>
      </c>
      <c r="D1212" t="s">
        <v>6394</v>
      </c>
      <c r="E1212" t="s">
        <v>766</v>
      </c>
      <c r="F1212" t="s">
        <v>18914</v>
      </c>
    </row>
    <row r="1213" spans="1:6">
      <c r="A1213">
        <v>93002</v>
      </c>
      <c r="B1213" t="s">
        <v>2759</v>
      </c>
      <c r="C1213" t="e">
        <f>VLOOKUP(A1213,'Cost Center'!A:C,3,FALSE)</f>
        <v>#N/A</v>
      </c>
      <c r="D1213" t="s">
        <v>3624</v>
      </c>
      <c r="E1213" t="s">
        <v>766</v>
      </c>
      <c r="F1213" t="s">
        <v>20066</v>
      </c>
    </row>
    <row r="1214" spans="1:6">
      <c r="A1214">
        <v>93004</v>
      </c>
      <c r="B1214" t="s">
        <v>2760</v>
      </c>
      <c r="C1214" t="str">
        <f>VLOOKUP(A1214,'Cost Center'!A:C,3,FALSE)</f>
        <v>C700022</v>
      </c>
      <c r="D1214" t="s">
        <v>10637</v>
      </c>
      <c r="E1214" t="s">
        <v>766</v>
      </c>
      <c r="F1214" t="s">
        <v>19554</v>
      </c>
    </row>
    <row r="1215" spans="1:6">
      <c r="A1215">
        <v>93008</v>
      </c>
      <c r="B1215" t="s">
        <v>2761</v>
      </c>
      <c r="C1215" t="e">
        <f>VLOOKUP(A1215,'Cost Center'!A:C,3,FALSE)</f>
        <v>#N/A</v>
      </c>
      <c r="D1215" t="s">
        <v>3624</v>
      </c>
      <c r="E1215" t="s">
        <v>766</v>
      </c>
      <c r="F1215" t="s">
        <v>20067</v>
      </c>
    </row>
    <row r="1216" spans="1:6">
      <c r="A1216">
        <v>93009</v>
      </c>
      <c r="B1216" t="s">
        <v>2762</v>
      </c>
      <c r="C1216" t="str">
        <f>VLOOKUP(A1216,'Cost Center'!A:C,3,FALSE)</f>
        <v>C700024</v>
      </c>
      <c r="D1216" t="s">
        <v>10643</v>
      </c>
      <c r="E1216" t="s">
        <v>766</v>
      </c>
      <c r="F1216" t="s">
        <v>19556</v>
      </c>
    </row>
    <row r="1217" spans="1:6">
      <c r="A1217">
        <v>93015</v>
      </c>
      <c r="B1217" t="s">
        <v>2763</v>
      </c>
      <c r="C1217" t="str">
        <f>VLOOKUP(A1217,'Cost Center'!A:C,3,FALSE)</f>
        <v>C700025</v>
      </c>
      <c r="D1217" t="s">
        <v>6853</v>
      </c>
      <c r="E1217" t="s">
        <v>766</v>
      </c>
      <c r="F1217" t="s">
        <v>19027</v>
      </c>
    </row>
    <row r="1218" spans="1:6">
      <c r="A1218">
        <v>93025</v>
      </c>
      <c r="B1218" t="s">
        <v>2764</v>
      </c>
      <c r="C1218" t="str">
        <f>VLOOKUP(A1218,'Cost Center'!A:C,3,FALSE)</f>
        <v>C700028</v>
      </c>
      <c r="D1218" t="s">
        <v>6856</v>
      </c>
      <c r="E1218" t="s">
        <v>766</v>
      </c>
      <c r="F1218" t="s">
        <v>19028</v>
      </c>
    </row>
    <row r="1219" spans="1:6">
      <c r="A1219">
        <v>93027</v>
      </c>
      <c r="B1219" t="s">
        <v>2765</v>
      </c>
      <c r="C1219" t="e">
        <f>VLOOKUP(A1219,'Cost Center'!A:C,3,FALSE)</f>
        <v>#N/A</v>
      </c>
      <c r="D1219" t="s">
        <v>3624</v>
      </c>
      <c r="E1219" t="s">
        <v>766</v>
      </c>
      <c r="F1219" t="s">
        <v>20068</v>
      </c>
    </row>
    <row r="1220" spans="1:6">
      <c r="A1220">
        <v>93034</v>
      </c>
      <c r="B1220" t="s">
        <v>2766</v>
      </c>
      <c r="C1220" t="str">
        <f>VLOOKUP(A1220,'Cost Center'!A:C,3,FALSE)</f>
        <v>C700029</v>
      </c>
      <c r="D1220" t="s">
        <v>10660</v>
      </c>
      <c r="E1220" t="s">
        <v>766</v>
      </c>
      <c r="F1220" t="s">
        <v>19558</v>
      </c>
    </row>
    <row r="1221" spans="1:6">
      <c r="A1221">
        <v>93035</v>
      </c>
      <c r="B1221" t="s">
        <v>2767</v>
      </c>
      <c r="C1221" t="str">
        <f>VLOOKUP(A1221,'Cost Center'!A:C,3,FALSE)</f>
        <v>C700030</v>
      </c>
      <c r="D1221" t="s">
        <v>6859</v>
      </c>
      <c r="E1221" t="s">
        <v>766</v>
      </c>
      <c r="F1221" t="s">
        <v>19029</v>
      </c>
    </row>
    <row r="1222" spans="1:6">
      <c r="A1222">
        <v>93036</v>
      </c>
      <c r="B1222" t="s">
        <v>2768</v>
      </c>
      <c r="C1222" t="str">
        <f>VLOOKUP(A1222,'Cost Center'!A:C,3,FALSE)</f>
        <v>C700031</v>
      </c>
      <c r="D1222" t="s">
        <v>10667</v>
      </c>
      <c r="E1222" t="s">
        <v>766</v>
      </c>
      <c r="F1222" t="s">
        <v>19559</v>
      </c>
    </row>
    <row r="1223" spans="1:6">
      <c r="A1223">
        <v>93037</v>
      </c>
      <c r="B1223" t="s">
        <v>2769</v>
      </c>
      <c r="C1223" t="str">
        <f>VLOOKUP(A1223,'Cost Center'!A:C,3,FALSE)</f>
        <v>C700032</v>
      </c>
      <c r="D1223" t="s">
        <v>10670</v>
      </c>
      <c r="E1223" t="s">
        <v>766</v>
      </c>
      <c r="F1223" t="s">
        <v>19560</v>
      </c>
    </row>
    <row r="1224" spans="1:6">
      <c r="A1224">
        <v>93038</v>
      </c>
      <c r="B1224" t="s">
        <v>2770</v>
      </c>
      <c r="C1224" t="str">
        <f>VLOOKUP(A1224,'Cost Center'!A:C,3,FALSE)</f>
        <v>C700033</v>
      </c>
      <c r="D1224" t="s">
        <v>10673</v>
      </c>
      <c r="E1224" t="s">
        <v>766</v>
      </c>
      <c r="F1224" t="s">
        <v>19561</v>
      </c>
    </row>
    <row r="1225" spans="1:6">
      <c r="A1225">
        <v>93039</v>
      </c>
      <c r="B1225" t="s">
        <v>2771</v>
      </c>
      <c r="C1225" t="str">
        <f>VLOOKUP(A1225,'Cost Center'!A:C,3,FALSE)</f>
        <v>C700034</v>
      </c>
      <c r="D1225" t="s">
        <v>10676</v>
      </c>
      <c r="E1225" t="s">
        <v>766</v>
      </c>
      <c r="F1225" t="s">
        <v>19562</v>
      </c>
    </row>
    <row r="1226" spans="1:6">
      <c r="A1226">
        <v>93041</v>
      </c>
      <c r="B1226" t="s">
        <v>2772</v>
      </c>
      <c r="C1226" t="str">
        <f>VLOOKUP(A1226,'Cost Center'!A:C,3,FALSE)</f>
        <v>C700035</v>
      </c>
      <c r="D1226" t="s">
        <v>10679</v>
      </c>
      <c r="E1226" t="s">
        <v>766</v>
      </c>
      <c r="F1226" t="s">
        <v>19563</v>
      </c>
    </row>
    <row r="1227" spans="1:6">
      <c r="A1227">
        <v>93042</v>
      </c>
      <c r="B1227" t="s">
        <v>2773</v>
      </c>
      <c r="C1227" t="str">
        <f>VLOOKUP(A1227,'Cost Center'!A:C,3,FALSE)</f>
        <v>C700036</v>
      </c>
      <c r="D1227" t="s">
        <v>10682</v>
      </c>
      <c r="E1227" t="s">
        <v>766</v>
      </c>
      <c r="F1227" t="s">
        <v>19564</v>
      </c>
    </row>
    <row r="1228" spans="1:6">
      <c r="A1228">
        <v>93043</v>
      </c>
      <c r="B1228" t="s">
        <v>2774</v>
      </c>
      <c r="C1228" t="str">
        <f>VLOOKUP(A1228,'Cost Center'!A:C,3,FALSE)</f>
        <v>C700037</v>
      </c>
      <c r="D1228" t="s">
        <v>10685</v>
      </c>
      <c r="E1228" t="s">
        <v>766</v>
      </c>
      <c r="F1228" t="s">
        <v>19565</v>
      </c>
    </row>
    <row r="1229" spans="1:6">
      <c r="A1229">
        <v>113007</v>
      </c>
      <c r="B1229" t="s">
        <v>2775</v>
      </c>
      <c r="C1229" t="e">
        <f>VLOOKUP(A1229,'Cost Center'!A:C,3,FALSE)</f>
        <v>#N/A</v>
      </c>
      <c r="D1229" t="s">
        <v>3624</v>
      </c>
      <c r="E1229" t="s">
        <v>766</v>
      </c>
      <c r="F1229" t="s">
        <v>20069</v>
      </c>
    </row>
    <row r="1230" spans="1:6">
      <c r="A1230">
        <v>93016</v>
      </c>
      <c r="B1230" t="s">
        <v>2776</v>
      </c>
      <c r="C1230" t="e">
        <f>VLOOKUP(A1230,'Cost Center'!A:C,3,FALSE)</f>
        <v>#N/A</v>
      </c>
      <c r="D1230" t="s">
        <v>3624</v>
      </c>
      <c r="E1230" t="s">
        <v>766</v>
      </c>
      <c r="F1230" t="s">
        <v>20070</v>
      </c>
    </row>
    <row r="1231" spans="1:6">
      <c r="A1231">
        <v>93060</v>
      </c>
      <c r="B1231" t="s">
        <v>2777</v>
      </c>
      <c r="C1231" t="e">
        <f>VLOOKUP(A1231,'Cost Center'!A:C,3,FALSE)</f>
        <v>#N/A</v>
      </c>
      <c r="D1231" t="s">
        <v>3624</v>
      </c>
      <c r="E1231" t="s">
        <v>766</v>
      </c>
      <c r="F1231" t="s">
        <v>20071</v>
      </c>
    </row>
    <row r="1232" spans="1:6">
      <c r="A1232">
        <v>50951</v>
      </c>
      <c r="B1232" t="s">
        <v>2778</v>
      </c>
      <c r="C1232" t="str">
        <f>VLOOKUP(A1232,'Cost Center'!A:C,3,FALSE)</f>
        <v>C703000</v>
      </c>
      <c r="D1232" t="s">
        <v>5954</v>
      </c>
      <c r="E1232" t="s">
        <v>766</v>
      </c>
      <c r="F1232" t="s">
        <v>18754</v>
      </c>
    </row>
    <row r="1233" spans="1:6">
      <c r="A1233">
        <v>50952</v>
      </c>
      <c r="B1233" t="s">
        <v>2779</v>
      </c>
      <c r="C1233" t="str">
        <f>VLOOKUP(A1233,'Cost Center'!A:C,3,FALSE)</f>
        <v>C703001</v>
      </c>
      <c r="D1233" t="s">
        <v>5957</v>
      </c>
      <c r="E1233" t="s">
        <v>766</v>
      </c>
      <c r="F1233" t="s">
        <v>18755</v>
      </c>
    </row>
    <row r="1234" spans="1:6">
      <c r="A1234">
        <v>50953</v>
      </c>
      <c r="B1234" t="s">
        <v>2780</v>
      </c>
      <c r="C1234" t="str">
        <f>VLOOKUP(A1234,'Cost Center'!A:C,3,FALSE)</f>
        <v>C703002</v>
      </c>
      <c r="D1234" t="s">
        <v>5960</v>
      </c>
      <c r="E1234" t="s">
        <v>766</v>
      </c>
      <c r="F1234" t="s">
        <v>18756</v>
      </c>
    </row>
    <row r="1235" spans="1:6">
      <c r="A1235">
        <v>50954</v>
      </c>
      <c r="B1235" t="s">
        <v>2781</v>
      </c>
      <c r="C1235" t="str">
        <f>VLOOKUP(A1235,'Cost Center'!A:C,3,FALSE)</f>
        <v>C703003</v>
      </c>
      <c r="D1235" t="s">
        <v>5963</v>
      </c>
      <c r="E1235" t="s">
        <v>766</v>
      </c>
      <c r="F1235" t="s">
        <v>18757</v>
      </c>
    </row>
    <row r="1236" spans="1:6">
      <c r="A1236">
        <v>11119</v>
      </c>
      <c r="B1236" t="s">
        <v>767</v>
      </c>
      <c r="C1236" t="str">
        <f>VLOOKUP(A1236,'Cost Center'!A:C,3,FALSE)</f>
        <v>C350100</v>
      </c>
      <c r="D1236" t="s">
        <v>6832</v>
      </c>
      <c r="E1236" t="s">
        <v>766</v>
      </c>
      <c r="F1236" t="s">
        <v>19020</v>
      </c>
    </row>
    <row r="1237" spans="1:6">
      <c r="A1237">
        <v>22205</v>
      </c>
      <c r="B1237" t="s">
        <v>790</v>
      </c>
      <c r="C1237" t="str">
        <f>VLOOKUP(A1237,'Cost Center'!A:C,3,FALSE)</f>
        <v>C350101</v>
      </c>
      <c r="D1237" t="s">
        <v>5374</v>
      </c>
      <c r="E1237" t="s">
        <v>766</v>
      </c>
      <c r="F1237" t="s">
        <v>18560</v>
      </c>
    </row>
    <row r="1238" spans="1:6">
      <c r="A1238">
        <v>22350</v>
      </c>
      <c r="B1238" t="s">
        <v>791</v>
      </c>
      <c r="C1238" t="str">
        <f>VLOOKUP(A1238,'Cost Center'!A:C,3,FALSE)</f>
        <v>C350102</v>
      </c>
      <c r="D1238" t="s">
        <v>5389</v>
      </c>
      <c r="E1238" t="s">
        <v>766</v>
      </c>
      <c r="F1238" t="s">
        <v>18564</v>
      </c>
    </row>
    <row r="1239" spans="1:6">
      <c r="A1239">
        <v>22351</v>
      </c>
      <c r="B1239" t="s">
        <v>792</v>
      </c>
      <c r="C1239" t="str">
        <f>VLOOKUP(A1239,'Cost Center'!A:C,3,FALSE)</f>
        <v>C350103</v>
      </c>
      <c r="D1239" t="s">
        <v>5398</v>
      </c>
      <c r="E1239" t="s">
        <v>766</v>
      </c>
      <c r="F1239" t="s">
        <v>18567</v>
      </c>
    </row>
    <row r="1240" spans="1:6">
      <c r="A1240">
        <v>22353</v>
      </c>
      <c r="B1240" t="s">
        <v>793</v>
      </c>
      <c r="C1240" t="str">
        <f>VLOOKUP(A1240,'Cost Center'!A:C,3,FALSE)</f>
        <v>C350104</v>
      </c>
      <c r="D1240" t="s">
        <v>5407</v>
      </c>
      <c r="E1240" t="s">
        <v>766</v>
      </c>
      <c r="F1240" t="s">
        <v>18570</v>
      </c>
    </row>
    <row r="1241" spans="1:6">
      <c r="A1241">
        <v>22357</v>
      </c>
      <c r="B1241" t="s">
        <v>2782</v>
      </c>
      <c r="C1241" t="str">
        <f>VLOOKUP(A1241,'Cost Center'!A:C,3,FALSE)</f>
        <v>C350116</v>
      </c>
      <c r="D1241" t="s">
        <v>5447</v>
      </c>
      <c r="E1241" t="s">
        <v>766</v>
      </c>
      <c r="F1241" t="s">
        <v>18583</v>
      </c>
    </row>
    <row r="1242" spans="1:6">
      <c r="A1242">
        <v>22358</v>
      </c>
      <c r="B1242" t="s">
        <v>2783</v>
      </c>
      <c r="C1242" t="e">
        <f>VLOOKUP(A1242,'Cost Center'!A:C,3,FALSE)</f>
        <v>#N/A</v>
      </c>
      <c r="D1242" t="s">
        <v>3624</v>
      </c>
      <c r="E1242" t="s">
        <v>766</v>
      </c>
      <c r="F1242" t="s">
        <v>20072</v>
      </c>
    </row>
    <row r="1243" spans="1:6">
      <c r="A1243">
        <v>22359</v>
      </c>
      <c r="B1243" t="s">
        <v>794</v>
      </c>
      <c r="C1243" t="str">
        <f>VLOOKUP(A1243,'Cost Center'!A:C,3,FALSE)</f>
        <v>C350105</v>
      </c>
      <c r="D1243" t="s">
        <v>5456</v>
      </c>
      <c r="E1243" t="s">
        <v>766</v>
      </c>
      <c r="F1243" t="s">
        <v>18586</v>
      </c>
    </row>
    <row r="1244" spans="1:6">
      <c r="A1244">
        <v>22360</v>
      </c>
      <c r="B1244" t="s">
        <v>2784</v>
      </c>
      <c r="C1244" t="e">
        <f>VLOOKUP(A1244,'Cost Center'!A:C,3,FALSE)</f>
        <v>#N/A</v>
      </c>
      <c r="D1244" t="s">
        <v>3624</v>
      </c>
      <c r="E1244" t="s">
        <v>766</v>
      </c>
      <c r="F1244" t="s">
        <v>20073</v>
      </c>
    </row>
    <row r="1245" spans="1:6">
      <c r="A1245">
        <v>22361</v>
      </c>
      <c r="B1245" t="s">
        <v>795</v>
      </c>
      <c r="C1245" t="str">
        <f>VLOOKUP(A1245,'Cost Center'!A:C,3,FALSE)</f>
        <v>C350106</v>
      </c>
      <c r="D1245" t="s">
        <v>6844</v>
      </c>
      <c r="E1245" t="s">
        <v>766</v>
      </c>
      <c r="F1245" t="s">
        <v>19024</v>
      </c>
    </row>
    <row r="1246" spans="1:6">
      <c r="A1246">
        <v>22363</v>
      </c>
      <c r="B1246" t="s">
        <v>2785</v>
      </c>
      <c r="C1246" t="e">
        <f>VLOOKUP(A1246,'Cost Center'!A:C,3,FALSE)</f>
        <v>#N/A</v>
      </c>
      <c r="D1246" t="s">
        <v>3624</v>
      </c>
      <c r="E1246" t="s">
        <v>766</v>
      </c>
      <c r="F1246" t="s">
        <v>20074</v>
      </c>
    </row>
    <row r="1247" spans="1:6">
      <c r="A1247">
        <v>22365</v>
      </c>
      <c r="B1247" t="s">
        <v>2786</v>
      </c>
      <c r="C1247" t="e">
        <f>VLOOKUP(A1247,'Cost Center'!A:C,3,FALSE)</f>
        <v>#N/A</v>
      </c>
      <c r="D1247" t="s">
        <v>3624</v>
      </c>
      <c r="E1247" t="s">
        <v>766</v>
      </c>
      <c r="F1247" t="s">
        <v>20075</v>
      </c>
    </row>
    <row r="1248" spans="1:6">
      <c r="A1248">
        <v>51700</v>
      </c>
      <c r="B1248" t="s">
        <v>880</v>
      </c>
      <c r="C1248" t="str">
        <f>VLOOKUP(A1248,'Cost Center'!A:C,3,FALSE)</f>
        <v>C350107</v>
      </c>
      <c r="D1248" t="s">
        <v>5971</v>
      </c>
      <c r="E1248" t="s">
        <v>766</v>
      </c>
      <c r="F1248" t="s">
        <v>18760</v>
      </c>
    </row>
    <row r="1249" spans="1:6">
      <c r="A1249">
        <v>51702</v>
      </c>
      <c r="B1249" t="s">
        <v>881</v>
      </c>
      <c r="C1249" t="str">
        <f>VLOOKUP(A1249,'Cost Center'!A:C,3,FALSE)</f>
        <v>C350108</v>
      </c>
      <c r="D1249" t="s">
        <v>5977</v>
      </c>
      <c r="E1249" t="s">
        <v>766</v>
      </c>
      <c r="F1249" t="s">
        <v>18762</v>
      </c>
    </row>
    <row r="1250" spans="1:6">
      <c r="A1250">
        <v>51705</v>
      </c>
      <c r="B1250" t="s">
        <v>882</v>
      </c>
      <c r="C1250" t="str">
        <f>VLOOKUP(A1250,'Cost Center'!A:C,3,FALSE)</f>
        <v>C350109</v>
      </c>
      <c r="D1250" t="s">
        <v>5980</v>
      </c>
      <c r="E1250" t="s">
        <v>766</v>
      </c>
      <c r="F1250" t="s">
        <v>18763</v>
      </c>
    </row>
    <row r="1251" spans="1:6">
      <c r="A1251">
        <v>51708</v>
      </c>
      <c r="B1251" t="s">
        <v>883</v>
      </c>
      <c r="C1251" t="str">
        <f>VLOOKUP(A1251,'Cost Center'!A:C,3,FALSE)</f>
        <v>C350110</v>
      </c>
      <c r="D1251" t="s">
        <v>5983</v>
      </c>
      <c r="E1251" t="s">
        <v>766</v>
      </c>
      <c r="F1251" t="s">
        <v>18764</v>
      </c>
    </row>
    <row r="1252" spans="1:6">
      <c r="A1252">
        <v>51709</v>
      </c>
      <c r="B1252" t="s">
        <v>884</v>
      </c>
      <c r="C1252" t="str">
        <f>VLOOKUP(A1252,'Cost Center'!A:C,3,FALSE)</f>
        <v>C350111</v>
      </c>
      <c r="D1252" t="s">
        <v>5986</v>
      </c>
      <c r="E1252" t="s">
        <v>766</v>
      </c>
      <c r="F1252" t="s">
        <v>18765</v>
      </c>
    </row>
    <row r="1253" spans="1:6">
      <c r="A1253">
        <v>51711</v>
      </c>
      <c r="B1253" t="s">
        <v>885</v>
      </c>
      <c r="C1253" t="str">
        <f>VLOOKUP(A1253,'Cost Center'!A:C,3,FALSE)</f>
        <v>C350112</v>
      </c>
      <c r="D1253" t="s">
        <v>5989</v>
      </c>
      <c r="E1253" t="s">
        <v>766</v>
      </c>
      <c r="F1253" t="s">
        <v>18766</v>
      </c>
    </row>
    <row r="1254" spans="1:6">
      <c r="A1254">
        <v>51723</v>
      </c>
      <c r="B1254" t="s">
        <v>886</v>
      </c>
      <c r="C1254" t="str">
        <f>VLOOKUP(A1254,'Cost Center'!A:C,3,FALSE)</f>
        <v>C350113</v>
      </c>
      <c r="D1254" t="s">
        <v>5992</v>
      </c>
      <c r="E1254" t="s">
        <v>766</v>
      </c>
      <c r="F1254" t="s">
        <v>18767</v>
      </c>
    </row>
    <row r="1255" spans="1:6">
      <c r="A1255">
        <v>51724</v>
      </c>
      <c r="B1255" t="s">
        <v>887</v>
      </c>
      <c r="C1255" t="str">
        <f>VLOOKUP(A1255,'Cost Center'!A:C,3,FALSE)</f>
        <v>C350114</v>
      </c>
      <c r="D1255" t="s">
        <v>5995</v>
      </c>
      <c r="E1255" t="s">
        <v>766</v>
      </c>
      <c r="F1255" t="s">
        <v>18768</v>
      </c>
    </row>
    <row r="1256" spans="1:6">
      <c r="A1256">
        <v>51725</v>
      </c>
      <c r="B1256" t="s">
        <v>2787</v>
      </c>
      <c r="C1256" t="str">
        <f>VLOOKUP(A1256,'Cost Center'!A:C,3,FALSE)</f>
        <v>C350117</v>
      </c>
      <c r="D1256" t="s">
        <v>5998</v>
      </c>
      <c r="E1256" t="s">
        <v>766</v>
      </c>
      <c r="F1256" t="s">
        <v>18769</v>
      </c>
    </row>
    <row r="1257" spans="1:6">
      <c r="A1257">
        <v>51731</v>
      </c>
      <c r="B1257" t="s">
        <v>2788</v>
      </c>
      <c r="C1257" t="e">
        <f>VLOOKUP(A1257,'Cost Center'!A:C,3,FALSE)</f>
        <v>#N/A</v>
      </c>
      <c r="D1257" t="s">
        <v>3624</v>
      </c>
      <c r="E1257" t="s">
        <v>766</v>
      </c>
      <c r="F1257" t="s">
        <v>20076</v>
      </c>
    </row>
    <row r="1258" spans="1:6">
      <c r="A1258">
        <v>51732</v>
      </c>
      <c r="B1258" t="s">
        <v>2789</v>
      </c>
      <c r="C1258" t="e">
        <f>VLOOKUP(A1258,'Cost Center'!A:C,3,FALSE)</f>
        <v>#N/A</v>
      </c>
      <c r="D1258" t="s">
        <v>3624</v>
      </c>
      <c r="E1258" t="s">
        <v>766</v>
      </c>
      <c r="F1258" t="s">
        <v>20077</v>
      </c>
    </row>
    <row r="1259" spans="1:6">
      <c r="A1259">
        <v>51734</v>
      </c>
      <c r="B1259" t="s">
        <v>2790</v>
      </c>
      <c r="C1259" t="e">
        <f>VLOOKUP(A1259,'Cost Center'!A:C,3,FALSE)</f>
        <v>#N/A</v>
      </c>
      <c r="D1259" t="s">
        <v>3624</v>
      </c>
      <c r="E1259" t="s">
        <v>766</v>
      </c>
      <c r="F1259" t="s">
        <v>20078</v>
      </c>
    </row>
    <row r="1260" spans="1:6">
      <c r="A1260">
        <v>51740</v>
      </c>
      <c r="B1260" t="s">
        <v>888</v>
      </c>
      <c r="C1260" t="str">
        <f>VLOOKUP(A1260,'Cost Center'!A:C,3,FALSE)</f>
        <v>C350118</v>
      </c>
      <c r="D1260" t="s">
        <v>6001</v>
      </c>
      <c r="E1260" t="s">
        <v>766</v>
      </c>
      <c r="F1260" t="s">
        <v>18770</v>
      </c>
    </row>
    <row r="1261" spans="1:6">
      <c r="A1261">
        <v>51741</v>
      </c>
      <c r="B1261" t="s">
        <v>2791</v>
      </c>
      <c r="C1261" t="e">
        <f>VLOOKUP(A1261,'Cost Center'!A:C,3,FALSE)</f>
        <v>#N/A</v>
      </c>
      <c r="D1261" t="s">
        <v>3624</v>
      </c>
      <c r="E1261" t="s">
        <v>766</v>
      </c>
      <c r="F1261" t="s">
        <v>20079</v>
      </c>
    </row>
    <row r="1262" spans="1:6">
      <c r="A1262">
        <v>51750</v>
      </c>
      <c r="B1262" t="s">
        <v>2792</v>
      </c>
      <c r="C1262" t="e">
        <f>VLOOKUP(A1262,'Cost Center'!A:C,3,FALSE)</f>
        <v>#N/A</v>
      </c>
      <c r="D1262" t="s">
        <v>3624</v>
      </c>
      <c r="E1262" t="s">
        <v>766</v>
      </c>
      <c r="F1262" t="s">
        <v>20080</v>
      </c>
    </row>
    <row r="1263" spans="1:6">
      <c r="A1263">
        <v>51775</v>
      </c>
      <c r="B1263" t="s">
        <v>889</v>
      </c>
      <c r="C1263" t="str">
        <f>VLOOKUP(A1263,'Cost Center'!A:C,3,FALSE)</f>
        <v>C350115</v>
      </c>
      <c r="D1263" t="s">
        <v>6004</v>
      </c>
      <c r="E1263" t="s">
        <v>766</v>
      </c>
      <c r="F1263" t="s">
        <v>18771</v>
      </c>
    </row>
    <row r="1264" spans="1:6">
      <c r="A1264">
        <v>51776</v>
      </c>
      <c r="B1264" t="s">
        <v>2793</v>
      </c>
      <c r="C1264" t="str">
        <f>VLOOKUP(A1264,'Cost Center'!A:C,3,FALSE)</f>
        <v>C350119</v>
      </c>
      <c r="D1264" t="s">
        <v>6007</v>
      </c>
      <c r="E1264" t="s">
        <v>766</v>
      </c>
      <c r="F1264" t="s">
        <v>18772</v>
      </c>
    </row>
    <row r="1265" spans="1:6">
      <c r="A1265">
        <v>51777</v>
      </c>
      <c r="B1265" t="s">
        <v>2794</v>
      </c>
      <c r="C1265" t="e">
        <f>VLOOKUP(A1265,'Cost Center'!A:C,3,FALSE)</f>
        <v>#N/A</v>
      </c>
      <c r="D1265" t="s">
        <v>3624</v>
      </c>
      <c r="E1265" t="s">
        <v>766</v>
      </c>
      <c r="F1265" t="s">
        <v>20081</v>
      </c>
    </row>
    <row r="1266" spans="1:6">
      <c r="A1266" t="s">
        <v>2795</v>
      </c>
      <c r="B1266" t="s">
        <v>2796</v>
      </c>
      <c r="C1266" t="str">
        <f>VLOOKUP(A1266,'Cost Center'!A:C,3,FALSE)</f>
        <v>C505038</v>
      </c>
      <c r="D1266" t="s">
        <v>8379</v>
      </c>
      <c r="E1266" t="s">
        <v>685</v>
      </c>
      <c r="F1266" t="s">
        <v>2795</v>
      </c>
    </row>
    <row r="1267" spans="1:6">
      <c r="A1267" t="s">
        <v>6</v>
      </c>
      <c r="B1267" t="s">
        <v>1772</v>
      </c>
      <c r="C1267" t="str">
        <f>VLOOKUP(A1267,'Cost Center'!A:C,3,FALSE)</f>
        <v>C505039</v>
      </c>
      <c r="D1267" t="s">
        <v>8382</v>
      </c>
      <c r="E1267" t="s">
        <v>685</v>
      </c>
      <c r="F1267" t="s">
        <v>6</v>
      </c>
    </row>
    <row r="1268" spans="1:6">
      <c r="A1268" t="s">
        <v>2797</v>
      </c>
      <c r="B1268" t="s">
        <v>2798</v>
      </c>
      <c r="C1268" t="str">
        <f>VLOOKUP(A1268,'Cost Center'!A:C,3,FALSE)</f>
        <v>C505062</v>
      </c>
      <c r="D1268" t="s">
        <v>3624</v>
      </c>
      <c r="E1268" t="s">
        <v>685</v>
      </c>
      <c r="F1268" t="s">
        <v>2797</v>
      </c>
    </row>
    <row r="1269" spans="1:6">
      <c r="A1269" t="s">
        <v>1773</v>
      </c>
      <c r="B1269" t="s">
        <v>1774</v>
      </c>
      <c r="C1269" t="str">
        <f>VLOOKUP(A1269,'Cost Center'!A:C,3,FALSE)</f>
        <v>C505040</v>
      </c>
      <c r="D1269" t="s">
        <v>8385</v>
      </c>
      <c r="E1269" t="s">
        <v>685</v>
      </c>
      <c r="F1269" t="s">
        <v>1773</v>
      </c>
    </row>
    <row r="1270" spans="1:6">
      <c r="A1270" t="s">
        <v>7</v>
      </c>
      <c r="B1270" t="s">
        <v>1775</v>
      </c>
      <c r="C1270" t="str">
        <f>VLOOKUP(A1270,'Cost Center'!A:C,3,FALSE)</f>
        <v>C505041</v>
      </c>
      <c r="D1270" t="s">
        <v>8388</v>
      </c>
      <c r="E1270" t="s">
        <v>685</v>
      </c>
      <c r="F1270" t="s">
        <v>7</v>
      </c>
    </row>
    <row r="1271" spans="1:6">
      <c r="A1271" t="s">
        <v>2799</v>
      </c>
      <c r="B1271" t="s">
        <v>2800</v>
      </c>
      <c r="C1271" t="str">
        <f>VLOOKUP(A1271,'Cost Center'!A:C,3,FALSE)</f>
        <v>C500350</v>
      </c>
      <c r="D1271" t="s">
        <v>8009</v>
      </c>
      <c r="E1271" t="s">
        <v>685</v>
      </c>
      <c r="F1271" t="s">
        <v>2799</v>
      </c>
    </row>
    <row r="1272" spans="1:6">
      <c r="A1272" t="s">
        <v>2801</v>
      </c>
      <c r="B1272" t="s">
        <v>2802</v>
      </c>
      <c r="C1272" t="str">
        <f>VLOOKUP(A1272,'Cost Center'!A:C,3,FALSE)</f>
        <v>C500351</v>
      </c>
      <c r="D1272" t="s">
        <v>12615</v>
      </c>
      <c r="E1272" t="s">
        <v>685</v>
      </c>
      <c r="F1272" t="s">
        <v>2801</v>
      </c>
    </row>
    <row r="1273" spans="1:6">
      <c r="A1273" t="s">
        <v>2803</v>
      </c>
      <c r="B1273" t="s">
        <v>2804</v>
      </c>
      <c r="C1273" t="str">
        <f>VLOOKUP(A1273,'Cost Center'!A:C,3,FALSE)</f>
        <v>C500352</v>
      </c>
      <c r="D1273" t="s">
        <v>8015</v>
      </c>
      <c r="E1273" t="s">
        <v>685</v>
      </c>
      <c r="F1273" t="s">
        <v>2803</v>
      </c>
    </row>
    <row r="1274" spans="1:6">
      <c r="A1274" t="s">
        <v>2805</v>
      </c>
      <c r="B1274" t="s">
        <v>2806</v>
      </c>
      <c r="C1274" t="str">
        <f>VLOOKUP(A1274,'Cost Center'!A:C,3,FALSE)</f>
        <v>C500353</v>
      </c>
      <c r="D1274" t="s">
        <v>8018</v>
      </c>
      <c r="E1274" t="s">
        <v>685</v>
      </c>
      <c r="F1274" t="s">
        <v>2805</v>
      </c>
    </row>
    <row r="1275" spans="1:6">
      <c r="A1275" t="s">
        <v>2807</v>
      </c>
      <c r="B1275" t="s">
        <v>2808</v>
      </c>
      <c r="C1275" t="str">
        <f>VLOOKUP(A1275,'Cost Center'!A:C,3,FALSE)</f>
        <v>C500354</v>
      </c>
      <c r="D1275" t="s">
        <v>8021</v>
      </c>
      <c r="E1275" t="s">
        <v>685</v>
      </c>
      <c r="F1275" t="s">
        <v>2807</v>
      </c>
    </row>
    <row r="1276" spans="1:6">
      <c r="A1276" t="s">
        <v>2809</v>
      </c>
      <c r="B1276" t="s">
        <v>2810</v>
      </c>
      <c r="C1276" t="str">
        <f>VLOOKUP(A1276,'Cost Center'!A:C,3,FALSE)</f>
        <v>C500356</v>
      </c>
      <c r="D1276" t="s">
        <v>8027</v>
      </c>
      <c r="E1276" t="s">
        <v>685</v>
      </c>
      <c r="F1276" t="s">
        <v>2809</v>
      </c>
    </row>
    <row r="1277" spans="1:6">
      <c r="A1277" t="s">
        <v>8</v>
      </c>
      <c r="B1277" t="s">
        <v>1776</v>
      </c>
      <c r="C1277" t="str">
        <f>VLOOKUP(A1277,'Cost Center'!A:C,3,FALSE)</f>
        <v>C505042</v>
      </c>
      <c r="D1277" t="s">
        <v>8391</v>
      </c>
      <c r="E1277" t="s">
        <v>685</v>
      </c>
      <c r="F1277" t="s">
        <v>8</v>
      </c>
    </row>
    <row r="1278" spans="1:6">
      <c r="A1278" t="s">
        <v>9</v>
      </c>
      <c r="B1278" t="s">
        <v>1777</v>
      </c>
      <c r="C1278" t="str">
        <f>VLOOKUP(A1278,'Cost Center'!A:C,3,FALSE)</f>
        <v>C505043</v>
      </c>
      <c r="D1278" t="s">
        <v>8394</v>
      </c>
      <c r="E1278" t="s">
        <v>685</v>
      </c>
      <c r="F1278" t="s">
        <v>9</v>
      </c>
    </row>
    <row r="1279" spans="1:6">
      <c r="A1279" t="s">
        <v>1931</v>
      </c>
      <c r="B1279" t="s">
        <v>2811</v>
      </c>
      <c r="C1279" t="str">
        <f>VLOOKUP(A1279,'Cost Center'!A:C,3,FALSE)</f>
        <v>C505000</v>
      </c>
      <c r="D1279" t="s">
        <v>8279</v>
      </c>
      <c r="E1279" t="s">
        <v>685</v>
      </c>
      <c r="F1279" t="s">
        <v>1931</v>
      </c>
    </row>
    <row r="1280" spans="1:6">
      <c r="A1280" t="s">
        <v>2812</v>
      </c>
      <c r="B1280" t="s">
        <v>2813</v>
      </c>
      <c r="C1280" t="e">
        <f>VLOOKUP(A1280,'Cost Center'!A:C,3,FALSE)</f>
        <v>#N/A</v>
      </c>
      <c r="D1280" t="s">
        <v>3624</v>
      </c>
      <c r="E1280" t="s">
        <v>685</v>
      </c>
      <c r="F1280" t="s">
        <v>2812</v>
      </c>
    </row>
    <row r="1281" spans="1:6">
      <c r="A1281" t="s">
        <v>10</v>
      </c>
      <c r="B1281" t="s">
        <v>1778</v>
      </c>
      <c r="C1281" t="str">
        <f>VLOOKUP(A1281,'Cost Center'!A:C,3,FALSE)</f>
        <v>C505001</v>
      </c>
      <c r="D1281" t="s">
        <v>8282</v>
      </c>
      <c r="E1281" t="s">
        <v>685</v>
      </c>
      <c r="F1281" t="s">
        <v>10</v>
      </c>
    </row>
    <row r="1282" spans="1:6">
      <c r="A1282" t="s">
        <v>2814</v>
      </c>
      <c r="B1282" t="s">
        <v>2815</v>
      </c>
      <c r="C1282" t="e">
        <f>VLOOKUP(A1282,'Cost Center'!A:C,3,FALSE)</f>
        <v>#N/A</v>
      </c>
      <c r="D1282" t="s">
        <v>3624</v>
      </c>
      <c r="E1282" t="s">
        <v>685</v>
      </c>
      <c r="F1282" t="s">
        <v>2814</v>
      </c>
    </row>
    <row r="1283" spans="1:6">
      <c r="A1283" t="s">
        <v>2816</v>
      </c>
      <c r="B1283" t="s">
        <v>2817</v>
      </c>
      <c r="C1283" t="e">
        <f>VLOOKUP(A1283,'Cost Center'!A:C,3,FALSE)</f>
        <v>#N/A</v>
      </c>
      <c r="D1283" t="s">
        <v>3624</v>
      </c>
      <c r="E1283" t="s">
        <v>685</v>
      </c>
      <c r="F1283" t="s">
        <v>2816</v>
      </c>
    </row>
    <row r="1284" spans="1:6">
      <c r="A1284" t="s">
        <v>11</v>
      </c>
      <c r="B1284" t="s">
        <v>1779</v>
      </c>
      <c r="C1284" t="str">
        <f>VLOOKUP(A1284,'Cost Center'!A:C,3,FALSE)</f>
        <v>C505044</v>
      </c>
      <c r="D1284" t="s">
        <v>8397</v>
      </c>
      <c r="E1284" t="s">
        <v>685</v>
      </c>
      <c r="F1284" t="s">
        <v>11</v>
      </c>
    </row>
    <row r="1285" spans="1:6">
      <c r="A1285" t="s">
        <v>12</v>
      </c>
      <c r="B1285" t="s">
        <v>1780</v>
      </c>
      <c r="C1285" t="str">
        <f>VLOOKUP(A1285,'Cost Center'!A:C,3,FALSE)</f>
        <v>C505002</v>
      </c>
      <c r="D1285" t="s">
        <v>12646</v>
      </c>
      <c r="E1285" t="s">
        <v>685</v>
      </c>
      <c r="F1285" t="s">
        <v>12</v>
      </c>
    </row>
    <row r="1286" spans="1:6">
      <c r="A1286" t="s">
        <v>1915</v>
      </c>
      <c r="B1286" t="s">
        <v>2818</v>
      </c>
      <c r="C1286" t="str">
        <f>VLOOKUP(A1286,'Cost Center'!A:C,3,FALSE)</f>
        <v>C505003</v>
      </c>
      <c r="D1286" t="s">
        <v>12649</v>
      </c>
      <c r="E1286" t="s">
        <v>685</v>
      </c>
      <c r="F1286" t="s">
        <v>1915</v>
      </c>
    </row>
    <row r="1287" spans="1:6">
      <c r="A1287" t="s">
        <v>14</v>
      </c>
      <c r="B1287" t="s">
        <v>1782</v>
      </c>
      <c r="C1287" t="str">
        <f>VLOOKUP(A1287,'Cost Center'!A:C,3,FALSE)</f>
        <v>C505005</v>
      </c>
      <c r="D1287" t="s">
        <v>12655</v>
      </c>
      <c r="E1287" t="s">
        <v>685</v>
      </c>
      <c r="F1287" t="s">
        <v>14</v>
      </c>
    </row>
    <row r="1288" spans="1:6">
      <c r="A1288" t="s">
        <v>1783</v>
      </c>
      <c r="B1288" t="s">
        <v>1784</v>
      </c>
      <c r="C1288" t="str">
        <f>VLOOKUP(A1288,'Cost Center'!A:C,3,FALSE)</f>
        <v>C505050</v>
      </c>
      <c r="D1288" t="s">
        <v>12661</v>
      </c>
      <c r="E1288" t="s">
        <v>685</v>
      </c>
      <c r="F1288" t="s">
        <v>1783</v>
      </c>
    </row>
    <row r="1289" spans="1:6">
      <c r="A1289" t="s">
        <v>15</v>
      </c>
      <c r="B1289" t="s">
        <v>1785</v>
      </c>
      <c r="C1289" t="str">
        <f>VLOOKUP(A1289,'Cost Center'!A:C,3,FALSE)</f>
        <v>C505045</v>
      </c>
      <c r="D1289" t="s">
        <v>12667</v>
      </c>
      <c r="E1289" t="s">
        <v>685</v>
      </c>
      <c r="F1289" t="s">
        <v>15</v>
      </c>
    </row>
    <row r="1290" spans="1:6">
      <c r="A1290" t="s">
        <v>16</v>
      </c>
      <c r="B1290" t="s">
        <v>1786</v>
      </c>
      <c r="C1290" t="str">
        <f>VLOOKUP(A1290,'Cost Center'!A:C,3,FALSE)</f>
        <v>C505006</v>
      </c>
      <c r="D1290" t="s">
        <v>12676</v>
      </c>
      <c r="E1290" t="s">
        <v>685</v>
      </c>
      <c r="F1290" t="s">
        <v>16</v>
      </c>
    </row>
    <row r="1291" spans="1:6">
      <c r="A1291" t="s">
        <v>17</v>
      </c>
      <c r="B1291" t="s">
        <v>1789</v>
      </c>
      <c r="C1291" t="str">
        <f>VLOOKUP(A1291,'Cost Center'!A:C,3,FALSE)</f>
        <v>C505007</v>
      </c>
      <c r="D1291" t="s">
        <v>8295</v>
      </c>
      <c r="E1291" t="s">
        <v>685</v>
      </c>
      <c r="F1291" t="s">
        <v>17</v>
      </c>
    </row>
    <row r="1292" spans="1:6">
      <c r="A1292" t="s">
        <v>18</v>
      </c>
      <c r="B1292" t="s">
        <v>1790</v>
      </c>
      <c r="C1292" t="str">
        <f>VLOOKUP(A1292,'Cost Center'!A:C,3,FALSE)</f>
        <v>C505008</v>
      </c>
      <c r="D1292" t="s">
        <v>8298</v>
      </c>
      <c r="E1292" t="s">
        <v>685</v>
      </c>
      <c r="F1292" t="s">
        <v>18</v>
      </c>
    </row>
    <row r="1293" spans="1:6">
      <c r="A1293" t="s">
        <v>19</v>
      </c>
      <c r="B1293" t="s">
        <v>1791</v>
      </c>
      <c r="C1293" t="str">
        <f>VLOOKUP(A1293,'Cost Center'!A:C,3,FALSE)</f>
        <v>C505009</v>
      </c>
      <c r="D1293" t="s">
        <v>8301</v>
      </c>
      <c r="E1293" t="s">
        <v>685</v>
      </c>
      <c r="F1293" t="s">
        <v>19</v>
      </c>
    </row>
    <row r="1294" spans="1:6">
      <c r="A1294" t="s">
        <v>20</v>
      </c>
      <c r="B1294" t="s">
        <v>1792</v>
      </c>
      <c r="C1294" t="str">
        <f>VLOOKUP(A1294,'Cost Center'!A:C,3,FALSE)</f>
        <v>C505010</v>
      </c>
      <c r="D1294" t="s">
        <v>8304</v>
      </c>
      <c r="E1294" t="s">
        <v>685</v>
      </c>
      <c r="F1294" t="s">
        <v>20</v>
      </c>
    </row>
    <row r="1295" spans="1:6">
      <c r="A1295" t="s">
        <v>21</v>
      </c>
      <c r="B1295" t="s">
        <v>1793</v>
      </c>
      <c r="C1295" t="str">
        <f>VLOOKUP(A1295,'Cost Center'!A:C,3,FALSE)</f>
        <v>C505011</v>
      </c>
      <c r="D1295" t="s">
        <v>8307</v>
      </c>
      <c r="E1295" t="s">
        <v>685</v>
      </c>
      <c r="F1295" t="s">
        <v>21</v>
      </c>
    </row>
    <row r="1296" spans="1:6">
      <c r="A1296" t="s">
        <v>2819</v>
      </c>
      <c r="B1296" t="s">
        <v>2820</v>
      </c>
      <c r="C1296" t="e">
        <f>VLOOKUP(A1296,'Cost Center'!A:C,3,FALSE)</f>
        <v>#N/A</v>
      </c>
      <c r="D1296" t="s">
        <v>3624</v>
      </c>
      <c r="E1296" t="s">
        <v>685</v>
      </c>
      <c r="F1296" t="s">
        <v>2819</v>
      </c>
    </row>
    <row r="1297" spans="1:6">
      <c r="A1297" t="s">
        <v>22</v>
      </c>
      <c r="B1297" t="s">
        <v>1794</v>
      </c>
      <c r="C1297" t="str">
        <f>VLOOKUP(A1297,'Cost Center'!A:C,3,FALSE)</f>
        <v>C505012</v>
      </c>
      <c r="D1297" t="s">
        <v>8310</v>
      </c>
      <c r="E1297" t="s">
        <v>685</v>
      </c>
      <c r="F1297" t="s">
        <v>22</v>
      </c>
    </row>
    <row r="1298" spans="1:6">
      <c r="A1298" t="s">
        <v>23</v>
      </c>
      <c r="B1298" t="s">
        <v>1795</v>
      </c>
      <c r="C1298" t="str">
        <f>VLOOKUP(A1298,'Cost Center'!A:C,3,FALSE)</f>
        <v>C505013</v>
      </c>
      <c r="D1298" t="s">
        <v>8313</v>
      </c>
      <c r="E1298" t="s">
        <v>685</v>
      </c>
      <c r="F1298" t="s">
        <v>23</v>
      </c>
    </row>
    <row r="1299" spans="1:6">
      <c r="A1299" t="s">
        <v>24</v>
      </c>
      <c r="B1299" t="s">
        <v>1796</v>
      </c>
      <c r="C1299" t="str">
        <f>VLOOKUP(A1299,'Cost Center'!A:C,3,FALSE)</f>
        <v>C505014</v>
      </c>
      <c r="D1299" t="s">
        <v>8316</v>
      </c>
      <c r="E1299" t="s">
        <v>685</v>
      </c>
      <c r="F1299" t="s">
        <v>24</v>
      </c>
    </row>
    <row r="1300" spans="1:6">
      <c r="A1300" t="s">
        <v>25</v>
      </c>
      <c r="B1300" t="s">
        <v>1797</v>
      </c>
      <c r="C1300" t="str">
        <f>VLOOKUP(A1300,'Cost Center'!A:C,3,FALSE)</f>
        <v>C505015</v>
      </c>
      <c r="D1300" t="s">
        <v>8319</v>
      </c>
      <c r="E1300" t="s">
        <v>685</v>
      </c>
      <c r="F1300" t="s">
        <v>25</v>
      </c>
    </row>
    <row r="1301" spans="1:6">
      <c r="A1301" t="s">
        <v>26</v>
      </c>
      <c r="B1301" t="s">
        <v>1798</v>
      </c>
      <c r="C1301" t="str">
        <f>VLOOKUP(A1301,'Cost Center'!A:C,3,FALSE)</f>
        <v>C505016</v>
      </c>
      <c r="D1301" t="s">
        <v>8322</v>
      </c>
      <c r="E1301" t="s">
        <v>685</v>
      </c>
      <c r="F1301" t="s">
        <v>26</v>
      </c>
    </row>
    <row r="1302" spans="1:6">
      <c r="A1302" t="s">
        <v>27</v>
      </c>
      <c r="B1302" t="s">
        <v>1799</v>
      </c>
      <c r="C1302" t="str">
        <f>VLOOKUP(A1302,'Cost Center'!A:C,3,FALSE)</f>
        <v>C505017</v>
      </c>
      <c r="D1302" t="s">
        <v>8325</v>
      </c>
      <c r="E1302" t="s">
        <v>685</v>
      </c>
      <c r="F1302" t="s">
        <v>27</v>
      </c>
    </row>
    <row r="1303" spans="1:6">
      <c r="A1303" t="s">
        <v>2821</v>
      </c>
      <c r="B1303" t="s">
        <v>2822</v>
      </c>
      <c r="C1303" t="e">
        <f>VLOOKUP(A1303,'Cost Center'!A:C,3,FALSE)</f>
        <v>#N/A</v>
      </c>
      <c r="D1303" t="s">
        <v>3624</v>
      </c>
      <c r="E1303" t="s">
        <v>685</v>
      </c>
      <c r="F1303" t="s">
        <v>2821</v>
      </c>
    </row>
    <row r="1304" spans="1:6">
      <c r="A1304" t="s">
        <v>28</v>
      </c>
      <c r="B1304" t="s">
        <v>1800</v>
      </c>
      <c r="C1304" t="str">
        <f>VLOOKUP(A1304,'Cost Center'!A:C,3,FALSE)</f>
        <v>C505018</v>
      </c>
      <c r="D1304" t="s">
        <v>12691</v>
      </c>
      <c r="E1304" t="s">
        <v>685</v>
      </c>
      <c r="F1304" t="s">
        <v>28</v>
      </c>
    </row>
    <row r="1305" spans="1:6">
      <c r="A1305" t="s">
        <v>29</v>
      </c>
      <c r="B1305" t="s">
        <v>1801</v>
      </c>
      <c r="C1305" t="str">
        <f>VLOOKUP(A1305,'Cost Center'!A:C,3,FALSE)</f>
        <v>C505019</v>
      </c>
      <c r="D1305" t="s">
        <v>8330</v>
      </c>
      <c r="E1305" t="s">
        <v>685</v>
      </c>
      <c r="F1305" t="s">
        <v>29</v>
      </c>
    </row>
    <row r="1306" spans="1:6">
      <c r="A1306" t="s">
        <v>30</v>
      </c>
      <c r="B1306" t="s">
        <v>1802</v>
      </c>
      <c r="C1306" t="str">
        <f>VLOOKUP(A1306,'Cost Center'!A:C,3,FALSE)</f>
        <v>C505020</v>
      </c>
      <c r="D1306" t="s">
        <v>8333</v>
      </c>
      <c r="E1306" t="s">
        <v>685</v>
      </c>
      <c r="F1306" t="s">
        <v>30</v>
      </c>
    </row>
    <row r="1307" spans="1:6">
      <c r="A1307" t="s">
        <v>31</v>
      </c>
      <c r="B1307" t="s">
        <v>1803</v>
      </c>
      <c r="C1307" t="str">
        <f>VLOOKUP(A1307,'Cost Center'!A:C,3,FALSE)</f>
        <v>C505021</v>
      </c>
      <c r="D1307" t="s">
        <v>8336</v>
      </c>
      <c r="E1307" t="s">
        <v>685</v>
      </c>
      <c r="F1307" t="s">
        <v>31</v>
      </c>
    </row>
    <row r="1308" spans="1:6">
      <c r="A1308" t="s">
        <v>2823</v>
      </c>
      <c r="B1308" t="s">
        <v>2824</v>
      </c>
      <c r="C1308" t="e">
        <f>VLOOKUP(A1308,'Cost Center'!A:C,3,FALSE)</f>
        <v>#N/A</v>
      </c>
      <c r="D1308" t="s">
        <v>3624</v>
      </c>
      <c r="E1308" t="s">
        <v>685</v>
      </c>
      <c r="F1308" t="s">
        <v>2823</v>
      </c>
    </row>
    <row r="1309" spans="1:6">
      <c r="A1309" t="s">
        <v>2825</v>
      </c>
      <c r="B1309" t="s">
        <v>2826</v>
      </c>
      <c r="C1309" t="e">
        <f>VLOOKUP(A1309,'Cost Center'!A:C,3,FALSE)</f>
        <v>#N/A</v>
      </c>
      <c r="D1309" t="s">
        <v>3624</v>
      </c>
      <c r="E1309" t="s">
        <v>685</v>
      </c>
      <c r="F1309" t="s">
        <v>2825</v>
      </c>
    </row>
    <row r="1310" spans="1:6">
      <c r="A1310" t="s">
        <v>32</v>
      </c>
      <c r="B1310" t="s">
        <v>1804</v>
      </c>
      <c r="C1310" t="str">
        <f>VLOOKUP(A1310,'Cost Center'!A:C,3,FALSE)</f>
        <v>C505051</v>
      </c>
      <c r="D1310" t="s">
        <v>8417</v>
      </c>
      <c r="E1310" t="s">
        <v>685</v>
      </c>
      <c r="F1310" t="s">
        <v>32</v>
      </c>
    </row>
    <row r="1311" spans="1:6">
      <c r="A1311" t="s">
        <v>33</v>
      </c>
      <c r="B1311" t="s">
        <v>1805</v>
      </c>
      <c r="C1311" t="str">
        <f>VLOOKUP(A1311,'Cost Center'!A:C,3,FALSE)</f>
        <v>C505022</v>
      </c>
      <c r="D1311" t="s">
        <v>8339</v>
      </c>
      <c r="E1311" t="s">
        <v>685</v>
      </c>
      <c r="F1311" t="s">
        <v>33</v>
      </c>
    </row>
    <row r="1312" spans="1:6">
      <c r="A1312" t="s">
        <v>2827</v>
      </c>
      <c r="B1312" t="s">
        <v>2828</v>
      </c>
      <c r="C1312" t="e">
        <f>VLOOKUP(A1312,'Cost Center'!A:C,3,FALSE)</f>
        <v>#N/A</v>
      </c>
      <c r="D1312" t="s">
        <v>3624</v>
      </c>
      <c r="E1312" t="s">
        <v>685</v>
      </c>
      <c r="F1312" t="s">
        <v>2827</v>
      </c>
    </row>
    <row r="1313" spans="1:6">
      <c r="A1313" t="s">
        <v>2829</v>
      </c>
      <c r="B1313" t="s">
        <v>2830</v>
      </c>
      <c r="C1313" t="e">
        <f>VLOOKUP(A1313,'Cost Center'!A:C,3,FALSE)</f>
        <v>#N/A</v>
      </c>
      <c r="D1313" t="s">
        <v>3624</v>
      </c>
      <c r="E1313" t="s">
        <v>685</v>
      </c>
      <c r="F1313" t="s">
        <v>2829</v>
      </c>
    </row>
    <row r="1314" spans="1:6">
      <c r="A1314" t="s">
        <v>34</v>
      </c>
      <c r="B1314" t="s">
        <v>1806</v>
      </c>
      <c r="C1314" t="str">
        <f>VLOOKUP(A1314,'Cost Center'!A:C,3,FALSE)</f>
        <v>C505023</v>
      </c>
      <c r="D1314" t="s">
        <v>12697</v>
      </c>
      <c r="E1314" t="s">
        <v>685</v>
      </c>
      <c r="F1314" t="s">
        <v>34</v>
      </c>
    </row>
    <row r="1315" spans="1:6">
      <c r="A1315" t="s">
        <v>35</v>
      </c>
      <c r="B1315" t="s">
        <v>1807</v>
      </c>
      <c r="C1315" t="str">
        <f>VLOOKUP(A1315,'Cost Center'!A:C,3,FALSE)</f>
        <v>C505024</v>
      </c>
      <c r="D1315" t="s">
        <v>12704</v>
      </c>
      <c r="E1315" t="s">
        <v>685</v>
      </c>
      <c r="F1315" t="s">
        <v>35</v>
      </c>
    </row>
    <row r="1316" spans="1:6">
      <c r="A1316" t="s">
        <v>36</v>
      </c>
      <c r="B1316" t="s">
        <v>1808</v>
      </c>
      <c r="C1316" t="str">
        <f>VLOOKUP(A1316,'Cost Center'!A:C,3,FALSE)</f>
        <v>C505025</v>
      </c>
      <c r="D1316" t="s">
        <v>12710</v>
      </c>
      <c r="E1316" t="s">
        <v>685</v>
      </c>
      <c r="F1316" t="s">
        <v>36</v>
      </c>
    </row>
    <row r="1317" spans="1:6">
      <c r="A1317" t="s">
        <v>37</v>
      </c>
      <c r="B1317" t="s">
        <v>1809</v>
      </c>
      <c r="C1317" t="str">
        <f>VLOOKUP(A1317,'Cost Center'!A:C,3,FALSE)</f>
        <v>C505026</v>
      </c>
      <c r="D1317" t="s">
        <v>12717</v>
      </c>
      <c r="E1317" t="s">
        <v>685</v>
      </c>
      <c r="F1317" t="s">
        <v>37</v>
      </c>
    </row>
    <row r="1318" spans="1:6">
      <c r="A1318" t="s">
        <v>38</v>
      </c>
      <c r="B1318" t="s">
        <v>1810</v>
      </c>
      <c r="C1318" t="str">
        <f>VLOOKUP(A1318,'Cost Center'!A:C,3,FALSE)</f>
        <v>C505027</v>
      </c>
      <c r="D1318" t="s">
        <v>12720</v>
      </c>
      <c r="E1318" t="s">
        <v>685</v>
      </c>
      <c r="F1318" t="s">
        <v>38</v>
      </c>
    </row>
    <row r="1319" spans="1:6">
      <c r="A1319" t="s">
        <v>39</v>
      </c>
      <c r="B1319" t="s">
        <v>1811</v>
      </c>
      <c r="C1319" t="str">
        <f>VLOOKUP(A1319,'Cost Center'!A:C,3,FALSE)</f>
        <v>C505028</v>
      </c>
      <c r="D1319" t="s">
        <v>12723</v>
      </c>
      <c r="E1319" t="s">
        <v>685</v>
      </c>
      <c r="F1319" t="s">
        <v>39</v>
      </c>
    </row>
    <row r="1320" spans="1:6">
      <c r="A1320" t="s">
        <v>40</v>
      </c>
      <c r="B1320" t="s">
        <v>1812</v>
      </c>
      <c r="C1320" t="str">
        <f>VLOOKUP(A1320,'Cost Center'!A:C,3,FALSE)</f>
        <v>C505029</v>
      </c>
      <c r="D1320" t="s">
        <v>12726</v>
      </c>
      <c r="E1320" t="s">
        <v>685</v>
      </c>
      <c r="F1320" t="s">
        <v>40</v>
      </c>
    </row>
    <row r="1321" spans="1:6">
      <c r="A1321" t="s">
        <v>2831</v>
      </c>
      <c r="B1321" t="s">
        <v>2832</v>
      </c>
      <c r="C1321" t="e">
        <f>VLOOKUP(A1321,'Cost Center'!A:C,3,FALSE)</f>
        <v>#N/A</v>
      </c>
      <c r="D1321" t="s">
        <v>3624</v>
      </c>
      <c r="E1321" t="s">
        <v>685</v>
      </c>
      <c r="F1321" t="s">
        <v>2831</v>
      </c>
    </row>
    <row r="1322" spans="1:6">
      <c r="A1322" t="s">
        <v>2833</v>
      </c>
      <c r="B1322" t="s">
        <v>2834</v>
      </c>
      <c r="C1322" t="e">
        <f>VLOOKUP(A1322,'Cost Center'!A:C,3,FALSE)</f>
        <v>#N/A</v>
      </c>
      <c r="D1322" t="s">
        <v>3624</v>
      </c>
      <c r="E1322" t="s">
        <v>685</v>
      </c>
      <c r="F1322" t="s">
        <v>2833</v>
      </c>
    </row>
    <row r="1323" spans="1:6">
      <c r="A1323" t="s">
        <v>2835</v>
      </c>
      <c r="B1323" t="s">
        <v>2836</v>
      </c>
      <c r="C1323" t="e">
        <f>VLOOKUP(A1323,'Cost Center'!A:C,3,FALSE)</f>
        <v>#N/A</v>
      </c>
      <c r="D1323" t="s">
        <v>3624</v>
      </c>
      <c r="E1323" t="s">
        <v>685</v>
      </c>
      <c r="F1323" t="s">
        <v>2835</v>
      </c>
    </row>
    <row r="1324" spans="1:6">
      <c r="A1324" t="s">
        <v>2837</v>
      </c>
      <c r="B1324" t="s">
        <v>2838</v>
      </c>
      <c r="C1324" t="e">
        <f>VLOOKUP(A1324,'Cost Center'!A:C,3,FALSE)</f>
        <v>#N/A</v>
      </c>
      <c r="D1324" t="s">
        <v>3624</v>
      </c>
      <c r="E1324" t="s">
        <v>685</v>
      </c>
      <c r="F1324" t="s">
        <v>2837</v>
      </c>
    </row>
    <row r="1325" spans="1:6">
      <c r="A1325" t="s">
        <v>2839</v>
      </c>
      <c r="B1325" t="s">
        <v>2840</v>
      </c>
      <c r="C1325" t="e">
        <f>VLOOKUP(A1325,'Cost Center'!A:C,3,FALSE)</f>
        <v>#N/A</v>
      </c>
      <c r="D1325" t="s">
        <v>3624</v>
      </c>
      <c r="E1325" t="s">
        <v>685</v>
      </c>
      <c r="F1325" t="s">
        <v>2839</v>
      </c>
    </row>
    <row r="1326" spans="1:6">
      <c r="A1326" t="s">
        <v>41</v>
      </c>
      <c r="B1326" t="s">
        <v>1813</v>
      </c>
      <c r="C1326" t="str">
        <f>VLOOKUP(A1326,'Cost Center'!A:C,3,FALSE)</f>
        <v>C505030</v>
      </c>
      <c r="D1326" t="s">
        <v>8356</v>
      </c>
      <c r="E1326" t="s">
        <v>685</v>
      </c>
      <c r="F1326" t="s">
        <v>41</v>
      </c>
    </row>
    <row r="1327" spans="1:6">
      <c r="A1327" t="s">
        <v>42</v>
      </c>
      <c r="B1327" t="s">
        <v>1814</v>
      </c>
      <c r="C1327" t="str">
        <f>VLOOKUP(A1327,'Cost Center'!A:C,3,FALSE)</f>
        <v>C505046</v>
      </c>
      <c r="D1327" t="s">
        <v>8403</v>
      </c>
      <c r="E1327" t="s">
        <v>685</v>
      </c>
      <c r="F1327" t="s">
        <v>42</v>
      </c>
    </row>
    <row r="1328" spans="1:6">
      <c r="A1328" t="s">
        <v>43</v>
      </c>
      <c r="B1328" t="s">
        <v>1815</v>
      </c>
      <c r="C1328" t="str">
        <f>VLOOKUP(A1328,'Cost Center'!A:C,3,FALSE)</f>
        <v>C505047</v>
      </c>
      <c r="D1328" t="s">
        <v>8406</v>
      </c>
      <c r="E1328" t="s">
        <v>685</v>
      </c>
      <c r="F1328" t="s">
        <v>43</v>
      </c>
    </row>
    <row r="1329" spans="1:6">
      <c r="A1329" t="s">
        <v>2841</v>
      </c>
      <c r="B1329" t="s">
        <v>2842</v>
      </c>
      <c r="C1329" t="e">
        <f>VLOOKUP(A1329,'Cost Center'!A:C,3,FALSE)</f>
        <v>#N/A</v>
      </c>
      <c r="D1329" t="s">
        <v>3624</v>
      </c>
      <c r="E1329" t="s">
        <v>685</v>
      </c>
      <c r="F1329" t="s">
        <v>2841</v>
      </c>
    </row>
    <row r="1330" spans="1:6">
      <c r="A1330" t="s">
        <v>44</v>
      </c>
      <c r="B1330" t="s">
        <v>1816</v>
      </c>
      <c r="C1330" t="str">
        <f>VLOOKUP(A1330,'Cost Center'!A:C,3,FALSE)</f>
        <v>C505031</v>
      </c>
      <c r="D1330" t="s">
        <v>8359</v>
      </c>
      <c r="E1330" t="s">
        <v>685</v>
      </c>
      <c r="F1330" t="s">
        <v>44</v>
      </c>
    </row>
    <row r="1331" spans="1:6">
      <c r="A1331" t="s">
        <v>2843</v>
      </c>
      <c r="B1331" t="s">
        <v>2844</v>
      </c>
      <c r="C1331" t="e">
        <f>VLOOKUP(A1331,'Cost Center'!A:C,3,FALSE)</f>
        <v>#N/A</v>
      </c>
      <c r="D1331" t="s">
        <v>3624</v>
      </c>
      <c r="E1331" t="s">
        <v>685</v>
      </c>
      <c r="F1331" t="s">
        <v>2843</v>
      </c>
    </row>
    <row r="1332" spans="1:6">
      <c r="A1332" t="s">
        <v>2845</v>
      </c>
      <c r="B1332" t="s">
        <v>2846</v>
      </c>
      <c r="C1332" t="e">
        <f>VLOOKUP(A1332,'Cost Center'!A:C,3,FALSE)</f>
        <v>#N/A</v>
      </c>
      <c r="D1332" t="s">
        <v>3624</v>
      </c>
      <c r="E1332" t="s">
        <v>685</v>
      </c>
      <c r="F1332" t="s">
        <v>2845</v>
      </c>
    </row>
    <row r="1333" spans="1:6">
      <c r="A1333" t="s">
        <v>2847</v>
      </c>
      <c r="B1333" t="s">
        <v>2848</v>
      </c>
      <c r="C1333" t="e">
        <f>VLOOKUP(A1333,'Cost Center'!A:C,3,FALSE)</f>
        <v>#N/A</v>
      </c>
      <c r="D1333" t="s">
        <v>3624</v>
      </c>
      <c r="E1333" t="s">
        <v>685</v>
      </c>
      <c r="F1333" t="s">
        <v>2847</v>
      </c>
    </row>
    <row r="1334" spans="1:6">
      <c r="A1334" t="s">
        <v>2849</v>
      </c>
      <c r="B1334" t="s">
        <v>2850</v>
      </c>
      <c r="C1334" t="e">
        <f>VLOOKUP(A1334,'Cost Center'!A:C,3,FALSE)</f>
        <v>#N/A</v>
      </c>
      <c r="D1334" t="s">
        <v>3624</v>
      </c>
      <c r="E1334" t="s">
        <v>685</v>
      </c>
      <c r="F1334" t="s">
        <v>2849</v>
      </c>
    </row>
    <row r="1335" spans="1:6">
      <c r="A1335" t="s">
        <v>45</v>
      </c>
      <c r="B1335" t="s">
        <v>1817</v>
      </c>
      <c r="C1335" t="str">
        <f>VLOOKUP(A1335,'Cost Center'!A:C,3,FALSE)</f>
        <v>C505032</v>
      </c>
      <c r="D1335" t="s">
        <v>12729</v>
      </c>
      <c r="E1335" t="s">
        <v>685</v>
      </c>
      <c r="F1335" t="s">
        <v>45</v>
      </c>
    </row>
    <row r="1336" spans="1:6">
      <c r="A1336" t="s">
        <v>2851</v>
      </c>
      <c r="B1336" t="s">
        <v>2852</v>
      </c>
      <c r="C1336" t="e">
        <f>VLOOKUP(A1336,'Cost Center'!A:C,3,FALSE)</f>
        <v>#N/A</v>
      </c>
      <c r="D1336" t="s">
        <v>3624</v>
      </c>
      <c r="E1336" t="s">
        <v>685</v>
      </c>
      <c r="F1336" t="s">
        <v>2851</v>
      </c>
    </row>
    <row r="1337" spans="1:6">
      <c r="A1337" t="s">
        <v>46</v>
      </c>
      <c r="B1337" t="s">
        <v>1818</v>
      </c>
      <c r="C1337" t="str">
        <f>VLOOKUP(A1337,'Cost Center'!A:C,3,FALSE)</f>
        <v>C505033</v>
      </c>
      <c r="D1337" t="s">
        <v>8364</v>
      </c>
      <c r="E1337" t="s">
        <v>685</v>
      </c>
      <c r="F1337" t="s">
        <v>46</v>
      </c>
    </row>
    <row r="1338" spans="1:6">
      <c r="A1338" t="s">
        <v>2853</v>
      </c>
      <c r="B1338" t="s">
        <v>2854</v>
      </c>
      <c r="C1338" t="e">
        <f>VLOOKUP(A1338,'Cost Center'!A:C,3,FALSE)</f>
        <v>#N/A</v>
      </c>
      <c r="D1338" t="s">
        <v>3624</v>
      </c>
      <c r="E1338" t="s">
        <v>685</v>
      </c>
      <c r="F1338" t="s">
        <v>2853</v>
      </c>
    </row>
    <row r="1339" spans="1:6">
      <c r="A1339" t="s">
        <v>47</v>
      </c>
      <c r="B1339" t="s">
        <v>1819</v>
      </c>
      <c r="C1339" t="str">
        <f>VLOOKUP(A1339,'Cost Center'!A:C,3,FALSE)</f>
        <v>C505034</v>
      </c>
      <c r="D1339" t="s">
        <v>8367</v>
      </c>
      <c r="E1339" t="s">
        <v>685</v>
      </c>
      <c r="F1339" t="s">
        <v>47</v>
      </c>
    </row>
    <row r="1340" spans="1:6">
      <c r="A1340" t="s">
        <v>2855</v>
      </c>
      <c r="B1340" t="s">
        <v>2856</v>
      </c>
      <c r="C1340" t="e">
        <f>VLOOKUP(A1340,'Cost Center'!A:C,3,FALSE)</f>
        <v>#N/A</v>
      </c>
      <c r="D1340" t="s">
        <v>3624</v>
      </c>
      <c r="E1340" t="s">
        <v>685</v>
      </c>
      <c r="F1340" t="s">
        <v>2855</v>
      </c>
    </row>
    <row r="1341" spans="1:6">
      <c r="A1341" t="s">
        <v>48</v>
      </c>
      <c r="B1341" t="s">
        <v>1820</v>
      </c>
      <c r="C1341" t="str">
        <f>VLOOKUP(A1341,'Cost Center'!A:C,3,FALSE)</f>
        <v>C505035</v>
      </c>
      <c r="D1341" t="s">
        <v>8370</v>
      </c>
      <c r="E1341" t="s">
        <v>685</v>
      </c>
      <c r="F1341" t="s">
        <v>48</v>
      </c>
    </row>
    <row r="1342" spans="1:6">
      <c r="A1342" t="s">
        <v>2857</v>
      </c>
      <c r="B1342" t="s">
        <v>2858</v>
      </c>
      <c r="C1342" t="e">
        <f>VLOOKUP(A1342,'Cost Center'!A:C,3,FALSE)</f>
        <v>#N/A</v>
      </c>
      <c r="D1342" t="s">
        <v>3624</v>
      </c>
      <c r="E1342" t="s">
        <v>685</v>
      </c>
      <c r="F1342" t="s">
        <v>2857</v>
      </c>
    </row>
    <row r="1343" spans="1:6">
      <c r="A1343" t="s">
        <v>49</v>
      </c>
      <c r="B1343" t="s">
        <v>1821</v>
      </c>
      <c r="C1343" t="str">
        <f>VLOOKUP(A1343,'Cost Center'!A:C,3,FALSE)</f>
        <v>C505048</v>
      </c>
      <c r="D1343" t="s">
        <v>8409</v>
      </c>
      <c r="E1343" t="s">
        <v>685</v>
      </c>
      <c r="F1343" t="s">
        <v>49</v>
      </c>
    </row>
    <row r="1344" spans="1:6">
      <c r="A1344" t="s">
        <v>2859</v>
      </c>
      <c r="B1344" t="s">
        <v>2860</v>
      </c>
      <c r="C1344" t="e">
        <f>VLOOKUP(A1344,'Cost Center'!A:C,3,FALSE)</f>
        <v>#N/A</v>
      </c>
      <c r="D1344" t="s">
        <v>3624</v>
      </c>
      <c r="E1344" t="s">
        <v>685</v>
      </c>
      <c r="F1344" t="s">
        <v>2859</v>
      </c>
    </row>
    <row r="1345" spans="1:6">
      <c r="A1345" t="s">
        <v>2861</v>
      </c>
      <c r="B1345" t="s">
        <v>2862</v>
      </c>
      <c r="C1345" t="e">
        <f>VLOOKUP(A1345,'Cost Center'!A:C,3,FALSE)</f>
        <v>#N/A</v>
      </c>
      <c r="D1345" t="s">
        <v>3624</v>
      </c>
      <c r="E1345" t="s">
        <v>685</v>
      </c>
      <c r="F1345" t="s">
        <v>2861</v>
      </c>
    </row>
    <row r="1346" spans="1:6">
      <c r="A1346" t="s">
        <v>2863</v>
      </c>
      <c r="B1346" t="s">
        <v>2864</v>
      </c>
      <c r="C1346" t="e">
        <f>VLOOKUP(A1346,'Cost Center'!A:C,3,FALSE)</f>
        <v>#N/A</v>
      </c>
      <c r="D1346" t="s">
        <v>3624</v>
      </c>
      <c r="E1346" t="s">
        <v>685</v>
      </c>
      <c r="F1346" t="s">
        <v>2863</v>
      </c>
    </row>
    <row r="1347" spans="1:6">
      <c r="A1347" t="s">
        <v>2865</v>
      </c>
      <c r="B1347" t="s">
        <v>2866</v>
      </c>
      <c r="C1347" t="e">
        <f>VLOOKUP(A1347,'Cost Center'!A:C,3,FALSE)</f>
        <v>#N/A</v>
      </c>
      <c r="D1347" t="s">
        <v>3624</v>
      </c>
      <c r="E1347" t="s">
        <v>685</v>
      </c>
      <c r="F1347" t="s">
        <v>2865</v>
      </c>
    </row>
    <row r="1348" spans="1:6">
      <c r="A1348" t="s">
        <v>2867</v>
      </c>
      <c r="B1348" t="s">
        <v>2868</v>
      </c>
      <c r="C1348" t="e">
        <f>VLOOKUP(A1348,'Cost Center'!A:C,3,FALSE)</f>
        <v>#N/A</v>
      </c>
      <c r="D1348" t="s">
        <v>3624</v>
      </c>
      <c r="E1348" t="s">
        <v>685</v>
      </c>
      <c r="F1348" t="s">
        <v>2867</v>
      </c>
    </row>
    <row r="1349" spans="1:6">
      <c r="A1349" t="s">
        <v>2869</v>
      </c>
      <c r="B1349" t="s">
        <v>2870</v>
      </c>
      <c r="C1349" t="e">
        <f>VLOOKUP(A1349,'Cost Center'!A:C,3,FALSE)</f>
        <v>#N/A</v>
      </c>
      <c r="D1349" t="s">
        <v>3624</v>
      </c>
      <c r="E1349" t="s">
        <v>685</v>
      </c>
      <c r="F1349" t="s">
        <v>2869</v>
      </c>
    </row>
    <row r="1350" spans="1:6">
      <c r="A1350" t="s">
        <v>2871</v>
      </c>
      <c r="B1350" t="s">
        <v>2872</v>
      </c>
      <c r="C1350" t="e">
        <f>VLOOKUP(A1350,'Cost Center'!A:C,3,FALSE)</f>
        <v>#N/A</v>
      </c>
      <c r="D1350" t="s">
        <v>3624</v>
      </c>
      <c r="E1350" t="s">
        <v>685</v>
      </c>
      <c r="F1350" t="s">
        <v>2871</v>
      </c>
    </row>
    <row r="1351" spans="1:6">
      <c r="A1351" t="s">
        <v>2873</v>
      </c>
      <c r="B1351" t="s">
        <v>2874</v>
      </c>
      <c r="C1351" t="e">
        <f>VLOOKUP(A1351,'Cost Center'!A:C,3,FALSE)</f>
        <v>#N/A</v>
      </c>
      <c r="D1351" t="s">
        <v>3624</v>
      </c>
      <c r="E1351" t="s">
        <v>685</v>
      </c>
      <c r="F1351" t="s">
        <v>2873</v>
      </c>
    </row>
    <row r="1352" spans="1:6">
      <c r="A1352" t="s">
        <v>50</v>
      </c>
      <c r="B1352" t="s">
        <v>1822</v>
      </c>
      <c r="C1352" t="str">
        <f>VLOOKUP(A1352,'Cost Center'!A:C,3,FALSE)</f>
        <v>C505036</v>
      </c>
      <c r="D1352" t="s">
        <v>8373</v>
      </c>
      <c r="E1352" t="s">
        <v>685</v>
      </c>
      <c r="F1352" t="s">
        <v>50</v>
      </c>
    </row>
    <row r="1353" spans="1:6">
      <c r="A1353" t="s">
        <v>51</v>
      </c>
      <c r="B1353" t="s">
        <v>1823</v>
      </c>
      <c r="C1353" t="str">
        <f>VLOOKUP(A1353,'Cost Center'!A:C,3,FALSE)</f>
        <v>C505037</v>
      </c>
      <c r="D1353" t="s">
        <v>8376</v>
      </c>
      <c r="E1353" t="s">
        <v>685</v>
      </c>
      <c r="F1353" t="s">
        <v>51</v>
      </c>
    </row>
    <row r="1354" spans="1:6">
      <c r="A1354" t="s">
        <v>2875</v>
      </c>
      <c r="B1354" t="s">
        <v>2876</v>
      </c>
      <c r="C1354" t="e">
        <f>VLOOKUP(A1354,'Cost Center'!A:C,3,FALSE)</f>
        <v>#N/A</v>
      </c>
      <c r="D1354" t="s">
        <v>3624</v>
      </c>
      <c r="E1354" t="s">
        <v>685</v>
      </c>
      <c r="F1354" t="s">
        <v>2875</v>
      </c>
    </row>
    <row r="1355" spans="1:6">
      <c r="A1355" t="s">
        <v>52</v>
      </c>
      <c r="B1355" t="s">
        <v>1824</v>
      </c>
      <c r="C1355" t="str">
        <f>VLOOKUP(A1355,'Cost Center'!A:C,3,FALSE)</f>
        <v>C505049</v>
      </c>
      <c r="D1355" t="s">
        <v>8412</v>
      </c>
      <c r="E1355" t="s">
        <v>685</v>
      </c>
      <c r="F1355" t="s">
        <v>52</v>
      </c>
    </row>
    <row r="1356" spans="1:6">
      <c r="A1356" t="s">
        <v>607</v>
      </c>
      <c r="B1356" t="s">
        <v>1825</v>
      </c>
      <c r="C1356" t="str">
        <f>VLOOKUP(A1356,'Cost Center'!A:C,3,FALSE)</f>
        <v>C506000</v>
      </c>
      <c r="D1356" t="s">
        <v>8448</v>
      </c>
      <c r="E1356" t="s">
        <v>685</v>
      </c>
      <c r="F1356" t="s">
        <v>607</v>
      </c>
    </row>
    <row r="1357" spans="1:6">
      <c r="A1357" t="s">
        <v>608</v>
      </c>
      <c r="B1357" t="s">
        <v>1826</v>
      </c>
      <c r="C1357" t="str">
        <f>VLOOKUP(A1357,'Cost Center'!A:C,3,FALSE)</f>
        <v>C500358</v>
      </c>
      <c r="D1357" t="s">
        <v>8033</v>
      </c>
      <c r="E1357" t="s">
        <v>685</v>
      </c>
      <c r="F1357" t="s">
        <v>608</v>
      </c>
    </row>
    <row r="1358" spans="1:6">
      <c r="A1358" t="s">
        <v>609</v>
      </c>
      <c r="B1358" t="s">
        <v>1827</v>
      </c>
      <c r="C1358" t="str">
        <f>VLOOKUP(A1358,'Cost Center'!A:C,3,FALSE)</f>
        <v>C506002</v>
      </c>
      <c r="D1358" t="s">
        <v>12736</v>
      </c>
      <c r="E1358" t="s">
        <v>685</v>
      </c>
      <c r="F1358" t="s">
        <v>609</v>
      </c>
    </row>
    <row r="1359" spans="1:6">
      <c r="A1359" t="s">
        <v>610</v>
      </c>
      <c r="B1359" t="s">
        <v>1828</v>
      </c>
      <c r="C1359" t="str">
        <f>VLOOKUP(A1359,'Cost Center'!A:C,3,FALSE)</f>
        <v>C506004</v>
      </c>
      <c r="D1359" t="s">
        <v>8458</v>
      </c>
      <c r="E1359" t="s">
        <v>685</v>
      </c>
      <c r="F1359" t="s">
        <v>610</v>
      </c>
    </row>
    <row r="1360" spans="1:6">
      <c r="A1360" t="s">
        <v>2877</v>
      </c>
      <c r="B1360" t="s">
        <v>2878</v>
      </c>
      <c r="C1360" t="str">
        <f>VLOOKUP(A1360,'Cost Center'!A:C,3,FALSE)</f>
        <v>C506029</v>
      </c>
      <c r="D1360" t="s">
        <v>12810</v>
      </c>
      <c r="E1360" t="s">
        <v>685</v>
      </c>
      <c r="F1360" t="s">
        <v>2877</v>
      </c>
    </row>
    <row r="1361" spans="1:6">
      <c r="A1361" t="s">
        <v>2879</v>
      </c>
      <c r="B1361" t="s">
        <v>2880</v>
      </c>
      <c r="C1361" t="str">
        <f>VLOOKUP(A1361,'Cost Center'!A:C,3,FALSE)</f>
        <v>C506030</v>
      </c>
      <c r="D1361" t="s">
        <v>8531</v>
      </c>
      <c r="E1361" t="s">
        <v>685</v>
      </c>
      <c r="F1361" t="s">
        <v>2879</v>
      </c>
    </row>
    <row r="1362" spans="1:6">
      <c r="A1362" t="s">
        <v>2881</v>
      </c>
      <c r="B1362" t="s">
        <v>2882</v>
      </c>
      <c r="C1362" t="str">
        <f>VLOOKUP(A1362,'Cost Center'!A:C,3,FALSE)</f>
        <v>C506031</v>
      </c>
      <c r="D1362" t="s">
        <v>8534</v>
      </c>
      <c r="E1362" t="s">
        <v>685</v>
      </c>
      <c r="F1362" t="s">
        <v>2881</v>
      </c>
    </row>
    <row r="1363" spans="1:6">
      <c r="A1363">
        <v>11132</v>
      </c>
      <c r="B1363" t="s">
        <v>768</v>
      </c>
      <c r="C1363" t="str">
        <f>VLOOKUP(A1363,'Cost Center'!A:C,3,FALSE)</f>
        <v>C570001</v>
      </c>
      <c r="D1363" t="s">
        <v>9011</v>
      </c>
      <c r="E1363" t="s">
        <v>685</v>
      </c>
      <c r="F1363" t="s">
        <v>19470</v>
      </c>
    </row>
    <row r="1364" spans="1:6">
      <c r="A1364" t="s">
        <v>612</v>
      </c>
      <c r="B1364" t="s">
        <v>1830</v>
      </c>
      <c r="C1364" t="str">
        <f>VLOOKUP(A1364,'Cost Center'!A:C,3,FALSE)</f>
        <v>C570002</v>
      </c>
      <c r="D1364" t="s">
        <v>9014</v>
      </c>
      <c r="E1364" t="s">
        <v>685</v>
      </c>
      <c r="F1364" t="s">
        <v>612</v>
      </c>
    </row>
    <row r="1365" spans="1:6">
      <c r="A1365" t="s">
        <v>613</v>
      </c>
      <c r="B1365" t="s">
        <v>1831</v>
      </c>
      <c r="C1365" t="str">
        <f>VLOOKUP(A1365,'Cost Center'!A:C,3,FALSE)</f>
        <v>C570003</v>
      </c>
      <c r="D1365" t="s">
        <v>9017</v>
      </c>
      <c r="E1365" t="s">
        <v>685</v>
      </c>
      <c r="F1365" t="s">
        <v>613</v>
      </c>
    </row>
    <row r="1366" spans="1:6">
      <c r="A1366" t="s">
        <v>614</v>
      </c>
      <c r="B1366" t="s">
        <v>1832</v>
      </c>
      <c r="C1366" t="str">
        <f>VLOOKUP(A1366,'Cost Center'!A:C,3,FALSE)</f>
        <v>C570004</v>
      </c>
      <c r="D1366" t="s">
        <v>9020</v>
      </c>
      <c r="E1366" t="s">
        <v>685</v>
      </c>
      <c r="F1366" t="s">
        <v>614</v>
      </c>
    </row>
    <row r="1367" spans="1:6">
      <c r="A1367" t="s">
        <v>615</v>
      </c>
      <c r="B1367" t="s">
        <v>1833</v>
      </c>
      <c r="C1367" t="str">
        <f>VLOOKUP(A1367,'Cost Center'!A:C,3,FALSE)</f>
        <v>C570005</v>
      </c>
      <c r="D1367" t="s">
        <v>9023</v>
      </c>
      <c r="E1367" t="s">
        <v>685</v>
      </c>
      <c r="F1367" t="s">
        <v>615</v>
      </c>
    </row>
    <row r="1368" spans="1:6">
      <c r="A1368" t="s">
        <v>616</v>
      </c>
      <c r="B1368" t="s">
        <v>1834</v>
      </c>
      <c r="C1368" t="str">
        <f>VLOOKUP(A1368,'Cost Center'!A:C,3,FALSE)</f>
        <v>C570006</v>
      </c>
      <c r="D1368" t="s">
        <v>9026</v>
      </c>
      <c r="E1368" t="s">
        <v>685</v>
      </c>
      <c r="F1368" t="s">
        <v>616</v>
      </c>
    </row>
    <row r="1369" spans="1:6">
      <c r="A1369" t="s">
        <v>1930</v>
      </c>
      <c r="B1369" t="s">
        <v>2883</v>
      </c>
      <c r="C1369" t="str">
        <f>VLOOKUP(A1369,'Cost Center'!A:C,3,FALSE)</f>
        <v>C570007</v>
      </c>
      <c r="D1369" t="s">
        <v>12739</v>
      </c>
      <c r="E1369" t="s">
        <v>685</v>
      </c>
      <c r="F1369" t="s">
        <v>1930</v>
      </c>
    </row>
    <row r="1370" spans="1:6">
      <c r="A1370" t="s">
        <v>617</v>
      </c>
      <c r="B1370" t="s">
        <v>1835</v>
      </c>
      <c r="C1370" t="str">
        <f>VLOOKUP(A1370,'Cost Center'!A:C,3,FALSE)</f>
        <v>C570008</v>
      </c>
      <c r="D1370" t="s">
        <v>9029</v>
      </c>
      <c r="E1370" t="s">
        <v>685</v>
      </c>
      <c r="F1370" t="s">
        <v>617</v>
      </c>
    </row>
    <row r="1371" spans="1:6">
      <c r="A1371" t="s">
        <v>618</v>
      </c>
      <c r="B1371" t="s">
        <v>1836</v>
      </c>
      <c r="C1371" t="str">
        <f>VLOOKUP(A1371,'Cost Center'!A:C,3,FALSE)</f>
        <v>C570009</v>
      </c>
      <c r="D1371" t="s">
        <v>9032</v>
      </c>
      <c r="E1371" t="s">
        <v>685</v>
      </c>
      <c r="F1371" t="s">
        <v>618</v>
      </c>
    </row>
    <row r="1372" spans="1:6">
      <c r="A1372" t="s">
        <v>619</v>
      </c>
      <c r="B1372" t="s">
        <v>1837</v>
      </c>
      <c r="C1372" t="str">
        <f>VLOOKUP(A1372,'Cost Center'!A:C,3,FALSE)</f>
        <v>CI57010</v>
      </c>
      <c r="D1372" t="s">
        <v>12748</v>
      </c>
      <c r="E1372" t="s">
        <v>685</v>
      </c>
      <c r="F1372" t="s">
        <v>619</v>
      </c>
    </row>
    <row r="1373" spans="1:6">
      <c r="A1373" t="s">
        <v>620</v>
      </c>
      <c r="B1373" t="s">
        <v>1838</v>
      </c>
      <c r="C1373" t="str">
        <f>VLOOKUP(A1373,'Cost Center'!A:C,3,FALSE)</f>
        <v>C570011</v>
      </c>
      <c r="D1373" t="s">
        <v>9039</v>
      </c>
      <c r="E1373" t="s">
        <v>685</v>
      </c>
      <c r="F1373" t="s">
        <v>620</v>
      </c>
    </row>
    <row r="1374" spans="1:6">
      <c r="A1374" t="s">
        <v>621</v>
      </c>
      <c r="B1374" t="s">
        <v>1839</v>
      </c>
      <c r="C1374" t="str">
        <f>VLOOKUP(A1374,'Cost Center'!A:C,3,FALSE)</f>
        <v>C570012</v>
      </c>
      <c r="D1374" t="s">
        <v>9042</v>
      </c>
      <c r="E1374" t="s">
        <v>685</v>
      </c>
      <c r="F1374" t="s">
        <v>621</v>
      </c>
    </row>
    <row r="1375" spans="1:6">
      <c r="A1375" t="s">
        <v>623</v>
      </c>
      <c r="B1375" t="s">
        <v>1840</v>
      </c>
      <c r="C1375" t="str">
        <f>VLOOKUP(A1375,'Cost Center'!A:C,3,FALSE)</f>
        <v>C570013</v>
      </c>
      <c r="D1375" t="s">
        <v>9045</v>
      </c>
      <c r="E1375" t="s">
        <v>685</v>
      </c>
      <c r="F1375" t="s">
        <v>623</v>
      </c>
    </row>
    <row r="1376" spans="1:6">
      <c r="A1376" t="s">
        <v>2884</v>
      </c>
      <c r="B1376" t="s">
        <v>2885</v>
      </c>
      <c r="C1376" t="str">
        <f>VLOOKUP(A1376,'Cost Center'!A:C,3,FALSE)</f>
        <v>C570017</v>
      </c>
      <c r="D1376" t="s">
        <v>9058</v>
      </c>
      <c r="E1376" t="s">
        <v>685</v>
      </c>
      <c r="F1376" t="s">
        <v>2884</v>
      </c>
    </row>
    <row r="1377" spans="1:6">
      <c r="A1377" t="s">
        <v>2886</v>
      </c>
      <c r="B1377" t="s">
        <v>2887</v>
      </c>
      <c r="C1377" t="str">
        <f>VLOOKUP(A1377,'Cost Center'!A:C,3,FALSE)</f>
        <v>C570018</v>
      </c>
      <c r="D1377" t="s">
        <v>12785</v>
      </c>
      <c r="E1377" t="s">
        <v>685</v>
      </c>
      <c r="F1377" t="s">
        <v>2886</v>
      </c>
    </row>
    <row r="1378" spans="1:6">
      <c r="A1378" t="s">
        <v>2888</v>
      </c>
      <c r="B1378" t="s">
        <v>2889</v>
      </c>
      <c r="C1378" t="str">
        <f>VLOOKUP(A1378,'Cost Center'!A:C,3,FALSE)</f>
        <v>C570019</v>
      </c>
      <c r="D1378" t="s">
        <v>9065</v>
      </c>
      <c r="E1378" t="s">
        <v>685</v>
      </c>
      <c r="F1378" t="s">
        <v>2888</v>
      </c>
    </row>
    <row r="1379" spans="1:6">
      <c r="A1379" t="s">
        <v>2890</v>
      </c>
      <c r="B1379" t="s">
        <v>2891</v>
      </c>
      <c r="C1379" t="str">
        <f>VLOOKUP(A1379,'Cost Center'!A:C,3,FALSE)</f>
        <v>C570020</v>
      </c>
      <c r="D1379" t="s">
        <v>9068</v>
      </c>
      <c r="E1379" t="s">
        <v>685</v>
      </c>
      <c r="F1379" t="s">
        <v>2890</v>
      </c>
    </row>
    <row r="1380" spans="1:6">
      <c r="A1380" t="s">
        <v>624</v>
      </c>
      <c r="B1380" t="s">
        <v>1841</v>
      </c>
      <c r="C1380" t="str">
        <f>VLOOKUP(A1380,'Cost Center'!A:C,3,FALSE)</f>
        <v>C570021</v>
      </c>
      <c r="D1380" t="s">
        <v>9071</v>
      </c>
      <c r="E1380" t="s">
        <v>685</v>
      </c>
      <c r="F1380" t="s">
        <v>624</v>
      </c>
    </row>
    <row r="1381" spans="1:6">
      <c r="A1381" t="s">
        <v>2892</v>
      </c>
      <c r="B1381" t="s">
        <v>2893</v>
      </c>
      <c r="C1381" t="e">
        <f>VLOOKUP(A1381,'Cost Center'!A:C,3,FALSE)</f>
        <v>#N/A</v>
      </c>
      <c r="D1381" t="s">
        <v>3624</v>
      </c>
      <c r="E1381" t="s">
        <v>685</v>
      </c>
      <c r="F1381" t="s">
        <v>2892</v>
      </c>
    </row>
    <row r="1382" spans="1:6">
      <c r="A1382" t="s">
        <v>625</v>
      </c>
      <c r="B1382" t="s">
        <v>1842</v>
      </c>
      <c r="C1382" t="str">
        <f>VLOOKUP(A1382,'Cost Center'!A:C,3,FALSE)</f>
        <v>C570014</v>
      </c>
      <c r="D1382" t="s">
        <v>9048</v>
      </c>
      <c r="E1382" t="s">
        <v>685</v>
      </c>
      <c r="F1382" t="s">
        <v>625</v>
      </c>
    </row>
    <row r="1383" spans="1:6">
      <c r="A1383" t="s">
        <v>650</v>
      </c>
      <c r="B1383" t="s">
        <v>1843</v>
      </c>
      <c r="C1383" t="str">
        <f>VLOOKUP(A1383,'Cost Center'!A:C,3,FALSE)</f>
        <v>C570015</v>
      </c>
      <c r="D1383" t="s">
        <v>12803</v>
      </c>
      <c r="E1383" t="s">
        <v>685</v>
      </c>
      <c r="F1383" t="s">
        <v>650</v>
      </c>
    </row>
    <row r="1384" spans="1:6">
      <c r="A1384" t="s">
        <v>626</v>
      </c>
      <c r="B1384" t="s">
        <v>1844</v>
      </c>
      <c r="C1384" t="str">
        <f>VLOOKUP(A1384,'Cost Center'!A:C,3,FALSE)</f>
        <v>C570016</v>
      </c>
      <c r="D1384" t="s">
        <v>9055</v>
      </c>
      <c r="E1384" t="s">
        <v>685</v>
      </c>
      <c r="F1384" t="s">
        <v>626</v>
      </c>
    </row>
    <row r="1385" spans="1:6">
      <c r="A1385" t="s">
        <v>2894</v>
      </c>
      <c r="B1385" t="s">
        <v>2895</v>
      </c>
      <c r="C1385" t="e">
        <f>VLOOKUP(A1385,'Cost Center'!A:C,3,FALSE)</f>
        <v>#N/A</v>
      </c>
      <c r="D1385" t="s">
        <v>3624</v>
      </c>
      <c r="E1385" t="s">
        <v>685</v>
      </c>
      <c r="F1385" t="s">
        <v>2894</v>
      </c>
    </row>
    <row r="1386" spans="1:6">
      <c r="A1386" t="s">
        <v>639</v>
      </c>
      <c r="B1386" t="s">
        <v>1881</v>
      </c>
      <c r="C1386" t="str">
        <f>VLOOKUP(A1386,'Cost Center'!A:C,3,FALSE)</f>
        <v>C503043</v>
      </c>
      <c r="D1386" t="s">
        <v>8252</v>
      </c>
      <c r="E1386" t="s">
        <v>685</v>
      </c>
      <c r="F1386" t="s">
        <v>639</v>
      </c>
    </row>
    <row r="1387" spans="1:6">
      <c r="A1387" t="s">
        <v>651</v>
      </c>
      <c r="B1387" t="s">
        <v>1857</v>
      </c>
      <c r="C1387" t="str">
        <f>VLOOKUP(A1387,'Cost Center'!A:C,3,FALSE)</f>
        <v>C503000</v>
      </c>
      <c r="D1387" t="s">
        <v>8134</v>
      </c>
      <c r="E1387" t="s">
        <v>685</v>
      </c>
      <c r="F1387" t="s">
        <v>651</v>
      </c>
    </row>
    <row r="1388" spans="1:6">
      <c r="A1388" t="s">
        <v>652</v>
      </c>
      <c r="B1388" t="s">
        <v>1858</v>
      </c>
      <c r="C1388" t="str">
        <f>VLOOKUP(A1388,'Cost Center'!A:C,3,FALSE)</f>
        <v>C503001</v>
      </c>
      <c r="D1388" t="s">
        <v>8137</v>
      </c>
      <c r="E1388" t="s">
        <v>685</v>
      </c>
      <c r="F1388" t="s">
        <v>652</v>
      </c>
    </row>
    <row r="1389" spans="1:6">
      <c r="A1389" t="s">
        <v>654</v>
      </c>
      <c r="B1389" t="s">
        <v>1860</v>
      </c>
      <c r="C1389" t="str">
        <f>VLOOKUP(A1389,'Cost Center'!A:C,3,FALSE)</f>
        <v>C500359</v>
      </c>
      <c r="D1389" t="s">
        <v>8036</v>
      </c>
      <c r="E1389" t="s">
        <v>685</v>
      </c>
      <c r="F1389" t="s">
        <v>654</v>
      </c>
    </row>
    <row r="1390" spans="1:6">
      <c r="A1390" t="s">
        <v>655</v>
      </c>
      <c r="B1390" t="s">
        <v>1861</v>
      </c>
      <c r="C1390" t="str">
        <f>VLOOKUP(A1390,'Cost Center'!A:C,3,FALSE)</f>
        <v>C503002</v>
      </c>
      <c r="D1390" t="s">
        <v>12984</v>
      </c>
      <c r="E1390" t="s">
        <v>685</v>
      </c>
      <c r="F1390" t="s">
        <v>655</v>
      </c>
    </row>
    <row r="1391" spans="1:6">
      <c r="A1391" t="s">
        <v>656</v>
      </c>
      <c r="B1391" t="s">
        <v>1862</v>
      </c>
      <c r="C1391" t="str">
        <f>VLOOKUP(A1391,'Cost Center'!A:C,3,FALSE)</f>
        <v>C503003</v>
      </c>
      <c r="D1391" t="s">
        <v>8143</v>
      </c>
      <c r="E1391" t="s">
        <v>685</v>
      </c>
      <c r="F1391" t="s">
        <v>656</v>
      </c>
    </row>
    <row r="1392" spans="1:6">
      <c r="A1392" t="s">
        <v>657</v>
      </c>
      <c r="B1392" t="s">
        <v>1863</v>
      </c>
      <c r="C1392" t="str">
        <f>VLOOKUP(A1392,'Cost Center'!A:C,3,FALSE)</f>
        <v>C503004</v>
      </c>
      <c r="D1392" t="s">
        <v>8146</v>
      </c>
      <c r="E1392" t="s">
        <v>685</v>
      </c>
      <c r="F1392" t="s">
        <v>657</v>
      </c>
    </row>
    <row r="1393" spans="1:6">
      <c r="A1393" t="s">
        <v>658</v>
      </c>
      <c r="B1393" t="s">
        <v>2896</v>
      </c>
      <c r="C1393" t="str">
        <f>VLOOKUP(A1393,'Cost Center'!A:C,3,FALSE)</f>
        <v>C503005</v>
      </c>
      <c r="D1393" t="s">
        <v>8149</v>
      </c>
      <c r="E1393" t="s">
        <v>685</v>
      </c>
      <c r="F1393" t="s">
        <v>658</v>
      </c>
    </row>
    <row r="1394" spans="1:6">
      <c r="A1394" t="s">
        <v>660</v>
      </c>
      <c r="B1394" t="s">
        <v>1865</v>
      </c>
      <c r="C1394" t="str">
        <f>VLOOKUP(A1394,'Cost Center'!A:C,3,FALSE)</f>
        <v>C503006</v>
      </c>
      <c r="D1394" t="s">
        <v>8152</v>
      </c>
      <c r="E1394" t="s">
        <v>685</v>
      </c>
      <c r="F1394" t="s">
        <v>660</v>
      </c>
    </row>
    <row r="1395" spans="1:6">
      <c r="A1395" t="s">
        <v>661</v>
      </c>
      <c r="B1395" t="s">
        <v>1866</v>
      </c>
      <c r="C1395" t="str">
        <f>VLOOKUP(A1395,'Cost Center'!A:C,3,FALSE)</f>
        <v>C503007</v>
      </c>
      <c r="D1395" t="s">
        <v>12991</v>
      </c>
      <c r="E1395" t="s">
        <v>685</v>
      </c>
      <c r="F1395" t="s">
        <v>661</v>
      </c>
    </row>
    <row r="1396" spans="1:6">
      <c r="A1396" t="s">
        <v>662</v>
      </c>
      <c r="B1396" t="s">
        <v>1867</v>
      </c>
      <c r="C1396" t="str">
        <f>VLOOKUP(A1396,'Cost Center'!A:C,3,FALSE)</f>
        <v>C503008</v>
      </c>
      <c r="D1396" t="s">
        <v>8158</v>
      </c>
      <c r="E1396" t="s">
        <v>685</v>
      </c>
      <c r="F1396" t="s">
        <v>662</v>
      </c>
    </row>
    <row r="1397" spans="1:6">
      <c r="A1397" t="s">
        <v>663</v>
      </c>
      <c r="B1397" t="s">
        <v>1868</v>
      </c>
      <c r="C1397" t="str">
        <f>VLOOKUP(A1397,'Cost Center'!A:C,3,FALSE)</f>
        <v>C503009</v>
      </c>
      <c r="D1397" t="s">
        <v>8161</v>
      </c>
      <c r="E1397" t="s">
        <v>685</v>
      </c>
      <c r="F1397" t="s">
        <v>663</v>
      </c>
    </row>
    <row r="1398" spans="1:6">
      <c r="A1398" t="s">
        <v>664</v>
      </c>
      <c r="B1398" t="s">
        <v>1869</v>
      </c>
      <c r="C1398" t="str">
        <f>VLOOKUP(A1398,'Cost Center'!A:C,3,FALSE)</f>
        <v>C503010</v>
      </c>
      <c r="D1398" t="s">
        <v>8164</v>
      </c>
      <c r="E1398" t="s">
        <v>685</v>
      </c>
      <c r="F1398" t="s">
        <v>664</v>
      </c>
    </row>
    <row r="1399" spans="1:6">
      <c r="A1399" t="s">
        <v>665</v>
      </c>
      <c r="B1399" t="s">
        <v>1870</v>
      </c>
      <c r="C1399" t="str">
        <f>VLOOKUP(A1399,'Cost Center'!A:C,3,FALSE)</f>
        <v>C503025</v>
      </c>
      <c r="D1399" t="s">
        <v>8205</v>
      </c>
      <c r="E1399" t="s">
        <v>685</v>
      </c>
      <c r="F1399" t="s">
        <v>665</v>
      </c>
    </row>
    <row r="1400" spans="1:6">
      <c r="A1400" t="s">
        <v>666</v>
      </c>
      <c r="B1400" t="s">
        <v>1871</v>
      </c>
      <c r="C1400" t="str">
        <f>VLOOKUP(A1400,'Cost Center'!A:C,3,FALSE)</f>
        <v>C503011</v>
      </c>
      <c r="D1400" t="s">
        <v>12998</v>
      </c>
      <c r="E1400" t="s">
        <v>685</v>
      </c>
      <c r="F1400" t="s">
        <v>666</v>
      </c>
    </row>
    <row r="1401" spans="1:6">
      <c r="A1401" t="s">
        <v>669</v>
      </c>
      <c r="B1401" t="s">
        <v>1874</v>
      </c>
      <c r="C1401" t="str">
        <f>VLOOKUP(A1401,'Cost Center'!A:C,3,FALSE)</f>
        <v>C503014</v>
      </c>
      <c r="D1401" t="s">
        <v>8175</v>
      </c>
      <c r="E1401" t="s">
        <v>685</v>
      </c>
      <c r="F1401" t="s">
        <v>669</v>
      </c>
    </row>
    <row r="1402" spans="1:6">
      <c r="A1402" t="s">
        <v>670</v>
      </c>
      <c r="B1402" t="s">
        <v>1875</v>
      </c>
      <c r="C1402" t="str">
        <f>VLOOKUP(A1402,'Cost Center'!A:C,3,FALSE)</f>
        <v>C503015</v>
      </c>
      <c r="D1402" t="s">
        <v>8178</v>
      </c>
      <c r="E1402" t="s">
        <v>685</v>
      </c>
      <c r="F1402" t="s">
        <v>670</v>
      </c>
    </row>
    <row r="1403" spans="1:6">
      <c r="A1403" t="s">
        <v>671</v>
      </c>
      <c r="B1403" t="s">
        <v>2897</v>
      </c>
      <c r="C1403" t="str">
        <f>VLOOKUP(A1403,'Cost Center'!A:C,3,FALSE)</f>
        <v>C503016</v>
      </c>
      <c r="D1403" t="s">
        <v>8181</v>
      </c>
      <c r="E1403" t="s">
        <v>685</v>
      </c>
      <c r="F1403" t="s">
        <v>671</v>
      </c>
    </row>
    <row r="1404" spans="1:6">
      <c r="A1404" t="s">
        <v>2898</v>
      </c>
      <c r="B1404" t="s">
        <v>2899</v>
      </c>
      <c r="C1404" t="str">
        <f>VLOOKUP(A1404,'Cost Center'!A:C,3,FALSE)</f>
        <v>C503026</v>
      </c>
      <c r="D1404" t="s">
        <v>8208</v>
      </c>
      <c r="E1404" t="s">
        <v>685</v>
      </c>
      <c r="F1404" t="s">
        <v>2898</v>
      </c>
    </row>
    <row r="1405" spans="1:6">
      <c r="A1405" t="s">
        <v>2900</v>
      </c>
      <c r="B1405" t="s">
        <v>2901</v>
      </c>
      <c r="C1405" t="str">
        <f>VLOOKUP(A1405,'Cost Center'!A:C,3,FALSE)</f>
        <v>C503027</v>
      </c>
      <c r="D1405" t="s">
        <v>13095</v>
      </c>
      <c r="E1405" t="s">
        <v>685</v>
      </c>
      <c r="F1405" t="s">
        <v>2900</v>
      </c>
    </row>
    <row r="1406" spans="1:6">
      <c r="A1406" t="s">
        <v>672</v>
      </c>
      <c r="B1406" t="s">
        <v>1882</v>
      </c>
      <c r="C1406" t="str">
        <f>VLOOKUP(A1406,'Cost Center'!A:C,3,FALSE)</f>
        <v>C503019</v>
      </c>
      <c r="D1406" t="s">
        <v>8188</v>
      </c>
      <c r="E1406" t="s">
        <v>685</v>
      </c>
      <c r="F1406" t="s">
        <v>672</v>
      </c>
    </row>
    <row r="1407" spans="1:6">
      <c r="A1407" t="s">
        <v>673</v>
      </c>
      <c r="B1407" t="s">
        <v>1883</v>
      </c>
      <c r="C1407" t="str">
        <f>VLOOKUP(A1407,'Cost Center'!A:C,3,FALSE)</f>
        <v>C503020</v>
      </c>
      <c r="D1407" t="s">
        <v>8191</v>
      </c>
      <c r="E1407" t="s">
        <v>685</v>
      </c>
      <c r="F1407" t="s">
        <v>673</v>
      </c>
    </row>
    <row r="1408" spans="1:6">
      <c r="A1408" t="s">
        <v>2902</v>
      </c>
      <c r="B1408" t="s">
        <v>2903</v>
      </c>
      <c r="C1408" t="e">
        <f>VLOOKUP(A1408,'Cost Center'!A:C,3,FALSE)</f>
        <v>#N/A</v>
      </c>
      <c r="D1408" t="s">
        <v>3624</v>
      </c>
      <c r="E1408" t="s">
        <v>685</v>
      </c>
      <c r="F1408" t="s">
        <v>2902</v>
      </c>
    </row>
    <row r="1409" spans="1:6">
      <c r="A1409" t="s">
        <v>676</v>
      </c>
      <c r="B1409" t="s">
        <v>1895</v>
      </c>
      <c r="C1409" t="str">
        <f>VLOOKUP(A1409,'Cost Center'!A:C,3,FALSE)</f>
        <v>C506018</v>
      </c>
      <c r="D1409" t="s">
        <v>13184</v>
      </c>
      <c r="E1409" t="s">
        <v>685</v>
      </c>
      <c r="F1409" t="s">
        <v>676</v>
      </c>
    </row>
    <row r="1410" spans="1:6">
      <c r="A1410" t="s">
        <v>677</v>
      </c>
      <c r="B1410" t="s">
        <v>1896</v>
      </c>
      <c r="C1410" t="str">
        <f>VLOOKUP(A1410,'Cost Center'!A:C,3,FALSE)</f>
        <v>C500357</v>
      </c>
      <c r="D1410" t="s">
        <v>13190</v>
      </c>
      <c r="E1410" t="s">
        <v>685</v>
      </c>
      <c r="F1410" t="s">
        <v>677</v>
      </c>
    </row>
    <row r="1411" spans="1:6">
      <c r="A1411">
        <v>10242</v>
      </c>
      <c r="B1411" t="s">
        <v>2904</v>
      </c>
      <c r="C1411" t="e">
        <f>VLOOKUP(A1411,'Cost Center'!A:C,3,FALSE)</f>
        <v>#N/A</v>
      </c>
      <c r="D1411" t="s">
        <v>3624</v>
      </c>
      <c r="E1411" t="s">
        <v>685</v>
      </c>
      <c r="F1411" t="s">
        <v>20082</v>
      </c>
    </row>
    <row r="1412" spans="1:6">
      <c r="A1412">
        <v>10248</v>
      </c>
      <c r="B1412" t="s">
        <v>2905</v>
      </c>
      <c r="C1412" t="e">
        <f>VLOOKUP(A1412,'Cost Center'!A:C,3,FALSE)</f>
        <v>#N/A</v>
      </c>
      <c r="D1412" t="s">
        <v>3624</v>
      </c>
      <c r="E1412" t="s">
        <v>685</v>
      </c>
      <c r="F1412" t="s">
        <v>20083</v>
      </c>
    </row>
    <row r="1413" spans="1:6">
      <c r="A1413">
        <v>10252</v>
      </c>
      <c r="B1413" t="s">
        <v>2906</v>
      </c>
      <c r="C1413" t="str">
        <f>VLOOKUP(A1413,'Cost Center'!A:C,3,FALSE)</f>
        <v>C090003</v>
      </c>
      <c r="D1413" t="s">
        <v>5036</v>
      </c>
      <c r="E1413" t="s">
        <v>685</v>
      </c>
      <c r="F1413" t="s">
        <v>18484</v>
      </c>
    </row>
    <row r="1414" spans="1:6">
      <c r="A1414">
        <v>11910</v>
      </c>
      <c r="B1414" t="s">
        <v>2907</v>
      </c>
      <c r="C1414" t="str">
        <f>VLOOKUP(A1414,'Cost Center'!A:C,3,FALSE)</f>
        <v>C503028</v>
      </c>
      <c r="D1414" t="s">
        <v>8213</v>
      </c>
      <c r="E1414" t="s">
        <v>685</v>
      </c>
      <c r="F1414" t="s">
        <v>19399</v>
      </c>
    </row>
    <row r="1415" spans="1:6">
      <c r="A1415">
        <v>50525</v>
      </c>
      <c r="B1415" t="s">
        <v>2908</v>
      </c>
      <c r="C1415" t="str">
        <f>VLOOKUP(A1415,'Cost Center'!A:C,3,FALSE)</f>
        <v>C090031</v>
      </c>
      <c r="D1415" t="s">
        <v>5948</v>
      </c>
      <c r="E1415" t="s">
        <v>685</v>
      </c>
      <c r="F1415" t="s">
        <v>18752</v>
      </c>
    </row>
    <row r="1416" spans="1:6">
      <c r="A1416">
        <v>50526</v>
      </c>
      <c r="B1416" t="s">
        <v>2909</v>
      </c>
      <c r="C1416" t="e">
        <f>VLOOKUP(A1416,'Cost Center'!A:C,3,FALSE)</f>
        <v>#N/A</v>
      </c>
      <c r="D1416" t="s">
        <v>3624</v>
      </c>
      <c r="E1416" t="s">
        <v>685</v>
      </c>
      <c r="F1416" t="s">
        <v>20084</v>
      </c>
    </row>
    <row r="1417" spans="1:6">
      <c r="A1417">
        <v>54005</v>
      </c>
      <c r="B1417" t="s">
        <v>2910</v>
      </c>
      <c r="C1417" t="e">
        <f>VLOOKUP(A1417,'Cost Center'!A:C,3,FALSE)</f>
        <v>#N/A</v>
      </c>
      <c r="D1417" t="s">
        <v>3624</v>
      </c>
      <c r="E1417" t="s">
        <v>685</v>
      </c>
      <c r="F1417" t="s">
        <v>20085</v>
      </c>
    </row>
    <row r="1418" spans="1:6">
      <c r="A1418">
        <v>54016</v>
      </c>
      <c r="B1418" t="s">
        <v>2911</v>
      </c>
      <c r="C1418" t="str">
        <f>VLOOKUP(A1418,'Cost Center'!A:C,3,FALSE)</f>
        <v>C506099</v>
      </c>
      <c r="D1418" t="s">
        <v>6379</v>
      </c>
      <c r="E1418" t="s">
        <v>685</v>
      </c>
      <c r="F1418" t="s">
        <v>18909</v>
      </c>
    </row>
    <row r="1419" spans="1:6">
      <c r="A1419">
        <v>54020</v>
      </c>
      <c r="B1419" t="s">
        <v>2912</v>
      </c>
      <c r="C1419" t="e">
        <f>VLOOKUP(A1419,'Cost Center'!A:C,3,FALSE)</f>
        <v>#N/A</v>
      </c>
      <c r="D1419" t="s">
        <v>3624</v>
      </c>
      <c r="E1419" t="s">
        <v>685</v>
      </c>
      <c r="F1419" t="s">
        <v>20086</v>
      </c>
    </row>
    <row r="1420" spans="1:6">
      <c r="A1420" t="s">
        <v>2913</v>
      </c>
      <c r="B1420" t="s">
        <v>2914</v>
      </c>
      <c r="C1420" t="str">
        <f>VLOOKUP(A1420,'Cost Center'!A:C,3,FALSE)</f>
        <v>C290906</v>
      </c>
      <c r="D1420" t="s">
        <v>11638</v>
      </c>
      <c r="E1420" t="s">
        <v>685</v>
      </c>
      <c r="F1420" t="s">
        <v>2913</v>
      </c>
    </row>
    <row r="1421" spans="1:6">
      <c r="A1421" t="s">
        <v>2915</v>
      </c>
      <c r="B1421" t="s">
        <v>2916</v>
      </c>
      <c r="C1421" t="str">
        <f>VLOOKUP(A1421,'Cost Center'!A:C,3,FALSE)</f>
        <v>C290900</v>
      </c>
      <c r="D1421" t="s">
        <v>6557</v>
      </c>
      <c r="E1421" t="s">
        <v>685</v>
      </c>
      <c r="F1421" t="s">
        <v>2915</v>
      </c>
    </row>
    <row r="1422" spans="1:6">
      <c r="A1422" t="s">
        <v>2917</v>
      </c>
      <c r="B1422" t="s">
        <v>2918</v>
      </c>
      <c r="C1422" t="str">
        <f>VLOOKUP(A1422,'Cost Center'!A:C,3,FALSE)</f>
        <v>C290901</v>
      </c>
      <c r="D1422" t="s">
        <v>6559</v>
      </c>
      <c r="E1422" t="s">
        <v>685</v>
      </c>
      <c r="F1422" t="s">
        <v>2917</v>
      </c>
    </row>
    <row r="1423" spans="1:6">
      <c r="A1423" t="s">
        <v>2919</v>
      </c>
      <c r="B1423" t="s">
        <v>2920</v>
      </c>
      <c r="C1423" t="str">
        <f>VLOOKUP(A1423,'Cost Center'!A:C,3,FALSE)</f>
        <v>C290902</v>
      </c>
      <c r="D1423" t="s">
        <v>6561</v>
      </c>
      <c r="E1423" t="s">
        <v>685</v>
      </c>
      <c r="F1423" t="s">
        <v>2919</v>
      </c>
    </row>
    <row r="1424" spans="1:6">
      <c r="A1424" t="s">
        <v>2921</v>
      </c>
      <c r="B1424" t="s">
        <v>2922</v>
      </c>
      <c r="C1424" t="str">
        <f>VLOOKUP(A1424,'Cost Center'!A:C,3,FALSE)</f>
        <v>C290903</v>
      </c>
      <c r="D1424" t="s">
        <v>6563</v>
      </c>
      <c r="E1424" t="s">
        <v>685</v>
      </c>
      <c r="F1424" t="s">
        <v>2921</v>
      </c>
    </row>
    <row r="1425" spans="1:6">
      <c r="A1425" t="s">
        <v>2923</v>
      </c>
      <c r="B1425" t="s">
        <v>2924</v>
      </c>
      <c r="C1425" t="e">
        <f>VLOOKUP(A1425,'Cost Center'!A:C,3,FALSE)</f>
        <v>#N/A</v>
      </c>
      <c r="D1425" t="e">
        <v>#N/A</v>
      </c>
      <c r="E1425" t="s">
        <v>685</v>
      </c>
      <c r="F1425" t="s">
        <v>2923</v>
      </c>
    </row>
    <row r="1426" spans="1:6">
      <c r="A1426" t="s">
        <v>2925</v>
      </c>
      <c r="B1426" t="s">
        <v>2926</v>
      </c>
      <c r="C1426" t="str">
        <f>VLOOKUP(A1426,'Cost Center'!A:C,3,FALSE)</f>
        <v>C290904</v>
      </c>
      <c r="D1426" t="s">
        <v>6565</v>
      </c>
      <c r="E1426" t="s">
        <v>685</v>
      </c>
      <c r="F1426" t="s">
        <v>2925</v>
      </c>
    </row>
    <row r="1427" spans="1:6">
      <c r="A1427" t="s">
        <v>2927</v>
      </c>
      <c r="B1427" t="s">
        <v>2928</v>
      </c>
      <c r="C1427" t="e">
        <f>VLOOKUP(A1427,'Cost Center'!A:C,3,FALSE)</f>
        <v>#N/A</v>
      </c>
      <c r="D1427" t="s">
        <v>3624</v>
      </c>
      <c r="E1427" t="s">
        <v>685</v>
      </c>
      <c r="F1427" t="s">
        <v>2927</v>
      </c>
    </row>
    <row r="1428" spans="1:6">
      <c r="A1428" t="s">
        <v>582</v>
      </c>
      <c r="B1428" t="s">
        <v>1759</v>
      </c>
      <c r="C1428" t="str">
        <f>VLOOKUP(A1428,'Cost Center'!A:C,3,FALSE)</f>
        <v>C503029</v>
      </c>
      <c r="D1428" t="s">
        <v>12266</v>
      </c>
      <c r="E1428" t="s">
        <v>685</v>
      </c>
      <c r="F1428" t="s">
        <v>582</v>
      </c>
    </row>
    <row r="1429" spans="1:6">
      <c r="A1429" t="s">
        <v>2929</v>
      </c>
      <c r="B1429" t="s">
        <v>2930</v>
      </c>
      <c r="C1429" t="str">
        <f>VLOOKUP(A1429,'Cost Center'!A:C,3,FALSE)</f>
        <v>C503030</v>
      </c>
      <c r="D1429" t="s">
        <v>8218</v>
      </c>
      <c r="E1429" t="s">
        <v>685</v>
      </c>
      <c r="F1429" t="s">
        <v>2929</v>
      </c>
    </row>
    <row r="1430" spans="1:6">
      <c r="A1430" t="s">
        <v>2931</v>
      </c>
      <c r="B1430" t="s">
        <v>2932</v>
      </c>
      <c r="C1430" t="str">
        <f>VLOOKUP(A1430,'Cost Center'!A:C,3,FALSE)</f>
        <v>C090018</v>
      </c>
      <c r="D1430" t="s">
        <v>4549</v>
      </c>
      <c r="E1430" t="s">
        <v>685</v>
      </c>
      <c r="F1430" t="s">
        <v>2931</v>
      </c>
    </row>
    <row r="1431" spans="1:6">
      <c r="A1431" t="s">
        <v>2933</v>
      </c>
      <c r="B1431" t="s">
        <v>2934</v>
      </c>
      <c r="C1431" t="str">
        <f>VLOOKUP(A1431,'Cost Center'!A:C,3,FALSE)</f>
        <v>C503031</v>
      </c>
      <c r="D1431" t="s">
        <v>8221</v>
      </c>
      <c r="E1431" t="s">
        <v>685</v>
      </c>
      <c r="F1431" t="s">
        <v>2933</v>
      </c>
    </row>
    <row r="1432" spans="1:6">
      <c r="A1432" t="s">
        <v>611</v>
      </c>
      <c r="B1432" t="s">
        <v>1829</v>
      </c>
      <c r="C1432" t="str">
        <f>VLOOKUP(A1432,'Cost Center'!A:C,3,FALSE)</f>
        <v>C506007</v>
      </c>
      <c r="D1432" t="s">
        <v>8467</v>
      </c>
      <c r="E1432" t="s">
        <v>685</v>
      </c>
      <c r="F1432" t="s">
        <v>611</v>
      </c>
    </row>
    <row r="1433" spans="1:6">
      <c r="A1433" t="s">
        <v>2935</v>
      </c>
      <c r="B1433" t="s">
        <v>2936</v>
      </c>
      <c r="C1433" t="str">
        <f>VLOOKUP(A1433,'Cost Center'!A:C,3,FALSE)</f>
        <v>Use PC instead</v>
      </c>
      <c r="D1433" t="s">
        <v>13218</v>
      </c>
      <c r="E1433" t="s">
        <v>685</v>
      </c>
      <c r="F1433" t="s">
        <v>2935</v>
      </c>
    </row>
    <row r="1434" spans="1:6">
      <c r="A1434" t="s">
        <v>622</v>
      </c>
      <c r="B1434" t="s">
        <v>2937</v>
      </c>
      <c r="C1434" t="str">
        <f>VLOOKUP(A1434,'Cost Center'!A:C,3,FALSE)</f>
        <v>C506009</v>
      </c>
      <c r="D1434" t="s">
        <v>12761</v>
      </c>
      <c r="E1434" t="s">
        <v>685</v>
      </c>
      <c r="F1434" t="s">
        <v>622</v>
      </c>
    </row>
    <row r="1435" spans="1:6">
      <c r="A1435" t="s">
        <v>1916</v>
      </c>
      <c r="B1435" t="s">
        <v>2938</v>
      </c>
      <c r="C1435" t="str">
        <f>VLOOKUP(A1435,'Cost Center'!A:C,3,FALSE)</f>
        <v>C506010</v>
      </c>
      <c r="D1435" t="s">
        <v>8475</v>
      </c>
      <c r="E1435" t="s">
        <v>685</v>
      </c>
      <c r="F1435" t="s">
        <v>1916</v>
      </c>
    </row>
    <row r="1436" spans="1:6">
      <c r="A1436" t="s">
        <v>1917</v>
      </c>
      <c r="B1436" t="s">
        <v>2939</v>
      </c>
      <c r="C1436" t="str">
        <f>VLOOKUP(A1436,'Cost Center'!A:C,3,FALSE)</f>
        <v>C506013</v>
      </c>
      <c r="D1436" t="s">
        <v>8484</v>
      </c>
      <c r="E1436" t="s">
        <v>685</v>
      </c>
      <c r="F1436" t="s">
        <v>1917</v>
      </c>
    </row>
    <row r="1437" spans="1:6">
      <c r="A1437" t="s">
        <v>1918</v>
      </c>
      <c r="B1437" t="s">
        <v>2940</v>
      </c>
      <c r="C1437" t="str">
        <f>VLOOKUP(A1437,'Cost Center'!A:C,3,FALSE)</f>
        <v>C506014</v>
      </c>
      <c r="D1437" t="s">
        <v>8487</v>
      </c>
      <c r="E1437" t="s">
        <v>685</v>
      </c>
      <c r="F1437" t="s">
        <v>1918</v>
      </c>
    </row>
    <row r="1438" spans="1:6">
      <c r="A1438" t="s">
        <v>1919</v>
      </c>
      <c r="B1438" t="s">
        <v>2941</v>
      </c>
      <c r="C1438" t="str">
        <f>VLOOKUP(A1438,'Cost Center'!A:C,3,FALSE)</f>
        <v>C506016</v>
      </c>
      <c r="D1438" t="s">
        <v>8492</v>
      </c>
      <c r="E1438" t="s">
        <v>685</v>
      </c>
      <c r="F1438" t="s">
        <v>1919</v>
      </c>
    </row>
    <row r="1439" spans="1:6">
      <c r="A1439" t="s">
        <v>2942</v>
      </c>
      <c r="B1439" t="s">
        <v>2943</v>
      </c>
      <c r="C1439" t="str">
        <f>VLOOKUP(A1439,'Cost Center'!A:C,3,FALSE)</f>
        <v>C503032</v>
      </c>
      <c r="D1439" t="s">
        <v>8224</v>
      </c>
      <c r="E1439" t="s">
        <v>685</v>
      </c>
      <c r="F1439" t="s">
        <v>2942</v>
      </c>
    </row>
    <row r="1440" spans="1:6">
      <c r="A1440" t="s">
        <v>627</v>
      </c>
      <c r="B1440" t="s">
        <v>1846</v>
      </c>
      <c r="C1440" t="str">
        <f>VLOOKUP(A1440,'Cost Center'!A:C,3,FALSE)</f>
        <v>C506019</v>
      </c>
      <c r="D1440" t="s">
        <v>12825</v>
      </c>
      <c r="E1440" t="s">
        <v>685</v>
      </c>
      <c r="F1440" t="s">
        <v>627</v>
      </c>
    </row>
    <row r="1441" spans="1:6">
      <c r="A1441" t="s">
        <v>629</v>
      </c>
      <c r="B1441" t="s">
        <v>1848</v>
      </c>
      <c r="C1441" t="str">
        <f>VLOOKUP(A1441,'Cost Center'!A:C,3,FALSE)</f>
        <v>C506021</v>
      </c>
      <c r="D1441" t="s">
        <v>12831</v>
      </c>
      <c r="E1441" t="s">
        <v>685</v>
      </c>
      <c r="F1441" t="s">
        <v>629</v>
      </c>
    </row>
    <row r="1442" spans="1:6">
      <c r="A1442" t="s">
        <v>1925</v>
      </c>
      <c r="B1442" t="s">
        <v>2944</v>
      </c>
      <c r="C1442" t="str">
        <f>VLOOKUP(A1442,'Cost Center'!A:C,3,FALSE)</f>
        <v>C506022</v>
      </c>
      <c r="D1442" t="s">
        <v>12841</v>
      </c>
      <c r="E1442" t="s">
        <v>685</v>
      </c>
      <c r="F1442" t="s">
        <v>1925</v>
      </c>
    </row>
    <row r="1443" spans="1:6">
      <c r="A1443" t="s">
        <v>2945</v>
      </c>
      <c r="B1443" t="s">
        <v>2946</v>
      </c>
      <c r="C1443" t="str">
        <f>VLOOKUP(A1443,'Cost Center'!A:C,3,FALSE)</f>
        <v>C503033</v>
      </c>
      <c r="D1443" t="s">
        <v>12851</v>
      </c>
      <c r="E1443" t="s">
        <v>685</v>
      </c>
      <c r="F1443" t="s">
        <v>2945</v>
      </c>
    </row>
    <row r="1444" spans="1:6">
      <c r="A1444" t="s">
        <v>2947</v>
      </c>
      <c r="B1444" t="s">
        <v>2948</v>
      </c>
      <c r="C1444" t="str">
        <f>VLOOKUP(A1444,'Cost Center'!A:C,3,FALSE)</f>
        <v>C503034</v>
      </c>
      <c r="D1444" t="s">
        <v>12901</v>
      </c>
      <c r="E1444" t="s">
        <v>685</v>
      </c>
      <c r="F1444" t="s">
        <v>2947</v>
      </c>
    </row>
    <row r="1445" spans="1:6">
      <c r="A1445" t="s">
        <v>2949</v>
      </c>
      <c r="B1445" t="s">
        <v>2950</v>
      </c>
      <c r="C1445" t="str">
        <f>VLOOKUP(A1445,'Cost Center'!A:C,3,FALSE)</f>
        <v>C503035</v>
      </c>
      <c r="D1445" t="s">
        <v>8231</v>
      </c>
      <c r="E1445" t="s">
        <v>685</v>
      </c>
      <c r="F1445" t="s">
        <v>2949</v>
      </c>
    </row>
    <row r="1446" spans="1:6">
      <c r="A1446" t="s">
        <v>2951</v>
      </c>
      <c r="B1446" t="s">
        <v>2952</v>
      </c>
      <c r="C1446" t="str">
        <f>VLOOKUP(A1446,'Cost Center'!A:C,3,FALSE)</f>
        <v>C503036</v>
      </c>
      <c r="D1446" t="s">
        <v>13001</v>
      </c>
      <c r="E1446" t="s">
        <v>685</v>
      </c>
      <c r="F1446" t="s">
        <v>2951</v>
      </c>
    </row>
    <row r="1447" spans="1:6">
      <c r="A1447" t="s">
        <v>2953</v>
      </c>
      <c r="B1447" t="s">
        <v>2954</v>
      </c>
      <c r="C1447" t="str">
        <f>VLOOKUP(A1447,'Cost Center'!A:C,3,FALSE)</f>
        <v>C503037</v>
      </c>
      <c r="D1447" t="s">
        <v>8236</v>
      </c>
      <c r="E1447" t="s">
        <v>685</v>
      </c>
      <c r="F1447" t="s">
        <v>2953</v>
      </c>
    </row>
    <row r="1448" spans="1:6">
      <c r="A1448" t="s">
        <v>2955</v>
      </c>
      <c r="B1448" t="s">
        <v>2956</v>
      </c>
      <c r="C1448" t="e">
        <f>VLOOKUP(A1448,'Cost Center'!A:C,3,FALSE)</f>
        <v>#N/A</v>
      </c>
      <c r="D1448" t="s">
        <v>3624</v>
      </c>
      <c r="E1448" t="s">
        <v>685</v>
      </c>
      <c r="F1448" t="s">
        <v>2955</v>
      </c>
    </row>
    <row r="1449" spans="1:6">
      <c r="A1449" t="s">
        <v>636</v>
      </c>
      <c r="B1449" t="s">
        <v>1876</v>
      </c>
      <c r="C1449" t="str">
        <f>VLOOKUP(A1449,'Cost Center'!A:C,3,FALSE)</f>
        <v>CI50000</v>
      </c>
      <c r="D1449" t="s">
        <v>13004</v>
      </c>
      <c r="E1449" t="s">
        <v>685</v>
      </c>
      <c r="F1449" t="s">
        <v>636</v>
      </c>
    </row>
    <row r="1450" spans="1:6">
      <c r="A1450" t="s">
        <v>637</v>
      </c>
      <c r="B1450" t="s">
        <v>1877</v>
      </c>
      <c r="C1450" t="str">
        <f>VLOOKUP(A1450,'Cost Center'!A:C,3,FALSE)</f>
        <v>CI50002</v>
      </c>
      <c r="D1450" t="s">
        <v>13037</v>
      </c>
      <c r="E1450" t="s">
        <v>685</v>
      </c>
      <c r="F1450" t="s">
        <v>637</v>
      </c>
    </row>
    <row r="1451" spans="1:6">
      <c r="A1451" t="s">
        <v>1920</v>
      </c>
      <c r="B1451" t="s">
        <v>2957</v>
      </c>
      <c r="C1451" t="str">
        <f>VLOOKUP(A1451,'Cost Center'!A:C,3,FALSE)</f>
        <v>C500002</v>
      </c>
      <c r="D1451" t="s">
        <v>13098</v>
      </c>
      <c r="E1451" t="s">
        <v>685</v>
      </c>
      <c r="F1451" t="s">
        <v>1920</v>
      </c>
    </row>
    <row r="1452" spans="1:6">
      <c r="A1452" t="s">
        <v>1878</v>
      </c>
      <c r="B1452" t="s">
        <v>1879</v>
      </c>
      <c r="C1452" t="str">
        <f>VLOOKUP(A1452,'Cost Center'!A:C,3,FALSE)</f>
        <v>C503038</v>
      </c>
      <c r="D1452" t="s">
        <v>13113</v>
      </c>
      <c r="E1452" t="s">
        <v>685</v>
      </c>
      <c r="F1452" t="s">
        <v>1878</v>
      </c>
    </row>
    <row r="1453" spans="1:6">
      <c r="A1453" t="s">
        <v>2958</v>
      </c>
      <c r="B1453" t="s">
        <v>2959</v>
      </c>
      <c r="C1453" t="str">
        <f>VLOOKUP(A1453,'Cost Center'!A:C,3,FALSE)</f>
        <v>C503039</v>
      </c>
      <c r="D1453" t="s">
        <v>13116</v>
      </c>
      <c r="E1453" t="s">
        <v>685</v>
      </c>
      <c r="F1453" t="s">
        <v>2958</v>
      </c>
    </row>
    <row r="1454" spans="1:6">
      <c r="A1454" t="s">
        <v>2960</v>
      </c>
      <c r="B1454" t="s">
        <v>2961</v>
      </c>
      <c r="C1454" t="e">
        <f>VLOOKUP(A1454,'Cost Center'!A:C,3,FALSE)</f>
        <v>#N/A</v>
      </c>
      <c r="D1454" t="s">
        <v>3624</v>
      </c>
      <c r="E1454" t="s">
        <v>685</v>
      </c>
      <c r="F1454" t="s">
        <v>2960</v>
      </c>
    </row>
    <row r="1455" spans="1:6">
      <c r="A1455" t="s">
        <v>2962</v>
      </c>
      <c r="B1455" t="s">
        <v>2963</v>
      </c>
      <c r="C1455" t="str">
        <f>VLOOKUP(A1455,'Cost Center'!A:C,3,FALSE)</f>
        <v>C601006</v>
      </c>
      <c r="D1455" t="s">
        <v>13140</v>
      </c>
      <c r="E1455" t="s">
        <v>685</v>
      </c>
      <c r="F1455" t="s">
        <v>2962</v>
      </c>
    </row>
    <row r="1456" spans="1:6">
      <c r="A1456" t="s">
        <v>2964</v>
      </c>
      <c r="B1456" t="s">
        <v>2965</v>
      </c>
      <c r="C1456" t="e">
        <f>VLOOKUP(A1456,'Cost Center'!A:C,3,FALSE)</f>
        <v>#N/A</v>
      </c>
      <c r="D1456" t="s">
        <v>3624</v>
      </c>
      <c r="E1456" t="s">
        <v>685</v>
      </c>
      <c r="F1456" t="s">
        <v>2964</v>
      </c>
    </row>
    <row r="1457" spans="1:6">
      <c r="A1457" t="s">
        <v>640</v>
      </c>
      <c r="B1457" t="s">
        <v>2966</v>
      </c>
      <c r="C1457" t="str">
        <f>VLOOKUP(A1457,'Cost Center'!A:C,3,FALSE)</f>
        <v>C503018</v>
      </c>
      <c r="D1457" t="s">
        <v>13151</v>
      </c>
      <c r="E1457" t="s">
        <v>685</v>
      </c>
      <c r="F1457" t="s">
        <v>640</v>
      </c>
    </row>
    <row r="1458" spans="1:6">
      <c r="A1458" t="s">
        <v>2967</v>
      </c>
      <c r="B1458" t="s">
        <v>2968</v>
      </c>
      <c r="C1458" t="str">
        <f>VLOOKUP(A1458,'Cost Center'!A:C,3,FALSE)</f>
        <v>C503040</v>
      </c>
      <c r="D1458" t="s">
        <v>8243</v>
      </c>
      <c r="E1458" t="s">
        <v>685</v>
      </c>
      <c r="F1458" t="s">
        <v>2967</v>
      </c>
    </row>
    <row r="1459" spans="1:6">
      <c r="A1459" t="s">
        <v>2969</v>
      </c>
      <c r="B1459" t="s">
        <v>2970</v>
      </c>
      <c r="C1459" t="str">
        <f>VLOOKUP(A1459,'Cost Center'!A:C,3,FALSE)</f>
        <v>C500355</v>
      </c>
      <c r="D1459" t="s">
        <v>8024</v>
      </c>
      <c r="E1459" t="s">
        <v>685</v>
      </c>
      <c r="F1459" t="s">
        <v>2969</v>
      </c>
    </row>
    <row r="1460" spans="1:6">
      <c r="A1460" t="s">
        <v>641</v>
      </c>
      <c r="B1460" t="s">
        <v>1886</v>
      </c>
      <c r="C1460" t="str">
        <f>VLOOKUP(A1460,'Cost Center'!A:C,3,FALSE)</f>
        <v>C503041</v>
      </c>
      <c r="D1460" t="s">
        <v>13161</v>
      </c>
      <c r="E1460" t="s">
        <v>685</v>
      </c>
      <c r="F1460" t="s">
        <v>641</v>
      </c>
    </row>
    <row r="1461" spans="1:6">
      <c r="A1461" t="s">
        <v>642</v>
      </c>
      <c r="B1461" t="s">
        <v>1887</v>
      </c>
      <c r="C1461" t="str">
        <f>VLOOKUP(A1461,'Cost Center'!A:C,3,FALSE)</f>
        <v>C503023</v>
      </c>
      <c r="D1461" t="s">
        <v>8200</v>
      </c>
      <c r="E1461" t="s">
        <v>685</v>
      </c>
      <c r="F1461" t="s">
        <v>642</v>
      </c>
    </row>
    <row r="1462" spans="1:6">
      <c r="A1462" t="s">
        <v>643</v>
      </c>
      <c r="B1462" t="s">
        <v>1888</v>
      </c>
      <c r="C1462" t="str">
        <f>VLOOKUP(A1462,'Cost Center'!A:C,3,FALSE)</f>
        <v>CI56001</v>
      </c>
      <c r="D1462" t="s">
        <v>13168</v>
      </c>
      <c r="E1462" t="s">
        <v>685</v>
      </c>
      <c r="F1462" t="s">
        <v>643</v>
      </c>
    </row>
    <row r="1463" spans="1:6">
      <c r="A1463" t="s">
        <v>2971</v>
      </c>
      <c r="B1463" t="s">
        <v>2972</v>
      </c>
      <c r="C1463" t="str">
        <f>VLOOKUP(A1463,'Cost Center'!A:C,3,FALSE)</f>
        <v>C506028</v>
      </c>
      <c r="D1463" t="s">
        <v>8524</v>
      </c>
      <c r="E1463" t="s">
        <v>685</v>
      </c>
      <c r="F1463" t="s">
        <v>2971</v>
      </c>
    </row>
    <row r="1464" spans="1:6">
      <c r="A1464" t="s">
        <v>2973</v>
      </c>
      <c r="B1464" t="s">
        <v>2974</v>
      </c>
      <c r="C1464" t="e">
        <f>VLOOKUP(A1464,'Cost Center'!A:C,3,FALSE)</f>
        <v>#N/A</v>
      </c>
      <c r="D1464" t="s">
        <v>3624</v>
      </c>
      <c r="E1464" t="s">
        <v>685</v>
      </c>
      <c r="F1464" t="s">
        <v>2973</v>
      </c>
    </row>
    <row r="1465" spans="1:6">
      <c r="A1465" t="s">
        <v>644</v>
      </c>
      <c r="B1465" t="s">
        <v>1889</v>
      </c>
      <c r="C1465" t="str">
        <f>VLOOKUP(A1465,'Cost Center'!A:C,3,FALSE)</f>
        <v>C506003</v>
      </c>
      <c r="D1465" t="s">
        <v>8455</v>
      </c>
      <c r="E1465" t="s">
        <v>685</v>
      </c>
      <c r="F1465" t="s">
        <v>644</v>
      </c>
    </row>
    <row r="1466" spans="1:6">
      <c r="A1466" t="s">
        <v>645</v>
      </c>
      <c r="B1466" t="s">
        <v>1890</v>
      </c>
      <c r="C1466" t="str">
        <f>VLOOKUP(A1466,'Cost Center'!A:C,3,FALSE)</f>
        <v>C506005</v>
      </c>
      <c r="D1466" t="s">
        <v>8461</v>
      </c>
      <c r="E1466" t="s">
        <v>685</v>
      </c>
      <c r="F1466" t="s">
        <v>645</v>
      </c>
    </row>
    <row r="1467" spans="1:6">
      <c r="A1467" t="s">
        <v>646</v>
      </c>
      <c r="B1467" t="s">
        <v>1891</v>
      </c>
      <c r="C1467" t="str">
        <f>VLOOKUP(A1467,'Cost Center'!A:C,3,FALSE)</f>
        <v>C506006</v>
      </c>
      <c r="D1467" t="s">
        <v>8464</v>
      </c>
      <c r="E1467" t="s">
        <v>685</v>
      </c>
      <c r="F1467" t="s">
        <v>646</v>
      </c>
    </row>
    <row r="1468" spans="1:6">
      <c r="A1468" t="s">
        <v>647</v>
      </c>
      <c r="B1468" t="s">
        <v>1892</v>
      </c>
      <c r="C1468" t="str">
        <f>VLOOKUP(A1468,'Cost Center'!A:C,3,FALSE)</f>
        <v>C506008</v>
      </c>
      <c r="D1468" t="s">
        <v>8470</v>
      </c>
      <c r="E1468" t="s">
        <v>685</v>
      </c>
      <c r="F1468" t="s">
        <v>647</v>
      </c>
    </row>
    <row r="1469" spans="1:6">
      <c r="A1469" t="s">
        <v>648</v>
      </c>
      <c r="B1469" t="s">
        <v>1893</v>
      </c>
      <c r="C1469" t="str">
        <f>VLOOKUP(A1469,'Cost Center'!A:C,3,FALSE)</f>
        <v>C506011</v>
      </c>
      <c r="D1469" t="s">
        <v>8478</v>
      </c>
      <c r="E1469" t="s">
        <v>685</v>
      </c>
      <c r="F1469" t="s">
        <v>648</v>
      </c>
    </row>
    <row r="1470" spans="1:6">
      <c r="A1470" t="s">
        <v>649</v>
      </c>
      <c r="B1470" t="s">
        <v>1894</v>
      </c>
      <c r="C1470" t="str">
        <f>VLOOKUP(A1470,'Cost Center'!A:C,3,FALSE)</f>
        <v>C506012</v>
      </c>
      <c r="D1470" t="s">
        <v>8481</v>
      </c>
      <c r="E1470" t="s">
        <v>685</v>
      </c>
      <c r="F1470" t="s">
        <v>649</v>
      </c>
    </row>
    <row r="1471" spans="1:6">
      <c r="A1471" t="s">
        <v>1928</v>
      </c>
      <c r="B1471" t="s">
        <v>2975</v>
      </c>
      <c r="C1471" t="str">
        <f>VLOOKUP(A1471,'Cost Center'!A:C,3,FALSE)</f>
        <v>C506015</v>
      </c>
      <c r="D1471" t="s">
        <v>13177</v>
      </c>
      <c r="E1471" t="s">
        <v>685</v>
      </c>
      <c r="F1471" t="s">
        <v>1928</v>
      </c>
    </row>
    <row r="1472" spans="1:6">
      <c r="A1472" t="s">
        <v>1929</v>
      </c>
      <c r="B1472" t="s">
        <v>2976</v>
      </c>
      <c r="C1472" t="str">
        <f>VLOOKUP(A1472,'Cost Center'!A:C,3,FALSE)</f>
        <v>C506017</v>
      </c>
      <c r="D1472" t="s">
        <v>8495</v>
      </c>
      <c r="E1472" t="s">
        <v>685</v>
      </c>
      <c r="F1472" t="s">
        <v>1929</v>
      </c>
    </row>
    <row r="1473" spans="1:6">
      <c r="A1473" t="s">
        <v>2977</v>
      </c>
      <c r="B1473" t="s">
        <v>2978</v>
      </c>
      <c r="C1473" t="str">
        <f>VLOOKUP(A1473,'Cost Center'!A:C,3,FALSE)</f>
        <v>C506024</v>
      </c>
      <c r="D1473" t="s">
        <v>8512</v>
      </c>
      <c r="E1473" t="s">
        <v>685</v>
      </c>
      <c r="F1473" t="s">
        <v>2977</v>
      </c>
    </row>
    <row r="1474" spans="1:6">
      <c r="A1474" t="s">
        <v>2979</v>
      </c>
      <c r="B1474" t="s">
        <v>2980</v>
      </c>
      <c r="C1474" t="str">
        <f>VLOOKUP(A1474,'Cost Center'!A:C,3,FALSE)</f>
        <v>C506025</v>
      </c>
      <c r="D1474" t="s">
        <v>8515</v>
      </c>
      <c r="E1474" t="s">
        <v>685</v>
      </c>
      <c r="F1474" t="s">
        <v>2979</v>
      </c>
    </row>
    <row r="1475" spans="1:6">
      <c r="A1475" t="s">
        <v>2981</v>
      </c>
      <c r="B1475" t="s">
        <v>2982</v>
      </c>
      <c r="C1475" t="str">
        <f>VLOOKUP(A1475,'Cost Center'!A:C,3,FALSE)</f>
        <v>C506032</v>
      </c>
      <c r="D1475" t="s">
        <v>8537</v>
      </c>
      <c r="E1475" t="s">
        <v>685</v>
      </c>
      <c r="F1475" t="s">
        <v>2981</v>
      </c>
    </row>
    <row r="1476" spans="1:6">
      <c r="A1476" t="s">
        <v>1932</v>
      </c>
      <c r="B1476" t="s">
        <v>2983</v>
      </c>
      <c r="C1476" t="str">
        <f>VLOOKUP(A1476,'Cost Center'!A:C,3,FALSE)</f>
        <v>C506026</v>
      </c>
      <c r="D1476" t="s">
        <v>8518</v>
      </c>
      <c r="E1476" t="s">
        <v>685</v>
      </c>
      <c r="F1476" t="s">
        <v>1932</v>
      </c>
    </row>
    <row r="1477" spans="1:6">
      <c r="A1477" t="s">
        <v>2984</v>
      </c>
      <c r="B1477" t="s">
        <v>2985</v>
      </c>
      <c r="C1477" t="str">
        <f>VLOOKUP(A1477,'Cost Center'!A:C,3,FALSE)</f>
        <v>C506027</v>
      </c>
      <c r="D1477" t="s">
        <v>8521</v>
      </c>
      <c r="E1477" t="s">
        <v>685</v>
      </c>
      <c r="F1477" t="s">
        <v>2984</v>
      </c>
    </row>
    <row r="1478" spans="1:6">
      <c r="A1478">
        <v>10241</v>
      </c>
      <c r="B1478" t="s">
        <v>2986</v>
      </c>
      <c r="C1478" t="str">
        <f>VLOOKUP(A1478,'Cost Center'!A:C,3,FALSE)</f>
        <v>C090001</v>
      </c>
      <c r="D1478" t="s">
        <v>4501</v>
      </c>
      <c r="E1478" t="s">
        <v>685</v>
      </c>
      <c r="F1478" t="s">
        <v>18445</v>
      </c>
    </row>
    <row r="1479" spans="1:6">
      <c r="A1479">
        <v>10249</v>
      </c>
      <c r="B1479" t="s">
        <v>2987</v>
      </c>
      <c r="C1479" t="e">
        <f>VLOOKUP(A1479,'Cost Center'!A:C,3,FALSE)</f>
        <v>#N/A</v>
      </c>
      <c r="D1479" t="s">
        <v>3624</v>
      </c>
      <c r="E1479" t="s">
        <v>685</v>
      </c>
      <c r="F1479" t="s">
        <v>20087</v>
      </c>
    </row>
    <row r="1480" spans="1:6">
      <c r="A1480">
        <v>10253</v>
      </c>
      <c r="B1480" t="s">
        <v>2988</v>
      </c>
      <c r="C1480" t="str">
        <f>VLOOKUP(A1480,'Cost Center'!A:C,3,FALSE)</f>
        <v>C090004</v>
      </c>
      <c r="D1480" t="s">
        <v>5039</v>
      </c>
      <c r="E1480" t="s">
        <v>685</v>
      </c>
      <c r="F1480" t="s">
        <v>18485</v>
      </c>
    </row>
    <row r="1481" spans="1:6">
      <c r="A1481" t="s">
        <v>631</v>
      </c>
      <c r="B1481" t="s">
        <v>1850</v>
      </c>
      <c r="C1481" t="str">
        <f>VLOOKUP(A1481,'Cost Center'!A:C,3,FALSE)</f>
        <v>C506023</v>
      </c>
      <c r="D1481" t="s">
        <v>12857</v>
      </c>
      <c r="E1481" t="s">
        <v>685</v>
      </c>
      <c r="F1481" t="s">
        <v>631</v>
      </c>
    </row>
    <row r="1482" spans="1:6">
      <c r="A1482" t="s">
        <v>632</v>
      </c>
      <c r="B1482" t="s">
        <v>1851</v>
      </c>
      <c r="C1482" t="str">
        <f>VLOOKUP(A1482,'Cost Center'!A:C,3,FALSE)</f>
        <v>C509000</v>
      </c>
      <c r="D1482" t="s">
        <v>12863</v>
      </c>
      <c r="E1482" t="s">
        <v>685</v>
      </c>
      <c r="F1482" t="s">
        <v>632</v>
      </c>
    </row>
    <row r="1483" spans="1:6">
      <c r="A1483" t="s">
        <v>633</v>
      </c>
      <c r="B1483" t="s">
        <v>1852</v>
      </c>
      <c r="C1483" t="str">
        <f>VLOOKUP(A1483,'Cost Center'!A:C,3,FALSE)</f>
        <v>C509001</v>
      </c>
      <c r="D1483" t="s">
        <v>12935</v>
      </c>
      <c r="E1483" t="s">
        <v>685</v>
      </c>
      <c r="F1483" t="s">
        <v>633</v>
      </c>
    </row>
    <row r="1484" spans="1:6">
      <c r="A1484" t="s">
        <v>2989</v>
      </c>
      <c r="B1484" t="s">
        <v>2990</v>
      </c>
      <c r="C1484" t="str">
        <f>VLOOKUP(A1484,'Cost Center'!A:C,3,FALSE)</f>
        <v>C500400</v>
      </c>
      <c r="D1484" t="s">
        <v>12938</v>
      </c>
      <c r="E1484" t="s">
        <v>685</v>
      </c>
      <c r="F1484" t="s">
        <v>2989</v>
      </c>
    </row>
    <row r="1485" spans="1:6">
      <c r="A1485" t="s">
        <v>2991</v>
      </c>
      <c r="B1485" t="s">
        <v>2992</v>
      </c>
      <c r="C1485" t="str">
        <f>VLOOKUP(A1485,'Cost Center'!A:C,3,FALSE)</f>
        <v>C500401</v>
      </c>
      <c r="D1485" t="s">
        <v>12949</v>
      </c>
      <c r="E1485" t="s">
        <v>685</v>
      </c>
      <c r="F1485" t="s">
        <v>2991</v>
      </c>
    </row>
    <row r="1486" spans="1:6">
      <c r="A1486" t="s">
        <v>634</v>
      </c>
      <c r="B1486" t="s">
        <v>1853</v>
      </c>
      <c r="C1486" t="str">
        <f>VLOOKUP(A1486,'Cost Center'!A:C,3,FALSE)</f>
        <v>C509500</v>
      </c>
      <c r="D1486" t="s">
        <v>12952</v>
      </c>
      <c r="E1486" t="s">
        <v>685</v>
      </c>
      <c r="F1486" t="s">
        <v>634</v>
      </c>
    </row>
    <row r="1487" spans="1:6">
      <c r="A1487" t="s">
        <v>581</v>
      </c>
      <c r="B1487" t="s">
        <v>1854</v>
      </c>
      <c r="C1487" t="str">
        <f>VLOOKUP(A1487,'Cost Center'!A:C,3,FALSE)</f>
        <v>C509501</v>
      </c>
      <c r="D1487" t="s">
        <v>12971</v>
      </c>
      <c r="E1487" t="s">
        <v>685</v>
      </c>
      <c r="F1487" t="s">
        <v>581</v>
      </c>
    </row>
    <row r="1488" spans="1:6">
      <c r="A1488" t="s">
        <v>628</v>
      </c>
      <c r="B1488" t="s">
        <v>1847</v>
      </c>
      <c r="C1488" t="str">
        <f>VLOOKUP(A1488,'Cost Center'!A:C,3,FALSE)</f>
        <v>C506020</v>
      </c>
      <c r="D1488" t="s">
        <v>12828</v>
      </c>
      <c r="E1488" t="s">
        <v>685</v>
      </c>
      <c r="F1488" t="s">
        <v>628</v>
      </c>
    </row>
    <row r="1489" spans="1:6">
      <c r="A1489" t="s">
        <v>667</v>
      </c>
      <c r="B1489" t="s">
        <v>1872</v>
      </c>
      <c r="C1489" t="str">
        <f>VLOOKUP(A1489,'Cost Center'!A:C,3,FALSE)</f>
        <v>C503012</v>
      </c>
      <c r="D1489" t="s">
        <v>8169</v>
      </c>
      <c r="E1489" t="s">
        <v>685</v>
      </c>
      <c r="F1489" t="s">
        <v>667</v>
      </c>
    </row>
    <row r="1490" spans="1:6">
      <c r="A1490" t="s">
        <v>668</v>
      </c>
      <c r="B1490" t="s">
        <v>1873</v>
      </c>
      <c r="C1490" t="str">
        <f>VLOOKUP(A1490,'Cost Center'!A:C,3,FALSE)</f>
        <v>C503013</v>
      </c>
      <c r="D1490" t="s">
        <v>8172</v>
      </c>
      <c r="E1490" t="s">
        <v>685</v>
      </c>
      <c r="F1490" t="s">
        <v>668</v>
      </c>
    </row>
    <row r="1491" spans="1:6">
      <c r="A1491" t="s">
        <v>638</v>
      </c>
      <c r="B1491" t="s">
        <v>1880</v>
      </c>
      <c r="C1491" t="str">
        <f>VLOOKUP(A1491,'Cost Center'!A:C,3,FALSE)</f>
        <v>C503017</v>
      </c>
      <c r="D1491" t="s">
        <v>13137</v>
      </c>
      <c r="E1491" t="s">
        <v>685</v>
      </c>
      <c r="F1491" t="s">
        <v>638</v>
      </c>
    </row>
    <row r="1492" spans="1:6">
      <c r="A1492" t="s">
        <v>674</v>
      </c>
      <c r="B1492" t="s">
        <v>1884</v>
      </c>
      <c r="C1492" t="str">
        <f>VLOOKUP(A1492,'Cost Center'!A:C,3,FALSE)</f>
        <v>C503021</v>
      </c>
      <c r="D1492" t="s">
        <v>8194</v>
      </c>
      <c r="E1492" t="s">
        <v>685</v>
      </c>
      <c r="F1492" t="s">
        <v>674</v>
      </c>
    </row>
    <row r="1493" spans="1:6">
      <c r="A1493" t="s">
        <v>675</v>
      </c>
      <c r="B1493" t="s">
        <v>1885</v>
      </c>
      <c r="C1493" t="str">
        <f>VLOOKUP(A1493,'Cost Center'!A:C,3,FALSE)</f>
        <v>C503022</v>
      </c>
      <c r="D1493" t="s">
        <v>8197</v>
      </c>
      <c r="E1493" t="s">
        <v>685</v>
      </c>
      <c r="F1493" t="s">
        <v>675</v>
      </c>
    </row>
    <row r="1494" spans="1:6">
      <c r="A1494" t="s">
        <v>2993</v>
      </c>
      <c r="B1494" t="s">
        <v>2994</v>
      </c>
      <c r="C1494" t="str">
        <f>VLOOKUP(A1494,'Cost Center'!A:C,3,FALSE)</f>
        <v>CI20138</v>
      </c>
      <c r="D1494" t="s">
        <v>13212</v>
      </c>
      <c r="E1494" t="s">
        <v>685</v>
      </c>
      <c r="F1494" t="s">
        <v>2993</v>
      </c>
    </row>
    <row r="1495" spans="1:6">
      <c r="A1495" t="s">
        <v>13</v>
      </c>
      <c r="B1495" t="s">
        <v>1781</v>
      </c>
      <c r="C1495" t="str">
        <f>VLOOKUP(A1495,'Cost Center'!A:C,3,FALSE)</f>
        <v>C505004</v>
      </c>
      <c r="D1495" t="s">
        <v>12652</v>
      </c>
      <c r="E1495" t="s">
        <v>685</v>
      </c>
      <c r="F1495" t="s">
        <v>13</v>
      </c>
    </row>
    <row r="1496" spans="1:6">
      <c r="A1496" t="s">
        <v>55</v>
      </c>
      <c r="B1496" t="s">
        <v>1258</v>
      </c>
      <c r="C1496" t="str">
        <f>VLOOKUP(A1496,'Cost Center'!A:C,3,FALSE)</f>
        <v>CI5305A</v>
      </c>
      <c r="D1496" t="s">
        <v>12957</v>
      </c>
      <c r="E1496" t="s">
        <v>685</v>
      </c>
      <c r="F1496" t="s">
        <v>55</v>
      </c>
    </row>
    <row r="1497" spans="1:6">
      <c r="A1497" t="s">
        <v>2995</v>
      </c>
      <c r="B1497" t="s">
        <v>2996</v>
      </c>
      <c r="C1497" t="str">
        <f>VLOOKUP(A1497,'Cost Center'!A:C,3,FALSE)</f>
        <v>C090020</v>
      </c>
      <c r="D1497" t="s">
        <v>4558</v>
      </c>
      <c r="E1497" t="s">
        <v>685</v>
      </c>
      <c r="F1497" t="s">
        <v>2995</v>
      </c>
    </row>
    <row r="1498" spans="1:6">
      <c r="A1498" t="s">
        <v>56</v>
      </c>
      <c r="B1498" t="s">
        <v>1259</v>
      </c>
      <c r="C1498" t="str">
        <f>VLOOKUP(A1498,'Cost Center'!A:C,3,FALSE)</f>
        <v>C090020</v>
      </c>
      <c r="D1498" t="s">
        <v>4558</v>
      </c>
      <c r="E1498" t="s">
        <v>685</v>
      </c>
      <c r="F1498" t="s">
        <v>56</v>
      </c>
    </row>
    <row r="1499" spans="1:6">
      <c r="A1499" t="s">
        <v>57</v>
      </c>
      <c r="B1499" t="s">
        <v>1260</v>
      </c>
      <c r="C1499" t="str">
        <f>VLOOKUP(A1499,'Cost Center'!A:C,3,FALSE)</f>
        <v>C090020</v>
      </c>
      <c r="D1499" t="s">
        <v>4558</v>
      </c>
      <c r="E1499" t="s">
        <v>685</v>
      </c>
      <c r="F1499" t="s">
        <v>57</v>
      </c>
    </row>
    <row r="1500" spans="1:6">
      <c r="A1500" t="s">
        <v>2997</v>
      </c>
      <c r="B1500" t="s">
        <v>2998</v>
      </c>
      <c r="C1500" t="str">
        <f>VLOOKUP(A1500,'Cost Center'!A:C,3,FALSE)</f>
        <v>C090020</v>
      </c>
      <c r="D1500" t="s">
        <v>4558</v>
      </c>
      <c r="E1500" t="s">
        <v>685</v>
      </c>
      <c r="F1500" t="s">
        <v>2997</v>
      </c>
    </row>
    <row r="1501" spans="1:6">
      <c r="A1501" t="s">
        <v>58</v>
      </c>
      <c r="B1501" t="s">
        <v>1261</v>
      </c>
      <c r="C1501" t="str">
        <f>VLOOKUP(A1501,'Cost Center'!A:C,3,FALSE)</f>
        <v>C090020</v>
      </c>
      <c r="D1501" t="s">
        <v>4558</v>
      </c>
      <c r="E1501" t="s">
        <v>685</v>
      </c>
      <c r="F1501" t="s">
        <v>58</v>
      </c>
    </row>
    <row r="1502" spans="1:6">
      <c r="A1502" t="s">
        <v>2999</v>
      </c>
      <c r="B1502" t="s">
        <v>3000</v>
      </c>
      <c r="C1502" t="str">
        <f>VLOOKUP(A1502,'Cost Center'!A:C,3,FALSE)</f>
        <v>C090020</v>
      </c>
      <c r="D1502" t="s">
        <v>4558</v>
      </c>
      <c r="E1502" t="s">
        <v>685</v>
      </c>
      <c r="F1502" t="s">
        <v>2999</v>
      </c>
    </row>
    <row r="1503" spans="1:6">
      <c r="A1503" t="s">
        <v>59</v>
      </c>
      <c r="B1503" t="s">
        <v>1262</v>
      </c>
      <c r="C1503" t="str">
        <f>VLOOKUP(A1503,'Cost Center'!A:C,3,FALSE)</f>
        <v>C090020</v>
      </c>
      <c r="D1503" t="s">
        <v>4558</v>
      </c>
      <c r="E1503" t="s">
        <v>685</v>
      </c>
      <c r="F1503" t="s">
        <v>59</v>
      </c>
    </row>
    <row r="1504" spans="1:6">
      <c r="A1504" t="s">
        <v>60</v>
      </c>
      <c r="B1504" t="s">
        <v>1263</v>
      </c>
      <c r="C1504" t="str">
        <f>VLOOKUP(A1504,'Cost Center'!A:C,3,FALSE)</f>
        <v>C090020</v>
      </c>
      <c r="D1504" t="s">
        <v>4558</v>
      </c>
      <c r="E1504" t="s">
        <v>685</v>
      </c>
      <c r="F1504" t="s">
        <v>60</v>
      </c>
    </row>
    <row r="1505" spans="1:6">
      <c r="A1505" t="s">
        <v>61</v>
      </c>
      <c r="B1505" t="s">
        <v>1264</v>
      </c>
      <c r="C1505" t="str">
        <f>VLOOKUP(A1505,'Cost Center'!A:C,3,FALSE)</f>
        <v>C090020</v>
      </c>
      <c r="D1505" t="s">
        <v>4558</v>
      </c>
      <c r="E1505" t="s">
        <v>685</v>
      </c>
      <c r="F1505" t="s">
        <v>61</v>
      </c>
    </row>
    <row r="1506" spans="1:6">
      <c r="A1506" t="s">
        <v>62</v>
      </c>
      <c r="B1506" t="s">
        <v>1265</v>
      </c>
      <c r="C1506" t="str">
        <f>VLOOKUP(A1506,'Cost Center'!A:C,3,FALSE)</f>
        <v>C090020</v>
      </c>
      <c r="D1506" t="s">
        <v>4558</v>
      </c>
      <c r="E1506" t="s">
        <v>685</v>
      </c>
      <c r="F1506" t="s">
        <v>62</v>
      </c>
    </row>
    <row r="1507" spans="1:6">
      <c r="A1507" t="s">
        <v>63</v>
      </c>
      <c r="B1507" t="s">
        <v>1266</v>
      </c>
      <c r="C1507" t="str">
        <f>VLOOKUP(A1507,'Cost Center'!A:C,3,FALSE)</f>
        <v>C090020</v>
      </c>
      <c r="D1507" t="s">
        <v>4558</v>
      </c>
      <c r="E1507" t="s">
        <v>685</v>
      </c>
      <c r="F1507" t="s">
        <v>63</v>
      </c>
    </row>
    <row r="1508" spans="1:6">
      <c r="A1508" t="s">
        <v>64</v>
      </c>
      <c r="B1508" t="s">
        <v>1267</v>
      </c>
      <c r="C1508" t="str">
        <f>VLOOKUP(A1508,'Cost Center'!A:C,3,FALSE)</f>
        <v>C090020</v>
      </c>
      <c r="D1508" t="s">
        <v>4558</v>
      </c>
      <c r="E1508" t="s">
        <v>685</v>
      </c>
      <c r="F1508" t="s">
        <v>64</v>
      </c>
    </row>
    <row r="1509" spans="1:6">
      <c r="A1509" t="s">
        <v>65</v>
      </c>
      <c r="B1509" t="s">
        <v>1268</v>
      </c>
      <c r="C1509" t="str">
        <f>VLOOKUP(A1509,'Cost Center'!A:C,3,FALSE)</f>
        <v>C090020</v>
      </c>
      <c r="D1509" t="s">
        <v>4558</v>
      </c>
      <c r="E1509" t="s">
        <v>685</v>
      </c>
      <c r="F1509" t="s">
        <v>65</v>
      </c>
    </row>
    <row r="1510" spans="1:6">
      <c r="A1510" t="s">
        <v>66</v>
      </c>
      <c r="B1510" t="s">
        <v>1269</v>
      </c>
      <c r="C1510" t="str">
        <f>VLOOKUP(A1510,'Cost Center'!A:C,3,FALSE)</f>
        <v>C090020</v>
      </c>
      <c r="D1510" t="s">
        <v>4558</v>
      </c>
      <c r="E1510" t="s">
        <v>685</v>
      </c>
      <c r="F1510" t="s">
        <v>66</v>
      </c>
    </row>
    <row r="1511" spans="1:6">
      <c r="A1511" t="s">
        <v>67</v>
      </c>
      <c r="B1511" t="s">
        <v>1270</v>
      </c>
      <c r="C1511" t="str">
        <f>VLOOKUP(A1511,'Cost Center'!A:C,3,FALSE)</f>
        <v>C090020</v>
      </c>
      <c r="D1511" t="s">
        <v>4558</v>
      </c>
      <c r="E1511" t="s">
        <v>685</v>
      </c>
      <c r="F1511" t="s">
        <v>67</v>
      </c>
    </row>
    <row r="1512" spans="1:6">
      <c r="A1512" t="s">
        <v>68</v>
      </c>
      <c r="B1512" t="s">
        <v>1271</v>
      </c>
      <c r="C1512" t="str">
        <f>VLOOKUP(A1512,'Cost Center'!A:C,3,FALSE)</f>
        <v>C090020</v>
      </c>
      <c r="D1512" t="s">
        <v>4558</v>
      </c>
      <c r="E1512" t="s">
        <v>685</v>
      </c>
      <c r="F1512" t="s">
        <v>68</v>
      </c>
    </row>
    <row r="1513" spans="1:6">
      <c r="A1513" t="s">
        <v>69</v>
      </c>
      <c r="B1513" t="s">
        <v>1272</v>
      </c>
      <c r="C1513" t="str">
        <f>VLOOKUP(A1513,'Cost Center'!A:C,3,FALSE)</f>
        <v>C090020</v>
      </c>
      <c r="D1513" t="s">
        <v>4558</v>
      </c>
      <c r="E1513" t="s">
        <v>685</v>
      </c>
      <c r="F1513" t="s">
        <v>69</v>
      </c>
    </row>
    <row r="1514" spans="1:6">
      <c r="A1514" t="s">
        <v>70</v>
      </c>
      <c r="B1514" t="s">
        <v>1273</v>
      </c>
      <c r="C1514" t="str">
        <f>VLOOKUP(A1514,'Cost Center'!A:C,3,FALSE)</f>
        <v>C090020</v>
      </c>
      <c r="D1514" t="s">
        <v>4558</v>
      </c>
      <c r="E1514" t="s">
        <v>685</v>
      </c>
      <c r="F1514" t="s">
        <v>70</v>
      </c>
    </row>
    <row r="1515" spans="1:6">
      <c r="A1515" t="s">
        <v>71</v>
      </c>
      <c r="B1515" t="s">
        <v>1274</v>
      </c>
      <c r="C1515" t="str">
        <f>VLOOKUP(A1515,'Cost Center'!A:C,3,FALSE)</f>
        <v>C090020</v>
      </c>
      <c r="D1515" t="s">
        <v>4558</v>
      </c>
      <c r="E1515" t="s">
        <v>685</v>
      </c>
      <c r="F1515" t="s">
        <v>71</v>
      </c>
    </row>
    <row r="1516" spans="1:6">
      <c r="A1516" t="s">
        <v>72</v>
      </c>
      <c r="B1516" t="s">
        <v>1275</v>
      </c>
      <c r="C1516" t="str">
        <f>VLOOKUP(A1516,'Cost Center'!A:C,3,FALSE)</f>
        <v>C090020</v>
      </c>
      <c r="D1516" t="s">
        <v>4558</v>
      </c>
      <c r="E1516" t="s">
        <v>685</v>
      </c>
      <c r="F1516" t="s">
        <v>72</v>
      </c>
    </row>
    <row r="1517" spans="1:6">
      <c r="A1517" t="s">
        <v>73</v>
      </c>
      <c r="B1517" t="s">
        <v>1276</v>
      </c>
      <c r="C1517" t="str">
        <f>VLOOKUP(A1517,'Cost Center'!A:C,3,FALSE)</f>
        <v>C090020</v>
      </c>
      <c r="D1517" t="s">
        <v>4558</v>
      </c>
      <c r="E1517" t="s">
        <v>685</v>
      </c>
      <c r="F1517" t="s">
        <v>73</v>
      </c>
    </row>
    <row r="1518" spans="1:6">
      <c r="A1518" t="s">
        <v>74</v>
      </c>
      <c r="B1518" t="s">
        <v>1277</v>
      </c>
      <c r="C1518" t="str">
        <f>VLOOKUP(A1518,'Cost Center'!A:C,3,FALSE)</f>
        <v>C090020</v>
      </c>
      <c r="D1518" t="s">
        <v>4558</v>
      </c>
      <c r="E1518" t="s">
        <v>685</v>
      </c>
      <c r="F1518" t="s">
        <v>74</v>
      </c>
    </row>
    <row r="1519" spans="1:6">
      <c r="A1519" t="s">
        <v>75</v>
      </c>
      <c r="B1519" t="s">
        <v>1278</v>
      </c>
      <c r="C1519" t="str">
        <f>VLOOKUP(A1519,'Cost Center'!A:C,3,FALSE)</f>
        <v>C090020</v>
      </c>
      <c r="D1519" t="s">
        <v>4558</v>
      </c>
      <c r="E1519" t="s">
        <v>685</v>
      </c>
      <c r="F1519" t="s">
        <v>75</v>
      </c>
    </row>
    <row r="1520" spans="1:6">
      <c r="A1520" t="s">
        <v>76</v>
      </c>
      <c r="B1520" t="s">
        <v>1279</v>
      </c>
      <c r="C1520" t="str">
        <f>VLOOKUP(A1520,'Cost Center'!A:C,3,FALSE)</f>
        <v>C090020</v>
      </c>
      <c r="D1520" t="s">
        <v>4558</v>
      </c>
      <c r="E1520" t="s">
        <v>685</v>
      </c>
      <c r="F1520" t="s">
        <v>76</v>
      </c>
    </row>
    <row r="1521" spans="1:6">
      <c r="A1521" t="s">
        <v>77</v>
      </c>
      <c r="B1521" t="s">
        <v>1280</v>
      </c>
      <c r="C1521" t="str">
        <f>VLOOKUP(A1521,'Cost Center'!A:C,3,FALSE)</f>
        <v>C090020</v>
      </c>
      <c r="D1521" t="s">
        <v>4558</v>
      </c>
      <c r="E1521" t="s">
        <v>685</v>
      </c>
      <c r="F1521" t="s">
        <v>77</v>
      </c>
    </row>
    <row r="1522" spans="1:6">
      <c r="A1522" t="s">
        <v>78</v>
      </c>
      <c r="B1522" t="s">
        <v>1281</v>
      </c>
      <c r="C1522" t="str">
        <f>VLOOKUP(A1522,'Cost Center'!A:C,3,FALSE)</f>
        <v>C090020</v>
      </c>
      <c r="D1522" t="s">
        <v>4558</v>
      </c>
      <c r="E1522" t="s">
        <v>685</v>
      </c>
      <c r="F1522" t="s">
        <v>78</v>
      </c>
    </row>
    <row r="1523" spans="1:6">
      <c r="A1523" t="s">
        <v>79</v>
      </c>
      <c r="B1523" t="s">
        <v>1282</v>
      </c>
      <c r="C1523" t="str">
        <f>VLOOKUP(A1523,'Cost Center'!A:C,3,FALSE)</f>
        <v>C090020</v>
      </c>
      <c r="D1523" t="s">
        <v>4558</v>
      </c>
      <c r="E1523" t="s">
        <v>685</v>
      </c>
      <c r="F1523" t="s">
        <v>79</v>
      </c>
    </row>
    <row r="1524" spans="1:6">
      <c r="A1524" t="s">
        <v>80</v>
      </c>
      <c r="B1524" t="s">
        <v>1283</v>
      </c>
      <c r="C1524" t="str">
        <f>VLOOKUP(A1524,'Cost Center'!A:C,3,FALSE)</f>
        <v>C090020</v>
      </c>
      <c r="D1524" t="s">
        <v>4558</v>
      </c>
      <c r="E1524" t="s">
        <v>685</v>
      </c>
      <c r="F1524" t="s">
        <v>80</v>
      </c>
    </row>
    <row r="1525" spans="1:6">
      <c r="A1525" t="s">
        <v>81</v>
      </c>
      <c r="B1525" t="s">
        <v>1284</v>
      </c>
      <c r="C1525" t="str">
        <f>VLOOKUP(A1525,'Cost Center'!A:C,3,FALSE)</f>
        <v>C090020</v>
      </c>
      <c r="D1525" t="s">
        <v>4558</v>
      </c>
      <c r="E1525" t="s">
        <v>685</v>
      </c>
      <c r="F1525" t="s">
        <v>81</v>
      </c>
    </row>
    <row r="1526" spans="1:6">
      <c r="A1526" t="s">
        <v>82</v>
      </c>
      <c r="B1526" t="s">
        <v>1285</v>
      </c>
      <c r="C1526" t="str">
        <f>VLOOKUP(A1526,'Cost Center'!A:C,3,FALSE)</f>
        <v>C090020</v>
      </c>
      <c r="D1526" t="s">
        <v>4558</v>
      </c>
      <c r="E1526" t="s">
        <v>685</v>
      </c>
      <c r="F1526" t="s">
        <v>82</v>
      </c>
    </row>
    <row r="1527" spans="1:6">
      <c r="A1527" t="s">
        <v>83</v>
      </c>
      <c r="B1527" t="s">
        <v>1286</v>
      </c>
      <c r="C1527" t="str">
        <f>VLOOKUP(A1527,'Cost Center'!A:C,3,FALSE)</f>
        <v>C090020</v>
      </c>
      <c r="D1527" t="s">
        <v>4558</v>
      </c>
      <c r="E1527" t="s">
        <v>685</v>
      </c>
      <c r="F1527" t="s">
        <v>83</v>
      </c>
    </row>
    <row r="1528" spans="1:6">
      <c r="A1528" t="s">
        <v>84</v>
      </c>
      <c r="B1528" t="s">
        <v>1287</v>
      </c>
      <c r="C1528" t="str">
        <f>VLOOKUP(A1528,'Cost Center'!A:C,3,FALSE)</f>
        <v>C090020</v>
      </c>
      <c r="D1528" t="s">
        <v>4558</v>
      </c>
      <c r="E1528" t="s">
        <v>685</v>
      </c>
      <c r="F1528" t="s">
        <v>84</v>
      </c>
    </row>
    <row r="1529" spans="1:6">
      <c r="A1529" t="s">
        <v>85</v>
      </c>
      <c r="B1529" t="s">
        <v>1288</v>
      </c>
      <c r="C1529" t="str">
        <f>VLOOKUP(A1529,'Cost Center'!A:C,3,FALSE)</f>
        <v>C090020</v>
      </c>
      <c r="D1529" t="s">
        <v>4558</v>
      </c>
      <c r="E1529" t="s">
        <v>685</v>
      </c>
      <c r="F1529" t="s">
        <v>85</v>
      </c>
    </row>
    <row r="1530" spans="1:6">
      <c r="A1530" t="s">
        <v>86</v>
      </c>
      <c r="B1530" t="s">
        <v>1289</v>
      </c>
      <c r="C1530" t="str">
        <f>VLOOKUP(A1530,'Cost Center'!A:C,3,FALSE)</f>
        <v>C090020</v>
      </c>
      <c r="D1530" t="s">
        <v>4558</v>
      </c>
      <c r="E1530" t="s">
        <v>685</v>
      </c>
      <c r="F1530" t="s">
        <v>86</v>
      </c>
    </row>
    <row r="1531" spans="1:6">
      <c r="A1531" t="s">
        <v>87</v>
      </c>
      <c r="B1531" t="s">
        <v>1290</v>
      </c>
      <c r="C1531" t="str">
        <f>VLOOKUP(A1531,'Cost Center'!A:C,3,FALSE)</f>
        <v>C090020</v>
      </c>
      <c r="D1531" t="s">
        <v>4558</v>
      </c>
      <c r="E1531" t="s">
        <v>685</v>
      </c>
      <c r="F1531" t="s">
        <v>87</v>
      </c>
    </row>
    <row r="1532" spans="1:6">
      <c r="A1532" t="s">
        <v>88</v>
      </c>
      <c r="B1532" t="s">
        <v>1291</v>
      </c>
      <c r="C1532" t="str">
        <f>VLOOKUP(A1532,'Cost Center'!A:C,3,FALSE)</f>
        <v>C090020</v>
      </c>
      <c r="D1532" t="s">
        <v>4558</v>
      </c>
      <c r="E1532" t="s">
        <v>685</v>
      </c>
      <c r="F1532" t="s">
        <v>88</v>
      </c>
    </row>
    <row r="1533" spans="1:6">
      <c r="A1533" t="s">
        <v>89</v>
      </c>
      <c r="B1533" t="s">
        <v>1292</v>
      </c>
      <c r="C1533" t="str">
        <f>VLOOKUP(A1533,'Cost Center'!A:C,3,FALSE)</f>
        <v>C090020</v>
      </c>
      <c r="D1533" t="s">
        <v>4558</v>
      </c>
      <c r="E1533" t="s">
        <v>685</v>
      </c>
      <c r="F1533" t="s">
        <v>89</v>
      </c>
    </row>
    <row r="1534" spans="1:6">
      <c r="A1534" t="s">
        <v>90</v>
      </c>
      <c r="B1534" t="s">
        <v>1293</v>
      </c>
      <c r="C1534" t="str">
        <f>VLOOKUP(A1534,'Cost Center'!A:C,3,FALSE)</f>
        <v>C090020</v>
      </c>
      <c r="D1534" t="s">
        <v>4558</v>
      </c>
      <c r="E1534" t="s">
        <v>685</v>
      </c>
      <c r="F1534" t="s">
        <v>90</v>
      </c>
    </row>
    <row r="1535" spans="1:6">
      <c r="A1535" t="s">
        <v>91</v>
      </c>
      <c r="B1535" t="s">
        <v>1294</v>
      </c>
      <c r="C1535" t="str">
        <f>VLOOKUP(A1535,'Cost Center'!A:C,3,FALSE)</f>
        <v>C090020</v>
      </c>
      <c r="D1535" t="s">
        <v>4558</v>
      </c>
      <c r="E1535" t="s">
        <v>685</v>
      </c>
      <c r="F1535" t="s">
        <v>91</v>
      </c>
    </row>
    <row r="1536" spans="1:6">
      <c r="A1536" t="s">
        <v>92</v>
      </c>
      <c r="B1536" t="s">
        <v>1295</v>
      </c>
      <c r="C1536" t="str">
        <f>VLOOKUP(A1536,'Cost Center'!A:C,3,FALSE)</f>
        <v>C090020</v>
      </c>
      <c r="D1536" t="s">
        <v>4558</v>
      </c>
      <c r="E1536" t="s">
        <v>685</v>
      </c>
      <c r="F1536" t="s">
        <v>92</v>
      </c>
    </row>
    <row r="1537" spans="1:6">
      <c r="A1537" t="s">
        <v>93</v>
      </c>
      <c r="B1537" t="s">
        <v>1296</v>
      </c>
      <c r="C1537" t="str">
        <f>VLOOKUP(A1537,'Cost Center'!A:C,3,FALSE)</f>
        <v>C090020</v>
      </c>
      <c r="D1537" t="s">
        <v>4558</v>
      </c>
      <c r="E1537" t="s">
        <v>685</v>
      </c>
      <c r="F1537" t="s">
        <v>93</v>
      </c>
    </row>
    <row r="1538" spans="1:6">
      <c r="A1538" t="s">
        <v>94</v>
      </c>
      <c r="B1538" t="s">
        <v>1297</v>
      </c>
      <c r="C1538" t="str">
        <f>VLOOKUP(A1538,'Cost Center'!A:C,3,FALSE)</f>
        <v>C090020</v>
      </c>
      <c r="D1538" t="s">
        <v>4558</v>
      </c>
      <c r="E1538" t="s">
        <v>685</v>
      </c>
      <c r="F1538" t="s">
        <v>94</v>
      </c>
    </row>
    <row r="1539" spans="1:6">
      <c r="A1539" t="s">
        <v>95</v>
      </c>
      <c r="B1539" t="s">
        <v>1298</v>
      </c>
      <c r="C1539" t="str">
        <f>VLOOKUP(A1539,'Cost Center'!A:C,3,FALSE)</f>
        <v>C090020</v>
      </c>
      <c r="D1539" t="s">
        <v>4558</v>
      </c>
      <c r="E1539" t="s">
        <v>685</v>
      </c>
      <c r="F1539" t="s">
        <v>95</v>
      </c>
    </row>
    <row r="1540" spans="1:6">
      <c r="A1540" t="s">
        <v>96</v>
      </c>
      <c r="B1540" t="s">
        <v>1299</v>
      </c>
      <c r="C1540" t="str">
        <f>VLOOKUP(A1540,'Cost Center'!A:C,3,FALSE)</f>
        <v>C090020</v>
      </c>
      <c r="D1540" t="s">
        <v>4558</v>
      </c>
      <c r="E1540" t="s">
        <v>685</v>
      </c>
      <c r="F1540" t="s">
        <v>96</v>
      </c>
    </row>
    <row r="1541" spans="1:6">
      <c r="A1541" t="s">
        <v>97</v>
      </c>
      <c r="B1541" t="s">
        <v>1300</v>
      </c>
      <c r="C1541" t="str">
        <f>VLOOKUP(A1541,'Cost Center'!A:C,3,FALSE)</f>
        <v>C090020</v>
      </c>
      <c r="D1541" t="s">
        <v>4558</v>
      </c>
      <c r="E1541" t="s">
        <v>685</v>
      </c>
      <c r="F1541" t="s">
        <v>97</v>
      </c>
    </row>
    <row r="1542" spans="1:6">
      <c r="A1542" t="s">
        <v>98</v>
      </c>
      <c r="B1542" t="s">
        <v>1301</v>
      </c>
      <c r="C1542" t="str">
        <f>VLOOKUP(A1542,'Cost Center'!A:C,3,FALSE)</f>
        <v>C090020</v>
      </c>
      <c r="D1542" t="s">
        <v>4558</v>
      </c>
      <c r="E1542" t="s">
        <v>685</v>
      </c>
      <c r="F1542" t="s">
        <v>98</v>
      </c>
    </row>
    <row r="1543" spans="1:6">
      <c r="A1543" t="s">
        <v>99</v>
      </c>
      <c r="B1543" t="s">
        <v>1302</v>
      </c>
      <c r="C1543" t="str">
        <f>VLOOKUP(A1543,'Cost Center'!A:C,3,FALSE)</f>
        <v>C090020</v>
      </c>
      <c r="D1543" t="s">
        <v>4558</v>
      </c>
      <c r="E1543" t="s">
        <v>685</v>
      </c>
      <c r="F1543" t="s">
        <v>99</v>
      </c>
    </row>
    <row r="1544" spans="1:6">
      <c r="A1544" t="s">
        <v>100</v>
      </c>
      <c r="B1544" t="s">
        <v>1303</v>
      </c>
      <c r="C1544" t="str">
        <f>VLOOKUP(A1544,'Cost Center'!A:C,3,FALSE)</f>
        <v>C090020</v>
      </c>
      <c r="D1544" t="s">
        <v>4558</v>
      </c>
      <c r="E1544" t="s">
        <v>685</v>
      </c>
      <c r="F1544" t="s">
        <v>100</v>
      </c>
    </row>
    <row r="1545" spans="1:6">
      <c r="A1545" t="s">
        <v>101</v>
      </c>
      <c r="B1545" t="s">
        <v>1304</v>
      </c>
      <c r="C1545" t="str">
        <f>VLOOKUP(A1545,'Cost Center'!A:C,3,FALSE)</f>
        <v>C090020</v>
      </c>
      <c r="D1545" t="s">
        <v>4558</v>
      </c>
      <c r="E1545" t="s">
        <v>685</v>
      </c>
      <c r="F1545" t="s">
        <v>101</v>
      </c>
    </row>
    <row r="1546" spans="1:6">
      <c r="A1546" t="s">
        <v>102</v>
      </c>
      <c r="B1546" t="s">
        <v>1305</v>
      </c>
      <c r="C1546" t="str">
        <f>VLOOKUP(A1546,'Cost Center'!A:C,3,FALSE)</f>
        <v>C090020</v>
      </c>
      <c r="D1546" t="s">
        <v>4558</v>
      </c>
      <c r="E1546" t="s">
        <v>685</v>
      </c>
      <c r="F1546" t="s">
        <v>102</v>
      </c>
    </row>
    <row r="1547" spans="1:6">
      <c r="A1547" t="s">
        <v>103</v>
      </c>
      <c r="B1547" t="s">
        <v>1306</v>
      </c>
      <c r="C1547" t="str">
        <f>VLOOKUP(A1547,'Cost Center'!A:C,3,FALSE)</f>
        <v>C090020</v>
      </c>
      <c r="D1547" t="s">
        <v>4558</v>
      </c>
      <c r="E1547" t="s">
        <v>685</v>
      </c>
      <c r="F1547" t="s">
        <v>103</v>
      </c>
    </row>
    <row r="1548" spans="1:6">
      <c r="A1548" t="s">
        <v>104</v>
      </c>
      <c r="B1548" t="s">
        <v>1307</v>
      </c>
      <c r="C1548" t="str">
        <f>VLOOKUP(A1548,'Cost Center'!A:C,3,FALSE)</f>
        <v>C090020</v>
      </c>
      <c r="D1548" t="s">
        <v>4558</v>
      </c>
      <c r="E1548" t="s">
        <v>685</v>
      </c>
      <c r="F1548" t="s">
        <v>104</v>
      </c>
    </row>
    <row r="1549" spans="1:6">
      <c r="A1549" t="s">
        <v>105</v>
      </c>
      <c r="B1549" t="s">
        <v>1308</v>
      </c>
      <c r="C1549" t="str">
        <f>VLOOKUP(A1549,'Cost Center'!A:C,3,FALSE)</f>
        <v>C090020</v>
      </c>
      <c r="D1549" t="s">
        <v>4558</v>
      </c>
      <c r="E1549" t="s">
        <v>685</v>
      </c>
      <c r="F1549" t="s">
        <v>105</v>
      </c>
    </row>
    <row r="1550" spans="1:6">
      <c r="A1550" t="s">
        <v>106</v>
      </c>
      <c r="B1550" t="s">
        <v>1309</v>
      </c>
      <c r="C1550" t="str">
        <f>VLOOKUP(A1550,'Cost Center'!A:C,3,FALSE)</f>
        <v>C090020</v>
      </c>
      <c r="D1550" t="s">
        <v>4558</v>
      </c>
      <c r="E1550" t="s">
        <v>685</v>
      </c>
      <c r="F1550" t="s">
        <v>106</v>
      </c>
    </row>
    <row r="1551" spans="1:6">
      <c r="A1551" t="s">
        <v>107</v>
      </c>
      <c r="B1551" t="s">
        <v>1310</v>
      </c>
      <c r="C1551" t="str">
        <f>VLOOKUP(A1551,'Cost Center'!A:C,3,FALSE)</f>
        <v>C090020</v>
      </c>
      <c r="D1551" t="s">
        <v>4558</v>
      </c>
      <c r="E1551" t="s">
        <v>685</v>
      </c>
      <c r="F1551" t="s">
        <v>107</v>
      </c>
    </row>
    <row r="1552" spans="1:6">
      <c r="A1552" t="s">
        <v>108</v>
      </c>
      <c r="B1552" t="s">
        <v>1311</v>
      </c>
      <c r="C1552" t="str">
        <f>VLOOKUP(A1552,'Cost Center'!A:C,3,FALSE)</f>
        <v>C090020</v>
      </c>
      <c r="D1552" t="s">
        <v>4558</v>
      </c>
      <c r="E1552" t="s">
        <v>685</v>
      </c>
      <c r="F1552" t="s">
        <v>108</v>
      </c>
    </row>
    <row r="1553" spans="1:6">
      <c r="A1553" t="s">
        <v>109</v>
      </c>
      <c r="B1553" t="s">
        <v>1312</v>
      </c>
      <c r="C1553" t="str">
        <f>VLOOKUP(A1553,'Cost Center'!A:C,3,FALSE)</f>
        <v>C090020</v>
      </c>
      <c r="D1553" t="s">
        <v>4558</v>
      </c>
      <c r="E1553" t="s">
        <v>685</v>
      </c>
      <c r="F1553" t="s">
        <v>109</v>
      </c>
    </row>
    <row r="1554" spans="1:6">
      <c r="A1554" t="s">
        <v>110</v>
      </c>
      <c r="B1554" t="s">
        <v>1313</v>
      </c>
      <c r="C1554" t="str">
        <f>VLOOKUP(A1554,'Cost Center'!A:C,3,FALSE)</f>
        <v>C090020</v>
      </c>
      <c r="D1554" t="s">
        <v>4558</v>
      </c>
      <c r="E1554" t="s">
        <v>685</v>
      </c>
      <c r="F1554" t="s">
        <v>110</v>
      </c>
    </row>
    <row r="1555" spans="1:6">
      <c r="A1555" t="s">
        <v>111</v>
      </c>
      <c r="B1555" t="s">
        <v>1314</v>
      </c>
      <c r="C1555" t="str">
        <f>VLOOKUP(A1555,'Cost Center'!A:C,3,FALSE)</f>
        <v>C090020</v>
      </c>
      <c r="D1555" t="s">
        <v>4558</v>
      </c>
      <c r="E1555" t="s">
        <v>685</v>
      </c>
      <c r="F1555" t="s">
        <v>111</v>
      </c>
    </row>
    <row r="1556" spans="1:6">
      <c r="A1556" t="s">
        <v>112</v>
      </c>
      <c r="B1556" t="s">
        <v>1315</v>
      </c>
      <c r="C1556" t="str">
        <f>VLOOKUP(A1556,'Cost Center'!A:C,3,FALSE)</f>
        <v>C090020</v>
      </c>
      <c r="D1556" t="s">
        <v>4558</v>
      </c>
      <c r="E1556" t="s">
        <v>685</v>
      </c>
      <c r="F1556" t="s">
        <v>112</v>
      </c>
    </row>
    <row r="1557" spans="1:6">
      <c r="A1557" t="s">
        <v>113</v>
      </c>
      <c r="B1557" t="s">
        <v>1316</v>
      </c>
      <c r="C1557" t="str">
        <f>VLOOKUP(A1557,'Cost Center'!A:C,3,FALSE)</f>
        <v>C090020</v>
      </c>
      <c r="D1557" t="s">
        <v>4558</v>
      </c>
      <c r="E1557" t="s">
        <v>685</v>
      </c>
      <c r="F1557" t="s">
        <v>113</v>
      </c>
    </row>
    <row r="1558" spans="1:6">
      <c r="A1558" t="s">
        <v>114</v>
      </c>
      <c r="B1558" t="s">
        <v>1317</v>
      </c>
      <c r="C1558" t="str">
        <f>VLOOKUP(A1558,'Cost Center'!A:C,3,FALSE)</f>
        <v>C090020</v>
      </c>
      <c r="D1558" t="s">
        <v>4558</v>
      </c>
      <c r="E1558" t="s">
        <v>685</v>
      </c>
      <c r="F1558" t="s">
        <v>114</v>
      </c>
    </row>
    <row r="1559" spans="1:6">
      <c r="A1559" t="s">
        <v>115</v>
      </c>
      <c r="B1559" t="s">
        <v>1318</v>
      </c>
      <c r="C1559" t="str">
        <f>VLOOKUP(A1559,'Cost Center'!A:C,3,FALSE)</f>
        <v>C090020</v>
      </c>
      <c r="D1559" t="s">
        <v>4558</v>
      </c>
      <c r="E1559" t="s">
        <v>685</v>
      </c>
      <c r="F1559" t="s">
        <v>115</v>
      </c>
    </row>
    <row r="1560" spans="1:6">
      <c r="A1560" t="s">
        <v>116</v>
      </c>
      <c r="B1560" t="s">
        <v>1319</v>
      </c>
      <c r="C1560" t="str">
        <f>VLOOKUP(A1560,'Cost Center'!A:C,3,FALSE)</f>
        <v>C090020</v>
      </c>
      <c r="D1560" t="s">
        <v>4558</v>
      </c>
      <c r="E1560" t="s">
        <v>685</v>
      </c>
      <c r="F1560" t="s">
        <v>116</v>
      </c>
    </row>
    <row r="1561" spans="1:6">
      <c r="A1561" t="s">
        <v>117</v>
      </c>
      <c r="B1561" t="s">
        <v>1320</v>
      </c>
      <c r="C1561" t="str">
        <f>VLOOKUP(A1561,'Cost Center'!A:C,3,FALSE)</f>
        <v>C090020</v>
      </c>
      <c r="D1561" t="s">
        <v>4558</v>
      </c>
      <c r="E1561" t="s">
        <v>685</v>
      </c>
      <c r="F1561" t="s">
        <v>117</v>
      </c>
    </row>
    <row r="1562" spans="1:6">
      <c r="A1562" t="s">
        <v>118</v>
      </c>
      <c r="B1562" t="s">
        <v>1321</v>
      </c>
      <c r="C1562" t="str">
        <f>VLOOKUP(A1562,'Cost Center'!A:C,3,FALSE)</f>
        <v>C090020</v>
      </c>
      <c r="D1562" t="s">
        <v>4558</v>
      </c>
      <c r="E1562" t="s">
        <v>685</v>
      </c>
      <c r="F1562" t="s">
        <v>118</v>
      </c>
    </row>
    <row r="1563" spans="1:6">
      <c r="A1563" t="s">
        <v>119</v>
      </c>
      <c r="B1563" t="s">
        <v>1322</v>
      </c>
      <c r="C1563" t="str">
        <f>VLOOKUP(A1563,'Cost Center'!A:C,3,FALSE)</f>
        <v>C090020</v>
      </c>
      <c r="D1563" t="s">
        <v>4558</v>
      </c>
      <c r="E1563" t="s">
        <v>685</v>
      </c>
      <c r="F1563" t="s">
        <v>119</v>
      </c>
    </row>
    <row r="1564" spans="1:6">
      <c r="A1564" t="s">
        <v>120</v>
      </c>
      <c r="B1564" t="s">
        <v>1323</v>
      </c>
      <c r="C1564" t="str">
        <f>VLOOKUP(A1564,'Cost Center'!A:C,3,FALSE)</f>
        <v>C090020</v>
      </c>
      <c r="D1564" t="s">
        <v>4558</v>
      </c>
      <c r="E1564" t="s">
        <v>685</v>
      </c>
      <c r="F1564" t="s">
        <v>120</v>
      </c>
    </row>
    <row r="1565" spans="1:6">
      <c r="A1565" t="s">
        <v>121</v>
      </c>
      <c r="B1565" t="s">
        <v>1324</v>
      </c>
      <c r="C1565" t="str">
        <f>VLOOKUP(A1565,'Cost Center'!A:C,3,FALSE)</f>
        <v>C090020</v>
      </c>
      <c r="D1565" t="s">
        <v>4558</v>
      </c>
      <c r="E1565" t="s">
        <v>685</v>
      </c>
      <c r="F1565" t="s">
        <v>121</v>
      </c>
    </row>
    <row r="1566" spans="1:6">
      <c r="A1566" t="s">
        <v>122</v>
      </c>
      <c r="B1566" t="s">
        <v>1325</v>
      </c>
      <c r="C1566" t="str">
        <f>VLOOKUP(A1566,'Cost Center'!A:C,3,FALSE)</f>
        <v>C090020</v>
      </c>
      <c r="D1566" t="s">
        <v>4558</v>
      </c>
      <c r="E1566" t="s">
        <v>685</v>
      </c>
      <c r="F1566" t="s">
        <v>122</v>
      </c>
    </row>
    <row r="1567" spans="1:6">
      <c r="A1567" t="s">
        <v>123</v>
      </c>
      <c r="B1567" t="s">
        <v>1326</v>
      </c>
      <c r="C1567" t="str">
        <f>VLOOKUP(A1567,'Cost Center'!A:C,3,FALSE)</f>
        <v>C090020</v>
      </c>
      <c r="D1567" t="s">
        <v>4558</v>
      </c>
      <c r="E1567" t="s">
        <v>685</v>
      </c>
      <c r="F1567" t="s">
        <v>123</v>
      </c>
    </row>
    <row r="1568" spans="1:6">
      <c r="A1568" t="s">
        <v>124</v>
      </c>
      <c r="B1568" t="s">
        <v>1327</v>
      </c>
      <c r="C1568" t="str">
        <f>VLOOKUP(A1568,'Cost Center'!A:C,3,FALSE)</f>
        <v>C090020</v>
      </c>
      <c r="D1568" t="s">
        <v>4558</v>
      </c>
      <c r="E1568" t="s">
        <v>685</v>
      </c>
      <c r="F1568" t="s">
        <v>124</v>
      </c>
    </row>
    <row r="1569" spans="1:6">
      <c r="A1569" t="s">
        <v>125</v>
      </c>
      <c r="B1569" t="s">
        <v>1328</v>
      </c>
      <c r="C1569" t="str">
        <f>VLOOKUP(A1569,'Cost Center'!A:C,3,FALSE)</f>
        <v>C090020</v>
      </c>
      <c r="D1569" t="s">
        <v>4558</v>
      </c>
      <c r="E1569" t="s">
        <v>685</v>
      </c>
      <c r="F1569" t="s">
        <v>125</v>
      </c>
    </row>
    <row r="1570" spans="1:6">
      <c r="A1570" t="s">
        <v>126</v>
      </c>
      <c r="B1570" t="s">
        <v>1329</v>
      </c>
      <c r="C1570" t="str">
        <f>VLOOKUP(A1570,'Cost Center'!A:C,3,FALSE)</f>
        <v>C090020</v>
      </c>
      <c r="D1570" t="s">
        <v>4558</v>
      </c>
      <c r="E1570" t="s">
        <v>685</v>
      </c>
      <c r="F1570" t="s">
        <v>126</v>
      </c>
    </row>
    <row r="1571" spans="1:6">
      <c r="A1571" t="s">
        <v>127</v>
      </c>
      <c r="B1571" t="s">
        <v>1330</v>
      </c>
      <c r="C1571" t="str">
        <f>VLOOKUP(A1571,'Cost Center'!A:C,3,FALSE)</f>
        <v>C090020</v>
      </c>
      <c r="D1571" t="s">
        <v>4558</v>
      </c>
      <c r="E1571" t="s">
        <v>685</v>
      </c>
      <c r="F1571" t="s">
        <v>127</v>
      </c>
    </row>
    <row r="1572" spans="1:6">
      <c r="A1572" t="s">
        <v>128</v>
      </c>
      <c r="B1572" t="s">
        <v>1331</v>
      </c>
      <c r="C1572" t="str">
        <f>VLOOKUP(A1572,'Cost Center'!A:C,3,FALSE)</f>
        <v>C090020</v>
      </c>
      <c r="D1572" t="s">
        <v>4558</v>
      </c>
      <c r="E1572" t="s">
        <v>685</v>
      </c>
      <c r="F1572" t="s">
        <v>128</v>
      </c>
    </row>
    <row r="1573" spans="1:6">
      <c r="A1573" t="s">
        <v>129</v>
      </c>
      <c r="B1573" t="s">
        <v>1332</v>
      </c>
      <c r="C1573" t="str">
        <f>VLOOKUP(A1573,'Cost Center'!A:C,3,FALSE)</f>
        <v>C090020</v>
      </c>
      <c r="D1573" t="s">
        <v>4558</v>
      </c>
      <c r="E1573" t="s">
        <v>685</v>
      </c>
      <c r="F1573" t="s">
        <v>129</v>
      </c>
    </row>
    <row r="1574" spans="1:6">
      <c r="A1574" t="s">
        <v>130</v>
      </c>
      <c r="B1574" t="s">
        <v>1333</v>
      </c>
      <c r="C1574" t="str">
        <f>VLOOKUP(A1574,'Cost Center'!A:C,3,FALSE)</f>
        <v>C090020</v>
      </c>
      <c r="D1574" t="s">
        <v>4558</v>
      </c>
      <c r="E1574" t="s">
        <v>685</v>
      </c>
      <c r="F1574" t="s">
        <v>130</v>
      </c>
    </row>
    <row r="1575" spans="1:6">
      <c r="A1575" t="s">
        <v>131</v>
      </c>
      <c r="B1575" t="s">
        <v>1334</v>
      </c>
      <c r="C1575" t="str">
        <f>VLOOKUP(A1575,'Cost Center'!A:C,3,FALSE)</f>
        <v>C090020</v>
      </c>
      <c r="D1575" t="s">
        <v>4558</v>
      </c>
      <c r="E1575" t="s">
        <v>685</v>
      </c>
      <c r="F1575" t="s">
        <v>131</v>
      </c>
    </row>
    <row r="1576" spans="1:6">
      <c r="A1576" t="s">
        <v>132</v>
      </c>
      <c r="B1576" t="s">
        <v>1335</v>
      </c>
      <c r="C1576" t="str">
        <f>VLOOKUP(A1576,'Cost Center'!A:C,3,FALSE)</f>
        <v>C090020</v>
      </c>
      <c r="D1576" t="s">
        <v>4558</v>
      </c>
      <c r="E1576" t="s">
        <v>685</v>
      </c>
      <c r="F1576" t="s">
        <v>132</v>
      </c>
    </row>
    <row r="1577" spans="1:6">
      <c r="A1577" t="s">
        <v>133</v>
      </c>
      <c r="B1577" t="s">
        <v>1336</v>
      </c>
      <c r="C1577" t="str">
        <f>VLOOKUP(A1577,'Cost Center'!A:C,3,FALSE)</f>
        <v>C090020</v>
      </c>
      <c r="D1577" t="s">
        <v>4558</v>
      </c>
      <c r="E1577" t="s">
        <v>685</v>
      </c>
      <c r="F1577" t="s">
        <v>133</v>
      </c>
    </row>
    <row r="1578" spans="1:6">
      <c r="A1578" t="s">
        <v>134</v>
      </c>
      <c r="B1578" t="s">
        <v>1337</v>
      </c>
      <c r="C1578" t="str">
        <f>VLOOKUP(A1578,'Cost Center'!A:C,3,FALSE)</f>
        <v>C090020</v>
      </c>
      <c r="D1578" t="s">
        <v>4558</v>
      </c>
      <c r="E1578" t="s">
        <v>685</v>
      </c>
      <c r="F1578" t="s">
        <v>134</v>
      </c>
    </row>
    <row r="1579" spans="1:6">
      <c r="A1579" t="s">
        <v>135</v>
      </c>
      <c r="B1579" t="s">
        <v>1338</v>
      </c>
      <c r="C1579" t="str">
        <f>VLOOKUP(A1579,'Cost Center'!A:C,3,FALSE)</f>
        <v>C090020</v>
      </c>
      <c r="D1579" t="s">
        <v>4558</v>
      </c>
      <c r="E1579" t="s">
        <v>685</v>
      </c>
      <c r="F1579" t="s">
        <v>135</v>
      </c>
    </row>
    <row r="1580" spans="1:6">
      <c r="A1580" t="s">
        <v>136</v>
      </c>
      <c r="B1580" t="s">
        <v>1339</v>
      </c>
      <c r="C1580" t="str">
        <f>VLOOKUP(A1580,'Cost Center'!A:C,3,FALSE)</f>
        <v>C090020</v>
      </c>
      <c r="D1580" t="s">
        <v>4558</v>
      </c>
      <c r="E1580" t="s">
        <v>685</v>
      </c>
      <c r="F1580" t="s">
        <v>136</v>
      </c>
    </row>
    <row r="1581" spans="1:6">
      <c r="A1581" t="s">
        <v>137</v>
      </c>
      <c r="B1581" t="s">
        <v>1340</v>
      </c>
      <c r="C1581" t="str">
        <f>VLOOKUP(A1581,'Cost Center'!A:C,3,FALSE)</f>
        <v>C090020</v>
      </c>
      <c r="D1581" t="s">
        <v>4558</v>
      </c>
      <c r="E1581" t="s">
        <v>685</v>
      </c>
      <c r="F1581" t="s">
        <v>137</v>
      </c>
    </row>
    <row r="1582" spans="1:6">
      <c r="A1582" t="s">
        <v>138</v>
      </c>
      <c r="B1582" t="s">
        <v>1341</v>
      </c>
      <c r="C1582" t="str">
        <f>VLOOKUP(A1582,'Cost Center'!A:C,3,FALSE)</f>
        <v>C090020</v>
      </c>
      <c r="D1582" t="s">
        <v>4558</v>
      </c>
      <c r="E1582" t="s">
        <v>685</v>
      </c>
      <c r="F1582" t="s">
        <v>138</v>
      </c>
    </row>
    <row r="1583" spans="1:6">
      <c r="A1583" t="s">
        <v>139</v>
      </c>
      <c r="B1583" t="s">
        <v>1342</v>
      </c>
      <c r="C1583" t="str">
        <f>VLOOKUP(A1583,'Cost Center'!A:C,3,FALSE)</f>
        <v>C090020</v>
      </c>
      <c r="D1583" t="s">
        <v>4558</v>
      </c>
      <c r="E1583" t="s">
        <v>685</v>
      </c>
      <c r="F1583" t="s">
        <v>139</v>
      </c>
    </row>
    <row r="1584" spans="1:6">
      <c r="A1584" t="s">
        <v>3001</v>
      </c>
      <c r="B1584" t="s">
        <v>3002</v>
      </c>
      <c r="C1584" t="str">
        <f>VLOOKUP(A1584,'Cost Center'!A:C,3,FALSE)</f>
        <v>C090020</v>
      </c>
      <c r="D1584" t="s">
        <v>4558</v>
      </c>
      <c r="E1584" t="s">
        <v>685</v>
      </c>
      <c r="F1584" t="s">
        <v>3001</v>
      </c>
    </row>
    <row r="1585" spans="1:6">
      <c r="A1585" t="s">
        <v>140</v>
      </c>
      <c r="B1585" t="s">
        <v>1343</v>
      </c>
      <c r="C1585" t="str">
        <f>VLOOKUP(A1585,'Cost Center'!A:C,3,FALSE)</f>
        <v>C090020</v>
      </c>
      <c r="D1585" t="s">
        <v>4558</v>
      </c>
      <c r="E1585" t="s">
        <v>685</v>
      </c>
      <c r="F1585" t="s">
        <v>140</v>
      </c>
    </row>
    <row r="1586" spans="1:6">
      <c r="A1586" t="s">
        <v>141</v>
      </c>
      <c r="B1586" t="s">
        <v>1344</v>
      </c>
      <c r="C1586" t="str">
        <f>VLOOKUP(A1586,'Cost Center'!A:C,3,FALSE)</f>
        <v>C090020</v>
      </c>
      <c r="D1586" t="s">
        <v>4558</v>
      </c>
      <c r="E1586" t="s">
        <v>685</v>
      </c>
      <c r="F1586" t="s">
        <v>141</v>
      </c>
    </row>
    <row r="1587" spans="1:6">
      <c r="A1587" t="s">
        <v>142</v>
      </c>
      <c r="B1587" t="s">
        <v>1345</v>
      </c>
      <c r="C1587" t="str">
        <f>VLOOKUP(A1587,'Cost Center'!A:C,3,FALSE)</f>
        <v>C090020</v>
      </c>
      <c r="D1587" t="s">
        <v>4558</v>
      </c>
      <c r="E1587" t="s">
        <v>685</v>
      </c>
      <c r="F1587" t="s">
        <v>142</v>
      </c>
    </row>
    <row r="1588" spans="1:6">
      <c r="A1588" t="s">
        <v>143</v>
      </c>
      <c r="B1588" t="s">
        <v>1346</v>
      </c>
      <c r="C1588" t="str">
        <f>VLOOKUP(A1588,'Cost Center'!A:C,3,FALSE)</f>
        <v>C090020</v>
      </c>
      <c r="D1588" t="s">
        <v>4558</v>
      </c>
      <c r="E1588" t="s">
        <v>685</v>
      </c>
      <c r="F1588" t="s">
        <v>143</v>
      </c>
    </row>
    <row r="1589" spans="1:6">
      <c r="A1589" t="s">
        <v>144</v>
      </c>
      <c r="B1589" t="s">
        <v>1347</v>
      </c>
      <c r="C1589" t="str">
        <f>VLOOKUP(A1589,'Cost Center'!A:C,3,FALSE)</f>
        <v>C090020</v>
      </c>
      <c r="D1589" t="s">
        <v>4558</v>
      </c>
      <c r="E1589" t="s">
        <v>685</v>
      </c>
      <c r="F1589" t="s">
        <v>144</v>
      </c>
    </row>
    <row r="1590" spans="1:6">
      <c r="A1590" t="s">
        <v>145</v>
      </c>
      <c r="B1590" t="s">
        <v>1348</v>
      </c>
      <c r="C1590" t="str">
        <f>VLOOKUP(A1590,'Cost Center'!A:C,3,FALSE)</f>
        <v>C090020</v>
      </c>
      <c r="D1590" t="s">
        <v>4558</v>
      </c>
      <c r="E1590" t="s">
        <v>685</v>
      </c>
      <c r="F1590" t="s">
        <v>145</v>
      </c>
    </row>
    <row r="1591" spans="1:6">
      <c r="A1591" t="s">
        <v>146</v>
      </c>
      <c r="B1591" t="s">
        <v>1349</v>
      </c>
      <c r="C1591" t="str">
        <f>VLOOKUP(A1591,'Cost Center'!A:C,3,FALSE)</f>
        <v>C090020</v>
      </c>
      <c r="D1591" t="s">
        <v>4558</v>
      </c>
      <c r="E1591" t="s">
        <v>685</v>
      </c>
      <c r="F1591" t="s">
        <v>146</v>
      </c>
    </row>
    <row r="1592" spans="1:6">
      <c r="A1592" t="s">
        <v>147</v>
      </c>
      <c r="B1592" t="s">
        <v>1350</v>
      </c>
      <c r="C1592" t="str">
        <f>VLOOKUP(A1592,'Cost Center'!A:C,3,FALSE)</f>
        <v>C090020</v>
      </c>
      <c r="D1592" t="s">
        <v>4558</v>
      </c>
      <c r="E1592" t="s">
        <v>685</v>
      </c>
      <c r="F1592" t="s">
        <v>147</v>
      </c>
    </row>
    <row r="1593" spans="1:6">
      <c r="A1593" t="s">
        <v>148</v>
      </c>
      <c r="B1593" t="s">
        <v>1351</v>
      </c>
      <c r="C1593" t="str">
        <f>VLOOKUP(A1593,'Cost Center'!A:C,3,FALSE)</f>
        <v>C090020</v>
      </c>
      <c r="D1593" t="s">
        <v>4558</v>
      </c>
      <c r="E1593" t="s">
        <v>685</v>
      </c>
      <c r="F1593" t="s">
        <v>148</v>
      </c>
    </row>
    <row r="1594" spans="1:6">
      <c r="A1594" t="s">
        <v>149</v>
      </c>
      <c r="B1594" t="s">
        <v>1352</v>
      </c>
      <c r="C1594" t="str">
        <f>VLOOKUP(A1594,'Cost Center'!A:C,3,FALSE)</f>
        <v>C090020</v>
      </c>
      <c r="D1594" t="s">
        <v>4558</v>
      </c>
      <c r="E1594" t="s">
        <v>685</v>
      </c>
      <c r="F1594" t="s">
        <v>149</v>
      </c>
    </row>
    <row r="1595" spans="1:6">
      <c r="A1595" t="s">
        <v>150</v>
      </c>
      <c r="B1595" t="s">
        <v>1353</v>
      </c>
      <c r="C1595" t="str">
        <f>VLOOKUP(A1595,'Cost Center'!A:C,3,FALSE)</f>
        <v>C090020</v>
      </c>
      <c r="D1595" t="s">
        <v>4558</v>
      </c>
      <c r="E1595" t="s">
        <v>685</v>
      </c>
      <c r="F1595" t="s">
        <v>150</v>
      </c>
    </row>
    <row r="1596" spans="1:6">
      <c r="A1596" t="s">
        <v>151</v>
      </c>
      <c r="B1596" t="s">
        <v>1354</v>
      </c>
      <c r="C1596" t="str">
        <f>VLOOKUP(A1596,'Cost Center'!A:C,3,FALSE)</f>
        <v>C090020</v>
      </c>
      <c r="D1596" t="s">
        <v>4558</v>
      </c>
      <c r="E1596" t="s">
        <v>685</v>
      </c>
      <c r="F1596" t="s">
        <v>151</v>
      </c>
    </row>
    <row r="1597" spans="1:6">
      <c r="A1597" t="s">
        <v>152</v>
      </c>
      <c r="B1597" t="s">
        <v>1355</v>
      </c>
      <c r="C1597" t="str">
        <f>VLOOKUP(A1597,'Cost Center'!A:C,3,FALSE)</f>
        <v>C090020</v>
      </c>
      <c r="D1597" t="s">
        <v>4558</v>
      </c>
      <c r="E1597" t="s">
        <v>685</v>
      </c>
      <c r="F1597" t="s">
        <v>152</v>
      </c>
    </row>
    <row r="1598" spans="1:6">
      <c r="A1598" t="s">
        <v>153</v>
      </c>
      <c r="B1598" t="s">
        <v>1356</v>
      </c>
      <c r="C1598" t="str">
        <f>VLOOKUP(A1598,'Cost Center'!A:C,3,FALSE)</f>
        <v>C090020</v>
      </c>
      <c r="D1598" t="s">
        <v>4558</v>
      </c>
      <c r="E1598" t="s">
        <v>685</v>
      </c>
      <c r="F1598" t="s">
        <v>153</v>
      </c>
    </row>
    <row r="1599" spans="1:6">
      <c r="A1599" t="s">
        <v>154</v>
      </c>
      <c r="B1599" t="s">
        <v>1357</v>
      </c>
      <c r="C1599" t="str">
        <f>VLOOKUP(A1599,'Cost Center'!A:C,3,FALSE)</f>
        <v>C090020</v>
      </c>
      <c r="D1599" t="s">
        <v>4558</v>
      </c>
      <c r="E1599" t="s">
        <v>685</v>
      </c>
      <c r="F1599" t="s">
        <v>154</v>
      </c>
    </row>
    <row r="1600" spans="1:6">
      <c r="A1600" t="s">
        <v>3003</v>
      </c>
      <c r="B1600" t="s">
        <v>3004</v>
      </c>
      <c r="C1600" t="str">
        <f>VLOOKUP(A1600,'Cost Center'!A:C,3,FALSE)</f>
        <v>C090020</v>
      </c>
      <c r="D1600" t="s">
        <v>4558</v>
      </c>
      <c r="E1600" t="s">
        <v>685</v>
      </c>
      <c r="F1600" t="s">
        <v>3003</v>
      </c>
    </row>
    <row r="1601" spans="1:6">
      <c r="A1601" t="s">
        <v>155</v>
      </c>
      <c r="B1601" t="s">
        <v>1358</v>
      </c>
      <c r="C1601" t="str">
        <f>VLOOKUP(A1601,'Cost Center'!A:C,3,FALSE)</f>
        <v>C090020</v>
      </c>
      <c r="D1601" t="s">
        <v>4558</v>
      </c>
      <c r="E1601" t="s">
        <v>685</v>
      </c>
      <c r="F1601" t="s">
        <v>155</v>
      </c>
    </row>
    <row r="1602" spans="1:6">
      <c r="A1602" t="s">
        <v>156</v>
      </c>
      <c r="B1602" t="s">
        <v>1359</v>
      </c>
      <c r="C1602" t="str">
        <f>VLOOKUP(A1602,'Cost Center'!A:C,3,FALSE)</f>
        <v>C090020</v>
      </c>
      <c r="D1602" t="s">
        <v>4558</v>
      </c>
      <c r="E1602" t="s">
        <v>685</v>
      </c>
      <c r="F1602" t="s">
        <v>156</v>
      </c>
    </row>
    <row r="1603" spans="1:6">
      <c r="A1603" t="s">
        <v>157</v>
      </c>
      <c r="B1603" t="s">
        <v>1360</v>
      </c>
      <c r="C1603" t="str">
        <f>VLOOKUP(A1603,'Cost Center'!A:C,3,FALSE)</f>
        <v>C090020</v>
      </c>
      <c r="D1603" t="s">
        <v>4558</v>
      </c>
      <c r="E1603" t="s">
        <v>685</v>
      </c>
      <c r="F1603" t="s">
        <v>157</v>
      </c>
    </row>
    <row r="1604" spans="1:6">
      <c r="A1604" t="s">
        <v>158</v>
      </c>
      <c r="B1604" t="s">
        <v>1361</v>
      </c>
      <c r="C1604" t="str">
        <f>VLOOKUP(A1604,'Cost Center'!A:C,3,FALSE)</f>
        <v>C090020</v>
      </c>
      <c r="D1604" t="s">
        <v>4558</v>
      </c>
      <c r="E1604" t="s">
        <v>685</v>
      </c>
      <c r="F1604" t="s">
        <v>158</v>
      </c>
    </row>
    <row r="1605" spans="1:6">
      <c r="A1605" t="s">
        <v>159</v>
      </c>
      <c r="B1605" t="s">
        <v>1362</v>
      </c>
      <c r="C1605" t="str">
        <f>VLOOKUP(A1605,'Cost Center'!A:C,3,FALSE)</f>
        <v>C090020</v>
      </c>
      <c r="D1605" t="s">
        <v>4558</v>
      </c>
      <c r="E1605" t="s">
        <v>685</v>
      </c>
      <c r="F1605" t="s">
        <v>159</v>
      </c>
    </row>
    <row r="1606" spans="1:6">
      <c r="A1606" t="s">
        <v>160</v>
      </c>
      <c r="B1606" t="s">
        <v>1363</v>
      </c>
      <c r="C1606" t="str">
        <f>VLOOKUP(A1606,'Cost Center'!A:C,3,FALSE)</f>
        <v>C090020</v>
      </c>
      <c r="D1606" t="s">
        <v>4558</v>
      </c>
      <c r="E1606" t="s">
        <v>685</v>
      </c>
      <c r="F1606" t="s">
        <v>160</v>
      </c>
    </row>
    <row r="1607" spans="1:6">
      <c r="A1607" t="s">
        <v>161</v>
      </c>
      <c r="B1607" t="s">
        <v>1364</v>
      </c>
      <c r="C1607" t="str">
        <f>VLOOKUP(A1607,'Cost Center'!A:C,3,FALSE)</f>
        <v>C090020</v>
      </c>
      <c r="D1607" t="s">
        <v>4558</v>
      </c>
      <c r="E1607" t="s">
        <v>685</v>
      </c>
      <c r="F1607" t="s">
        <v>161</v>
      </c>
    </row>
    <row r="1608" spans="1:6">
      <c r="A1608" t="s">
        <v>162</v>
      </c>
      <c r="B1608" t="s">
        <v>1365</v>
      </c>
      <c r="C1608" t="str">
        <f>VLOOKUP(A1608,'Cost Center'!A:C,3,FALSE)</f>
        <v>C090020</v>
      </c>
      <c r="D1608" t="s">
        <v>4558</v>
      </c>
      <c r="E1608" t="s">
        <v>685</v>
      </c>
      <c r="F1608" t="s">
        <v>162</v>
      </c>
    </row>
    <row r="1609" spans="1:6">
      <c r="A1609" t="s">
        <v>163</v>
      </c>
      <c r="B1609" t="s">
        <v>1366</v>
      </c>
      <c r="C1609" t="str">
        <f>VLOOKUP(A1609,'Cost Center'!A:C,3,FALSE)</f>
        <v>C090020</v>
      </c>
      <c r="D1609" t="s">
        <v>4558</v>
      </c>
      <c r="E1609" t="s">
        <v>685</v>
      </c>
      <c r="F1609" t="s">
        <v>163</v>
      </c>
    </row>
    <row r="1610" spans="1:6">
      <c r="A1610" t="s">
        <v>164</v>
      </c>
      <c r="B1610" t="s">
        <v>1367</v>
      </c>
      <c r="C1610" t="str">
        <f>VLOOKUP(A1610,'Cost Center'!A:C,3,FALSE)</f>
        <v>C090020</v>
      </c>
      <c r="D1610" t="s">
        <v>4558</v>
      </c>
      <c r="E1610" t="s">
        <v>685</v>
      </c>
      <c r="F1610" t="s">
        <v>164</v>
      </c>
    </row>
    <row r="1611" spans="1:6">
      <c r="A1611" t="s">
        <v>165</v>
      </c>
      <c r="B1611" t="s">
        <v>1368</v>
      </c>
      <c r="C1611" t="str">
        <f>VLOOKUP(A1611,'Cost Center'!A:C,3,FALSE)</f>
        <v>C090020</v>
      </c>
      <c r="D1611" t="s">
        <v>4558</v>
      </c>
      <c r="E1611" t="s">
        <v>685</v>
      </c>
      <c r="F1611" t="s">
        <v>165</v>
      </c>
    </row>
    <row r="1612" spans="1:6">
      <c r="A1612" t="s">
        <v>1369</v>
      </c>
      <c r="B1612" t="s">
        <v>1370</v>
      </c>
      <c r="C1612" t="str">
        <f>VLOOKUP(A1612,'Cost Center'!A:C,3,FALSE)</f>
        <v>C090020</v>
      </c>
      <c r="D1612" t="s">
        <v>4558</v>
      </c>
      <c r="E1612" t="s">
        <v>685</v>
      </c>
      <c r="F1612" t="s">
        <v>1369</v>
      </c>
    </row>
    <row r="1613" spans="1:6">
      <c r="A1613" t="s">
        <v>166</v>
      </c>
      <c r="B1613" t="s">
        <v>1371</v>
      </c>
      <c r="C1613" t="str">
        <f>VLOOKUP(A1613,'Cost Center'!A:C,3,FALSE)</f>
        <v>C090020</v>
      </c>
      <c r="D1613" t="s">
        <v>4558</v>
      </c>
      <c r="E1613" t="s">
        <v>685</v>
      </c>
      <c r="F1613" t="s">
        <v>166</v>
      </c>
    </row>
    <row r="1614" spans="1:6">
      <c r="A1614" t="s">
        <v>167</v>
      </c>
      <c r="B1614" t="s">
        <v>1372</v>
      </c>
      <c r="C1614" t="str">
        <f>VLOOKUP(A1614,'Cost Center'!A:C,3,FALSE)</f>
        <v>C090020</v>
      </c>
      <c r="D1614" t="s">
        <v>4558</v>
      </c>
      <c r="E1614" t="s">
        <v>685</v>
      </c>
      <c r="F1614" t="s">
        <v>167</v>
      </c>
    </row>
    <row r="1615" spans="1:6">
      <c r="A1615" t="s">
        <v>168</v>
      </c>
      <c r="B1615" t="s">
        <v>1373</v>
      </c>
      <c r="C1615" t="str">
        <f>VLOOKUP(A1615,'Cost Center'!A:C,3,FALSE)</f>
        <v>C090020</v>
      </c>
      <c r="D1615" t="s">
        <v>4558</v>
      </c>
      <c r="E1615" t="s">
        <v>685</v>
      </c>
      <c r="F1615" t="s">
        <v>168</v>
      </c>
    </row>
    <row r="1616" spans="1:6">
      <c r="A1616" t="s">
        <v>169</v>
      </c>
      <c r="B1616" t="s">
        <v>1374</v>
      </c>
      <c r="C1616" t="str">
        <f>VLOOKUP(A1616,'Cost Center'!A:C,3,FALSE)</f>
        <v>C090020</v>
      </c>
      <c r="D1616" t="s">
        <v>4558</v>
      </c>
      <c r="E1616" t="s">
        <v>685</v>
      </c>
      <c r="F1616" t="s">
        <v>169</v>
      </c>
    </row>
    <row r="1617" spans="1:6">
      <c r="A1617" t="s">
        <v>170</v>
      </c>
      <c r="B1617" t="s">
        <v>1375</v>
      </c>
      <c r="C1617" t="str">
        <f>VLOOKUP(A1617,'Cost Center'!A:C,3,FALSE)</f>
        <v>C090020</v>
      </c>
      <c r="D1617" t="s">
        <v>4558</v>
      </c>
      <c r="E1617" t="s">
        <v>685</v>
      </c>
      <c r="F1617" t="s">
        <v>170</v>
      </c>
    </row>
    <row r="1618" spans="1:6">
      <c r="A1618" t="s">
        <v>171</v>
      </c>
      <c r="B1618" t="s">
        <v>1376</v>
      </c>
      <c r="C1618" t="str">
        <f>VLOOKUP(A1618,'Cost Center'!A:C,3,FALSE)</f>
        <v>C090020</v>
      </c>
      <c r="D1618" t="s">
        <v>4558</v>
      </c>
      <c r="E1618" t="s">
        <v>685</v>
      </c>
      <c r="F1618" t="s">
        <v>171</v>
      </c>
    </row>
    <row r="1619" spans="1:6">
      <c r="A1619" t="s">
        <v>172</v>
      </c>
      <c r="B1619" t="s">
        <v>1377</v>
      </c>
      <c r="C1619" t="str">
        <f>VLOOKUP(A1619,'Cost Center'!A:C,3,FALSE)</f>
        <v>C090020</v>
      </c>
      <c r="D1619" t="s">
        <v>4558</v>
      </c>
      <c r="E1619" t="s">
        <v>685</v>
      </c>
      <c r="F1619" t="s">
        <v>172</v>
      </c>
    </row>
    <row r="1620" spans="1:6">
      <c r="A1620" t="s">
        <v>173</v>
      </c>
      <c r="B1620" t="s">
        <v>1378</v>
      </c>
      <c r="C1620" t="str">
        <f>VLOOKUP(A1620,'Cost Center'!A:C,3,FALSE)</f>
        <v>C090020</v>
      </c>
      <c r="D1620" t="s">
        <v>4558</v>
      </c>
      <c r="E1620" t="s">
        <v>685</v>
      </c>
      <c r="F1620" t="s">
        <v>173</v>
      </c>
    </row>
    <row r="1621" spans="1:6">
      <c r="A1621" t="s">
        <v>174</v>
      </c>
      <c r="B1621" t="s">
        <v>1379</v>
      </c>
      <c r="C1621" t="str">
        <f>VLOOKUP(A1621,'Cost Center'!A:C,3,FALSE)</f>
        <v>C090020</v>
      </c>
      <c r="D1621" t="s">
        <v>4558</v>
      </c>
      <c r="E1621" t="s">
        <v>685</v>
      </c>
      <c r="F1621" t="s">
        <v>174</v>
      </c>
    </row>
    <row r="1622" spans="1:6">
      <c r="A1622" t="s">
        <v>175</v>
      </c>
      <c r="B1622" t="s">
        <v>1380</v>
      </c>
      <c r="C1622" t="str">
        <f>VLOOKUP(A1622,'Cost Center'!A:C,3,FALSE)</f>
        <v>C090020</v>
      </c>
      <c r="D1622" t="s">
        <v>4558</v>
      </c>
      <c r="E1622" t="s">
        <v>685</v>
      </c>
      <c r="F1622" t="s">
        <v>175</v>
      </c>
    </row>
    <row r="1623" spans="1:6">
      <c r="A1623" t="s">
        <v>176</v>
      </c>
      <c r="B1623" t="s">
        <v>1381</v>
      </c>
      <c r="C1623" t="str">
        <f>VLOOKUP(A1623,'Cost Center'!A:C,3,FALSE)</f>
        <v>C090020</v>
      </c>
      <c r="D1623" t="s">
        <v>4558</v>
      </c>
      <c r="E1623" t="s">
        <v>685</v>
      </c>
      <c r="F1623" t="s">
        <v>176</v>
      </c>
    </row>
    <row r="1624" spans="1:6">
      <c r="A1624" t="s">
        <v>177</v>
      </c>
      <c r="B1624" t="s">
        <v>1382</v>
      </c>
      <c r="C1624" t="str">
        <f>VLOOKUP(A1624,'Cost Center'!A:C,3,FALSE)</f>
        <v>C090020</v>
      </c>
      <c r="D1624" t="s">
        <v>4558</v>
      </c>
      <c r="E1624" t="s">
        <v>685</v>
      </c>
      <c r="F1624" t="s">
        <v>177</v>
      </c>
    </row>
    <row r="1625" spans="1:6">
      <c r="A1625" t="s">
        <v>178</v>
      </c>
      <c r="B1625" t="s">
        <v>1383</v>
      </c>
      <c r="C1625" t="str">
        <f>VLOOKUP(A1625,'Cost Center'!A:C,3,FALSE)</f>
        <v>C090020</v>
      </c>
      <c r="D1625" t="s">
        <v>4558</v>
      </c>
      <c r="E1625" t="s">
        <v>685</v>
      </c>
      <c r="F1625" t="s">
        <v>178</v>
      </c>
    </row>
    <row r="1626" spans="1:6">
      <c r="A1626" t="s">
        <v>179</v>
      </c>
      <c r="B1626" t="s">
        <v>1384</v>
      </c>
      <c r="C1626" t="str">
        <f>VLOOKUP(A1626,'Cost Center'!A:C,3,FALSE)</f>
        <v>C090020</v>
      </c>
      <c r="D1626" t="s">
        <v>4558</v>
      </c>
      <c r="E1626" t="s">
        <v>685</v>
      </c>
      <c r="F1626" t="s">
        <v>179</v>
      </c>
    </row>
    <row r="1627" spans="1:6">
      <c r="A1627" t="s">
        <v>3005</v>
      </c>
      <c r="B1627" t="s">
        <v>3006</v>
      </c>
      <c r="C1627" t="str">
        <f>VLOOKUP(A1627,'Cost Center'!A:C,3,FALSE)</f>
        <v>C090020</v>
      </c>
      <c r="D1627" t="s">
        <v>4558</v>
      </c>
      <c r="E1627" t="s">
        <v>685</v>
      </c>
      <c r="F1627" t="s">
        <v>3005</v>
      </c>
    </row>
    <row r="1628" spans="1:6">
      <c r="A1628" t="s">
        <v>180</v>
      </c>
      <c r="B1628" t="s">
        <v>1385</v>
      </c>
      <c r="C1628" t="str">
        <f>VLOOKUP(A1628,'Cost Center'!A:C,3,FALSE)</f>
        <v>C090020</v>
      </c>
      <c r="D1628" t="s">
        <v>4558</v>
      </c>
      <c r="E1628" t="s">
        <v>685</v>
      </c>
      <c r="F1628" t="s">
        <v>180</v>
      </c>
    </row>
    <row r="1629" spans="1:6">
      <c r="A1629" t="s">
        <v>181</v>
      </c>
      <c r="B1629" t="s">
        <v>1386</v>
      </c>
      <c r="C1629" t="str">
        <f>VLOOKUP(A1629,'Cost Center'!A:C,3,FALSE)</f>
        <v>C090020</v>
      </c>
      <c r="D1629" t="s">
        <v>4558</v>
      </c>
      <c r="E1629" t="s">
        <v>685</v>
      </c>
      <c r="F1629" t="s">
        <v>181</v>
      </c>
    </row>
    <row r="1630" spans="1:6">
      <c r="A1630" t="s">
        <v>182</v>
      </c>
      <c r="B1630" t="s">
        <v>1387</v>
      </c>
      <c r="C1630" t="str">
        <f>VLOOKUP(A1630,'Cost Center'!A:C,3,FALSE)</f>
        <v>C090020</v>
      </c>
      <c r="D1630" t="s">
        <v>4558</v>
      </c>
      <c r="E1630" t="s">
        <v>685</v>
      </c>
      <c r="F1630" t="s">
        <v>182</v>
      </c>
    </row>
    <row r="1631" spans="1:6">
      <c r="A1631" t="s">
        <v>183</v>
      </c>
      <c r="B1631" t="s">
        <v>1388</v>
      </c>
      <c r="C1631" t="str">
        <f>VLOOKUP(A1631,'Cost Center'!A:C,3,FALSE)</f>
        <v>C090020</v>
      </c>
      <c r="D1631" t="s">
        <v>4558</v>
      </c>
      <c r="E1631" t="s">
        <v>685</v>
      </c>
      <c r="F1631" t="s">
        <v>183</v>
      </c>
    </row>
    <row r="1632" spans="1:6">
      <c r="A1632" t="s">
        <v>184</v>
      </c>
      <c r="B1632" t="s">
        <v>1389</v>
      </c>
      <c r="C1632" t="str">
        <f>VLOOKUP(A1632,'Cost Center'!A:C,3,FALSE)</f>
        <v>C090020</v>
      </c>
      <c r="D1632" t="s">
        <v>4558</v>
      </c>
      <c r="E1632" t="s">
        <v>685</v>
      </c>
      <c r="F1632" t="s">
        <v>184</v>
      </c>
    </row>
    <row r="1633" spans="1:6">
      <c r="A1633" t="s">
        <v>185</v>
      </c>
      <c r="B1633" t="s">
        <v>1390</v>
      </c>
      <c r="C1633" t="str">
        <f>VLOOKUP(A1633,'Cost Center'!A:C,3,FALSE)</f>
        <v>C090020</v>
      </c>
      <c r="D1633" t="s">
        <v>4558</v>
      </c>
      <c r="E1633" t="s">
        <v>685</v>
      </c>
      <c r="F1633" t="s">
        <v>185</v>
      </c>
    </row>
    <row r="1634" spans="1:6">
      <c r="A1634" t="s">
        <v>186</v>
      </c>
      <c r="B1634" t="s">
        <v>1391</v>
      </c>
      <c r="C1634" t="str">
        <f>VLOOKUP(A1634,'Cost Center'!A:C,3,FALSE)</f>
        <v>C090020</v>
      </c>
      <c r="D1634" t="s">
        <v>4558</v>
      </c>
      <c r="E1634" t="s">
        <v>685</v>
      </c>
      <c r="F1634" t="s">
        <v>186</v>
      </c>
    </row>
    <row r="1635" spans="1:6">
      <c r="A1635" t="s">
        <v>187</v>
      </c>
      <c r="B1635" t="s">
        <v>1392</v>
      </c>
      <c r="C1635" t="str">
        <f>VLOOKUP(A1635,'Cost Center'!A:C,3,FALSE)</f>
        <v>C090020</v>
      </c>
      <c r="D1635" t="s">
        <v>4558</v>
      </c>
      <c r="E1635" t="s">
        <v>685</v>
      </c>
      <c r="F1635" t="s">
        <v>187</v>
      </c>
    </row>
    <row r="1636" spans="1:6">
      <c r="A1636" t="s">
        <v>188</v>
      </c>
      <c r="B1636" t="s">
        <v>1393</v>
      </c>
      <c r="C1636" t="str">
        <f>VLOOKUP(A1636,'Cost Center'!A:C,3,FALSE)</f>
        <v>C090020</v>
      </c>
      <c r="D1636" t="s">
        <v>4558</v>
      </c>
      <c r="E1636" t="s">
        <v>685</v>
      </c>
      <c r="F1636" t="s">
        <v>188</v>
      </c>
    </row>
    <row r="1637" spans="1:6">
      <c r="A1637" t="s">
        <v>189</v>
      </c>
      <c r="B1637" t="s">
        <v>1394</v>
      </c>
      <c r="C1637" t="str">
        <f>VLOOKUP(A1637,'Cost Center'!A:C,3,FALSE)</f>
        <v>C090020</v>
      </c>
      <c r="D1637" t="s">
        <v>4558</v>
      </c>
      <c r="E1637" t="s">
        <v>685</v>
      </c>
      <c r="F1637" t="s">
        <v>189</v>
      </c>
    </row>
    <row r="1638" spans="1:6">
      <c r="A1638" t="s">
        <v>190</v>
      </c>
      <c r="B1638" t="s">
        <v>1395</v>
      </c>
      <c r="C1638" t="str">
        <f>VLOOKUP(A1638,'Cost Center'!A:C,3,FALSE)</f>
        <v>C090020</v>
      </c>
      <c r="D1638" t="s">
        <v>4558</v>
      </c>
      <c r="E1638" t="s">
        <v>685</v>
      </c>
      <c r="F1638" t="s">
        <v>190</v>
      </c>
    </row>
    <row r="1639" spans="1:6">
      <c r="A1639" t="s">
        <v>191</v>
      </c>
      <c r="B1639" t="s">
        <v>1396</v>
      </c>
      <c r="C1639" t="str">
        <f>VLOOKUP(A1639,'Cost Center'!A:C,3,FALSE)</f>
        <v>C090020</v>
      </c>
      <c r="D1639" t="s">
        <v>4558</v>
      </c>
      <c r="E1639" t="s">
        <v>685</v>
      </c>
      <c r="F1639" t="s">
        <v>191</v>
      </c>
    </row>
    <row r="1640" spans="1:6">
      <c r="A1640" t="s">
        <v>192</v>
      </c>
      <c r="B1640" t="s">
        <v>1397</v>
      </c>
      <c r="C1640" t="str">
        <f>VLOOKUP(A1640,'Cost Center'!A:C,3,FALSE)</f>
        <v>C090020</v>
      </c>
      <c r="D1640" t="s">
        <v>4558</v>
      </c>
      <c r="E1640" t="s">
        <v>685</v>
      </c>
      <c r="F1640" t="s">
        <v>192</v>
      </c>
    </row>
    <row r="1641" spans="1:6">
      <c r="A1641" t="s">
        <v>193</v>
      </c>
      <c r="B1641" t="s">
        <v>1398</v>
      </c>
      <c r="C1641" t="str">
        <f>VLOOKUP(A1641,'Cost Center'!A:C,3,FALSE)</f>
        <v>C090020</v>
      </c>
      <c r="D1641" t="s">
        <v>4558</v>
      </c>
      <c r="E1641" t="s">
        <v>685</v>
      </c>
      <c r="F1641" t="s">
        <v>193</v>
      </c>
    </row>
    <row r="1642" spans="1:6">
      <c r="A1642" t="s">
        <v>194</v>
      </c>
      <c r="B1642" t="s">
        <v>1399</v>
      </c>
      <c r="C1642" t="str">
        <f>VLOOKUP(A1642,'Cost Center'!A:C,3,FALSE)</f>
        <v>C090020</v>
      </c>
      <c r="D1642" t="s">
        <v>4558</v>
      </c>
      <c r="E1642" t="s">
        <v>685</v>
      </c>
      <c r="F1642" t="s">
        <v>194</v>
      </c>
    </row>
    <row r="1643" spans="1:6">
      <c r="A1643" t="s">
        <v>195</v>
      </c>
      <c r="B1643" t="s">
        <v>1400</v>
      </c>
      <c r="C1643" t="str">
        <f>VLOOKUP(A1643,'Cost Center'!A:C,3,FALSE)</f>
        <v>C090020</v>
      </c>
      <c r="D1643" t="s">
        <v>4558</v>
      </c>
      <c r="E1643" t="s">
        <v>685</v>
      </c>
      <c r="F1643" t="s">
        <v>195</v>
      </c>
    </row>
    <row r="1644" spans="1:6">
      <c r="A1644" t="s">
        <v>196</v>
      </c>
      <c r="B1644" t="s">
        <v>1401</v>
      </c>
      <c r="C1644" t="str">
        <f>VLOOKUP(A1644,'Cost Center'!A:C,3,FALSE)</f>
        <v>C090020</v>
      </c>
      <c r="D1644" t="s">
        <v>4558</v>
      </c>
      <c r="E1644" t="s">
        <v>685</v>
      </c>
      <c r="F1644" t="s">
        <v>196</v>
      </c>
    </row>
    <row r="1645" spans="1:6">
      <c r="A1645" t="s">
        <v>197</v>
      </c>
      <c r="B1645" t="s">
        <v>1402</v>
      </c>
      <c r="C1645" t="str">
        <f>VLOOKUP(A1645,'Cost Center'!A:C,3,FALSE)</f>
        <v>C090020</v>
      </c>
      <c r="D1645" t="s">
        <v>4558</v>
      </c>
      <c r="E1645" t="s">
        <v>685</v>
      </c>
      <c r="F1645" t="s">
        <v>197</v>
      </c>
    </row>
    <row r="1646" spans="1:6">
      <c r="A1646" t="s">
        <v>198</v>
      </c>
      <c r="B1646" t="s">
        <v>1403</v>
      </c>
      <c r="C1646" t="str">
        <f>VLOOKUP(A1646,'Cost Center'!A:C,3,FALSE)</f>
        <v>C090020</v>
      </c>
      <c r="D1646" t="s">
        <v>4558</v>
      </c>
      <c r="E1646" t="s">
        <v>685</v>
      </c>
      <c r="F1646" t="s">
        <v>198</v>
      </c>
    </row>
    <row r="1647" spans="1:6">
      <c r="A1647" t="s">
        <v>199</v>
      </c>
      <c r="B1647" t="s">
        <v>1404</v>
      </c>
      <c r="C1647" t="str">
        <f>VLOOKUP(A1647,'Cost Center'!A:C,3,FALSE)</f>
        <v>C090020</v>
      </c>
      <c r="D1647" t="s">
        <v>4558</v>
      </c>
      <c r="E1647" t="s">
        <v>685</v>
      </c>
      <c r="F1647" t="s">
        <v>199</v>
      </c>
    </row>
    <row r="1648" spans="1:6">
      <c r="A1648" t="s">
        <v>200</v>
      </c>
      <c r="B1648" t="s">
        <v>1405</v>
      </c>
      <c r="C1648" t="str">
        <f>VLOOKUP(A1648,'Cost Center'!A:C,3,FALSE)</f>
        <v>C090020</v>
      </c>
      <c r="D1648" t="s">
        <v>4558</v>
      </c>
      <c r="E1648" t="s">
        <v>685</v>
      </c>
      <c r="F1648" t="s">
        <v>200</v>
      </c>
    </row>
    <row r="1649" spans="1:6">
      <c r="A1649" t="s">
        <v>201</v>
      </c>
      <c r="B1649" t="s">
        <v>1406</v>
      </c>
      <c r="C1649" t="str">
        <f>VLOOKUP(A1649,'Cost Center'!A:C,3,FALSE)</f>
        <v>C090020</v>
      </c>
      <c r="D1649" t="s">
        <v>4558</v>
      </c>
      <c r="E1649" t="s">
        <v>685</v>
      </c>
      <c r="F1649" t="s">
        <v>201</v>
      </c>
    </row>
    <row r="1650" spans="1:6">
      <c r="A1650" t="s">
        <v>202</v>
      </c>
      <c r="B1650" t="s">
        <v>1407</v>
      </c>
      <c r="C1650" t="str">
        <f>VLOOKUP(A1650,'Cost Center'!A:C,3,FALSE)</f>
        <v>C090020</v>
      </c>
      <c r="D1650" t="s">
        <v>4558</v>
      </c>
      <c r="E1650" t="s">
        <v>685</v>
      </c>
      <c r="F1650" t="s">
        <v>202</v>
      </c>
    </row>
    <row r="1651" spans="1:6">
      <c r="A1651" t="s">
        <v>203</v>
      </c>
      <c r="B1651" t="s">
        <v>1408</v>
      </c>
      <c r="C1651" t="str">
        <f>VLOOKUP(A1651,'Cost Center'!A:C,3,FALSE)</f>
        <v>C090020</v>
      </c>
      <c r="D1651" t="s">
        <v>4558</v>
      </c>
      <c r="E1651" t="s">
        <v>685</v>
      </c>
      <c r="F1651" t="s">
        <v>203</v>
      </c>
    </row>
    <row r="1652" spans="1:6">
      <c r="A1652" t="s">
        <v>204</v>
      </c>
      <c r="B1652" t="s">
        <v>1409</v>
      </c>
      <c r="C1652" t="str">
        <f>VLOOKUP(A1652,'Cost Center'!A:C,3,FALSE)</f>
        <v>C090020</v>
      </c>
      <c r="D1652" t="s">
        <v>4558</v>
      </c>
      <c r="E1652" t="s">
        <v>685</v>
      </c>
      <c r="F1652" t="s">
        <v>204</v>
      </c>
    </row>
    <row r="1653" spans="1:6">
      <c r="A1653" t="s">
        <v>205</v>
      </c>
      <c r="B1653" t="s">
        <v>1410</v>
      </c>
      <c r="C1653" t="str">
        <f>VLOOKUP(A1653,'Cost Center'!A:C,3,FALSE)</f>
        <v>C090020</v>
      </c>
      <c r="D1653" t="s">
        <v>4558</v>
      </c>
      <c r="E1653" t="s">
        <v>685</v>
      </c>
      <c r="F1653" t="s">
        <v>205</v>
      </c>
    </row>
    <row r="1654" spans="1:6">
      <c r="A1654" t="s">
        <v>3007</v>
      </c>
      <c r="B1654" t="s">
        <v>3008</v>
      </c>
      <c r="C1654" t="str">
        <f>VLOOKUP(A1654,'Cost Center'!A:C,3,FALSE)</f>
        <v>C090020</v>
      </c>
      <c r="D1654" t="s">
        <v>4558</v>
      </c>
      <c r="E1654" t="s">
        <v>685</v>
      </c>
      <c r="F1654" t="s">
        <v>3007</v>
      </c>
    </row>
    <row r="1655" spans="1:6">
      <c r="A1655" t="s">
        <v>206</v>
      </c>
      <c r="B1655" t="s">
        <v>1411</v>
      </c>
      <c r="C1655" t="str">
        <f>VLOOKUP(A1655,'Cost Center'!A:C,3,FALSE)</f>
        <v>C090020</v>
      </c>
      <c r="D1655" t="s">
        <v>4558</v>
      </c>
      <c r="E1655" t="s">
        <v>685</v>
      </c>
      <c r="F1655" t="s">
        <v>206</v>
      </c>
    </row>
    <row r="1656" spans="1:6">
      <c r="A1656" t="s">
        <v>207</v>
      </c>
      <c r="B1656" t="s">
        <v>1412</v>
      </c>
      <c r="C1656" t="str">
        <f>VLOOKUP(A1656,'Cost Center'!A:C,3,FALSE)</f>
        <v>C090020</v>
      </c>
      <c r="D1656" t="s">
        <v>4558</v>
      </c>
      <c r="E1656" t="s">
        <v>685</v>
      </c>
      <c r="F1656" t="s">
        <v>207</v>
      </c>
    </row>
    <row r="1657" spans="1:6">
      <c r="A1657" t="s">
        <v>208</v>
      </c>
      <c r="B1657" t="s">
        <v>1413</v>
      </c>
      <c r="C1657" t="str">
        <f>VLOOKUP(A1657,'Cost Center'!A:C,3,FALSE)</f>
        <v>C090020</v>
      </c>
      <c r="D1657" t="s">
        <v>4558</v>
      </c>
      <c r="E1657" t="s">
        <v>685</v>
      </c>
      <c r="F1657" t="s">
        <v>208</v>
      </c>
    </row>
    <row r="1658" spans="1:6">
      <c r="A1658" t="s">
        <v>209</v>
      </c>
      <c r="B1658" t="s">
        <v>1414</v>
      </c>
      <c r="C1658" t="str">
        <f>VLOOKUP(A1658,'Cost Center'!A:C,3,FALSE)</f>
        <v>C090020</v>
      </c>
      <c r="D1658" t="s">
        <v>4558</v>
      </c>
      <c r="E1658" t="s">
        <v>685</v>
      </c>
      <c r="F1658" t="s">
        <v>209</v>
      </c>
    </row>
    <row r="1659" spans="1:6">
      <c r="A1659" t="s">
        <v>3009</v>
      </c>
      <c r="B1659" t="s">
        <v>3010</v>
      </c>
      <c r="C1659" t="str">
        <f>VLOOKUP(A1659,'Cost Center'!A:C,3,FALSE)</f>
        <v>C090020</v>
      </c>
      <c r="D1659" t="s">
        <v>4558</v>
      </c>
      <c r="E1659" t="s">
        <v>685</v>
      </c>
      <c r="F1659" t="s">
        <v>3009</v>
      </c>
    </row>
    <row r="1660" spans="1:6">
      <c r="A1660" t="s">
        <v>210</v>
      </c>
      <c r="B1660" t="s">
        <v>1415</v>
      </c>
      <c r="C1660" t="str">
        <f>VLOOKUP(A1660,'Cost Center'!A:C,3,FALSE)</f>
        <v>C090020</v>
      </c>
      <c r="D1660" t="s">
        <v>4558</v>
      </c>
      <c r="E1660" t="s">
        <v>685</v>
      </c>
      <c r="F1660" t="s">
        <v>210</v>
      </c>
    </row>
    <row r="1661" spans="1:6">
      <c r="A1661" t="s">
        <v>211</v>
      </c>
      <c r="B1661" t="s">
        <v>1416</v>
      </c>
      <c r="C1661" t="str">
        <f>VLOOKUP(A1661,'Cost Center'!A:C,3,FALSE)</f>
        <v>C090020</v>
      </c>
      <c r="D1661" t="s">
        <v>4558</v>
      </c>
      <c r="E1661" t="s">
        <v>685</v>
      </c>
      <c r="F1661" t="s">
        <v>211</v>
      </c>
    </row>
    <row r="1662" spans="1:6">
      <c r="A1662" t="s">
        <v>212</v>
      </c>
      <c r="B1662" t="s">
        <v>1417</v>
      </c>
      <c r="C1662" t="str">
        <f>VLOOKUP(A1662,'Cost Center'!A:C,3,FALSE)</f>
        <v>C090020</v>
      </c>
      <c r="D1662" t="s">
        <v>4558</v>
      </c>
      <c r="E1662" t="s">
        <v>685</v>
      </c>
      <c r="F1662" t="s">
        <v>212</v>
      </c>
    </row>
    <row r="1663" spans="1:6">
      <c r="A1663" t="s">
        <v>213</v>
      </c>
      <c r="B1663" t="s">
        <v>1418</v>
      </c>
      <c r="C1663" t="str">
        <f>VLOOKUP(A1663,'Cost Center'!A:C,3,FALSE)</f>
        <v>C090020</v>
      </c>
      <c r="D1663" t="s">
        <v>4558</v>
      </c>
      <c r="E1663" t="s">
        <v>685</v>
      </c>
      <c r="F1663" t="s">
        <v>213</v>
      </c>
    </row>
    <row r="1664" spans="1:6">
      <c r="A1664" t="s">
        <v>214</v>
      </c>
      <c r="B1664" t="s">
        <v>1419</v>
      </c>
      <c r="C1664" t="str">
        <f>VLOOKUP(A1664,'Cost Center'!A:C,3,FALSE)</f>
        <v>C090020</v>
      </c>
      <c r="D1664" t="s">
        <v>4558</v>
      </c>
      <c r="E1664" t="s">
        <v>685</v>
      </c>
      <c r="F1664" t="s">
        <v>214</v>
      </c>
    </row>
    <row r="1665" spans="1:6">
      <c r="A1665" t="s">
        <v>215</v>
      </c>
      <c r="B1665" t="s">
        <v>1420</v>
      </c>
      <c r="C1665" t="str">
        <f>VLOOKUP(A1665,'Cost Center'!A:C,3,FALSE)</f>
        <v>C090020</v>
      </c>
      <c r="D1665" t="s">
        <v>4558</v>
      </c>
      <c r="E1665" t="s">
        <v>685</v>
      </c>
      <c r="F1665" t="s">
        <v>215</v>
      </c>
    </row>
    <row r="1666" spans="1:6">
      <c r="A1666" t="s">
        <v>216</v>
      </c>
      <c r="B1666" t="s">
        <v>1421</v>
      </c>
      <c r="C1666" t="str">
        <f>VLOOKUP(A1666,'Cost Center'!A:C,3,FALSE)</f>
        <v>C090020</v>
      </c>
      <c r="D1666" t="s">
        <v>4558</v>
      </c>
      <c r="E1666" t="s">
        <v>685</v>
      </c>
      <c r="F1666" t="s">
        <v>216</v>
      </c>
    </row>
    <row r="1667" spans="1:6">
      <c r="A1667" t="s">
        <v>217</v>
      </c>
      <c r="B1667" t="s">
        <v>1422</v>
      </c>
      <c r="C1667" t="str">
        <f>VLOOKUP(A1667,'Cost Center'!A:C,3,FALSE)</f>
        <v>C090020</v>
      </c>
      <c r="D1667" t="s">
        <v>4558</v>
      </c>
      <c r="E1667" t="s">
        <v>685</v>
      </c>
      <c r="F1667" t="s">
        <v>217</v>
      </c>
    </row>
    <row r="1668" spans="1:6">
      <c r="A1668" t="s">
        <v>218</v>
      </c>
      <c r="B1668" t="s">
        <v>1423</v>
      </c>
      <c r="C1668" t="str">
        <f>VLOOKUP(A1668,'Cost Center'!A:C,3,FALSE)</f>
        <v>C090020</v>
      </c>
      <c r="D1668" t="s">
        <v>4558</v>
      </c>
      <c r="E1668" t="s">
        <v>685</v>
      </c>
      <c r="F1668" t="s">
        <v>218</v>
      </c>
    </row>
    <row r="1669" spans="1:6">
      <c r="A1669" t="s">
        <v>219</v>
      </c>
      <c r="B1669" t="s">
        <v>1424</v>
      </c>
      <c r="C1669" t="str">
        <f>VLOOKUP(A1669,'Cost Center'!A:C,3,FALSE)</f>
        <v>C090020</v>
      </c>
      <c r="D1669" t="s">
        <v>4558</v>
      </c>
      <c r="E1669" t="s">
        <v>685</v>
      </c>
      <c r="F1669" t="s">
        <v>219</v>
      </c>
    </row>
    <row r="1670" spans="1:6">
      <c r="A1670" t="s">
        <v>220</v>
      </c>
      <c r="B1670" t="s">
        <v>1425</v>
      </c>
      <c r="C1670" t="str">
        <f>VLOOKUP(A1670,'Cost Center'!A:C,3,FALSE)</f>
        <v>C090020</v>
      </c>
      <c r="D1670" t="s">
        <v>4558</v>
      </c>
      <c r="E1670" t="s">
        <v>685</v>
      </c>
      <c r="F1670" t="s">
        <v>220</v>
      </c>
    </row>
    <row r="1671" spans="1:6">
      <c r="A1671" t="s">
        <v>221</v>
      </c>
      <c r="B1671" t="s">
        <v>1426</v>
      </c>
      <c r="C1671" t="str">
        <f>VLOOKUP(A1671,'Cost Center'!A:C,3,FALSE)</f>
        <v>C090020</v>
      </c>
      <c r="D1671" t="s">
        <v>4558</v>
      </c>
      <c r="E1671" t="s">
        <v>685</v>
      </c>
      <c r="F1671" t="s">
        <v>221</v>
      </c>
    </row>
    <row r="1672" spans="1:6">
      <c r="A1672" t="s">
        <v>222</v>
      </c>
      <c r="B1672" t="s">
        <v>1427</v>
      </c>
      <c r="C1672" t="str">
        <f>VLOOKUP(A1672,'Cost Center'!A:C,3,FALSE)</f>
        <v>C090020</v>
      </c>
      <c r="D1672" t="s">
        <v>4558</v>
      </c>
      <c r="E1672" t="s">
        <v>685</v>
      </c>
      <c r="F1672" t="s">
        <v>222</v>
      </c>
    </row>
    <row r="1673" spans="1:6">
      <c r="A1673" t="s">
        <v>223</v>
      </c>
      <c r="B1673" t="s">
        <v>1428</v>
      </c>
      <c r="C1673" t="str">
        <f>VLOOKUP(A1673,'Cost Center'!A:C,3,FALSE)</f>
        <v>C090020</v>
      </c>
      <c r="D1673" t="s">
        <v>4558</v>
      </c>
      <c r="E1673" t="s">
        <v>685</v>
      </c>
      <c r="F1673" t="s">
        <v>223</v>
      </c>
    </row>
    <row r="1674" spans="1:6">
      <c r="A1674" t="s">
        <v>224</v>
      </c>
      <c r="B1674" t="s">
        <v>1429</v>
      </c>
      <c r="C1674" t="str">
        <f>VLOOKUP(A1674,'Cost Center'!A:C,3,FALSE)</f>
        <v>C090020</v>
      </c>
      <c r="D1674" t="s">
        <v>4558</v>
      </c>
      <c r="E1674" t="s">
        <v>685</v>
      </c>
      <c r="F1674" t="s">
        <v>224</v>
      </c>
    </row>
    <row r="1675" spans="1:6">
      <c r="A1675" t="s">
        <v>225</v>
      </c>
      <c r="B1675" t="s">
        <v>1430</v>
      </c>
      <c r="C1675" t="str">
        <f>VLOOKUP(A1675,'Cost Center'!A:C,3,FALSE)</f>
        <v>C090020</v>
      </c>
      <c r="D1675" t="s">
        <v>4558</v>
      </c>
      <c r="E1675" t="s">
        <v>685</v>
      </c>
      <c r="F1675" t="s">
        <v>225</v>
      </c>
    </row>
    <row r="1676" spans="1:6">
      <c r="A1676" t="s">
        <v>226</v>
      </c>
      <c r="B1676" t="s">
        <v>1431</v>
      </c>
      <c r="C1676" t="str">
        <f>VLOOKUP(A1676,'Cost Center'!A:C,3,FALSE)</f>
        <v>C090020</v>
      </c>
      <c r="D1676" t="s">
        <v>4558</v>
      </c>
      <c r="E1676" t="s">
        <v>685</v>
      </c>
      <c r="F1676" t="s">
        <v>226</v>
      </c>
    </row>
    <row r="1677" spans="1:6">
      <c r="A1677" t="s">
        <v>227</v>
      </c>
      <c r="B1677" t="s">
        <v>1432</v>
      </c>
      <c r="C1677" t="str">
        <f>VLOOKUP(A1677,'Cost Center'!A:C,3,FALSE)</f>
        <v>C090020</v>
      </c>
      <c r="D1677" t="s">
        <v>4558</v>
      </c>
      <c r="E1677" t="s">
        <v>685</v>
      </c>
      <c r="F1677" t="s">
        <v>227</v>
      </c>
    </row>
    <row r="1678" spans="1:6">
      <c r="A1678" t="s">
        <v>228</v>
      </c>
      <c r="B1678" t="s">
        <v>1433</v>
      </c>
      <c r="C1678" t="str">
        <f>VLOOKUP(A1678,'Cost Center'!A:C,3,FALSE)</f>
        <v>C090020</v>
      </c>
      <c r="D1678" t="s">
        <v>4558</v>
      </c>
      <c r="E1678" t="s">
        <v>685</v>
      </c>
      <c r="F1678" t="s">
        <v>228</v>
      </c>
    </row>
    <row r="1679" spans="1:6">
      <c r="A1679" t="s">
        <v>229</v>
      </c>
      <c r="B1679" t="s">
        <v>1434</v>
      </c>
      <c r="C1679" t="str">
        <f>VLOOKUP(A1679,'Cost Center'!A:C,3,FALSE)</f>
        <v>C090020</v>
      </c>
      <c r="D1679" t="s">
        <v>4558</v>
      </c>
      <c r="E1679" t="s">
        <v>685</v>
      </c>
      <c r="F1679" t="s">
        <v>229</v>
      </c>
    </row>
    <row r="1680" spans="1:6">
      <c r="A1680" t="s">
        <v>230</v>
      </c>
      <c r="B1680" t="s">
        <v>1435</v>
      </c>
      <c r="C1680" t="str">
        <f>VLOOKUP(A1680,'Cost Center'!A:C,3,FALSE)</f>
        <v>C090020</v>
      </c>
      <c r="D1680" t="s">
        <v>4558</v>
      </c>
      <c r="E1680" t="s">
        <v>685</v>
      </c>
      <c r="F1680" t="s">
        <v>230</v>
      </c>
    </row>
    <row r="1681" spans="1:6">
      <c r="A1681" t="s">
        <v>231</v>
      </c>
      <c r="B1681" t="s">
        <v>1436</v>
      </c>
      <c r="C1681" t="str">
        <f>VLOOKUP(A1681,'Cost Center'!A:C,3,FALSE)</f>
        <v>C090020</v>
      </c>
      <c r="D1681" t="s">
        <v>4558</v>
      </c>
      <c r="E1681" t="s">
        <v>685</v>
      </c>
      <c r="F1681" t="s">
        <v>231</v>
      </c>
    </row>
    <row r="1682" spans="1:6">
      <c r="A1682" t="s">
        <v>232</v>
      </c>
      <c r="B1682" t="s">
        <v>1437</v>
      </c>
      <c r="C1682" t="str">
        <f>VLOOKUP(A1682,'Cost Center'!A:C,3,FALSE)</f>
        <v>C090020</v>
      </c>
      <c r="D1682" t="s">
        <v>4558</v>
      </c>
      <c r="E1682" t="s">
        <v>685</v>
      </c>
      <c r="F1682" t="s">
        <v>232</v>
      </c>
    </row>
    <row r="1683" spans="1:6">
      <c r="A1683" t="s">
        <v>233</v>
      </c>
      <c r="B1683" t="s">
        <v>1438</v>
      </c>
      <c r="C1683" t="str">
        <f>VLOOKUP(A1683,'Cost Center'!A:C,3,FALSE)</f>
        <v>C090020</v>
      </c>
      <c r="D1683" t="s">
        <v>4558</v>
      </c>
      <c r="E1683" t="s">
        <v>685</v>
      </c>
      <c r="F1683" t="s">
        <v>233</v>
      </c>
    </row>
    <row r="1684" spans="1:6">
      <c r="A1684" t="s">
        <v>234</v>
      </c>
      <c r="B1684" t="s">
        <v>1439</v>
      </c>
      <c r="C1684" t="str">
        <f>VLOOKUP(A1684,'Cost Center'!A:C,3,FALSE)</f>
        <v>C090020</v>
      </c>
      <c r="D1684" t="s">
        <v>4558</v>
      </c>
      <c r="E1684" t="s">
        <v>685</v>
      </c>
      <c r="F1684" t="s">
        <v>234</v>
      </c>
    </row>
    <row r="1685" spans="1:6">
      <c r="A1685" t="s">
        <v>235</v>
      </c>
      <c r="B1685" t="s">
        <v>1440</v>
      </c>
      <c r="C1685" t="str">
        <f>VLOOKUP(A1685,'Cost Center'!A:C,3,FALSE)</f>
        <v>C090020</v>
      </c>
      <c r="D1685" t="s">
        <v>4558</v>
      </c>
      <c r="E1685" t="s">
        <v>685</v>
      </c>
      <c r="F1685" t="s">
        <v>235</v>
      </c>
    </row>
    <row r="1686" spans="1:6">
      <c r="A1686" t="s">
        <v>236</v>
      </c>
      <c r="B1686" t="s">
        <v>1441</v>
      </c>
      <c r="C1686" t="str">
        <f>VLOOKUP(A1686,'Cost Center'!A:C,3,FALSE)</f>
        <v>C090020</v>
      </c>
      <c r="D1686" t="s">
        <v>4558</v>
      </c>
      <c r="E1686" t="s">
        <v>685</v>
      </c>
      <c r="F1686" t="s">
        <v>236</v>
      </c>
    </row>
    <row r="1687" spans="1:6">
      <c r="A1687" t="s">
        <v>3011</v>
      </c>
      <c r="B1687" t="s">
        <v>3012</v>
      </c>
      <c r="C1687" t="str">
        <f>VLOOKUP(A1687,'Cost Center'!A:C,3,FALSE)</f>
        <v>C090020</v>
      </c>
      <c r="D1687" t="s">
        <v>4558</v>
      </c>
      <c r="E1687" t="s">
        <v>685</v>
      </c>
      <c r="F1687" t="s">
        <v>3011</v>
      </c>
    </row>
    <row r="1688" spans="1:6">
      <c r="A1688" t="s">
        <v>237</v>
      </c>
      <c r="B1688" t="s">
        <v>1442</v>
      </c>
      <c r="C1688" t="str">
        <f>VLOOKUP(A1688,'Cost Center'!A:C,3,FALSE)</f>
        <v>C090020</v>
      </c>
      <c r="D1688" t="s">
        <v>4558</v>
      </c>
      <c r="E1688" t="s">
        <v>685</v>
      </c>
      <c r="F1688" t="s">
        <v>237</v>
      </c>
    </row>
    <row r="1689" spans="1:6">
      <c r="A1689" t="s">
        <v>238</v>
      </c>
      <c r="B1689" t="s">
        <v>1443</v>
      </c>
      <c r="C1689" t="str">
        <f>VLOOKUP(A1689,'Cost Center'!A:C,3,FALSE)</f>
        <v>C090020</v>
      </c>
      <c r="D1689" t="s">
        <v>4558</v>
      </c>
      <c r="E1689" t="s">
        <v>685</v>
      </c>
      <c r="F1689" t="s">
        <v>238</v>
      </c>
    </row>
    <row r="1690" spans="1:6">
      <c r="A1690" t="s">
        <v>239</v>
      </c>
      <c r="B1690" t="s">
        <v>1444</v>
      </c>
      <c r="C1690" t="str">
        <f>VLOOKUP(A1690,'Cost Center'!A:C,3,FALSE)</f>
        <v>C090020</v>
      </c>
      <c r="D1690" t="s">
        <v>4558</v>
      </c>
      <c r="E1690" t="s">
        <v>685</v>
      </c>
      <c r="F1690" t="s">
        <v>239</v>
      </c>
    </row>
    <row r="1691" spans="1:6">
      <c r="A1691" t="s">
        <v>3013</v>
      </c>
      <c r="B1691" t="s">
        <v>3014</v>
      </c>
      <c r="C1691" t="str">
        <f>VLOOKUP(A1691,'Cost Center'!A:C,3,FALSE)</f>
        <v>C090020</v>
      </c>
      <c r="D1691" t="s">
        <v>4558</v>
      </c>
      <c r="E1691" t="s">
        <v>685</v>
      </c>
      <c r="F1691" t="s">
        <v>3013</v>
      </c>
    </row>
    <row r="1692" spans="1:6">
      <c r="A1692" t="s">
        <v>240</v>
      </c>
      <c r="B1692" t="s">
        <v>1445</v>
      </c>
      <c r="C1692" t="str">
        <f>VLOOKUP(A1692,'Cost Center'!A:C,3,FALSE)</f>
        <v>C090020</v>
      </c>
      <c r="D1692" t="s">
        <v>4558</v>
      </c>
      <c r="E1692" t="s">
        <v>685</v>
      </c>
      <c r="F1692" t="s">
        <v>240</v>
      </c>
    </row>
    <row r="1693" spans="1:6">
      <c r="A1693" t="s">
        <v>241</v>
      </c>
      <c r="B1693" t="s">
        <v>1446</v>
      </c>
      <c r="C1693" t="str">
        <f>VLOOKUP(A1693,'Cost Center'!A:C,3,FALSE)</f>
        <v>C090020</v>
      </c>
      <c r="D1693" t="s">
        <v>4558</v>
      </c>
      <c r="E1693" t="s">
        <v>685</v>
      </c>
      <c r="F1693" t="s">
        <v>241</v>
      </c>
    </row>
    <row r="1694" spans="1:6">
      <c r="A1694" t="s">
        <v>242</v>
      </c>
      <c r="B1694" t="s">
        <v>1447</v>
      </c>
      <c r="C1694" t="str">
        <f>VLOOKUP(A1694,'Cost Center'!A:C,3,FALSE)</f>
        <v>C090020</v>
      </c>
      <c r="D1694" t="s">
        <v>4558</v>
      </c>
      <c r="E1694" t="s">
        <v>685</v>
      </c>
      <c r="F1694" t="s">
        <v>242</v>
      </c>
    </row>
    <row r="1695" spans="1:6">
      <c r="A1695" t="s">
        <v>243</v>
      </c>
      <c r="B1695" t="s">
        <v>1448</v>
      </c>
      <c r="C1695" t="str">
        <f>VLOOKUP(A1695,'Cost Center'!A:C,3,FALSE)</f>
        <v>C090020</v>
      </c>
      <c r="D1695" t="s">
        <v>4558</v>
      </c>
      <c r="E1695" t="s">
        <v>685</v>
      </c>
      <c r="F1695" t="s">
        <v>243</v>
      </c>
    </row>
    <row r="1696" spans="1:6">
      <c r="A1696" t="s">
        <v>244</v>
      </c>
      <c r="B1696" t="s">
        <v>1449</v>
      </c>
      <c r="C1696" t="str">
        <f>VLOOKUP(A1696,'Cost Center'!A:C,3,FALSE)</f>
        <v>C090020</v>
      </c>
      <c r="D1696" t="s">
        <v>4558</v>
      </c>
      <c r="E1696" t="s">
        <v>685</v>
      </c>
      <c r="F1696" t="s">
        <v>244</v>
      </c>
    </row>
    <row r="1697" spans="1:6">
      <c r="A1697" t="s">
        <v>245</v>
      </c>
      <c r="B1697" t="s">
        <v>1450</v>
      </c>
      <c r="C1697" t="str">
        <f>VLOOKUP(A1697,'Cost Center'!A:C,3,FALSE)</f>
        <v>C090020</v>
      </c>
      <c r="D1697" t="s">
        <v>4558</v>
      </c>
      <c r="E1697" t="s">
        <v>685</v>
      </c>
      <c r="F1697" t="s">
        <v>245</v>
      </c>
    </row>
    <row r="1698" spans="1:6">
      <c r="A1698" t="s">
        <v>246</v>
      </c>
      <c r="B1698" t="s">
        <v>1451</v>
      </c>
      <c r="C1698" t="str">
        <f>VLOOKUP(A1698,'Cost Center'!A:C,3,FALSE)</f>
        <v>C090020</v>
      </c>
      <c r="D1698" t="s">
        <v>4558</v>
      </c>
      <c r="E1698" t="s">
        <v>685</v>
      </c>
      <c r="F1698" t="s">
        <v>246</v>
      </c>
    </row>
    <row r="1699" spans="1:6">
      <c r="A1699" t="s">
        <v>247</v>
      </c>
      <c r="B1699" t="s">
        <v>1452</v>
      </c>
      <c r="C1699" t="str">
        <f>VLOOKUP(A1699,'Cost Center'!A:C,3,FALSE)</f>
        <v>C090020</v>
      </c>
      <c r="D1699" t="s">
        <v>4558</v>
      </c>
      <c r="E1699" t="s">
        <v>685</v>
      </c>
      <c r="F1699" t="s">
        <v>247</v>
      </c>
    </row>
    <row r="1700" spans="1:6">
      <c r="A1700" t="s">
        <v>248</v>
      </c>
      <c r="B1700" t="s">
        <v>1453</v>
      </c>
      <c r="C1700" t="str">
        <f>VLOOKUP(A1700,'Cost Center'!A:C,3,FALSE)</f>
        <v>C090020</v>
      </c>
      <c r="D1700" t="s">
        <v>4558</v>
      </c>
      <c r="E1700" t="s">
        <v>685</v>
      </c>
      <c r="F1700" t="s">
        <v>248</v>
      </c>
    </row>
    <row r="1701" spans="1:6">
      <c r="A1701" t="s">
        <v>249</v>
      </c>
      <c r="B1701" t="s">
        <v>1454</v>
      </c>
      <c r="C1701" t="str">
        <f>VLOOKUP(A1701,'Cost Center'!A:C,3,FALSE)</f>
        <v>C090020</v>
      </c>
      <c r="D1701" t="s">
        <v>4558</v>
      </c>
      <c r="E1701" t="s">
        <v>685</v>
      </c>
      <c r="F1701" t="s">
        <v>249</v>
      </c>
    </row>
    <row r="1702" spans="1:6">
      <c r="A1702" t="s">
        <v>250</v>
      </c>
      <c r="B1702" t="s">
        <v>1455</v>
      </c>
      <c r="C1702" t="str">
        <f>VLOOKUP(A1702,'Cost Center'!A:C,3,FALSE)</f>
        <v>C090020</v>
      </c>
      <c r="D1702" t="s">
        <v>4558</v>
      </c>
      <c r="E1702" t="s">
        <v>685</v>
      </c>
      <c r="F1702" t="s">
        <v>250</v>
      </c>
    </row>
    <row r="1703" spans="1:6">
      <c r="A1703" t="s">
        <v>251</v>
      </c>
      <c r="B1703" t="s">
        <v>1456</v>
      </c>
      <c r="C1703" t="str">
        <f>VLOOKUP(A1703,'Cost Center'!A:C,3,FALSE)</f>
        <v>C090020</v>
      </c>
      <c r="D1703" t="s">
        <v>4558</v>
      </c>
      <c r="E1703" t="s">
        <v>685</v>
      </c>
      <c r="F1703" t="s">
        <v>251</v>
      </c>
    </row>
    <row r="1704" spans="1:6">
      <c r="A1704" t="s">
        <v>252</v>
      </c>
      <c r="B1704" t="s">
        <v>1457</v>
      </c>
      <c r="C1704" t="str">
        <f>VLOOKUP(A1704,'Cost Center'!A:C,3,FALSE)</f>
        <v>C090020</v>
      </c>
      <c r="D1704" t="s">
        <v>4558</v>
      </c>
      <c r="E1704" t="s">
        <v>685</v>
      </c>
      <c r="F1704" t="s">
        <v>252</v>
      </c>
    </row>
    <row r="1705" spans="1:6">
      <c r="A1705" t="s">
        <v>253</v>
      </c>
      <c r="B1705" t="s">
        <v>1458</v>
      </c>
      <c r="C1705" t="str">
        <f>VLOOKUP(A1705,'Cost Center'!A:C,3,FALSE)</f>
        <v>C090020</v>
      </c>
      <c r="D1705" t="s">
        <v>4558</v>
      </c>
      <c r="E1705" t="s">
        <v>685</v>
      </c>
      <c r="F1705" t="s">
        <v>253</v>
      </c>
    </row>
    <row r="1706" spans="1:6">
      <c r="A1706" t="s">
        <v>254</v>
      </c>
      <c r="B1706" t="s">
        <v>1459</v>
      </c>
      <c r="C1706" t="str">
        <f>VLOOKUP(A1706,'Cost Center'!A:C,3,FALSE)</f>
        <v>C090020</v>
      </c>
      <c r="D1706" t="s">
        <v>4558</v>
      </c>
      <c r="E1706" t="s">
        <v>685</v>
      </c>
      <c r="F1706" t="s">
        <v>254</v>
      </c>
    </row>
    <row r="1707" spans="1:6">
      <c r="A1707" t="s">
        <v>255</v>
      </c>
      <c r="B1707" t="s">
        <v>1460</v>
      </c>
      <c r="C1707" t="str">
        <f>VLOOKUP(A1707,'Cost Center'!A:C,3,FALSE)</f>
        <v>C090020</v>
      </c>
      <c r="D1707" t="s">
        <v>4558</v>
      </c>
      <c r="E1707" t="s">
        <v>685</v>
      </c>
      <c r="F1707" t="s">
        <v>255</v>
      </c>
    </row>
    <row r="1708" spans="1:6">
      <c r="A1708" t="s">
        <v>256</v>
      </c>
      <c r="B1708" t="s">
        <v>1461</v>
      </c>
      <c r="C1708" t="str">
        <f>VLOOKUP(A1708,'Cost Center'!A:C,3,FALSE)</f>
        <v>C090020</v>
      </c>
      <c r="D1708" t="s">
        <v>4558</v>
      </c>
      <c r="E1708" t="s">
        <v>685</v>
      </c>
      <c r="F1708" t="s">
        <v>256</v>
      </c>
    </row>
    <row r="1709" spans="1:6">
      <c r="A1709" t="s">
        <v>257</v>
      </c>
      <c r="B1709" t="s">
        <v>1462</v>
      </c>
      <c r="C1709" t="str">
        <f>VLOOKUP(A1709,'Cost Center'!A:C,3,FALSE)</f>
        <v>C090020</v>
      </c>
      <c r="D1709" t="s">
        <v>4558</v>
      </c>
      <c r="E1709" t="s">
        <v>685</v>
      </c>
      <c r="F1709" t="s">
        <v>257</v>
      </c>
    </row>
    <row r="1710" spans="1:6">
      <c r="A1710" t="s">
        <v>258</v>
      </c>
      <c r="B1710" t="s">
        <v>1463</v>
      </c>
      <c r="C1710" t="str">
        <f>VLOOKUP(A1710,'Cost Center'!A:C,3,FALSE)</f>
        <v>C090020</v>
      </c>
      <c r="D1710" t="s">
        <v>4558</v>
      </c>
      <c r="E1710" t="s">
        <v>685</v>
      </c>
      <c r="F1710" t="s">
        <v>258</v>
      </c>
    </row>
    <row r="1711" spans="1:6">
      <c r="A1711" t="s">
        <v>259</v>
      </c>
      <c r="B1711" t="s">
        <v>1464</v>
      </c>
      <c r="C1711" t="str">
        <f>VLOOKUP(A1711,'Cost Center'!A:C,3,FALSE)</f>
        <v>C090020</v>
      </c>
      <c r="D1711" t="s">
        <v>4558</v>
      </c>
      <c r="E1711" t="s">
        <v>685</v>
      </c>
      <c r="F1711" t="s">
        <v>259</v>
      </c>
    </row>
    <row r="1712" spans="1:6">
      <c r="A1712" t="s">
        <v>260</v>
      </c>
      <c r="B1712" t="s">
        <v>1465</v>
      </c>
      <c r="C1712" t="str">
        <f>VLOOKUP(A1712,'Cost Center'!A:C,3,FALSE)</f>
        <v>C090020</v>
      </c>
      <c r="D1712" t="s">
        <v>4558</v>
      </c>
      <c r="E1712" t="s">
        <v>685</v>
      </c>
      <c r="F1712" t="s">
        <v>260</v>
      </c>
    </row>
    <row r="1713" spans="1:6">
      <c r="A1713" t="s">
        <v>261</v>
      </c>
      <c r="B1713" t="s">
        <v>1466</v>
      </c>
      <c r="C1713" t="str">
        <f>VLOOKUP(A1713,'Cost Center'!A:C,3,FALSE)</f>
        <v>C090020</v>
      </c>
      <c r="D1713" t="s">
        <v>4558</v>
      </c>
      <c r="E1713" t="s">
        <v>685</v>
      </c>
      <c r="F1713" t="s">
        <v>261</v>
      </c>
    </row>
    <row r="1714" spans="1:6">
      <c r="A1714" t="s">
        <v>262</v>
      </c>
      <c r="B1714" t="s">
        <v>1467</v>
      </c>
      <c r="C1714" t="str">
        <f>VLOOKUP(A1714,'Cost Center'!A:C,3,FALSE)</f>
        <v>C090020</v>
      </c>
      <c r="D1714" t="s">
        <v>4558</v>
      </c>
      <c r="E1714" t="s">
        <v>685</v>
      </c>
      <c r="F1714" t="s">
        <v>262</v>
      </c>
    </row>
    <row r="1715" spans="1:6">
      <c r="A1715" t="s">
        <v>263</v>
      </c>
      <c r="B1715" t="s">
        <v>1468</v>
      </c>
      <c r="C1715" t="str">
        <f>VLOOKUP(A1715,'Cost Center'!A:C,3,FALSE)</f>
        <v>C090020</v>
      </c>
      <c r="D1715" t="s">
        <v>4558</v>
      </c>
      <c r="E1715" t="s">
        <v>685</v>
      </c>
      <c r="F1715" t="s">
        <v>263</v>
      </c>
    </row>
    <row r="1716" spans="1:6">
      <c r="A1716" t="s">
        <v>264</v>
      </c>
      <c r="B1716" t="s">
        <v>1469</v>
      </c>
      <c r="C1716" t="str">
        <f>VLOOKUP(A1716,'Cost Center'!A:C,3,FALSE)</f>
        <v>C090020</v>
      </c>
      <c r="D1716" t="s">
        <v>4558</v>
      </c>
      <c r="E1716" t="s">
        <v>685</v>
      </c>
      <c r="F1716" t="s">
        <v>264</v>
      </c>
    </row>
    <row r="1717" spans="1:6">
      <c r="A1717" t="s">
        <v>265</v>
      </c>
      <c r="B1717" t="s">
        <v>1470</v>
      </c>
      <c r="C1717" t="str">
        <f>VLOOKUP(A1717,'Cost Center'!A:C,3,FALSE)</f>
        <v>C090020</v>
      </c>
      <c r="D1717" t="s">
        <v>4558</v>
      </c>
      <c r="E1717" t="s">
        <v>685</v>
      </c>
      <c r="F1717" t="s">
        <v>265</v>
      </c>
    </row>
    <row r="1718" spans="1:6">
      <c r="A1718" t="s">
        <v>266</v>
      </c>
      <c r="B1718" t="s">
        <v>1471</v>
      </c>
      <c r="C1718" t="str">
        <f>VLOOKUP(A1718,'Cost Center'!A:C,3,FALSE)</f>
        <v>C090020</v>
      </c>
      <c r="D1718" t="s">
        <v>4558</v>
      </c>
      <c r="E1718" t="s">
        <v>685</v>
      </c>
      <c r="F1718" t="s">
        <v>266</v>
      </c>
    </row>
    <row r="1719" spans="1:6">
      <c r="A1719" t="s">
        <v>267</v>
      </c>
      <c r="B1719" t="s">
        <v>1472</v>
      </c>
      <c r="C1719" t="str">
        <f>VLOOKUP(A1719,'Cost Center'!A:C,3,FALSE)</f>
        <v>C090020</v>
      </c>
      <c r="D1719" t="s">
        <v>4558</v>
      </c>
      <c r="E1719" t="s">
        <v>685</v>
      </c>
      <c r="F1719" t="s">
        <v>267</v>
      </c>
    </row>
    <row r="1720" spans="1:6">
      <c r="A1720" t="s">
        <v>268</v>
      </c>
      <c r="B1720" t="s">
        <v>1473</v>
      </c>
      <c r="C1720" t="str">
        <f>VLOOKUP(A1720,'Cost Center'!A:C,3,FALSE)</f>
        <v>C090020</v>
      </c>
      <c r="D1720" t="s">
        <v>4558</v>
      </c>
      <c r="E1720" t="s">
        <v>685</v>
      </c>
      <c r="F1720" t="s">
        <v>268</v>
      </c>
    </row>
    <row r="1721" spans="1:6">
      <c r="A1721" t="s">
        <v>269</v>
      </c>
      <c r="B1721" t="s">
        <v>1474</v>
      </c>
      <c r="C1721" t="str">
        <f>VLOOKUP(A1721,'Cost Center'!A:C,3,FALSE)</f>
        <v>C090020</v>
      </c>
      <c r="D1721" t="s">
        <v>4558</v>
      </c>
      <c r="E1721" t="s">
        <v>685</v>
      </c>
      <c r="F1721" t="s">
        <v>269</v>
      </c>
    </row>
    <row r="1722" spans="1:6">
      <c r="A1722" t="s">
        <v>270</v>
      </c>
      <c r="B1722" t="s">
        <v>1475</v>
      </c>
      <c r="C1722" t="str">
        <f>VLOOKUP(A1722,'Cost Center'!A:C,3,FALSE)</f>
        <v>C090020</v>
      </c>
      <c r="D1722" t="s">
        <v>4558</v>
      </c>
      <c r="E1722" t="s">
        <v>685</v>
      </c>
      <c r="F1722" t="s">
        <v>270</v>
      </c>
    </row>
    <row r="1723" spans="1:6">
      <c r="A1723" t="s">
        <v>271</v>
      </c>
      <c r="B1723" t="s">
        <v>1476</v>
      </c>
      <c r="C1723" t="str">
        <f>VLOOKUP(A1723,'Cost Center'!A:C,3,FALSE)</f>
        <v>C090020</v>
      </c>
      <c r="D1723" t="s">
        <v>4558</v>
      </c>
      <c r="E1723" t="s">
        <v>685</v>
      </c>
      <c r="F1723" t="s">
        <v>271</v>
      </c>
    </row>
    <row r="1724" spans="1:6">
      <c r="A1724" t="s">
        <v>272</v>
      </c>
      <c r="B1724" t="s">
        <v>1477</v>
      </c>
      <c r="C1724" t="str">
        <f>VLOOKUP(A1724,'Cost Center'!A:C,3,FALSE)</f>
        <v>C090020</v>
      </c>
      <c r="D1724" t="s">
        <v>4558</v>
      </c>
      <c r="E1724" t="s">
        <v>685</v>
      </c>
      <c r="F1724" t="s">
        <v>272</v>
      </c>
    </row>
    <row r="1725" spans="1:6">
      <c r="A1725" t="s">
        <v>273</v>
      </c>
      <c r="B1725" t="s">
        <v>1478</v>
      </c>
      <c r="C1725" t="str">
        <f>VLOOKUP(A1725,'Cost Center'!A:C,3,FALSE)</f>
        <v>C090020</v>
      </c>
      <c r="D1725" t="s">
        <v>4558</v>
      </c>
      <c r="E1725" t="s">
        <v>685</v>
      </c>
      <c r="F1725" t="s">
        <v>273</v>
      </c>
    </row>
    <row r="1726" spans="1:6">
      <c r="A1726" t="s">
        <v>274</v>
      </c>
      <c r="B1726" t="s">
        <v>1479</v>
      </c>
      <c r="C1726" t="str">
        <f>VLOOKUP(A1726,'Cost Center'!A:C,3,FALSE)</f>
        <v>C090020</v>
      </c>
      <c r="D1726" t="s">
        <v>4558</v>
      </c>
      <c r="E1726" t="s">
        <v>685</v>
      </c>
      <c r="F1726" t="s">
        <v>274</v>
      </c>
    </row>
    <row r="1727" spans="1:6">
      <c r="A1727" t="s">
        <v>275</v>
      </c>
      <c r="B1727" t="s">
        <v>1480</v>
      </c>
      <c r="C1727" t="str">
        <f>VLOOKUP(A1727,'Cost Center'!A:C,3,FALSE)</f>
        <v>C090020</v>
      </c>
      <c r="D1727" t="s">
        <v>4558</v>
      </c>
      <c r="E1727" t="s">
        <v>685</v>
      </c>
      <c r="F1727" t="s">
        <v>275</v>
      </c>
    </row>
    <row r="1728" spans="1:6">
      <c r="A1728" t="s">
        <v>276</v>
      </c>
      <c r="B1728" t="s">
        <v>1481</v>
      </c>
      <c r="C1728" t="str">
        <f>VLOOKUP(A1728,'Cost Center'!A:C,3,FALSE)</f>
        <v>C090020</v>
      </c>
      <c r="D1728" t="s">
        <v>4558</v>
      </c>
      <c r="E1728" t="s">
        <v>685</v>
      </c>
      <c r="F1728" t="s">
        <v>276</v>
      </c>
    </row>
    <row r="1729" spans="1:6">
      <c r="A1729" t="s">
        <v>277</v>
      </c>
      <c r="B1729" t="s">
        <v>1482</v>
      </c>
      <c r="C1729" t="str">
        <f>VLOOKUP(A1729,'Cost Center'!A:C,3,FALSE)</f>
        <v>C090020</v>
      </c>
      <c r="D1729" t="s">
        <v>4558</v>
      </c>
      <c r="E1729" t="s">
        <v>685</v>
      </c>
      <c r="F1729" t="s">
        <v>277</v>
      </c>
    </row>
    <row r="1730" spans="1:6">
      <c r="A1730" t="s">
        <v>278</v>
      </c>
      <c r="B1730" t="s">
        <v>1483</v>
      </c>
      <c r="C1730" t="str">
        <f>VLOOKUP(A1730,'Cost Center'!A:C,3,FALSE)</f>
        <v>C090020</v>
      </c>
      <c r="D1730" t="s">
        <v>4558</v>
      </c>
      <c r="E1730" t="s">
        <v>685</v>
      </c>
      <c r="F1730" t="s">
        <v>278</v>
      </c>
    </row>
    <row r="1731" spans="1:6">
      <c r="A1731" t="s">
        <v>279</v>
      </c>
      <c r="B1731" t="s">
        <v>1484</v>
      </c>
      <c r="C1731" t="str">
        <f>VLOOKUP(A1731,'Cost Center'!A:C,3,FALSE)</f>
        <v>C090020</v>
      </c>
      <c r="D1731" t="s">
        <v>4558</v>
      </c>
      <c r="E1731" t="s">
        <v>685</v>
      </c>
      <c r="F1731" t="s">
        <v>279</v>
      </c>
    </row>
    <row r="1732" spans="1:6">
      <c r="A1732" t="s">
        <v>280</v>
      </c>
      <c r="B1732" t="s">
        <v>1485</v>
      </c>
      <c r="C1732" t="str">
        <f>VLOOKUP(A1732,'Cost Center'!A:C,3,FALSE)</f>
        <v>C090020</v>
      </c>
      <c r="D1732" t="s">
        <v>4558</v>
      </c>
      <c r="E1732" t="s">
        <v>685</v>
      </c>
      <c r="F1732" t="s">
        <v>280</v>
      </c>
    </row>
    <row r="1733" spans="1:6">
      <c r="A1733" t="s">
        <v>281</v>
      </c>
      <c r="B1733" t="s">
        <v>1486</v>
      </c>
      <c r="C1733" t="str">
        <f>VLOOKUP(A1733,'Cost Center'!A:C,3,FALSE)</f>
        <v>C090020</v>
      </c>
      <c r="D1733" t="s">
        <v>4558</v>
      </c>
      <c r="E1733" t="s">
        <v>685</v>
      </c>
      <c r="F1733" t="s">
        <v>281</v>
      </c>
    </row>
    <row r="1734" spans="1:6">
      <c r="A1734" t="s">
        <v>282</v>
      </c>
      <c r="B1734" t="s">
        <v>1487</v>
      </c>
      <c r="C1734" t="str">
        <f>VLOOKUP(A1734,'Cost Center'!A:C,3,FALSE)</f>
        <v>C090020</v>
      </c>
      <c r="D1734" t="s">
        <v>4558</v>
      </c>
      <c r="E1734" t="s">
        <v>685</v>
      </c>
      <c r="F1734" t="s">
        <v>282</v>
      </c>
    </row>
    <row r="1735" spans="1:6">
      <c r="A1735" t="s">
        <v>283</v>
      </c>
      <c r="B1735" t="s">
        <v>1488</v>
      </c>
      <c r="C1735" t="str">
        <f>VLOOKUP(A1735,'Cost Center'!A:C,3,FALSE)</f>
        <v>C090020</v>
      </c>
      <c r="D1735" t="s">
        <v>4558</v>
      </c>
      <c r="E1735" t="s">
        <v>685</v>
      </c>
      <c r="F1735" t="s">
        <v>283</v>
      </c>
    </row>
    <row r="1736" spans="1:6">
      <c r="A1736" t="s">
        <v>284</v>
      </c>
      <c r="B1736" t="s">
        <v>1489</v>
      </c>
      <c r="C1736" t="str">
        <f>VLOOKUP(A1736,'Cost Center'!A:C,3,FALSE)</f>
        <v>C090020</v>
      </c>
      <c r="D1736" t="s">
        <v>4558</v>
      </c>
      <c r="E1736" t="s">
        <v>685</v>
      </c>
      <c r="F1736" t="s">
        <v>284</v>
      </c>
    </row>
    <row r="1737" spans="1:6">
      <c r="A1737" t="s">
        <v>285</v>
      </c>
      <c r="B1737" t="s">
        <v>1490</v>
      </c>
      <c r="C1737" t="str">
        <f>VLOOKUP(A1737,'Cost Center'!A:C,3,FALSE)</f>
        <v>C090020</v>
      </c>
      <c r="D1737" t="s">
        <v>4558</v>
      </c>
      <c r="E1737" t="s">
        <v>685</v>
      </c>
      <c r="F1737" t="s">
        <v>285</v>
      </c>
    </row>
    <row r="1738" spans="1:6">
      <c r="A1738" t="s">
        <v>286</v>
      </c>
      <c r="B1738" t="s">
        <v>1491</v>
      </c>
      <c r="C1738" t="str">
        <f>VLOOKUP(A1738,'Cost Center'!A:C,3,FALSE)</f>
        <v>C090020</v>
      </c>
      <c r="D1738" t="s">
        <v>4558</v>
      </c>
      <c r="E1738" t="s">
        <v>685</v>
      </c>
      <c r="F1738" t="s">
        <v>286</v>
      </c>
    </row>
    <row r="1739" spans="1:6">
      <c r="A1739" t="s">
        <v>287</v>
      </c>
      <c r="B1739" t="s">
        <v>1492</v>
      </c>
      <c r="C1739" t="str">
        <f>VLOOKUP(A1739,'Cost Center'!A:C,3,FALSE)</f>
        <v>C090020</v>
      </c>
      <c r="D1739" t="s">
        <v>4558</v>
      </c>
      <c r="E1739" t="s">
        <v>685</v>
      </c>
      <c r="F1739" t="s">
        <v>287</v>
      </c>
    </row>
    <row r="1740" spans="1:6">
      <c r="A1740" t="s">
        <v>288</v>
      </c>
      <c r="B1740" t="s">
        <v>1493</v>
      </c>
      <c r="C1740" t="str">
        <f>VLOOKUP(A1740,'Cost Center'!A:C,3,FALSE)</f>
        <v>C090020</v>
      </c>
      <c r="D1740" t="s">
        <v>4558</v>
      </c>
      <c r="E1740" t="s">
        <v>685</v>
      </c>
      <c r="F1740" t="s">
        <v>288</v>
      </c>
    </row>
    <row r="1741" spans="1:6">
      <c r="A1741" t="s">
        <v>289</v>
      </c>
      <c r="B1741" t="s">
        <v>1494</v>
      </c>
      <c r="C1741" t="str">
        <f>VLOOKUP(A1741,'Cost Center'!A:C,3,FALSE)</f>
        <v>C090020</v>
      </c>
      <c r="D1741" t="s">
        <v>4558</v>
      </c>
      <c r="E1741" t="s">
        <v>685</v>
      </c>
      <c r="F1741" t="s">
        <v>289</v>
      </c>
    </row>
    <row r="1742" spans="1:6">
      <c r="A1742" t="s">
        <v>290</v>
      </c>
      <c r="B1742" t="s">
        <v>1495</v>
      </c>
      <c r="C1742" t="str">
        <f>VLOOKUP(A1742,'Cost Center'!A:C,3,FALSE)</f>
        <v>C090020</v>
      </c>
      <c r="D1742" t="s">
        <v>4558</v>
      </c>
      <c r="E1742" t="s">
        <v>685</v>
      </c>
      <c r="F1742" t="s">
        <v>290</v>
      </c>
    </row>
    <row r="1743" spans="1:6">
      <c r="A1743" t="s">
        <v>291</v>
      </c>
      <c r="B1743" t="s">
        <v>1496</v>
      </c>
      <c r="C1743" t="str">
        <f>VLOOKUP(A1743,'Cost Center'!A:C,3,FALSE)</f>
        <v>C090020</v>
      </c>
      <c r="D1743" t="s">
        <v>4558</v>
      </c>
      <c r="E1743" t="s">
        <v>685</v>
      </c>
      <c r="F1743" t="s">
        <v>291</v>
      </c>
    </row>
    <row r="1744" spans="1:6">
      <c r="A1744" t="s">
        <v>292</v>
      </c>
      <c r="B1744" t="s">
        <v>1497</v>
      </c>
      <c r="C1744" t="str">
        <f>VLOOKUP(A1744,'Cost Center'!A:C,3,FALSE)</f>
        <v>C090020</v>
      </c>
      <c r="D1744" t="s">
        <v>4558</v>
      </c>
      <c r="E1744" t="s">
        <v>685</v>
      </c>
      <c r="F1744" t="s">
        <v>292</v>
      </c>
    </row>
    <row r="1745" spans="1:6">
      <c r="A1745" t="s">
        <v>3015</v>
      </c>
      <c r="B1745" t="s">
        <v>3016</v>
      </c>
      <c r="C1745" t="str">
        <f>VLOOKUP(A1745,'Cost Center'!A:C,3,FALSE)</f>
        <v>C090020</v>
      </c>
      <c r="D1745" t="s">
        <v>4558</v>
      </c>
      <c r="E1745" t="s">
        <v>685</v>
      </c>
      <c r="F1745" t="s">
        <v>3015</v>
      </c>
    </row>
    <row r="1746" spans="1:6">
      <c r="A1746" t="s">
        <v>293</v>
      </c>
      <c r="B1746" t="s">
        <v>1498</v>
      </c>
      <c r="C1746" t="str">
        <f>VLOOKUP(A1746,'Cost Center'!A:C,3,FALSE)</f>
        <v>C090020</v>
      </c>
      <c r="D1746" t="s">
        <v>4558</v>
      </c>
      <c r="E1746" t="s">
        <v>685</v>
      </c>
      <c r="F1746" t="s">
        <v>293</v>
      </c>
    </row>
    <row r="1747" spans="1:6">
      <c r="A1747" t="s">
        <v>294</v>
      </c>
      <c r="B1747" t="s">
        <v>1499</v>
      </c>
      <c r="C1747" t="str">
        <f>VLOOKUP(A1747,'Cost Center'!A:C,3,FALSE)</f>
        <v>C090020</v>
      </c>
      <c r="D1747" t="s">
        <v>4558</v>
      </c>
      <c r="E1747" t="s">
        <v>685</v>
      </c>
      <c r="F1747" t="s">
        <v>294</v>
      </c>
    </row>
    <row r="1748" spans="1:6">
      <c r="A1748" t="s">
        <v>295</v>
      </c>
      <c r="B1748" t="s">
        <v>1500</v>
      </c>
      <c r="C1748" t="str">
        <f>VLOOKUP(A1748,'Cost Center'!A:C,3,FALSE)</f>
        <v>C090020</v>
      </c>
      <c r="D1748" t="s">
        <v>4558</v>
      </c>
      <c r="E1748" t="s">
        <v>685</v>
      </c>
      <c r="F1748" t="s">
        <v>295</v>
      </c>
    </row>
    <row r="1749" spans="1:6">
      <c r="A1749" t="s">
        <v>296</v>
      </c>
      <c r="B1749" t="s">
        <v>1501</v>
      </c>
      <c r="C1749" t="str">
        <f>VLOOKUP(A1749,'Cost Center'!A:C,3,FALSE)</f>
        <v>C090020</v>
      </c>
      <c r="D1749" t="s">
        <v>4558</v>
      </c>
      <c r="E1749" t="s">
        <v>685</v>
      </c>
      <c r="F1749" t="s">
        <v>296</v>
      </c>
    </row>
    <row r="1750" spans="1:6">
      <c r="A1750" t="s">
        <v>297</v>
      </c>
      <c r="B1750" t="s">
        <v>1502</v>
      </c>
      <c r="C1750" t="str">
        <f>VLOOKUP(A1750,'Cost Center'!A:C,3,FALSE)</f>
        <v>C090020</v>
      </c>
      <c r="D1750" t="s">
        <v>4558</v>
      </c>
      <c r="E1750" t="s">
        <v>685</v>
      </c>
      <c r="F1750" t="s">
        <v>297</v>
      </c>
    </row>
    <row r="1751" spans="1:6">
      <c r="A1751" t="s">
        <v>298</v>
      </c>
      <c r="B1751" t="s">
        <v>1503</v>
      </c>
      <c r="C1751" t="str">
        <f>VLOOKUP(A1751,'Cost Center'!A:C,3,FALSE)</f>
        <v>C090020</v>
      </c>
      <c r="D1751" t="s">
        <v>4558</v>
      </c>
      <c r="E1751" t="s">
        <v>685</v>
      </c>
      <c r="F1751" t="s">
        <v>298</v>
      </c>
    </row>
    <row r="1752" spans="1:6">
      <c r="A1752" t="s">
        <v>299</v>
      </c>
      <c r="B1752" t="s">
        <v>1504</v>
      </c>
      <c r="C1752" t="str">
        <f>VLOOKUP(A1752,'Cost Center'!A:C,3,FALSE)</f>
        <v>C090020</v>
      </c>
      <c r="D1752" t="s">
        <v>4558</v>
      </c>
      <c r="E1752" t="s">
        <v>685</v>
      </c>
      <c r="F1752" t="s">
        <v>299</v>
      </c>
    </row>
    <row r="1753" spans="1:6">
      <c r="A1753" t="s">
        <v>300</v>
      </c>
      <c r="B1753" t="s">
        <v>1505</v>
      </c>
      <c r="C1753" t="str">
        <f>VLOOKUP(A1753,'Cost Center'!A:C,3,FALSE)</f>
        <v>C090020</v>
      </c>
      <c r="D1753" t="s">
        <v>4558</v>
      </c>
      <c r="E1753" t="s">
        <v>685</v>
      </c>
      <c r="F1753" t="s">
        <v>300</v>
      </c>
    </row>
    <row r="1754" spans="1:6">
      <c r="A1754" t="s">
        <v>301</v>
      </c>
      <c r="B1754" t="s">
        <v>1506</v>
      </c>
      <c r="C1754" t="str">
        <f>VLOOKUP(A1754,'Cost Center'!A:C,3,FALSE)</f>
        <v>C090020</v>
      </c>
      <c r="D1754" t="s">
        <v>4558</v>
      </c>
      <c r="E1754" t="s">
        <v>685</v>
      </c>
      <c r="F1754" t="s">
        <v>301</v>
      </c>
    </row>
    <row r="1755" spans="1:6">
      <c r="A1755" t="s">
        <v>302</v>
      </c>
      <c r="B1755" t="s">
        <v>1507</v>
      </c>
      <c r="C1755" t="str">
        <f>VLOOKUP(A1755,'Cost Center'!A:C,3,FALSE)</f>
        <v>C090020</v>
      </c>
      <c r="D1755" t="s">
        <v>4558</v>
      </c>
      <c r="E1755" t="s">
        <v>685</v>
      </c>
      <c r="F1755" t="s">
        <v>302</v>
      </c>
    </row>
    <row r="1756" spans="1:6">
      <c r="A1756" t="s">
        <v>303</v>
      </c>
      <c r="B1756" t="s">
        <v>1508</v>
      </c>
      <c r="C1756" t="str">
        <f>VLOOKUP(A1756,'Cost Center'!A:C,3,FALSE)</f>
        <v>C090020</v>
      </c>
      <c r="D1756" t="s">
        <v>4558</v>
      </c>
      <c r="E1756" t="s">
        <v>685</v>
      </c>
      <c r="F1756" t="s">
        <v>303</v>
      </c>
    </row>
    <row r="1757" spans="1:6">
      <c r="A1757" t="s">
        <v>304</v>
      </c>
      <c r="B1757" t="s">
        <v>1509</v>
      </c>
      <c r="C1757" t="str">
        <f>VLOOKUP(A1757,'Cost Center'!A:C,3,FALSE)</f>
        <v>C090020</v>
      </c>
      <c r="D1757" t="s">
        <v>4558</v>
      </c>
      <c r="E1757" t="s">
        <v>685</v>
      </c>
      <c r="F1757" t="s">
        <v>304</v>
      </c>
    </row>
    <row r="1758" spans="1:6">
      <c r="A1758" t="s">
        <v>305</v>
      </c>
      <c r="B1758" t="s">
        <v>1510</v>
      </c>
      <c r="C1758" t="str">
        <f>VLOOKUP(A1758,'Cost Center'!A:C,3,FALSE)</f>
        <v>C090020</v>
      </c>
      <c r="D1758" t="s">
        <v>4558</v>
      </c>
      <c r="E1758" t="s">
        <v>685</v>
      </c>
      <c r="F1758" t="s">
        <v>305</v>
      </c>
    </row>
    <row r="1759" spans="1:6">
      <c r="A1759" t="s">
        <v>306</v>
      </c>
      <c r="B1759" t="s">
        <v>1511</v>
      </c>
      <c r="C1759" t="str">
        <f>VLOOKUP(A1759,'Cost Center'!A:C,3,FALSE)</f>
        <v>C090020</v>
      </c>
      <c r="D1759" t="s">
        <v>4558</v>
      </c>
      <c r="E1759" t="s">
        <v>685</v>
      </c>
      <c r="F1759" t="s">
        <v>306</v>
      </c>
    </row>
    <row r="1760" spans="1:6">
      <c r="A1760" t="s">
        <v>307</v>
      </c>
      <c r="B1760" t="s">
        <v>1512</v>
      </c>
      <c r="C1760" t="str">
        <f>VLOOKUP(A1760,'Cost Center'!A:C,3,FALSE)</f>
        <v>C090020</v>
      </c>
      <c r="D1760" t="s">
        <v>4558</v>
      </c>
      <c r="E1760" t="s">
        <v>685</v>
      </c>
      <c r="F1760" t="s">
        <v>307</v>
      </c>
    </row>
    <row r="1761" spans="1:6">
      <c r="A1761" t="s">
        <v>308</v>
      </c>
      <c r="B1761" t="s">
        <v>1513</v>
      </c>
      <c r="C1761" t="str">
        <f>VLOOKUP(A1761,'Cost Center'!A:C,3,FALSE)</f>
        <v>C090020</v>
      </c>
      <c r="D1761" t="s">
        <v>4558</v>
      </c>
      <c r="E1761" t="s">
        <v>685</v>
      </c>
      <c r="F1761" t="s">
        <v>308</v>
      </c>
    </row>
    <row r="1762" spans="1:6">
      <c r="A1762" t="s">
        <v>309</v>
      </c>
      <c r="B1762" t="s">
        <v>1514</v>
      </c>
      <c r="C1762" t="str">
        <f>VLOOKUP(A1762,'Cost Center'!A:C,3,FALSE)</f>
        <v>C090020</v>
      </c>
      <c r="D1762" t="s">
        <v>4558</v>
      </c>
      <c r="E1762" t="s">
        <v>685</v>
      </c>
      <c r="F1762" t="s">
        <v>309</v>
      </c>
    </row>
    <row r="1763" spans="1:6">
      <c r="A1763" t="s">
        <v>3017</v>
      </c>
      <c r="B1763" t="s">
        <v>3018</v>
      </c>
      <c r="C1763" t="str">
        <f>VLOOKUP(A1763,'Cost Center'!A:C,3,FALSE)</f>
        <v>C090020</v>
      </c>
      <c r="D1763" t="s">
        <v>4558</v>
      </c>
      <c r="E1763" t="s">
        <v>685</v>
      </c>
      <c r="F1763" t="s">
        <v>3017</v>
      </c>
    </row>
    <row r="1764" spans="1:6">
      <c r="A1764" t="s">
        <v>310</v>
      </c>
      <c r="B1764" t="s">
        <v>1515</v>
      </c>
      <c r="C1764" t="str">
        <f>VLOOKUP(A1764,'Cost Center'!A:C,3,FALSE)</f>
        <v>C090020</v>
      </c>
      <c r="D1764" t="s">
        <v>4558</v>
      </c>
      <c r="E1764" t="s">
        <v>685</v>
      </c>
      <c r="F1764" t="s">
        <v>310</v>
      </c>
    </row>
    <row r="1765" spans="1:6">
      <c r="A1765" t="s">
        <v>311</v>
      </c>
      <c r="B1765" t="s">
        <v>1516</v>
      </c>
      <c r="C1765" t="str">
        <f>VLOOKUP(A1765,'Cost Center'!A:C,3,FALSE)</f>
        <v>C090020</v>
      </c>
      <c r="D1765" t="s">
        <v>4558</v>
      </c>
      <c r="E1765" t="s">
        <v>685</v>
      </c>
      <c r="F1765" t="s">
        <v>311</v>
      </c>
    </row>
    <row r="1766" spans="1:6">
      <c r="A1766" t="s">
        <v>3019</v>
      </c>
      <c r="B1766" t="s">
        <v>3020</v>
      </c>
      <c r="C1766" t="str">
        <f>VLOOKUP(A1766,'Cost Center'!A:C,3,FALSE)</f>
        <v>C090020</v>
      </c>
      <c r="D1766" t="s">
        <v>4558</v>
      </c>
      <c r="E1766" t="s">
        <v>685</v>
      </c>
      <c r="F1766" t="s">
        <v>3019</v>
      </c>
    </row>
    <row r="1767" spans="1:6">
      <c r="A1767" t="s">
        <v>312</v>
      </c>
      <c r="B1767" t="s">
        <v>1517</v>
      </c>
      <c r="C1767" t="str">
        <f>VLOOKUP(A1767,'Cost Center'!A:C,3,FALSE)</f>
        <v>C090020</v>
      </c>
      <c r="D1767" t="s">
        <v>4558</v>
      </c>
      <c r="E1767" t="s">
        <v>685</v>
      </c>
      <c r="F1767" t="s">
        <v>312</v>
      </c>
    </row>
    <row r="1768" spans="1:6">
      <c r="A1768" t="s">
        <v>313</v>
      </c>
      <c r="B1768" t="s">
        <v>1518</v>
      </c>
      <c r="C1768" t="str">
        <f>VLOOKUP(A1768,'Cost Center'!A:C,3,FALSE)</f>
        <v>C090020</v>
      </c>
      <c r="D1768" t="s">
        <v>4558</v>
      </c>
      <c r="E1768" t="s">
        <v>685</v>
      </c>
      <c r="F1768" t="s">
        <v>313</v>
      </c>
    </row>
    <row r="1769" spans="1:6">
      <c r="A1769" t="s">
        <v>314</v>
      </c>
      <c r="B1769" t="s">
        <v>1519</v>
      </c>
      <c r="C1769" t="str">
        <f>VLOOKUP(A1769,'Cost Center'!A:C,3,FALSE)</f>
        <v>C090020</v>
      </c>
      <c r="D1769" t="s">
        <v>4558</v>
      </c>
      <c r="E1769" t="s">
        <v>685</v>
      </c>
      <c r="F1769" t="s">
        <v>314</v>
      </c>
    </row>
    <row r="1770" spans="1:6">
      <c r="A1770" t="s">
        <v>315</v>
      </c>
      <c r="B1770" t="s">
        <v>1520</v>
      </c>
      <c r="C1770" t="str">
        <f>VLOOKUP(A1770,'Cost Center'!A:C,3,FALSE)</f>
        <v>C090020</v>
      </c>
      <c r="D1770" t="s">
        <v>4558</v>
      </c>
      <c r="E1770" t="s">
        <v>685</v>
      </c>
      <c r="F1770" t="s">
        <v>315</v>
      </c>
    </row>
    <row r="1771" spans="1:6">
      <c r="A1771" t="s">
        <v>316</v>
      </c>
      <c r="B1771" t="s">
        <v>1521</v>
      </c>
      <c r="C1771" t="str">
        <f>VLOOKUP(A1771,'Cost Center'!A:C,3,FALSE)</f>
        <v>C090020</v>
      </c>
      <c r="D1771" t="s">
        <v>4558</v>
      </c>
      <c r="E1771" t="s">
        <v>685</v>
      </c>
      <c r="F1771" t="s">
        <v>316</v>
      </c>
    </row>
    <row r="1772" spans="1:6">
      <c r="A1772" t="s">
        <v>317</v>
      </c>
      <c r="B1772" t="s">
        <v>1522</v>
      </c>
      <c r="C1772" t="str">
        <f>VLOOKUP(A1772,'Cost Center'!A:C,3,FALSE)</f>
        <v>C090020</v>
      </c>
      <c r="D1772" t="s">
        <v>4558</v>
      </c>
      <c r="E1772" t="s">
        <v>685</v>
      </c>
      <c r="F1772" t="s">
        <v>317</v>
      </c>
    </row>
    <row r="1773" spans="1:6">
      <c r="A1773" t="s">
        <v>318</v>
      </c>
      <c r="B1773" t="s">
        <v>1523</v>
      </c>
      <c r="C1773" t="str">
        <f>VLOOKUP(A1773,'Cost Center'!A:C,3,FALSE)</f>
        <v>C090020</v>
      </c>
      <c r="D1773" t="s">
        <v>4558</v>
      </c>
      <c r="E1773" t="s">
        <v>685</v>
      </c>
      <c r="F1773" t="s">
        <v>318</v>
      </c>
    </row>
    <row r="1774" spans="1:6">
      <c r="A1774" t="s">
        <v>319</v>
      </c>
      <c r="B1774" t="s">
        <v>1524</v>
      </c>
      <c r="C1774" t="str">
        <f>VLOOKUP(A1774,'Cost Center'!A:C,3,FALSE)</f>
        <v>C090020</v>
      </c>
      <c r="D1774" t="s">
        <v>4558</v>
      </c>
      <c r="E1774" t="s">
        <v>685</v>
      </c>
      <c r="F1774" t="s">
        <v>319</v>
      </c>
    </row>
    <row r="1775" spans="1:6">
      <c r="A1775" t="s">
        <v>320</v>
      </c>
      <c r="B1775" t="s">
        <v>1525</v>
      </c>
      <c r="C1775" t="str">
        <f>VLOOKUP(A1775,'Cost Center'!A:C,3,FALSE)</f>
        <v>C090020</v>
      </c>
      <c r="D1775" t="s">
        <v>4558</v>
      </c>
      <c r="E1775" t="s">
        <v>685</v>
      </c>
      <c r="F1775" t="s">
        <v>320</v>
      </c>
    </row>
    <row r="1776" spans="1:6">
      <c r="A1776" t="s">
        <v>321</v>
      </c>
      <c r="B1776" t="s">
        <v>1526</v>
      </c>
      <c r="C1776" t="str">
        <f>VLOOKUP(A1776,'Cost Center'!A:C,3,FALSE)</f>
        <v>C090020</v>
      </c>
      <c r="D1776" t="s">
        <v>4558</v>
      </c>
      <c r="E1776" t="s">
        <v>685</v>
      </c>
      <c r="F1776" t="s">
        <v>321</v>
      </c>
    </row>
    <row r="1777" spans="1:6">
      <c r="A1777" t="s">
        <v>322</v>
      </c>
      <c r="B1777" t="s">
        <v>1527</v>
      </c>
      <c r="C1777" t="str">
        <f>VLOOKUP(A1777,'Cost Center'!A:C,3,FALSE)</f>
        <v>C090020</v>
      </c>
      <c r="D1777" t="s">
        <v>4558</v>
      </c>
      <c r="E1777" t="s">
        <v>685</v>
      </c>
      <c r="F1777" t="s">
        <v>322</v>
      </c>
    </row>
    <row r="1778" spans="1:6">
      <c r="A1778" t="s">
        <v>323</v>
      </c>
      <c r="B1778" t="s">
        <v>1528</v>
      </c>
      <c r="C1778" t="str">
        <f>VLOOKUP(A1778,'Cost Center'!A:C,3,FALSE)</f>
        <v>C090020</v>
      </c>
      <c r="D1778" t="s">
        <v>4558</v>
      </c>
      <c r="E1778" t="s">
        <v>685</v>
      </c>
      <c r="F1778" t="s">
        <v>323</v>
      </c>
    </row>
    <row r="1779" spans="1:6">
      <c r="A1779" t="s">
        <v>324</v>
      </c>
      <c r="B1779" t="s">
        <v>1529</v>
      </c>
      <c r="C1779" t="str">
        <f>VLOOKUP(A1779,'Cost Center'!A:C,3,FALSE)</f>
        <v>C090020</v>
      </c>
      <c r="D1779" t="s">
        <v>4558</v>
      </c>
      <c r="E1779" t="s">
        <v>685</v>
      </c>
      <c r="F1779" t="s">
        <v>324</v>
      </c>
    </row>
    <row r="1780" spans="1:6">
      <c r="A1780" t="s">
        <v>325</v>
      </c>
      <c r="B1780" t="s">
        <v>1530</v>
      </c>
      <c r="C1780" t="str">
        <f>VLOOKUP(A1780,'Cost Center'!A:C,3,FALSE)</f>
        <v>C090020</v>
      </c>
      <c r="D1780" t="s">
        <v>4558</v>
      </c>
      <c r="E1780" t="s">
        <v>685</v>
      </c>
      <c r="F1780" t="s">
        <v>325</v>
      </c>
    </row>
    <row r="1781" spans="1:6">
      <c r="A1781" t="s">
        <v>326</v>
      </c>
      <c r="B1781" t="s">
        <v>1531</v>
      </c>
      <c r="C1781" t="str">
        <f>VLOOKUP(A1781,'Cost Center'!A:C,3,FALSE)</f>
        <v>C090020</v>
      </c>
      <c r="D1781" t="s">
        <v>4558</v>
      </c>
      <c r="E1781" t="s">
        <v>685</v>
      </c>
      <c r="F1781" t="s">
        <v>326</v>
      </c>
    </row>
    <row r="1782" spans="1:6">
      <c r="A1782" t="s">
        <v>327</v>
      </c>
      <c r="B1782" t="s">
        <v>1532</v>
      </c>
      <c r="C1782" t="str">
        <f>VLOOKUP(A1782,'Cost Center'!A:C,3,FALSE)</f>
        <v>C090020</v>
      </c>
      <c r="D1782" t="s">
        <v>4558</v>
      </c>
      <c r="E1782" t="s">
        <v>685</v>
      </c>
      <c r="F1782" t="s">
        <v>327</v>
      </c>
    </row>
    <row r="1783" spans="1:6">
      <c r="A1783" t="s">
        <v>328</v>
      </c>
      <c r="B1783" t="s">
        <v>1533</v>
      </c>
      <c r="C1783" t="str">
        <f>VLOOKUP(A1783,'Cost Center'!A:C,3,FALSE)</f>
        <v>C090020</v>
      </c>
      <c r="D1783" t="s">
        <v>4558</v>
      </c>
      <c r="E1783" t="s">
        <v>685</v>
      </c>
      <c r="F1783" t="s">
        <v>328</v>
      </c>
    </row>
    <row r="1784" spans="1:6">
      <c r="A1784" t="s">
        <v>329</v>
      </c>
      <c r="B1784" t="s">
        <v>1534</v>
      </c>
      <c r="C1784" t="str">
        <f>VLOOKUP(A1784,'Cost Center'!A:C,3,FALSE)</f>
        <v>C090020</v>
      </c>
      <c r="D1784" t="s">
        <v>4558</v>
      </c>
      <c r="E1784" t="s">
        <v>685</v>
      </c>
      <c r="F1784" t="s">
        <v>329</v>
      </c>
    </row>
    <row r="1785" spans="1:6">
      <c r="A1785" t="s">
        <v>330</v>
      </c>
      <c r="B1785" t="s">
        <v>1535</v>
      </c>
      <c r="C1785" t="str">
        <f>VLOOKUP(A1785,'Cost Center'!A:C,3,FALSE)</f>
        <v>C090020</v>
      </c>
      <c r="D1785" t="s">
        <v>4558</v>
      </c>
      <c r="E1785" t="s">
        <v>685</v>
      </c>
      <c r="F1785" t="s">
        <v>330</v>
      </c>
    </row>
    <row r="1786" spans="1:6">
      <c r="A1786" t="s">
        <v>331</v>
      </c>
      <c r="B1786" t="s">
        <v>1536</v>
      </c>
      <c r="C1786" t="str">
        <f>VLOOKUP(A1786,'Cost Center'!A:C,3,FALSE)</f>
        <v>C090020</v>
      </c>
      <c r="D1786" t="s">
        <v>4558</v>
      </c>
      <c r="E1786" t="s">
        <v>685</v>
      </c>
      <c r="F1786" t="s">
        <v>331</v>
      </c>
    </row>
    <row r="1787" spans="1:6">
      <c r="A1787" t="s">
        <v>332</v>
      </c>
      <c r="B1787" t="s">
        <v>1537</v>
      </c>
      <c r="C1787" t="str">
        <f>VLOOKUP(A1787,'Cost Center'!A:C,3,FALSE)</f>
        <v>C090020</v>
      </c>
      <c r="D1787" t="s">
        <v>4558</v>
      </c>
      <c r="E1787" t="s">
        <v>685</v>
      </c>
      <c r="F1787" t="s">
        <v>332</v>
      </c>
    </row>
    <row r="1788" spans="1:6">
      <c r="A1788" t="s">
        <v>333</v>
      </c>
      <c r="B1788" t="s">
        <v>1538</v>
      </c>
      <c r="C1788" t="str">
        <f>VLOOKUP(A1788,'Cost Center'!A:C,3,FALSE)</f>
        <v>C090020</v>
      </c>
      <c r="D1788" t="s">
        <v>4558</v>
      </c>
      <c r="E1788" t="s">
        <v>685</v>
      </c>
      <c r="F1788" t="s">
        <v>333</v>
      </c>
    </row>
    <row r="1789" spans="1:6">
      <c r="A1789" t="s">
        <v>334</v>
      </c>
      <c r="B1789" t="s">
        <v>1539</v>
      </c>
      <c r="C1789" t="str">
        <f>VLOOKUP(A1789,'Cost Center'!A:C,3,FALSE)</f>
        <v>C090020</v>
      </c>
      <c r="D1789" t="s">
        <v>4558</v>
      </c>
      <c r="E1789" t="s">
        <v>685</v>
      </c>
      <c r="F1789" t="s">
        <v>334</v>
      </c>
    </row>
    <row r="1790" spans="1:6">
      <c r="A1790" t="s">
        <v>335</v>
      </c>
      <c r="B1790" t="s">
        <v>1540</v>
      </c>
      <c r="C1790" t="str">
        <f>VLOOKUP(A1790,'Cost Center'!A:C,3,FALSE)</f>
        <v>C090020</v>
      </c>
      <c r="D1790" t="s">
        <v>4558</v>
      </c>
      <c r="E1790" t="s">
        <v>685</v>
      </c>
      <c r="F1790" t="s">
        <v>335</v>
      </c>
    </row>
    <row r="1791" spans="1:6">
      <c r="A1791" t="s">
        <v>336</v>
      </c>
      <c r="B1791" t="s">
        <v>1541</v>
      </c>
      <c r="C1791" t="str">
        <f>VLOOKUP(A1791,'Cost Center'!A:C,3,FALSE)</f>
        <v>C090020</v>
      </c>
      <c r="D1791" t="s">
        <v>4558</v>
      </c>
      <c r="E1791" t="s">
        <v>685</v>
      </c>
      <c r="F1791" t="s">
        <v>336</v>
      </c>
    </row>
    <row r="1792" spans="1:6">
      <c r="A1792" t="s">
        <v>337</v>
      </c>
      <c r="B1792" t="s">
        <v>1542</v>
      </c>
      <c r="C1792" t="str">
        <f>VLOOKUP(A1792,'Cost Center'!A:C,3,FALSE)</f>
        <v>C090020</v>
      </c>
      <c r="D1792" t="s">
        <v>4558</v>
      </c>
      <c r="E1792" t="s">
        <v>685</v>
      </c>
      <c r="F1792" t="s">
        <v>337</v>
      </c>
    </row>
    <row r="1793" spans="1:6">
      <c r="A1793" t="s">
        <v>338</v>
      </c>
      <c r="B1793" t="s">
        <v>1543</v>
      </c>
      <c r="C1793" t="str">
        <f>VLOOKUP(A1793,'Cost Center'!A:C,3,FALSE)</f>
        <v>C090020</v>
      </c>
      <c r="D1793" t="s">
        <v>4558</v>
      </c>
      <c r="E1793" t="s">
        <v>685</v>
      </c>
      <c r="F1793" t="s">
        <v>338</v>
      </c>
    </row>
    <row r="1794" spans="1:6">
      <c r="A1794" t="s">
        <v>339</v>
      </c>
      <c r="B1794" t="s">
        <v>1544</v>
      </c>
      <c r="C1794" t="str">
        <f>VLOOKUP(A1794,'Cost Center'!A:C,3,FALSE)</f>
        <v>C090020</v>
      </c>
      <c r="D1794" t="s">
        <v>4558</v>
      </c>
      <c r="E1794" t="s">
        <v>685</v>
      </c>
      <c r="F1794" t="s">
        <v>339</v>
      </c>
    </row>
    <row r="1795" spans="1:6">
      <c r="A1795" t="s">
        <v>340</v>
      </c>
      <c r="B1795" t="s">
        <v>1545</v>
      </c>
      <c r="C1795" t="str">
        <f>VLOOKUP(A1795,'Cost Center'!A:C,3,FALSE)</f>
        <v>C090020</v>
      </c>
      <c r="D1795" t="s">
        <v>4558</v>
      </c>
      <c r="E1795" t="s">
        <v>685</v>
      </c>
      <c r="F1795" t="s">
        <v>340</v>
      </c>
    </row>
    <row r="1796" spans="1:6">
      <c r="A1796" t="s">
        <v>341</v>
      </c>
      <c r="B1796" t="s">
        <v>1546</v>
      </c>
      <c r="C1796" t="str">
        <f>VLOOKUP(A1796,'Cost Center'!A:C,3,FALSE)</f>
        <v>C090020</v>
      </c>
      <c r="D1796" t="s">
        <v>4558</v>
      </c>
      <c r="E1796" t="s">
        <v>685</v>
      </c>
      <c r="F1796" t="s">
        <v>341</v>
      </c>
    </row>
    <row r="1797" spans="1:6">
      <c r="A1797" t="s">
        <v>3021</v>
      </c>
      <c r="B1797" t="s">
        <v>3022</v>
      </c>
      <c r="C1797" t="str">
        <f>VLOOKUP(A1797,'Cost Center'!A:C,3,FALSE)</f>
        <v>C090020</v>
      </c>
      <c r="D1797" t="s">
        <v>4558</v>
      </c>
      <c r="E1797" t="s">
        <v>685</v>
      </c>
      <c r="F1797" t="s">
        <v>3021</v>
      </c>
    </row>
    <row r="1798" spans="1:6">
      <c r="A1798" t="s">
        <v>342</v>
      </c>
      <c r="B1798" t="s">
        <v>1547</v>
      </c>
      <c r="C1798" t="str">
        <f>VLOOKUP(A1798,'Cost Center'!A:C,3,FALSE)</f>
        <v>C090020</v>
      </c>
      <c r="D1798" t="s">
        <v>4558</v>
      </c>
      <c r="E1798" t="s">
        <v>685</v>
      </c>
      <c r="F1798" t="s">
        <v>342</v>
      </c>
    </row>
    <row r="1799" spans="1:6">
      <c r="A1799" t="s">
        <v>343</v>
      </c>
      <c r="B1799" t="s">
        <v>1548</v>
      </c>
      <c r="C1799" t="str">
        <f>VLOOKUP(A1799,'Cost Center'!A:C,3,FALSE)</f>
        <v>C090020</v>
      </c>
      <c r="D1799" t="s">
        <v>4558</v>
      </c>
      <c r="E1799" t="s">
        <v>685</v>
      </c>
      <c r="F1799" t="s">
        <v>343</v>
      </c>
    </row>
    <row r="1800" spans="1:6">
      <c r="A1800" t="s">
        <v>344</v>
      </c>
      <c r="B1800" t="s">
        <v>1549</v>
      </c>
      <c r="C1800" t="str">
        <f>VLOOKUP(A1800,'Cost Center'!A:C,3,FALSE)</f>
        <v>C090020</v>
      </c>
      <c r="D1800" t="s">
        <v>4558</v>
      </c>
      <c r="E1800" t="s">
        <v>685</v>
      </c>
      <c r="F1800" t="s">
        <v>344</v>
      </c>
    </row>
    <row r="1801" spans="1:6">
      <c r="A1801" t="s">
        <v>3023</v>
      </c>
      <c r="B1801" t="s">
        <v>3024</v>
      </c>
      <c r="C1801" t="str">
        <f>VLOOKUP(A1801,'Cost Center'!A:C,3,FALSE)</f>
        <v>C090020</v>
      </c>
      <c r="D1801" t="s">
        <v>4558</v>
      </c>
      <c r="E1801" t="s">
        <v>685</v>
      </c>
      <c r="F1801" t="s">
        <v>3023</v>
      </c>
    </row>
    <row r="1802" spans="1:6">
      <c r="A1802" t="s">
        <v>345</v>
      </c>
      <c r="B1802" t="s">
        <v>1550</v>
      </c>
      <c r="C1802" t="str">
        <f>VLOOKUP(A1802,'Cost Center'!A:C,3,FALSE)</f>
        <v>C090020</v>
      </c>
      <c r="D1802" t="s">
        <v>4558</v>
      </c>
      <c r="E1802" t="s">
        <v>685</v>
      </c>
      <c r="F1802" t="s">
        <v>345</v>
      </c>
    </row>
    <row r="1803" spans="1:6">
      <c r="A1803" t="s">
        <v>346</v>
      </c>
      <c r="B1803" t="s">
        <v>1551</v>
      </c>
      <c r="C1803" t="str">
        <f>VLOOKUP(A1803,'Cost Center'!A:C,3,FALSE)</f>
        <v>C090020</v>
      </c>
      <c r="D1803" t="s">
        <v>4558</v>
      </c>
      <c r="E1803" t="s">
        <v>685</v>
      </c>
      <c r="F1803" t="s">
        <v>346</v>
      </c>
    </row>
    <row r="1804" spans="1:6">
      <c r="A1804" t="s">
        <v>347</v>
      </c>
      <c r="B1804" t="s">
        <v>1552</v>
      </c>
      <c r="C1804" t="str">
        <f>VLOOKUP(A1804,'Cost Center'!A:C,3,FALSE)</f>
        <v>C090020</v>
      </c>
      <c r="D1804" t="s">
        <v>4558</v>
      </c>
      <c r="E1804" t="s">
        <v>685</v>
      </c>
      <c r="F1804" t="s">
        <v>347</v>
      </c>
    </row>
    <row r="1805" spans="1:6">
      <c r="A1805" t="s">
        <v>348</v>
      </c>
      <c r="B1805" t="s">
        <v>1553</v>
      </c>
      <c r="C1805" t="str">
        <f>VLOOKUP(A1805,'Cost Center'!A:C,3,FALSE)</f>
        <v>C090020</v>
      </c>
      <c r="D1805" t="s">
        <v>4558</v>
      </c>
      <c r="E1805" t="s">
        <v>685</v>
      </c>
      <c r="F1805" t="s">
        <v>348</v>
      </c>
    </row>
    <row r="1806" spans="1:6">
      <c r="A1806" t="s">
        <v>349</v>
      </c>
      <c r="B1806" t="s">
        <v>1554</v>
      </c>
      <c r="C1806" t="str">
        <f>VLOOKUP(A1806,'Cost Center'!A:C,3,FALSE)</f>
        <v>C090020</v>
      </c>
      <c r="D1806" t="s">
        <v>4558</v>
      </c>
      <c r="E1806" t="s">
        <v>685</v>
      </c>
      <c r="F1806" t="s">
        <v>349</v>
      </c>
    </row>
    <row r="1807" spans="1:6">
      <c r="A1807" t="s">
        <v>350</v>
      </c>
      <c r="B1807" t="s">
        <v>1555</v>
      </c>
      <c r="C1807" t="str">
        <f>VLOOKUP(A1807,'Cost Center'!A:C,3,FALSE)</f>
        <v>C090020</v>
      </c>
      <c r="D1807" t="s">
        <v>4558</v>
      </c>
      <c r="E1807" t="s">
        <v>685</v>
      </c>
      <c r="F1807" t="s">
        <v>350</v>
      </c>
    </row>
    <row r="1808" spans="1:6">
      <c r="A1808" t="s">
        <v>351</v>
      </c>
      <c r="B1808" t="s">
        <v>1556</v>
      </c>
      <c r="C1808" t="str">
        <f>VLOOKUP(A1808,'Cost Center'!A:C,3,FALSE)</f>
        <v>C090020</v>
      </c>
      <c r="D1808" t="s">
        <v>4558</v>
      </c>
      <c r="E1808" t="s">
        <v>685</v>
      </c>
      <c r="F1808" t="s">
        <v>351</v>
      </c>
    </row>
    <row r="1809" spans="1:6">
      <c r="A1809" t="s">
        <v>352</v>
      </c>
      <c r="B1809" t="s">
        <v>1557</v>
      </c>
      <c r="C1809" t="str">
        <f>VLOOKUP(A1809,'Cost Center'!A:C,3,FALSE)</f>
        <v>C090020</v>
      </c>
      <c r="D1809" t="s">
        <v>4558</v>
      </c>
      <c r="E1809" t="s">
        <v>685</v>
      </c>
      <c r="F1809" t="s">
        <v>352</v>
      </c>
    </row>
    <row r="1810" spans="1:6">
      <c r="A1810" t="s">
        <v>353</v>
      </c>
      <c r="B1810" t="s">
        <v>1558</v>
      </c>
      <c r="C1810" t="str">
        <f>VLOOKUP(A1810,'Cost Center'!A:C,3,FALSE)</f>
        <v>C090020</v>
      </c>
      <c r="D1810" t="s">
        <v>4558</v>
      </c>
      <c r="E1810" t="s">
        <v>685</v>
      </c>
      <c r="F1810" t="s">
        <v>353</v>
      </c>
    </row>
    <row r="1811" spans="1:6">
      <c r="A1811" t="s">
        <v>354</v>
      </c>
      <c r="B1811" t="s">
        <v>1559</v>
      </c>
      <c r="C1811" t="str">
        <f>VLOOKUP(A1811,'Cost Center'!A:C,3,FALSE)</f>
        <v>C090020</v>
      </c>
      <c r="D1811" t="s">
        <v>4558</v>
      </c>
      <c r="E1811" t="s">
        <v>685</v>
      </c>
      <c r="F1811" t="s">
        <v>354</v>
      </c>
    </row>
    <row r="1812" spans="1:6">
      <c r="A1812" t="s">
        <v>355</v>
      </c>
      <c r="B1812" t="s">
        <v>1560</v>
      </c>
      <c r="C1812" t="str">
        <f>VLOOKUP(A1812,'Cost Center'!A:C,3,FALSE)</f>
        <v>C090020</v>
      </c>
      <c r="D1812" t="s">
        <v>4558</v>
      </c>
      <c r="E1812" t="s">
        <v>685</v>
      </c>
      <c r="F1812" t="s">
        <v>355</v>
      </c>
    </row>
    <row r="1813" spans="1:6">
      <c r="A1813" t="s">
        <v>356</v>
      </c>
      <c r="B1813" t="s">
        <v>1561</v>
      </c>
      <c r="C1813" t="str">
        <f>VLOOKUP(A1813,'Cost Center'!A:C,3,FALSE)</f>
        <v>C090020</v>
      </c>
      <c r="D1813" t="s">
        <v>4558</v>
      </c>
      <c r="E1813" t="s">
        <v>685</v>
      </c>
      <c r="F1813" t="s">
        <v>356</v>
      </c>
    </row>
    <row r="1814" spans="1:6">
      <c r="A1814" t="s">
        <v>357</v>
      </c>
      <c r="B1814" t="s">
        <v>1562</v>
      </c>
      <c r="C1814" t="str">
        <f>VLOOKUP(A1814,'Cost Center'!A:C,3,FALSE)</f>
        <v>C090020</v>
      </c>
      <c r="D1814" t="s">
        <v>4558</v>
      </c>
      <c r="E1814" t="s">
        <v>685</v>
      </c>
      <c r="F1814" t="s">
        <v>357</v>
      </c>
    </row>
    <row r="1815" spans="1:6">
      <c r="A1815" t="s">
        <v>358</v>
      </c>
      <c r="B1815" t="s">
        <v>1563</v>
      </c>
      <c r="C1815" t="str">
        <f>VLOOKUP(A1815,'Cost Center'!A:C,3,FALSE)</f>
        <v>C090020</v>
      </c>
      <c r="D1815" t="s">
        <v>4558</v>
      </c>
      <c r="E1815" t="s">
        <v>685</v>
      </c>
      <c r="F1815" t="s">
        <v>358</v>
      </c>
    </row>
    <row r="1816" spans="1:6">
      <c r="A1816" t="s">
        <v>359</v>
      </c>
      <c r="B1816" t="s">
        <v>1564</v>
      </c>
      <c r="C1816" t="str">
        <f>VLOOKUP(A1816,'Cost Center'!A:C,3,FALSE)</f>
        <v>C090020</v>
      </c>
      <c r="D1816" t="s">
        <v>4558</v>
      </c>
      <c r="E1816" t="s">
        <v>685</v>
      </c>
      <c r="F1816" t="s">
        <v>359</v>
      </c>
    </row>
    <row r="1817" spans="1:6">
      <c r="A1817" t="s">
        <v>360</v>
      </c>
      <c r="B1817" t="s">
        <v>1565</v>
      </c>
      <c r="C1817" t="str">
        <f>VLOOKUP(A1817,'Cost Center'!A:C,3,FALSE)</f>
        <v>C090020</v>
      </c>
      <c r="D1817" t="s">
        <v>4558</v>
      </c>
      <c r="E1817" t="s">
        <v>685</v>
      </c>
      <c r="F1817" t="s">
        <v>360</v>
      </c>
    </row>
    <row r="1818" spans="1:6">
      <c r="A1818" t="s">
        <v>361</v>
      </c>
      <c r="B1818" t="s">
        <v>1566</v>
      </c>
      <c r="C1818" t="str">
        <f>VLOOKUP(A1818,'Cost Center'!A:C,3,FALSE)</f>
        <v>C090020</v>
      </c>
      <c r="D1818" t="s">
        <v>4558</v>
      </c>
      <c r="E1818" t="s">
        <v>685</v>
      </c>
      <c r="F1818" t="s">
        <v>361</v>
      </c>
    </row>
    <row r="1819" spans="1:6">
      <c r="A1819" t="s">
        <v>362</v>
      </c>
      <c r="B1819" t="s">
        <v>1567</v>
      </c>
      <c r="C1819" t="str">
        <f>VLOOKUP(A1819,'Cost Center'!A:C,3,FALSE)</f>
        <v>C090020</v>
      </c>
      <c r="D1819" t="s">
        <v>4558</v>
      </c>
      <c r="E1819" t="s">
        <v>685</v>
      </c>
      <c r="F1819" t="s">
        <v>362</v>
      </c>
    </row>
    <row r="1820" spans="1:6">
      <c r="A1820" t="s">
        <v>363</v>
      </c>
      <c r="B1820" t="s">
        <v>1568</v>
      </c>
      <c r="C1820" t="str">
        <f>VLOOKUP(A1820,'Cost Center'!A:C,3,FALSE)</f>
        <v>C090020</v>
      </c>
      <c r="D1820" t="s">
        <v>4558</v>
      </c>
      <c r="E1820" t="s">
        <v>685</v>
      </c>
      <c r="F1820" t="s">
        <v>363</v>
      </c>
    </row>
    <row r="1821" spans="1:6">
      <c r="A1821" t="s">
        <v>364</v>
      </c>
      <c r="B1821" t="s">
        <v>1569</v>
      </c>
      <c r="C1821" t="str">
        <f>VLOOKUP(A1821,'Cost Center'!A:C,3,FALSE)</f>
        <v>C090020</v>
      </c>
      <c r="D1821" t="s">
        <v>4558</v>
      </c>
      <c r="E1821" t="s">
        <v>685</v>
      </c>
      <c r="F1821" t="s">
        <v>364</v>
      </c>
    </row>
    <row r="1822" spans="1:6">
      <c r="A1822" t="s">
        <v>365</v>
      </c>
      <c r="B1822" t="s">
        <v>1570</v>
      </c>
      <c r="C1822" t="str">
        <f>VLOOKUP(A1822,'Cost Center'!A:C,3,FALSE)</f>
        <v>C090020</v>
      </c>
      <c r="D1822" t="s">
        <v>4558</v>
      </c>
      <c r="E1822" t="s">
        <v>685</v>
      </c>
      <c r="F1822" t="s">
        <v>365</v>
      </c>
    </row>
    <row r="1823" spans="1:6">
      <c r="A1823" t="s">
        <v>366</v>
      </c>
      <c r="B1823" t="s">
        <v>1571</v>
      </c>
      <c r="C1823" t="str">
        <f>VLOOKUP(A1823,'Cost Center'!A:C,3,FALSE)</f>
        <v>C090020</v>
      </c>
      <c r="D1823" t="s">
        <v>4558</v>
      </c>
      <c r="E1823" t="s">
        <v>685</v>
      </c>
      <c r="F1823" t="s">
        <v>366</v>
      </c>
    </row>
    <row r="1824" spans="1:6">
      <c r="A1824" t="s">
        <v>367</v>
      </c>
      <c r="B1824" t="s">
        <v>1572</v>
      </c>
      <c r="C1824" t="str">
        <f>VLOOKUP(A1824,'Cost Center'!A:C,3,FALSE)</f>
        <v>C090020</v>
      </c>
      <c r="D1824" t="s">
        <v>4558</v>
      </c>
      <c r="E1824" t="s">
        <v>685</v>
      </c>
      <c r="F1824" t="s">
        <v>367</v>
      </c>
    </row>
    <row r="1825" spans="1:6">
      <c r="A1825" t="s">
        <v>368</v>
      </c>
      <c r="B1825" t="s">
        <v>1573</v>
      </c>
      <c r="C1825" t="str">
        <f>VLOOKUP(A1825,'Cost Center'!A:C,3,FALSE)</f>
        <v>C090020</v>
      </c>
      <c r="D1825" t="s">
        <v>4558</v>
      </c>
      <c r="E1825" t="s">
        <v>685</v>
      </c>
      <c r="F1825" t="s">
        <v>368</v>
      </c>
    </row>
    <row r="1826" spans="1:6">
      <c r="A1826" t="s">
        <v>369</v>
      </c>
      <c r="B1826" t="s">
        <v>1574</v>
      </c>
      <c r="C1826" t="str">
        <f>VLOOKUP(A1826,'Cost Center'!A:C,3,FALSE)</f>
        <v>C090020</v>
      </c>
      <c r="D1826" t="s">
        <v>4558</v>
      </c>
      <c r="E1826" t="s">
        <v>685</v>
      </c>
      <c r="F1826" t="s">
        <v>369</v>
      </c>
    </row>
    <row r="1827" spans="1:6">
      <c r="A1827" t="s">
        <v>370</v>
      </c>
      <c r="B1827" t="s">
        <v>1575</v>
      </c>
      <c r="C1827" t="str">
        <f>VLOOKUP(A1827,'Cost Center'!A:C,3,FALSE)</f>
        <v>C090020</v>
      </c>
      <c r="D1827" t="s">
        <v>4558</v>
      </c>
      <c r="E1827" t="s">
        <v>685</v>
      </c>
      <c r="F1827" t="s">
        <v>370</v>
      </c>
    </row>
    <row r="1828" spans="1:6">
      <c r="A1828" t="s">
        <v>371</v>
      </c>
      <c r="B1828" t="s">
        <v>1576</v>
      </c>
      <c r="C1828" t="str">
        <f>VLOOKUP(A1828,'Cost Center'!A:C,3,FALSE)</f>
        <v>C090020</v>
      </c>
      <c r="D1828" t="s">
        <v>4558</v>
      </c>
      <c r="E1828" t="s">
        <v>685</v>
      </c>
      <c r="F1828" t="s">
        <v>371</v>
      </c>
    </row>
    <row r="1829" spans="1:6">
      <c r="A1829" t="s">
        <v>372</v>
      </c>
      <c r="B1829" t="s">
        <v>1577</v>
      </c>
      <c r="C1829" t="str">
        <f>VLOOKUP(A1829,'Cost Center'!A:C,3,FALSE)</f>
        <v>C090020</v>
      </c>
      <c r="D1829" t="s">
        <v>4558</v>
      </c>
      <c r="E1829" t="s">
        <v>685</v>
      </c>
      <c r="F1829" t="s">
        <v>372</v>
      </c>
    </row>
    <row r="1830" spans="1:6">
      <c r="A1830" t="s">
        <v>373</v>
      </c>
      <c r="B1830" t="s">
        <v>1578</v>
      </c>
      <c r="C1830" t="str">
        <f>VLOOKUP(A1830,'Cost Center'!A:C,3,FALSE)</f>
        <v>C090020</v>
      </c>
      <c r="D1830" t="s">
        <v>4558</v>
      </c>
      <c r="E1830" t="s">
        <v>685</v>
      </c>
      <c r="F1830" t="s">
        <v>373</v>
      </c>
    </row>
    <row r="1831" spans="1:6">
      <c r="A1831" t="s">
        <v>374</v>
      </c>
      <c r="B1831" t="s">
        <v>1579</v>
      </c>
      <c r="C1831" t="str">
        <f>VLOOKUP(A1831,'Cost Center'!A:C,3,FALSE)</f>
        <v>C090020</v>
      </c>
      <c r="D1831" t="s">
        <v>4558</v>
      </c>
      <c r="E1831" t="s">
        <v>685</v>
      </c>
      <c r="F1831" t="s">
        <v>374</v>
      </c>
    </row>
    <row r="1832" spans="1:6">
      <c r="A1832" t="s">
        <v>375</v>
      </c>
      <c r="B1832" t="s">
        <v>1580</v>
      </c>
      <c r="C1832" t="str">
        <f>VLOOKUP(A1832,'Cost Center'!A:C,3,FALSE)</f>
        <v>C090020</v>
      </c>
      <c r="D1832" t="s">
        <v>4558</v>
      </c>
      <c r="E1832" t="s">
        <v>685</v>
      </c>
      <c r="F1832" t="s">
        <v>375</v>
      </c>
    </row>
    <row r="1833" spans="1:6">
      <c r="A1833" t="s">
        <v>376</v>
      </c>
      <c r="B1833" t="s">
        <v>1581</v>
      </c>
      <c r="C1833" t="str">
        <f>VLOOKUP(A1833,'Cost Center'!A:C,3,FALSE)</f>
        <v>C090020</v>
      </c>
      <c r="D1833" t="s">
        <v>4558</v>
      </c>
      <c r="E1833" t="s">
        <v>685</v>
      </c>
      <c r="F1833" t="s">
        <v>376</v>
      </c>
    </row>
    <row r="1834" spans="1:6">
      <c r="A1834" t="s">
        <v>377</v>
      </c>
      <c r="B1834" t="s">
        <v>1582</v>
      </c>
      <c r="C1834" t="str">
        <f>VLOOKUP(A1834,'Cost Center'!A:C,3,FALSE)</f>
        <v>C090020</v>
      </c>
      <c r="D1834" t="s">
        <v>4558</v>
      </c>
      <c r="E1834" t="s">
        <v>685</v>
      </c>
      <c r="F1834" t="s">
        <v>377</v>
      </c>
    </row>
    <row r="1835" spans="1:6">
      <c r="A1835" t="s">
        <v>378</v>
      </c>
      <c r="B1835" t="s">
        <v>1583</v>
      </c>
      <c r="C1835" t="str">
        <f>VLOOKUP(A1835,'Cost Center'!A:C,3,FALSE)</f>
        <v>C090020</v>
      </c>
      <c r="D1835" t="s">
        <v>4558</v>
      </c>
      <c r="E1835" t="s">
        <v>685</v>
      </c>
      <c r="F1835" t="s">
        <v>378</v>
      </c>
    </row>
    <row r="1836" spans="1:6">
      <c r="A1836" t="s">
        <v>379</v>
      </c>
      <c r="B1836" t="s">
        <v>1584</v>
      </c>
      <c r="C1836" t="str">
        <f>VLOOKUP(A1836,'Cost Center'!A:C,3,FALSE)</f>
        <v>C090020</v>
      </c>
      <c r="D1836" t="s">
        <v>4558</v>
      </c>
      <c r="E1836" t="s">
        <v>685</v>
      </c>
      <c r="F1836" t="s">
        <v>379</v>
      </c>
    </row>
    <row r="1837" spans="1:6">
      <c r="A1837" t="s">
        <v>380</v>
      </c>
      <c r="B1837" t="s">
        <v>1585</v>
      </c>
      <c r="C1837" t="str">
        <f>VLOOKUP(A1837,'Cost Center'!A:C,3,FALSE)</f>
        <v>C090020</v>
      </c>
      <c r="D1837" t="s">
        <v>4558</v>
      </c>
      <c r="E1837" t="s">
        <v>685</v>
      </c>
      <c r="F1837" t="s">
        <v>380</v>
      </c>
    </row>
    <row r="1838" spans="1:6">
      <c r="A1838" t="s">
        <v>381</v>
      </c>
      <c r="B1838" t="s">
        <v>1586</v>
      </c>
      <c r="C1838" t="str">
        <f>VLOOKUP(A1838,'Cost Center'!A:C,3,FALSE)</f>
        <v>C090020</v>
      </c>
      <c r="D1838" t="s">
        <v>4558</v>
      </c>
      <c r="E1838" t="s">
        <v>685</v>
      </c>
      <c r="F1838" t="s">
        <v>381</v>
      </c>
    </row>
    <row r="1839" spans="1:6">
      <c r="A1839" t="s">
        <v>382</v>
      </c>
      <c r="B1839" t="s">
        <v>1587</v>
      </c>
      <c r="C1839" t="str">
        <f>VLOOKUP(A1839,'Cost Center'!A:C,3,FALSE)</f>
        <v>C090020</v>
      </c>
      <c r="D1839" t="s">
        <v>4558</v>
      </c>
      <c r="E1839" t="s">
        <v>685</v>
      </c>
      <c r="F1839" t="s">
        <v>382</v>
      </c>
    </row>
    <row r="1840" spans="1:6">
      <c r="A1840" t="s">
        <v>383</v>
      </c>
      <c r="B1840" t="s">
        <v>1588</v>
      </c>
      <c r="C1840" t="str">
        <f>VLOOKUP(A1840,'Cost Center'!A:C,3,FALSE)</f>
        <v>C090020</v>
      </c>
      <c r="D1840" t="s">
        <v>4558</v>
      </c>
      <c r="E1840" t="s">
        <v>685</v>
      </c>
      <c r="F1840" t="s">
        <v>383</v>
      </c>
    </row>
    <row r="1841" spans="1:6">
      <c r="A1841" t="s">
        <v>3025</v>
      </c>
      <c r="B1841" t="s">
        <v>3026</v>
      </c>
      <c r="C1841" t="str">
        <f>VLOOKUP(A1841,'Cost Center'!A:C,3,FALSE)</f>
        <v>C090020</v>
      </c>
      <c r="D1841" t="s">
        <v>4558</v>
      </c>
      <c r="E1841" t="s">
        <v>685</v>
      </c>
      <c r="F1841" t="s">
        <v>3025</v>
      </c>
    </row>
    <row r="1842" spans="1:6">
      <c r="A1842" t="s">
        <v>384</v>
      </c>
      <c r="B1842" t="s">
        <v>1589</v>
      </c>
      <c r="C1842" t="str">
        <f>VLOOKUP(A1842,'Cost Center'!A:C,3,FALSE)</f>
        <v>C090020</v>
      </c>
      <c r="D1842" t="s">
        <v>4558</v>
      </c>
      <c r="E1842" t="s">
        <v>685</v>
      </c>
      <c r="F1842" t="s">
        <v>384</v>
      </c>
    </row>
    <row r="1843" spans="1:6">
      <c r="A1843" t="s">
        <v>385</v>
      </c>
      <c r="B1843" t="s">
        <v>1590</v>
      </c>
      <c r="C1843" t="str">
        <f>VLOOKUP(A1843,'Cost Center'!A:C,3,FALSE)</f>
        <v>C090020</v>
      </c>
      <c r="D1843" t="s">
        <v>4558</v>
      </c>
      <c r="E1843" t="s">
        <v>685</v>
      </c>
      <c r="F1843" t="s">
        <v>385</v>
      </c>
    </row>
    <row r="1844" spans="1:6">
      <c r="A1844" t="s">
        <v>3027</v>
      </c>
      <c r="B1844" t="s">
        <v>3028</v>
      </c>
      <c r="C1844" t="str">
        <f>VLOOKUP(A1844,'Cost Center'!A:C,3,FALSE)</f>
        <v>C090020</v>
      </c>
      <c r="D1844" t="s">
        <v>4558</v>
      </c>
      <c r="E1844" t="s">
        <v>685</v>
      </c>
      <c r="F1844" t="s">
        <v>3027</v>
      </c>
    </row>
    <row r="1845" spans="1:6">
      <c r="A1845" t="s">
        <v>386</v>
      </c>
      <c r="B1845" t="s">
        <v>1591</v>
      </c>
      <c r="C1845" t="str">
        <f>VLOOKUP(A1845,'Cost Center'!A:C,3,FALSE)</f>
        <v>C090020</v>
      </c>
      <c r="D1845" t="s">
        <v>4558</v>
      </c>
      <c r="E1845" t="s">
        <v>685</v>
      </c>
      <c r="F1845" t="s">
        <v>386</v>
      </c>
    </row>
    <row r="1846" spans="1:6">
      <c r="A1846" t="s">
        <v>387</v>
      </c>
      <c r="B1846" t="s">
        <v>1592</v>
      </c>
      <c r="C1846" t="str">
        <f>VLOOKUP(A1846,'Cost Center'!A:C,3,FALSE)</f>
        <v>C090020</v>
      </c>
      <c r="D1846" t="s">
        <v>4558</v>
      </c>
      <c r="E1846" t="s">
        <v>685</v>
      </c>
      <c r="F1846" t="s">
        <v>387</v>
      </c>
    </row>
    <row r="1847" spans="1:6">
      <c r="A1847" t="s">
        <v>388</v>
      </c>
      <c r="B1847" t="s">
        <v>1593</v>
      </c>
      <c r="C1847" t="str">
        <f>VLOOKUP(A1847,'Cost Center'!A:C,3,FALSE)</f>
        <v>C090020</v>
      </c>
      <c r="D1847" t="s">
        <v>4558</v>
      </c>
      <c r="E1847" t="s">
        <v>685</v>
      </c>
      <c r="F1847" t="s">
        <v>388</v>
      </c>
    </row>
    <row r="1848" spans="1:6">
      <c r="A1848" t="s">
        <v>389</v>
      </c>
      <c r="B1848" t="s">
        <v>1594</v>
      </c>
      <c r="C1848" t="str">
        <f>VLOOKUP(A1848,'Cost Center'!A:C,3,FALSE)</f>
        <v>C090020</v>
      </c>
      <c r="D1848" t="s">
        <v>4558</v>
      </c>
      <c r="E1848" t="s">
        <v>685</v>
      </c>
      <c r="F1848" t="s">
        <v>389</v>
      </c>
    </row>
    <row r="1849" spans="1:6">
      <c r="A1849" t="s">
        <v>390</v>
      </c>
      <c r="B1849" t="s">
        <v>1595</v>
      </c>
      <c r="C1849" t="str">
        <f>VLOOKUP(A1849,'Cost Center'!A:C,3,FALSE)</f>
        <v>C090020</v>
      </c>
      <c r="D1849" t="s">
        <v>4558</v>
      </c>
      <c r="E1849" t="s">
        <v>685</v>
      </c>
      <c r="F1849" t="s">
        <v>390</v>
      </c>
    </row>
    <row r="1850" spans="1:6">
      <c r="A1850" t="s">
        <v>391</v>
      </c>
      <c r="B1850" t="s">
        <v>1596</v>
      </c>
      <c r="C1850" t="str">
        <f>VLOOKUP(A1850,'Cost Center'!A:C,3,FALSE)</f>
        <v>C090020</v>
      </c>
      <c r="D1850" t="s">
        <v>4558</v>
      </c>
      <c r="E1850" t="s">
        <v>685</v>
      </c>
      <c r="F1850" t="s">
        <v>391</v>
      </c>
    </row>
    <row r="1851" spans="1:6">
      <c r="A1851" t="s">
        <v>392</v>
      </c>
      <c r="B1851" t="s">
        <v>1597</v>
      </c>
      <c r="C1851" t="str">
        <f>VLOOKUP(A1851,'Cost Center'!A:C,3,FALSE)</f>
        <v>C090020</v>
      </c>
      <c r="D1851" t="s">
        <v>4558</v>
      </c>
      <c r="E1851" t="s">
        <v>685</v>
      </c>
      <c r="F1851" t="s">
        <v>392</v>
      </c>
    </row>
    <row r="1852" spans="1:6">
      <c r="A1852" t="s">
        <v>393</v>
      </c>
      <c r="B1852" t="s">
        <v>1598</v>
      </c>
      <c r="C1852" t="str">
        <f>VLOOKUP(A1852,'Cost Center'!A:C,3,FALSE)</f>
        <v>C090020</v>
      </c>
      <c r="D1852" t="s">
        <v>4558</v>
      </c>
      <c r="E1852" t="s">
        <v>685</v>
      </c>
      <c r="F1852" t="s">
        <v>393</v>
      </c>
    </row>
    <row r="1853" spans="1:6">
      <c r="A1853" t="s">
        <v>394</v>
      </c>
      <c r="B1853" t="s">
        <v>1599</v>
      </c>
      <c r="C1853" t="str">
        <f>VLOOKUP(A1853,'Cost Center'!A:C,3,FALSE)</f>
        <v>C090020</v>
      </c>
      <c r="D1853" t="s">
        <v>4558</v>
      </c>
      <c r="E1853" t="s">
        <v>685</v>
      </c>
      <c r="F1853" t="s">
        <v>394</v>
      </c>
    </row>
    <row r="1854" spans="1:6">
      <c r="A1854" t="s">
        <v>395</v>
      </c>
      <c r="B1854" t="s">
        <v>1600</v>
      </c>
      <c r="C1854" t="str">
        <f>VLOOKUP(A1854,'Cost Center'!A:C,3,FALSE)</f>
        <v>C090020</v>
      </c>
      <c r="D1854" t="s">
        <v>4558</v>
      </c>
      <c r="E1854" t="s">
        <v>685</v>
      </c>
      <c r="F1854" t="s">
        <v>395</v>
      </c>
    </row>
    <row r="1855" spans="1:6">
      <c r="A1855" t="s">
        <v>3029</v>
      </c>
      <c r="B1855" t="s">
        <v>3030</v>
      </c>
      <c r="C1855" t="str">
        <f>VLOOKUP(A1855,'Cost Center'!A:C,3,FALSE)</f>
        <v>C090020</v>
      </c>
      <c r="D1855" t="s">
        <v>4558</v>
      </c>
      <c r="E1855" t="s">
        <v>685</v>
      </c>
      <c r="F1855" t="s">
        <v>3029</v>
      </c>
    </row>
    <row r="1856" spans="1:6">
      <c r="A1856" t="s">
        <v>396</v>
      </c>
      <c r="B1856" t="s">
        <v>1601</v>
      </c>
      <c r="C1856" t="str">
        <f>VLOOKUP(A1856,'Cost Center'!A:C,3,FALSE)</f>
        <v>C090020</v>
      </c>
      <c r="D1856" t="s">
        <v>4558</v>
      </c>
      <c r="E1856" t="s">
        <v>685</v>
      </c>
      <c r="F1856" t="s">
        <v>396</v>
      </c>
    </row>
    <row r="1857" spans="1:6">
      <c r="A1857" t="s">
        <v>397</v>
      </c>
      <c r="B1857" t="s">
        <v>1602</v>
      </c>
      <c r="C1857" t="str">
        <f>VLOOKUP(A1857,'Cost Center'!A:C,3,FALSE)</f>
        <v>C090020</v>
      </c>
      <c r="D1857" t="s">
        <v>4558</v>
      </c>
      <c r="E1857" t="s">
        <v>685</v>
      </c>
      <c r="F1857" t="s">
        <v>397</v>
      </c>
    </row>
    <row r="1858" spans="1:6">
      <c r="A1858" t="s">
        <v>398</v>
      </c>
      <c r="B1858" t="s">
        <v>1603</v>
      </c>
      <c r="C1858" t="str">
        <f>VLOOKUP(A1858,'Cost Center'!A:C,3,FALSE)</f>
        <v>C090020</v>
      </c>
      <c r="D1858" t="s">
        <v>4558</v>
      </c>
      <c r="E1858" t="s">
        <v>685</v>
      </c>
      <c r="F1858" t="s">
        <v>398</v>
      </c>
    </row>
    <row r="1859" spans="1:6">
      <c r="A1859" t="s">
        <v>399</v>
      </c>
      <c r="B1859" t="s">
        <v>1604</v>
      </c>
      <c r="C1859" t="str">
        <f>VLOOKUP(A1859,'Cost Center'!A:C,3,FALSE)</f>
        <v>C090020</v>
      </c>
      <c r="D1859" t="s">
        <v>4558</v>
      </c>
      <c r="E1859" t="s">
        <v>685</v>
      </c>
      <c r="F1859" t="s">
        <v>399</v>
      </c>
    </row>
    <row r="1860" spans="1:6">
      <c r="A1860" t="s">
        <v>400</v>
      </c>
      <c r="B1860" t="s">
        <v>1605</v>
      </c>
      <c r="C1860" t="str">
        <f>VLOOKUP(A1860,'Cost Center'!A:C,3,FALSE)</f>
        <v>C090020</v>
      </c>
      <c r="D1860" t="s">
        <v>4558</v>
      </c>
      <c r="E1860" t="s">
        <v>685</v>
      </c>
      <c r="F1860" t="s">
        <v>400</v>
      </c>
    </row>
    <row r="1861" spans="1:6">
      <c r="A1861" t="s">
        <v>401</v>
      </c>
      <c r="B1861" t="s">
        <v>1606</v>
      </c>
      <c r="C1861" t="str">
        <f>VLOOKUP(A1861,'Cost Center'!A:C,3,FALSE)</f>
        <v>C090020</v>
      </c>
      <c r="D1861" t="s">
        <v>4558</v>
      </c>
      <c r="E1861" t="s">
        <v>685</v>
      </c>
      <c r="F1861" t="s">
        <v>401</v>
      </c>
    </row>
    <row r="1862" spans="1:6">
      <c r="A1862" t="s">
        <v>402</v>
      </c>
      <c r="B1862" t="s">
        <v>1607</v>
      </c>
      <c r="C1862" t="str">
        <f>VLOOKUP(A1862,'Cost Center'!A:C,3,FALSE)</f>
        <v>C090020</v>
      </c>
      <c r="D1862" t="s">
        <v>4558</v>
      </c>
      <c r="E1862" t="s">
        <v>685</v>
      </c>
      <c r="F1862" t="s">
        <v>402</v>
      </c>
    </row>
    <row r="1863" spans="1:6">
      <c r="A1863" t="s">
        <v>403</v>
      </c>
      <c r="B1863" t="s">
        <v>1608</v>
      </c>
      <c r="C1863" t="str">
        <f>VLOOKUP(A1863,'Cost Center'!A:C,3,FALSE)</f>
        <v>C090020</v>
      </c>
      <c r="D1863" t="s">
        <v>4558</v>
      </c>
      <c r="E1863" t="s">
        <v>685</v>
      </c>
      <c r="F1863" t="s">
        <v>403</v>
      </c>
    </row>
    <row r="1864" spans="1:6">
      <c r="A1864" t="s">
        <v>404</v>
      </c>
      <c r="B1864" t="s">
        <v>1609</v>
      </c>
      <c r="C1864" t="str">
        <f>VLOOKUP(A1864,'Cost Center'!A:C,3,FALSE)</f>
        <v>C090020</v>
      </c>
      <c r="D1864" t="s">
        <v>4558</v>
      </c>
      <c r="E1864" t="s">
        <v>685</v>
      </c>
      <c r="F1864" t="s">
        <v>404</v>
      </c>
    </row>
    <row r="1865" spans="1:6">
      <c r="A1865" t="s">
        <v>405</v>
      </c>
      <c r="B1865" t="s">
        <v>1610</v>
      </c>
      <c r="C1865" t="str">
        <f>VLOOKUP(A1865,'Cost Center'!A:C,3,FALSE)</f>
        <v>C090020</v>
      </c>
      <c r="D1865" t="s">
        <v>4558</v>
      </c>
      <c r="E1865" t="s">
        <v>685</v>
      </c>
      <c r="F1865" t="s">
        <v>405</v>
      </c>
    </row>
    <row r="1866" spans="1:6">
      <c r="A1866" t="s">
        <v>406</v>
      </c>
      <c r="B1866" t="s">
        <v>1611</v>
      </c>
      <c r="C1866" t="str">
        <f>VLOOKUP(A1866,'Cost Center'!A:C,3,FALSE)</f>
        <v>C090020</v>
      </c>
      <c r="D1866" t="s">
        <v>4558</v>
      </c>
      <c r="E1866" t="s">
        <v>685</v>
      </c>
      <c r="F1866" t="s">
        <v>406</v>
      </c>
    </row>
    <row r="1867" spans="1:6">
      <c r="A1867" t="s">
        <v>407</v>
      </c>
      <c r="B1867" t="s">
        <v>1612</v>
      </c>
      <c r="C1867" t="str">
        <f>VLOOKUP(A1867,'Cost Center'!A:C,3,FALSE)</f>
        <v>C090020</v>
      </c>
      <c r="D1867" t="s">
        <v>4558</v>
      </c>
      <c r="E1867" t="s">
        <v>685</v>
      </c>
      <c r="F1867" t="s">
        <v>407</v>
      </c>
    </row>
    <row r="1868" spans="1:6">
      <c r="A1868" t="s">
        <v>408</v>
      </c>
      <c r="B1868" t="s">
        <v>1613</v>
      </c>
      <c r="C1868" t="str">
        <f>VLOOKUP(A1868,'Cost Center'!A:C,3,FALSE)</f>
        <v>C090020</v>
      </c>
      <c r="D1868" t="s">
        <v>4558</v>
      </c>
      <c r="E1868" t="s">
        <v>685</v>
      </c>
      <c r="F1868" t="s">
        <v>408</v>
      </c>
    </row>
    <row r="1869" spans="1:6">
      <c r="A1869" t="s">
        <v>409</v>
      </c>
      <c r="B1869" t="s">
        <v>1614</v>
      </c>
      <c r="C1869" t="str">
        <f>VLOOKUP(A1869,'Cost Center'!A:C,3,FALSE)</f>
        <v>C090020</v>
      </c>
      <c r="D1869" t="s">
        <v>4558</v>
      </c>
      <c r="E1869" t="s">
        <v>685</v>
      </c>
      <c r="F1869" t="s">
        <v>409</v>
      </c>
    </row>
    <row r="1870" spans="1:6">
      <c r="A1870" t="s">
        <v>410</v>
      </c>
      <c r="B1870" t="s">
        <v>1615</v>
      </c>
      <c r="C1870" t="str">
        <f>VLOOKUP(A1870,'Cost Center'!A:C,3,FALSE)</f>
        <v>C090020</v>
      </c>
      <c r="D1870" t="s">
        <v>4558</v>
      </c>
      <c r="E1870" t="s">
        <v>685</v>
      </c>
      <c r="F1870" t="s">
        <v>410</v>
      </c>
    </row>
    <row r="1871" spans="1:6">
      <c r="A1871" t="s">
        <v>411</v>
      </c>
      <c r="B1871" t="s">
        <v>1616</v>
      </c>
      <c r="C1871" t="str">
        <f>VLOOKUP(A1871,'Cost Center'!A:C,3,FALSE)</f>
        <v>C090020</v>
      </c>
      <c r="D1871" t="s">
        <v>4558</v>
      </c>
      <c r="E1871" t="s">
        <v>685</v>
      </c>
      <c r="F1871" t="s">
        <v>411</v>
      </c>
    </row>
    <row r="1872" spans="1:6">
      <c r="A1872" t="s">
        <v>412</v>
      </c>
      <c r="B1872" t="s">
        <v>1617</v>
      </c>
      <c r="C1872" t="str">
        <f>VLOOKUP(A1872,'Cost Center'!A:C,3,FALSE)</f>
        <v>C090020</v>
      </c>
      <c r="D1872" t="s">
        <v>4558</v>
      </c>
      <c r="E1872" t="s">
        <v>685</v>
      </c>
      <c r="F1872" t="s">
        <v>412</v>
      </c>
    </row>
    <row r="1873" spans="1:6">
      <c r="A1873" t="s">
        <v>413</v>
      </c>
      <c r="B1873" t="s">
        <v>1618</v>
      </c>
      <c r="C1873" t="str">
        <f>VLOOKUP(A1873,'Cost Center'!A:C,3,FALSE)</f>
        <v>C090020</v>
      </c>
      <c r="D1873" t="s">
        <v>4558</v>
      </c>
      <c r="E1873" t="s">
        <v>685</v>
      </c>
      <c r="F1873" t="s">
        <v>413</v>
      </c>
    </row>
    <row r="1874" spans="1:6">
      <c r="A1874" t="s">
        <v>414</v>
      </c>
      <c r="B1874" t="s">
        <v>1619</v>
      </c>
      <c r="C1874" t="str">
        <f>VLOOKUP(A1874,'Cost Center'!A:C,3,FALSE)</f>
        <v>C090020</v>
      </c>
      <c r="D1874" t="s">
        <v>4558</v>
      </c>
      <c r="E1874" t="s">
        <v>685</v>
      </c>
      <c r="F1874" t="s">
        <v>414</v>
      </c>
    </row>
    <row r="1875" spans="1:6">
      <c r="A1875" t="s">
        <v>415</v>
      </c>
      <c r="B1875" t="s">
        <v>1620</v>
      </c>
      <c r="C1875" t="str">
        <f>VLOOKUP(A1875,'Cost Center'!A:C,3,FALSE)</f>
        <v>C090020</v>
      </c>
      <c r="D1875" t="s">
        <v>4558</v>
      </c>
      <c r="E1875" t="s">
        <v>685</v>
      </c>
      <c r="F1875" t="s">
        <v>415</v>
      </c>
    </row>
    <row r="1876" spans="1:6">
      <c r="A1876" t="s">
        <v>416</v>
      </c>
      <c r="B1876" t="s">
        <v>1621</v>
      </c>
      <c r="C1876" t="str">
        <f>VLOOKUP(A1876,'Cost Center'!A:C,3,FALSE)</f>
        <v>C090020</v>
      </c>
      <c r="D1876" t="s">
        <v>4558</v>
      </c>
      <c r="E1876" t="s">
        <v>685</v>
      </c>
      <c r="F1876" t="s">
        <v>416</v>
      </c>
    </row>
    <row r="1877" spans="1:6">
      <c r="A1877" t="s">
        <v>417</v>
      </c>
      <c r="B1877" t="s">
        <v>1622</v>
      </c>
      <c r="C1877" t="str">
        <f>VLOOKUP(A1877,'Cost Center'!A:C,3,FALSE)</f>
        <v>C090020</v>
      </c>
      <c r="D1877" t="s">
        <v>4558</v>
      </c>
      <c r="E1877" t="s">
        <v>685</v>
      </c>
      <c r="F1877" t="s">
        <v>417</v>
      </c>
    </row>
    <row r="1878" spans="1:6">
      <c r="A1878" t="s">
        <v>418</v>
      </c>
      <c r="B1878" t="s">
        <v>1623</v>
      </c>
      <c r="C1878" t="str">
        <f>VLOOKUP(A1878,'Cost Center'!A:C,3,FALSE)</f>
        <v>C090020</v>
      </c>
      <c r="D1878" t="s">
        <v>4558</v>
      </c>
      <c r="E1878" t="s">
        <v>685</v>
      </c>
      <c r="F1878" t="s">
        <v>418</v>
      </c>
    </row>
    <row r="1879" spans="1:6">
      <c r="A1879" t="s">
        <v>419</v>
      </c>
      <c r="B1879" t="s">
        <v>1624</v>
      </c>
      <c r="C1879" t="str">
        <f>VLOOKUP(A1879,'Cost Center'!A:C,3,FALSE)</f>
        <v>C090020</v>
      </c>
      <c r="D1879" t="s">
        <v>4558</v>
      </c>
      <c r="E1879" t="s">
        <v>685</v>
      </c>
      <c r="F1879" t="s">
        <v>419</v>
      </c>
    </row>
    <row r="1880" spans="1:6">
      <c r="A1880" t="s">
        <v>420</v>
      </c>
      <c r="B1880" t="s">
        <v>1625</v>
      </c>
      <c r="C1880" t="str">
        <f>VLOOKUP(A1880,'Cost Center'!A:C,3,FALSE)</f>
        <v>C090020</v>
      </c>
      <c r="D1880" t="s">
        <v>4558</v>
      </c>
      <c r="E1880" t="s">
        <v>685</v>
      </c>
      <c r="F1880" t="s">
        <v>420</v>
      </c>
    </row>
    <row r="1881" spans="1:6">
      <c r="A1881" t="s">
        <v>421</v>
      </c>
      <c r="B1881" t="s">
        <v>1626</v>
      </c>
      <c r="C1881" t="str">
        <f>VLOOKUP(A1881,'Cost Center'!A:C,3,FALSE)</f>
        <v>C090020</v>
      </c>
      <c r="D1881" t="s">
        <v>4558</v>
      </c>
      <c r="E1881" t="s">
        <v>685</v>
      </c>
      <c r="F1881" t="s">
        <v>421</v>
      </c>
    </row>
    <row r="1882" spans="1:6">
      <c r="A1882" t="s">
        <v>422</v>
      </c>
      <c r="B1882" t="s">
        <v>1627</v>
      </c>
      <c r="C1882" t="str">
        <f>VLOOKUP(A1882,'Cost Center'!A:C,3,FALSE)</f>
        <v>C090020</v>
      </c>
      <c r="D1882" t="s">
        <v>4558</v>
      </c>
      <c r="E1882" t="s">
        <v>685</v>
      </c>
      <c r="F1882" t="s">
        <v>422</v>
      </c>
    </row>
    <row r="1883" spans="1:6">
      <c r="A1883" t="s">
        <v>423</v>
      </c>
      <c r="B1883" t="s">
        <v>1628</v>
      </c>
      <c r="C1883" t="str">
        <f>VLOOKUP(A1883,'Cost Center'!A:C,3,FALSE)</f>
        <v>C090020</v>
      </c>
      <c r="D1883" t="s">
        <v>4558</v>
      </c>
      <c r="E1883" t="s">
        <v>685</v>
      </c>
      <c r="F1883" t="s">
        <v>423</v>
      </c>
    </row>
    <row r="1884" spans="1:6">
      <c r="A1884" t="s">
        <v>424</v>
      </c>
      <c r="B1884" t="s">
        <v>1629</v>
      </c>
      <c r="C1884" t="str">
        <f>VLOOKUP(A1884,'Cost Center'!A:C,3,FALSE)</f>
        <v>C090020</v>
      </c>
      <c r="D1884" t="s">
        <v>4558</v>
      </c>
      <c r="E1884" t="s">
        <v>685</v>
      </c>
      <c r="F1884" t="s">
        <v>424</v>
      </c>
    </row>
    <row r="1885" spans="1:6">
      <c r="A1885" t="s">
        <v>425</v>
      </c>
      <c r="B1885" t="s">
        <v>1630</v>
      </c>
      <c r="C1885" t="str">
        <f>VLOOKUP(A1885,'Cost Center'!A:C,3,FALSE)</f>
        <v>C090020</v>
      </c>
      <c r="D1885" t="s">
        <v>4558</v>
      </c>
      <c r="E1885" t="s">
        <v>685</v>
      </c>
      <c r="F1885" t="s">
        <v>425</v>
      </c>
    </row>
    <row r="1886" spans="1:6">
      <c r="A1886" t="s">
        <v>426</v>
      </c>
      <c r="B1886" t="s">
        <v>1631</v>
      </c>
      <c r="C1886" t="str">
        <f>VLOOKUP(A1886,'Cost Center'!A:C,3,FALSE)</f>
        <v>C090020</v>
      </c>
      <c r="D1886" t="s">
        <v>4558</v>
      </c>
      <c r="E1886" t="s">
        <v>685</v>
      </c>
      <c r="F1886" t="s">
        <v>426</v>
      </c>
    </row>
    <row r="1887" spans="1:6">
      <c r="A1887" t="s">
        <v>427</v>
      </c>
      <c r="B1887" t="s">
        <v>1632</v>
      </c>
      <c r="C1887" t="str">
        <f>VLOOKUP(A1887,'Cost Center'!A:C,3,FALSE)</f>
        <v>C090020</v>
      </c>
      <c r="D1887" t="s">
        <v>4558</v>
      </c>
      <c r="E1887" t="s">
        <v>685</v>
      </c>
      <c r="F1887" t="s">
        <v>427</v>
      </c>
    </row>
    <row r="1888" spans="1:6">
      <c r="A1888" t="s">
        <v>428</v>
      </c>
      <c r="B1888" t="s">
        <v>1633</v>
      </c>
      <c r="C1888" t="str">
        <f>VLOOKUP(A1888,'Cost Center'!A:C,3,FALSE)</f>
        <v>C090020</v>
      </c>
      <c r="D1888" t="s">
        <v>4558</v>
      </c>
      <c r="E1888" t="s">
        <v>685</v>
      </c>
      <c r="F1888" t="s">
        <v>428</v>
      </c>
    </row>
    <row r="1889" spans="1:6">
      <c r="A1889" t="s">
        <v>429</v>
      </c>
      <c r="B1889" t="s">
        <v>1634</v>
      </c>
      <c r="C1889" t="str">
        <f>VLOOKUP(A1889,'Cost Center'!A:C,3,FALSE)</f>
        <v>C090020</v>
      </c>
      <c r="D1889" t="s">
        <v>4558</v>
      </c>
      <c r="E1889" t="s">
        <v>685</v>
      </c>
      <c r="F1889" t="s">
        <v>429</v>
      </c>
    </row>
    <row r="1890" spans="1:6">
      <c r="A1890" t="s">
        <v>430</v>
      </c>
      <c r="B1890" t="s">
        <v>1635</v>
      </c>
      <c r="C1890" t="str">
        <f>VLOOKUP(A1890,'Cost Center'!A:C,3,FALSE)</f>
        <v>C090020</v>
      </c>
      <c r="D1890" t="s">
        <v>4558</v>
      </c>
      <c r="E1890" t="s">
        <v>685</v>
      </c>
      <c r="F1890" t="s">
        <v>430</v>
      </c>
    </row>
    <row r="1891" spans="1:6">
      <c r="A1891" t="s">
        <v>431</v>
      </c>
      <c r="B1891" t="s">
        <v>1636</v>
      </c>
      <c r="C1891" t="str">
        <f>VLOOKUP(A1891,'Cost Center'!A:C,3,FALSE)</f>
        <v>C090020</v>
      </c>
      <c r="D1891" t="s">
        <v>4558</v>
      </c>
      <c r="E1891" t="s">
        <v>685</v>
      </c>
      <c r="F1891" t="s">
        <v>431</v>
      </c>
    </row>
    <row r="1892" spans="1:6">
      <c r="A1892" t="s">
        <v>432</v>
      </c>
      <c r="B1892" t="s">
        <v>1637</v>
      </c>
      <c r="C1892" t="str">
        <f>VLOOKUP(A1892,'Cost Center'!A:C,3,FALSE)</f>
        <v>C090020</v>
      </c>
      <c r="D1892" t="s">
        <v>4558</v>
      </c>
      <c r="E1892" t="s">
        <v>685</v>
      </c>
      <c r="F1892" t="s">
        <v>432</v>
      </c>
    </row>
    <row r="1893" spans="1:6">
      <c r="A1893" t="s">
        <v>433</v>
      </c>
      <c r="B1893" t="s">
        <v>1638</v>
      </c>
      <c r="C1893" t="str">
        <f>VLOOKUP(A1893,'Cost Center'!A:C,3,FALSE)</f>
        <v>C090020</v>
      </c>
      <c r="D1893" t="s">
        <v>4558</v>
      </c>
      <c r="E1893" t="s">
        <v>685</v>
      </c>
      <c r="F1893" t="s">
        <v>433</v>
      </c>
    </row>
    <row r="1894" spans="1:6">
      <c r="A1894" t="s">
        <v>434</v>
      </c>
      <c r="B1894" t="s">
        <v>1639</v>
      </c>
      <c r="C1894" t="str">
        <f>VLOOKUP(A1894,'Cost Center'!A:C,3,FALSE)</f>
        <v>C090020</v>
      </c>
      <c r="D1894" t="s">
        <v>4558</v>
      </c>
      <c r="E1894" t="s">
        <v>685</v>
      </c>
      <c r="F1894" t="s">
        <v>434</v>
      </c>
    </row>
    <row r="1895" spans="1:6">
      <c r="A1895" t="s">
        <v>435</v>
      </c>
      <c r="B1895" t="s">
        <v>1640</v>
      </c>
      <c r="C1895" t="str">
        <f>VLOOKUP(A1895,'Cost Center'!A:C,3,FALSE)</f>
        <v>C090020</v>
      </c>
      <c r="D1895" t="s">
        <v>4558</v>
      </c>
      <c r="E1895" t="s">
        <v>685</v>
      </c>
      <c r="F1895" t="s">
        <v>435</v>
      </c>
    </row>
    <row r="1896" spans="1:6">
      <c r="A1896" t="s">
        <v>436</v>
      </c>
      <c r="B1896" t="s">
        <v>1641</v>
      </c>
      <c r="C1896" t="str">
        <f>VLOOKUP(A1896,'Cost Center'!A:C,3,FALSE)</f>
        <v>C090020</v>
      </c>
      <c r="D1896" t="s">
        <v>4558</v>
      </c>
      <c r="E1896" t="s">
        <v>685</v>
      </c>
      <c r="F1896" t="s">
        <v>436</v>
      </c>
    </row>
    <row r="1897" spans="1:6">
      <c r="A1897" t="s">
        <v>437</v>
      </c>
      <c r="B1897" t="s">
        <v>1642</v>
      </c>
      <c r="C1897" t="str">
        <f>VLOOKUP(A1897,'Cost Center'!A:C,3,FALSE)</f>
        <v>C090020</v>
      </c>
      <c r="D1897" t="s">
        <v>4558</v>
      </c>
      <c r="E1897" t="s">
        <v>685</v>
      </c>
      <c r="F1897" t="s">
        <v>437</v>
      </c>
    </row>
    <row r="1898" spans="1:6">
      <c r="A1898" t="s">
        <v>438</v>
      </c>
      <c r="B1898" t="s">
        <v>1643</v>
      </c>
      <c r="C1898" t="str">
        <f>VLOOKUP(A1898,'Cost Center'!A:C,3,FALSE)</f>
        <v>C090020</v>
      </c>
      <c r="D1898" t="s">
        <v>4558</v>
      </c>
      <c r="E1898" t="s">
        <v>685</v>
      </c>
      <c r="F1898" t="s">
        <v>438</v>
      </c>
    </row>
    <row r="1899" spans="1:6">
      <c r="A1899" t="s">
        <v>439</v>
      </c>
      <c r="B1899" t="s">
        <v>1644</v>
      </c>
      <c r="C1899" t="str">
        <f>VLOOKUP(A1899,'Cost Center'!A:C,3,FALSE)</f>
        <v>C090020</v>
      </c>
      <c r="D1899" t="s">
        <v>4558</v>
      </c>
      <c r="E1899" t="s">
        <v>685</v>
      </c>
      <c r="F1899" t="s">
        <v>439</v>
      </c>
    </row>
    <row r="1900" spans="1:6">
      <c r="A1900" t="s">
        <v>440</v>
      </c>
      <c r="B1900" t="s">
        <v>1645</v>
      </c>
      <c r="C1900" t="str">
        <f>VLOOKUP(A1900,'Cost Center'!A:C,3,FALSE)</f>
        <v>C090020</v>
      </c>
      <c r="D1900" t="s">
        <v>4558</v>
      </c>
      <c r="E1900" t="s">
        <v>685</v>
      </c>
      <c r="F1900" t="s">
        <v>440</v>
      </c>
    </row>
    <row r="1901" spans="1:6">
      <c r="A1901" t="s">
        <v>441</v>
      </c>
      <c r="B1901" t="s">
        <v>1646</v>
      </c>
      <c r="C1901" t="str">
        <f>VLOOKUP(A1901,'Cost Center'!A:C,3,FALSE)</f>
        <v>C090020</v>
      </c>
      <c r="D1901" t="s">
        <v>4558</v>
      </c>
      <c r="E1901" t="s">
        <v>685</v>
      </c>
      <c r="F1901" t="s">
        <v>441</v>
      </c>
    </row>
    <row r="1902" spans="1:6">
      <c r="A1902" t="s">
        <v>442</v>
      </c>
      <c r="B1902" t="s">
        <v>1647</v>
      </c>
      <c r="C1902" t="str">
        <f>VLOOKUP(A1902,'Cost Center'!A:C,3,FALSE)</f>
        <v>C090020</v>
      </c>
      <c r="D1902" t="s">
        <v>4558</v>
      </c>
      <c r="E1902" t="s">
        <v>685</v>
      </c>
      <c r="F1902" t="s">
        <v>442</v>
      </c>
    </row>
    <row r="1903" spans="1:6">
      <c r="A1903" t="s">
        <v>443</v>
      </c>
      <c r="B1903" t="s">
        <v>1648</v>
      </c>
      <c r="C1903" t="str">
        <f>VLOOKUP(A1903,'Cost Center'!A:C,3,FALSE)</f>
        <v>C090020</v>
      </c>
      <c r="D1903" t="s">
        <v>4558</v>
      </c>
      <c r="E1903" t="s">
        <v>685</v>
      </c>
      <c r="F1903" t="s">
        <v>443</v>
      </c>
    </row>
    <row r="1904" spans="1:6">
      <c r="A1904" t="s">
        <v>444</v>
      </c>
      <c r="B1904" t="s">
        <v>1649</v>
      </c>
      <c r="C1904" t="str">
        <f>VLOOKUP(A1904,'Cost Center'!A:C,3,FALSE)</f>
        <v>C090020</v>
      </c>
      <c r="D1904" t="s">
        <v>4558</v>
      </c>
      <c r="E1904" t="s">
        <v>685</v>
      </c>
      <c r="F1904" t="s">
        <v>444</v>
      </c>
    </row>
    <row r="1905" spans="1:6">
      <c r="A1905" t="s">
        <v>445</v>
      </c>
      <c r="B1905" t="s">
        <v>1650</v>
      </c>
      <c r="C1905" t="str">
        <f>VLOOKUP(A1905,'Cost Center'!A:C,3,FALSE)</f>
        <v>C090020</v>
      </c>
      <c r="D1905" t="s">
        <v>4558</v>
      </c>
      <c r="E1905" t="s">
        <v>685</v>
      </c>
      <c r="F1905" t="s">
        <v>445</v>
      </c>
    </row>
    <row r="1906" spans="1:6">
      <c r="A1906" t="s">
        <v>446</v>
      </c>
      <c r="B1906" t="s">
        <v>1651</v>
      </c>
      <c r="C1906" t="str">
        <f>VLOOKUP(A1906,'Cost Center'!A:C,3,FALSE)</f>
        <v>C090020</v>
      </c>
      <c r="D1906" t="s">
        <v>4558</v>
      </c>
      <c r="E1906" t="s">
        <v>685</v>
      </c>
      <c r="F1906" t="s">
        <v>446</v>
      </c>
    </row>
    <row r="1907" spans="1:6">
      <c r="A1907" t="s">
        <v>447</v>
      </c>
      <c r="B1907" t="s">
        <v>1652</v>
      </c>
      <c r="C1907" t="str">
        <f>VLOOKUP(A1907,'Cost Center'!A:C,3,FALSE)</f>
        <v>C090020</v>
      </c>
      <c r="D1907" t="s">
        <v>4558</v>
      </c>
      <c r="E1907" t="s">
        <v>685</v>
      </c>
      <c r="F1907" t="s">
        <v>447</v>
      </c>
    </row>
    <row r="1908" spans="1:6">
      <c r="A1908" t="s">
        <v>448</v>
      </c>
      <c r="B1908" t="s">
        <v>1653</v>
      </c>
      <c r="C1908" t="str">
        <f>VLOOKUP(A1908,'Cost Center'!A:C,3,FALSE)</f>
        <v>C090020</v>
      </c>
      <c r="D1908" t="s">
        <v>4558</v>
      </c>
      <c r="E1908" t="s">
        <v>685</v>
      </c>
      <c r="F1908" t="s">
        <v>448</v>
      </c>
    </row>
    <row r="1909" spans="1:6">
      <c r="A1909" t="s">
        <v>449</v>
      </c>
      <c r="B1909" t="s">
        <v>1654</v>
      </c>
      <c r="C1909" t="str">
        <f>VLOOKUP(A1909,'Cost Center'!A:C,3,FALSE)</f>
        <v>C090020</v>
      </c>
      <c r="D1909" t="s">
        <v>4558</v>
      </c>
      <c r="E1909" t="s">
        <v>685</v>
      </c>
      <c r="F1909" t="s">
        <v>449</v>
      </c>
    </row>
    <row r="1910" spans="1:6">
      <c r="A1910" t="s">
        <v>3031</v>
      </c>
      <c r="B1910" t="s">
        <v>3032</v>
      </c>
      <c r="C1910" t="str">
        <f>VLOOKUP(A1910,'Cost Center'!A:C,3,FALSE)</f>
        <v>C090020</v>
      </c>
      <c r="D1910" t="s">
        <v>4558</v>
      </c>
      <c r="E1910" t="s">
        <v>685</v>
      </c>
      <c r="F1910" t="s">
        <v>3031</v>
      </c>
    </row>
    <row r="1911" spans="1:6">
      <c r="A1911" t="s">
        <v>3033</v>
      </c>
      <c r="B1911" t="s">
        <v>3034</v>
      </c>
      <c r="C1911" t="str">
        <f>VLOOKUP(A1911,'Cost Center'!A:C,3,FALSE)</f>
        <v>C090020</v>
      </c>
      <c r="D1911" t="s">
        <v>4558</v>
      </c>
      <c r="E1911" t="s">
        <v>685</v>
      </c>
      <c r="F1911" t="s">
        <v>3033</v>
      </c>
    </row>
    <row r="1912" spans="1:6">
      <c r="A1912" t="s">
        <v>3035</v>
      </c>
      <c r="B1912" t="s">
        <v>3036</v>
      </c>
      <c r="C1912" t="str">
        <f>VLOOKUP(A1912,'Cost Center'!A:C,3,FALSE)</f>
        <v>C090020</v>
      </c>
      <c r="D1912" t="s">
        <v>4558</v>
      </c>
      <c r="E1912" t="s">
        <v>685</v>
      </c>
      <c r="F1912" t="s">
        <v>3035</v>
      </c>
    </row>
    <row r="1913" spans="1:6">
      <c r="A1913" t="s">
        <v>3037</v>
      </c>
      <c r="B1913" t="s">
        <v>3038</v>
      </c>
      <c r="C1913" t="str">
        <f>VLOOKUP(A1913,'Cost Center'!A:C,3,FALSE)</f>
        <v>C090020</v>
      </c>
      <c r="D1913" t="s">
        <v>4558</v>
      </c>
      <c r="E1913" t="s">
        <v>685</v>
      </c>
      <c r="F1913" t="s">
        <v>3037</v>
      </c>
    </row>
    <row r="1914" spans="1:6">
      <c r="A1914" t="s">
        <v>450</v>
      </c>
      <c r="B1914" t="s">
        <v>1655</v>
      </c>
      <c r="C1914" t="str">
        <f>VLOOKUP(A1914,'Cost Center'!A:C,3,FALSE)</f>
        <v>C090020</v>
      </c>
      <c r="D1914" t="s">
        <v>4558</v>
      </c>
      <c r="E1914" t="s">
        <v>685</v>
      </c>
      <c r="F1914" t="s">
        <v>450</v>
      </c>
    </row>
    <row r="1915" spans="1:6">
      <c r="A1915" t="s">
        <v>451</v>
      </c>
      <c r="B1915" t="s">
        <v>1656</v>
      </c>
      <c r="C1915" t="str">
        <f>VLOOKUP(A1915,'Cost Center'!A:C,3,FALSE)</f>
        <v>C090020</v>
      </c>
      <c r="D1915" t="s">
        <v>4558</v>
      </c>
      <c r="E1915" t="s">
        <v>685</v>
      </c>
      <c r="F1915" t="s">
        <v>451</v>
      </c>
    </row>
    <row r="1916" spans="1:6">
      <c r="A1916" t="s">
        <v>452</v>
      </c>
      <c r="B1916" t="s">
        <v>1657</v>
      </c>
      <c r="C1916" t="str">
        <f>VLOOKUP(A1916,'Cost Center'!A:C,3,FALSE)</f>
        <v>C090020</v>
      </c>
      <c r="D1916" t="s">
        <v>4558</v>
      </c>
      <c r="E1916" t="s">
        <v>685</v>
      </c>
      <c r="F1916" t="s">
        <v>452</v>
      </c>
    </row>
    <row r="1917" spans="1:6">
      <c r="A1917" t="s">
        <v>453</v>
      </c>
      <c r="B1917" t="s">
        <v>1658</v>
      </c>
      <c r="C1917" t="str">
        <f>VLOOKUP(A1917,'Cost Center'!A:C,3,FALSE)</f>
        <v>C090020</v>
      </c>
      <c r="D1917" t="s">
        <v>4558</v>
      </c>
      <c r="E1917" t="s">
        <v>685</v>
      </c>
      <c r="F1917" t="s">
        <v>453</v>
      </c>
    </row>
    <row r="1918" spans="1:6">
      <c r="A1918" t="s">
        <v>454</v>
      </c>
      <c r="B1918" t="s">
        <v>1659</v>
      </c>
      <c r="C1918" t="str">
        <f>VLOOKUP(A1918,'Cost Center'!A:C,3,FALSE)</f>
        <v>C090020</v>
      </c>
      <c r="D1918" t="s">
        <v>4558</v>
      </c>
      <c r="E1918" t="s">
        <v>685</v>
      </c>
      <c r="F1918" t="s">
        <v>454</v>
      </c>
    </row>
    <row r="1919" spans="1:6">
      <c r="A1919" t="s">
        <v>455</v>
      </c>
      <c r="B1919" t="s">
        <v>1660</v>
      </c>
      <c r="C1919" t="str">
        <f>VLOOKUP(A1919,'Cost Center'!A:C,3,FALSE)</f>
        <v>C090020</v>
      </c>
      <c r="D1919" t="s">
        <v>4558</v>
      </c>
      <c r="E1919" t="s">
        <v>685</v>
      </c>
      <c r="F1919" t="s">
        <v>455</v>
      </c>
    </row>
    <row r="1920" spans="1:6">
      <c r="A1920" t="s">
        <v>3039</v>
      </c>
      <c r="B1920" t="s">
        <v>3040</v>
      </c>
      <c r="C1920" t="str">
        <f>VLOOKUP(A1920,'Cost Center'!A:C,3,FALSE)</f>
        <v>C090020</v>
      </c>
      <c r="D1920" t="s">
        <v>4558</v>
      </c>
      <c r="E1920" t="s">
        <v>685</v>
      </c>
      <c r="F1920" t="s">
        <v>3039</v>
      </c>
    </row>
    <row r="1921" spans="1:6">
      <c r="A1921" t="s">
        <v>3041</v>
      </c>
      <c r="B1921" t="s">
        <v>3042</v>
      </c>
      <c r="C1921" t="str">
        <f>VLOOKUP(A1921,'Cost Center'!A:C,3,FALSE)</f>
        <v>C090020</v>
      </c>
      <c r="D1921" t="s">
        <v>4558</v>
      </c>
      <c r="E1921" t="s">
        <v>685</v>
      </c>
      <c r="F1921" t="s">
        <v>3041</v>
      </c>
    </row>
    <row r="1922" spans="1:6">
      <c r="A1922" t="s">
        <v>456</v>
      </c>
      <c r="B1922" t="s">
        <v>1661</v>
      </c>
      <c r="C1922" t="str">
        <f>VLOOKUP(A1922,'Cost Center'!A:C,3,FALSE)</f>
        <v>C090020</v>
      </c>
      <c r="D1922" t="s">
        <v>4558</v>
      </c>
      <c r="E1922" t="s">
        <v>685</v>
      </c>
      <c r="F1922" t="s">
        <v>456</v>
      </c>
    </row>
    <row r="1923" spans="1:6">
      <c r="A1923" t="s">
        <v>457</v>
      </c>
      <c r="B1923" t="s">
        <v>1662</v>
      </c>
      <c r="C1923" t="str">
        <f>VLOOKUP(A1923,'Cost Center'!A:C,3,FALSE)</f>
        <v>C090020</v>
      </c>
      <c r="D1923" t="s">
        <v>4558</v>
      </c>
      <c r="E1923" t="s">
        <v>685</v>
      </c>
      <c r="F1923" t="s">
        <v>457</v>
      </c>
    </row>
    <row r="1924" spans="1:6">
      <c r="A1924" t="s">
        <v>458</v>
      </c>
      <c r="B1924" t="s">
        <v>1663</v>
      </c>
      <c r="C1924" t="str">
        <f>VLOOKUP(A1924,'Cost Center'!A:C,3,FALSE)</f>
        <v>C090020</v>
      </c>
      <c r="D1924" t="s">
        <v>4558</v>
      </c>
      <c r="E1924" t="s">
        <v>685</v>
      </c>
      <c r="F1924" t="s">
        <v>458</v>
      </c>
    </row>
    <row r="1925" spans="1:6">
      <c r="A1925" t="s">
        <v>459</v>
      </c>
      <c r="B1925" t="s">
        <v>1664</v>
      </c>
      <c r="C1925" t="str">
        <f>VLOOKUP(A1925,'Cost Center'!A:C,3,FALSE)</f>
        <v>C090020</v>
      </c>
      <c r="D1925" t="s">
        <v>4558</v>
      </c>
      <c r="E1925" t="s">
        <v>685</v>
      </c>
      <c r="F1925" t="s">
        <v>459</v>
      </c>
    </row>
    <row r="1926" spans="1:6">
      <c r="A1926" t="s">
        <v>3043</v>
      </c>
      <c r="B1926" t="s">
        <v>3044</v>
      </c>
      <c r="C1926" t="str">
        <f>VLOOKUP(A1926,'Cost Center'!A:C,3,FALSE)</f>
        <v>C090020</v>
      </c>
      <c r="D1926" t="s">
        <v>4558</v>
      </c>
      <c r="E1926" t="s">
        <v>685</v>
      </c>
      <c r="F1926" t="s">
        <v>3043</v>
      </c>
    </row>
    <row r="1927" spans="1:6">
      <c r="A1927" t="s">
        <v>460</v>
      </c>
      <c r="B1927" t="s">
        <v>1665</v>
      </c>
      <c r="C1927" t="str">
        <f>VLOOKUP(A1927,'Cost Center'!A:C,3,FALSE)</f>
        <v>C090020</v>
      </c>
      <c r="D1927" t="s">
        <v>4558</v>
      </c>
      <c r="E1927" t="s">
        <v>685</v>
      </c>
      <c r="F1927" t="s">
        <v>460</v>
      </c>
    </row>
    <row r="1928" spans="1:6">
      <c r="A1928" t="s">
        <v>1666</v>
      </c>
      <c r="B1928" t="s">
        <v>1667</v>
      </c>
      <c r="C1928" t="str">
        <f>VLOOKUP(A1928,'Cost Center'!A:C,3,FALSE)</f>
        <v>C090020</v>
      </c>
      <c r="D1928" t="s">
        <v>4558</v>
      </c>
      <c r="E1928" t="s">
        <v>685</v>
      </c>
      <c r="F1928" t="s">
        <v>1666</v>
      </c>
    </row>
    <row r="1929" spans="1:6">
      <c r="A1929" t="s">
        <v>461</v>
      </c>
      <c r="B1929" t="s">
        <v>1668</v>
      </c>
      <c r="C1929" t="str">
        <f>VLOOKUP(A1929,'Cost Center'!A:C,3,FALSE)</f>
        <v>C090020</v>
      </c>
      <c r="D1929" t="s">
        <v>4558</v>
      </c>
      <c r="E1929" t="s">
        <v>685</v>
      </c>
      <c r="F1929" t="s">
        <v>461</v>
      </c>
    </row>
    <row r="1930" spans="1:6">
      <c r="A1930" t="s">
        <v>462</v>
      </c>
      <c r="B1930" t="s">
        <v>1669</v>
      </c>
      <c r="C1930" t="str">
        <f>VLOOKUP(A1930,'Cost Center'!A:C,3,FALSE)</f>
        <v>C090020</v>
      </c>
      <c r="D1930" t="s">
        <v>4558</v>
      </c>
      <c r="E1930" t="s">
        <v>685</v>
      </c>
      <c r="F1930" t="s">
        <v>462</v>
      </c>
    </row>
    <row r="1931" spans="1:6">
      <c r="A1931" t="s">
        <v>3045</v>
      </c>
      <c r="B1931" t="s">
        <v>3046</v>
      </c>
      <c r="C1931" t="str">
        <f>VLOOKUP(A1931,'Cost Center'!A:C,3,FALSE)</f>
        <v>C090020</v>
      </c>
      <c r="D1931" t="s">
        <v>4558</v>
      </c>
      <c r="E1931" t="s">
        <v>685</v>
      </c>
      <c r="F1931" t="s">
        <v>3045</v>
      </c>
    </row>
    <row r="1932" spans="1:6">
      <c r="A1932" t="s">
        <v>463</v>
      </c>
      <c r="B1932" t="s">
        <v>1670</v>
      </c>
      <c r="C1932" t="str">
        <f>VLOOKUP(A1932,'Cost Center'!A:C,3,FALSE)</f>
        <v>C090020</v>
      </c>
      <c r="D1932" t="s">
        <v>4558</v>
      </c>
      <c r="E1932" t="s">
        <v>685</v>
      </c>
      <c r="F1932" t="s">
        <v>463</v>
      </c>
    </row>
    <row r="1933" spans="1:6">
      <c r="A1933" t="s">
        <v>464</v>
      </c>
      <c r="B1933" t="s">
        <v>1671</v>
      </c>
      <c r="C1933" t="str">
        <f>VLOOKUP(A1933,'Cost Center'!A:C,3,FALSE)</f>
        <v>C090020</v>
      </c>
      <c r="D1933" t="s">
        <v>4558</v>
      </c>
      <c r="E1933" t="s">
        <v>685</v>
      </c>
      <c r="F1933" t="s">
        <v>464</v>
      </c>
    </row>
    <row r="1934" spans="1:6">
      <c r="A1934" t="s">
        <v>465</v>
      </c>
      <c r="B1934" t="s">
        <v>1672</v>
      </c>
      <c r="C1934" t="str">
        <f>VLOOKUP(A1934,'Cost Center'!A:C,3,FALSE)</f>
        <v>C090020</v>
      </c>
      <c r="D1934" t="s">
        <v>4558</v>
      </c>
      <c r="E1934" t="s">
        <v>685</v>
      </c>
      <c r="F1934" t="s">
        <v>465</v>
      </c>
    </row>
    <row r="1935" spans="1:6">
      <c r="A1935" t="s">
        <v>466</v>
      </c>
      <c r="B1935" t="s">
        <v>1673</v>
      </c>
      <c r="C1935" t="str">
        <f>VLOOKUP(A1935,'Cost Center'!A:C,3,FALSE)</f>
        <v>C090020</v>
      </c>
      <c r="D1935" t="s">
        <v>4558</v>
      </c>
      <c r="E1935" t="s">
        <v>685</v>
      </c>
      <c r="F1935" t="s">
        <v>466</v>
      </c>
    </row>
    <row r="1936" spans="1:6">
      <c r="A1936" t="s">
        <v>467</v>
      </c>
      <c r="B1936" t="s">
        <v>1674</v>
      </c>
      <c r="C1936" t="str">
        <f>VLOOKUP(A1936,'Cost Center'!A:C,3,FALSE)</f>
        <v>C090020</v>
      </c>
      <c r="D1936" t="s">
        <v>4558</v>
      </c>
      <c r="E1936" t="s">
        <v>685</v>
      </c>
      <c r="F1936" t="s">
        <v>467</v>
      </c>
    </row>
    <row r="1937" spans="1:6">
      <c r="A1937" t="s">
        <v>468</v>
      </c>
      <c r="B1937" t="s">
        <v>1675</v>
      </c>
      <c r="C1937" t="str">
        <f>VLOOKUP(A1937,'Cost Center'!A:C,3,FALSE)</f>
        <v>C090020</v>
      </c>
      <c r="D1937" t="s">
        <v>4558</v>
      </c>
      <c r="E1937" t="s">
        <v>685</v>
      </c>
      <c r="F1937" t="s">
        <v>468</v>
      </c>
    </row>
    <row r="1938" spans="1:6">
      <c r="A1938" t="s">
        <v>469</v>
      </c>
      <c r="B1938" t="s">
        <v>1676</v>
      </c>
      <c r="C1938" t="str">
        <f>VLOOKUP(A1938,'Cost Center'!A:C,3,FALSE)</f>
        <v>C090020</v>
      </c>
      <c r="D1938" t="s">
        <v>4558</v>
      </c>
      <c r="E1938" t="s">
        <v>685</v>
      </c>
      <c r="F1938" t="s">
        <v>469</v>
      </c>
    </row>
    <row r="1939" spans="1:6">
      <c r="A1939" t="s">
        <v>470</v>
      </c>
      <c r="B1939" t="s">
        <v>1677</v>
      </c>
      <c r="C1939" t="str">
        <f>VLOOKUP(A1939,'Cost Center'!A:C,3,FALSE)</f>
        <v>C090020</v>
      </c>
      <c r="D1939" t="s">
        <v>4558</v>
      </c>
      <c r="E1939" t="s">
        <v>685</v>
      </c>
      <c r="F1939" t="s">
        <v>470</v>
      </c>
    </row>
    <row r="1940" spans="1:6">
      <c r="A1940" t="s">
        <v>471</v>
      </c>
      <c r="B1940" t="s">
        <v>1678</v>
      </c>
      <c r="C1940" t="str">
        <f>VLOOKUP(A1940,'Cost Center'!A:C,3,FALSE)</f>
        <v>C090020</v>
      </c>
      <c r="D1940" t="s">
        <v>4558</v>
      </c>
      <c r="E1940" t="s">
        <v>685</v>
      </c>
      <c r="F1940" t="s">
        <v>471</v>
      </c>
    </row>
    <row r="1941" spans="1:6">
      <c r="A1941" t="s">
        <v>3047</v>
      </c>
      <c r="B1941" t="s">
        <v>3048</v>
      </c>
      <c r="C1941" t="str">
        <f>VLOOKUP(A1941,'Cost Center'!A:C,3,FALSE)</f>
        <v>C090020</v>
      </c>
      <c r="D1941" t="s">
        <v>4558</v>
      </c>
      <c r="E1941" t="s">
        <v>685</v>
      </c>
      <c r="F1941" t="s">
        <v>3047</v>
      </c>
    </row>
    <row r="1942" spans="1:6">
      <c r="A1942" t="s">
        <v>472</v>
      </c>
      <c r="B1942" t="s">
        <v>1679</v>
      </c>
      <c r="C1942" t="str">
        <f>VLOOKUP(A1942,'Cost Center'!A:C,3,FALSE)</f>
        <v>C090020</v>
      </c>
      <c r="D1942" t="s">
        <v>4558</v>
      </c>
      <c r="E1942" t="s">
        <v>685</v>
      </c>
      <c r="F1942" t="s">
        <v>472</v>
      </c>
    </row>
    <row r="1943" spans="1:6">
      <c r="A1943" t="s">
        <v>473</v>
      </c>
      <c r="B1943" t="s">
        <v>1680</v>
      </c>
      <c r="C1943" t="str">
        <f>VLOOKUP(A1943,'Cost Center'!A:C,3,FALSE)</f>
        <v>C090020</v>
      </c>
      <c r="D1943" t="s">
        <v>4558</v>
      </c>
      <c r="E1943" t="s">
        <v>685</v>
      </c>
      <c r="F1943" t="s">
        <v>473</v>
      </c>
    </row>
    <row r="1944" spans="1:6">
      <c r="A1944" t="s">
        <v>474</v>
      </c>
      <c r="B1944" t="s">
        <v>1681</v>
      </c>
      <c r="C1944" t="str">
        <f>VLOOKUP(A1944,'Cost Center'!A:C,3,FALSE)</f>
        <v>C090020</v>
      </c>
      <c r="D1944" t="s">
        <v>4558</v>
      </c>
      <c r="E1944" t="s">
        <v>685</v>
      </c>
      <c r="F1944" t="s">
        <v>474</v>
      </c>
    </row>
    <row r="1945" spans="1:6">
      <c r="A1945" t="s">
        <v>3049</v>
      </c>
      <c r="B1945" t="s">
        <v>3050</v>
      </c>
      <c r="C1945" t="str">
        <f>VLOOKUP(A1945,'Cost Center'!A:C,3,FALSE)</f>
        <v>C090020</v>
      </c>
      <c r="D1945" t="s">
        <v>4558</v>
      </c>
      <c r="E1945" t="s">
        <v>685</v>
      </c>
      <c r="F1945" t="s">
        <v>3049</v>
      </c>
    </row>
    <row r="1946" spans="1:6">
      <c r="A1946" t="s">
        <v>475</v>
      </c>
      <c r="B1946" t="s">
        <v>1682</v>
      </c>
      <c r="C1946" t="str">
        <f>VLOOKUP(A1946,'Cost Center'!A:C,3,FALSE)</f>
        <v>C090020</v>
      </c>
      <c r="D1946" t="s">
        <v>4558</v>
      </c>
      <c r="E1946" t="s">
        <v>685</v>
      </c>
      <c r="F1946" t="s">
        <v>475</v>
      </c>
    </row>
    <row r="1947" spans="1:6">
      <c r="A1947" t="s">
        <v>476</v>
      </c>
      <c r="B1947" t="s">
        <v>1683</v>
      </c>
      <c r="C1947" t="str">
        <f>VLOOKUP(A1947,'Cost Center'!A:C,3,FALSE)</f>
        <v>C090020</v>
      </c>
      <c r="D1947" t="s">
        <v>4558</v>
      </c>
      <c r="E1947" t="s">
        <v>685</v>
      </c>
      <c r="F1947" t="s">
        <v>476</v>
      </c>
    </row>
    <row r="1948" spans="1:6">
      <c r="A1948" t="s">
        <v>477</v>
      </c>
      <c r="B1948" t="s">
        <v>1684</v>
      </c>
      <c r="C1948" t="str">
        <f>VLOOKUP(A1948,'Cost Center'!A:C,3,FALSE)</f>
        <v>C090020</v>
      </c>
      <c r="D1948" t="s">
        <v>4558</v>
      </c>
      <c r="E1948" t="s">
        <v>685</v>
      </c>
      <c r="F1948" t="s">
        <v>477</v>
      </c>
    </row>
    <row r="1949" spans="1:6">
      <c r="A1949" t="s">
        <v>478</v>
      </c>
      <c r="B1949" t="s">
        <v>1685</v>
      </c>
      <c r="C1949" t="str">
        <f>VLOOKUP(A1949,'Cost Center'!A:C,3,FALSE)</f>
        <v>C090020</v>
      </c>
      <c r="D1949" t="s">
        <v>4558</v>
      </c>
      <c r="E1949" t="s">
        <v>685</v>
      </c>
      <c r="F1949" t="s">
        <v>478</v>
      </c>
    </row>
    <row r="1950" spans="1:6">
      <c r="A1950" t="s">
        <v>479</v>
      </c>
      <c r="B1950" t="s">
        <v>1686</v>
      </c>
      <c r="C1950" t="str">
        <f>VLOOKUP(A1950,'Cost Center'!A:C,3,FALSE)</f>
        <v>C090020</v>
      </c>
      <c r="D1950" t="s">
        <v>4558</v>
      </c>
      <c r="E1950" t="s">
        <v>685</v>
      </c>
      <c r="F1950" t="s">
        <v>479</v>
      </c>
    </row>
    <row r="1951" spans="1:6">
      <c r="A1951" t="s">
        <v>480</v>
      </c>
      <c r="B1951" t="s">
        <v>1687</v>
      </c>
      <c r="C1951" t="str">
        <f>VLOOKUP(A1951,'Cost Center'!A:C,3,FALSE)</f>
        <v>C090020</v>
      </c>
      <c r="D1951" t="s">
        <v>4558</v>
      </c>
      <c r="E1951" t="s">
        <v>685</v>
      </c>
      <c r="F1951" t="s">
        <v>480</v>
      </c>
    </row>
    <row r="1952" spans="1:6">
      <c r="A1952" t="s">
        <v>481</v>
      </c>
      <c r="B1952" t="s">
        <v>1688</v>
      </c>
      <c r="C1952" t="str">
        <f>VLOOKUP(A1952,'Cost Center'!A:C,3,FALSE)</f>
        <v>C090020</v>
      </c>
      <c r="D1952" t="s">
        <v>4558</v>
      </c>
      <c r="E1952" t="s">
        <v>685</v>
      </c>
      <c r="F1952" t="s">
        <v>481</v>
      </c>
    </row>
    <row r="1953" spans="1:6">
      <c r="A1953" t="s">
        <v>482</v>
      </c>
      <c r="B1953" t="s">
        <v>1689</v>
      </c>
      <c r="C1953" t="str">
        <f>VLOOKUP(A1953,'Cost Center'!A:C,3,FALSE)</f>
        <v>C090020</v>
      </c>
      <c r="D1953" t="s">
        <v>4558</v>
      </c>
      <c r="E1953" t="s">
        <v>685</v>
      </c>
      <c r="F1953" t="s">
        <v>482</v>
      </c>
    </row>
    <row r="1954" spans="1:6">
      <c r="A1954" t="s">
        <v>483</v>
      </c>
      <c r="B1954" t="s">
        <v>1690</v>
      </c>
      <c r="C1954" t="str">
        <f>VLOOKUP(A1954,'Cost Center'!A:C,3,FALSE)</f>
        <v>C090020</v>
      </c>
      <c r="D1954" t="s">
        <v>4558</v>
      </c>
      <c r="E1954" t="s">
        <v>685</v>
      </c>
      <c r="F1954" t="s">
        <v>483</v>
      </c>
    </row>
    <row r="1955" spans="1:6">
      <c r="A1955" t="s">
        <v>3051</v>
      </c>
      <c r="B1955" t="s">
        <v>3052</v>
      </c>
      <c r="C1955" t="str">
        <f>VLOOKUP(A1955,'Cost Center'!A:C,3,FALSE)</f>
        <v>C090020</v>
      </c>
      <c r="D1955" t="s">
        <v>4558</v>
      </c>
      <c r="E1955" t="s">
        <v>685</v>
      </c>
      <c r="F1955" t="s">
        <v>3051</v>
      </c>
    </row>
    <row r="1956" spans="1:6">
      <c r="A1956" t="s">
        <v>3053</v>
      </c>
      <c r="B1956" t="s">
        <v>3054</v>
      </c>
      <c r="C1956" t="str">
        <f>VLOOKUP(A1956,'Cost Center'!A:C,3,FALSE)</f>
        <v>C090020</v>
      </c>
      <c r="D1956" t="s">
        <v>4558</v>
      </c>
      <c r="E1956" t="s">
        <v>685</v>
      </c>
      <c r="F1956" t="s">
        <v>3053</v>
      </c>
    </row>
    <row r="1957" spans="1:6">
      <c r="A1957" t="s">
        <v>3055</v>
      </c>
      <c r="B1957" t="s">
        <v>3056</v>
      </c>
      <c r="C1957" t="str">
        <f>VLOOKUP(A1957,'Cost Center'!A:C,3,FALSE)</f>
        <v>C090020</v>
      </c>
      <c r="D1957" t="s">
        <v>4558</v>
      </c>
      <c r="E1957" t="s">
        <v>685</v>
      </c>
      <c r="F1957" t="s">
        <v>3055</v>
      </c>
    </row>
    <row r="1958" spans="1:6">
      <c r="A1958" t="s">
        <v>484</v>
      </c>
      <c r="B1958" t="s">
        <v>1691</v>
      </c>
      <c r="C1958" t="str">
        <f>VLOOKUP(A1958,'Cost Center'!A:C,3,FALSE)</f>
        <v>C090020</v>
      </c>
      <c r="D1958" t="s">
        <v>4558</v>
      </c>
      <c r="E1958" t="s">
        <v>685</v>
      </c>
      <c r="F1958" t="s">
        <v>484</v>
      </c>
    </row>
    <row r="1959" spans="1:6">
      <c r="A1959" t="s">
        <v>485</v>
      </c>
      <c r="B1959" t="s">
        <v>1692</v>
      </c>
      <c r="C1959" t="str">
        <f>VLOOKUP(A1959,'Cost Center'!A:C,3,FALSE)</f>
        <v>C090020</v>
      </c>
      <c r="D1959" t="s">
        <v>4558</v>
      </c>
      <c r="E1959" t="s">
        <v>685</v>
      </c>
      <c r="F1959" t="s">
        <v>485</v>
      </c>
    </row>
    <row r="1960" spans="1:6">
      <c r="A1960" t="s">
        <v>486</v>
      </c>
      <c r="B1960" t="s">
        <v>1693</v>
      </c>
      <c r="C1960" t="str">
        <f>VLOOKUP(A1960,'Cost Center'!A:C,3,FALSE)</f>
        <v>C090020</v>
      </c>
      <c r="D1960" t="s">
        <v>4558</v>
      </c>
      <c r="E1960" t="s">
        <v>685</v>
      </c>
      <c r="F1960" t="s">
        <v>486</v>
      </c>
    </row>
    <row r="1961" spans="1:6">
      <c r="A1961" t="s">
        <v>487</v>
      </c>
      <c r="B1961" t="s">
        <v>1694</v>
      </c>
      <c r="C1961" t="str">
        <f>VLOOKUP(A1961,'Cost Center'!A:C,3,FALSE)</f>
        <v>C090020</v>
      </c>
      <c r="D1961" t="s">
        <v>4558</v>
      </c>
      <c r="E1961" t="s">
        <v>685</v>
      </c>
      <c r="F1961" t="s">
        <v>487</v>
      </c>
    </row>
    <row r="1962" spans="1:6">
      <c r="A1962" t="s">
        <v>488</v>
      </c>
      <c r="B1962" t="s">
        <v>1695</v>
      </c>
      <c r="C1962" t="str">
        <f>VLOOKUP(A1962,'Cost Center'!A:C,3,FALSE)</f>
        <v>C090020</v>
      </c>
      <c r="D1962" t="s">
        <v>4558</v>
      </c>
      <c r="E1962" t="s">
        <v>685</v>
      </c>
      <c r="F1962" t="s">
        <v>488</v>
      </c>
    </row>
    <row r="1963" spans="1:6">
      <c r="A1963" t="s">
        <v>489</v>
      </c>
      <c r="B1963" t="s">
        <v>1696</v>
      </c>
      <c r="C1963" t="str">
        <f>VLOOKUP(A1963,'Cost Center'!A:C,3,FALSE)</f>
        <v>C090020</v>
      </c>
      <c r="D1963" t="s">
        <v>4558</v>
      </c>
      <c r="E1963" t="s">
        <v>685</v>
      </c>
      <c r="F1963" t="s">
        <v>489</v>
      </c>
    </row>
    <row r="1964" spans="1:6">
      <c r="A1964" t="s">
        <v>490</v>
      </c>
      <c r="B1964" t="s">
        <v>1697</v>
      </c>
      <c r="C1964" t="str">
        <f>VLOOKUP(A1964,'Cost Center'!A:C,3,FALSE)</f>
        <v>C090020</v>
      </c>
      <c r="D1964" t="s">
        <v>4558</v>
      </c>
      <c r="E1964" t="s">
        <v>685</v>
      </c>
      <c r="F1964" t="s">
        <v>490</v>
      </c>
    </row>
    <row r="1965" spans="1:6">
      <c r="A1965" t="s">
        <v>491</v>
      </c>
      <c r="B1965" t="s">
        <v>1698</v>
      </c>
      <c r="C1965" t="str">
        <f>VLOOKUP(A1965,'Cost Center'!A:C,3,FALSE)</f>
        <v>C090020</v>
      </c>
      <c r="D1965" t="s">
        <v>4558</v>
      </c>
      <c r="E1965" t="s">
        <v>685</v>
      </c>
      <c r="F1965" t="s">
        <v>491</v>
      </c>
    </row>
    <row r="1966" spans="1:6">
      <c r="A1966" t="s">
        <v>492</v>
      </c>
      <c r="B1966" t="s">
        <v>1699</v>
      </c>
      <c r="C1966" t="str">
        <f>VLOOKUP(A1966,'Cost Center'!A:C,3,FALSE)</f>
        <v>C090020</v>
      </c>
      <c r="D1966" t="s">
        <v>4558</v>
      </c>
      <c r="E1966" t="s">
        <v>685</v>
      </c>
      <c r="F1966" t="s">
        <v>492</v>
      </c>
    </row>
    <row r="1967" spans="1:6">
      <c r="A1967" t="s">
        <v>493</v>
      </c>
      <c r="B1967" t="s">
        <v>1700</v>
      </c>
      <c r="C1967" t="str">
        <f>VLOOKUP(A1967,'Cost Center'!A:C,3,FALSE)</f>
        <v>C090020</v>
      </c>
      <c r="D1967" t="s">
        <v>4558</v>
      </c>
      <c r="E1967" t="s">
        <v>685</v>
      </c>
      <c r="F1967" t="s">
        <v>493</v>
      </c>
    </row>
    <row r="1968" spans="1:6">
      <c r="A1968" t="s">
        <v>494</v>
      </c>
      <c r="B1968" t="s">
        <v>1701</v>
      </c>
      <c r="C1968" t="str">
        <f>VLOOKUP(A1968,'Cost Center'!A:C,3,FALSE)</f>
        <v>C090020</v>
      </c>
      <c r="D1968" t="s">
        <v>4558</v>
      </c>
      <c r="E1968" t="s">
        <v>685</v>
      </c>
      <c r="F1968" t="s">
        <v>494</v>
      </c>
    </row>
    <row r="1969" spans="1:6">
      <c r="A1969" t="s">
        <v>495</v>
      </c>
      <c r="B1969" t="s">
        <v>1702</v>
      </c>
      <c r="C1969" t="str">
        <f>VLOOKUP(A1969,'Cost Center'!A:C,3,FALSE)</f>
        <v>C090020</v>
      </c>
      <c r="D1969" t="s">
        <v>4558</v>
      </c>
      <c r="E1969" t="s">
        <v>685</v>
      </c>
      <c r="F1969" t="s">
        <v>495</v>
      </c>
    </row>
    <row r="1970" spans="1:6">
      <c r="A1970" t="s">
        <v>496</v>
      </c>
      <c r="B1970" t="s">
        <v>1703</v>
      </c>
      <c r="C1970" t="str">
        <f>VLOOKUP(A1970,'Cost Center'!A:C,3,FALSE)</f>
        <v>C090020</v>
      </c>
      <c r="D1970" t="s">
        <v>4558</v>
      </c>
      <c r="E1970" t="s">
        <v>685</v>
      </c>
      <c r="F1970" t="s">
        <v>496</v>
      </c>
    </row>
    <row r="1971" spans="1:6">
      <c r="A1971" t="s">
        <v>497</v>
      </c>
      <c r="B1971" t="s">
        <v>1704</v>
      </c>
      <c r="C1971" t="str">
        <f>VLOOKUP(A1971,'Cost Center'!A:C,3,FALSE)</f>
        <v>C090020</v>
      </c>
      <c r="D1971" t="s">
        <v>4558</v>
      </c>
      <c r="E1971" t="s">
        <v>685</v>
      </c>
      <c r="F1971" t="s">
        <v>497</v>
      </c>
    </row>
    <row r="1972" spans="1:6">
      <c r="A1972" t="s">
        <v>3057</v>
      </c>
      <c r="B1972" t="s">
        <v>3058</v>
      </c>
      <c r="C1972" t="str">
        <f>VLOOKUP(A1972,'Cost Center'!A:C,3,FALSE)</f>
        <v>C090020</v>
      </c>
      <c r="D1972" t="s">
        <v>4558</v>
      </c>
      <c r="E1972" t="s">
        <v>685</v>
      </c>
      <c r="F1972" t="s">
        <v>3057</v>
      </c>
    </row>
    <row r="1973" spans="1:6">
      <c r="A1973" t="s">
        <v>3059</v>
      </c>
      <c r="B1973" t="s">
        <v>3060</v>
      </c>
      <c r="C1973" t="str">
        <f>VLOOKUP(A1973,'Cost Center'!A:C,3,FALSE)</f>
        <v>C090020</v>
      </c>
      <c r="D1973" t="s">
        <v>4558</v>
      </c>
      <c r="E1973" t="s">
        <v>685</v>
      </c>
      <c r="F1973" t="s">
        <v>3059</v>
      </c>
    </row>
    <row r="1974" spans="1:6">
      <c r="A1974" t="s">
        <v>498</v>
      </c>
      <c r="B1974" t="s">
        <v>1705</v>
      </c>
      <c r="C1974" t="str">
        <f>VLOOKUP(A1974,'Cost Center'!A:C,3,FALSE)</f>
        <v>C090020</v>
      </c>
      <c r="D1974" t="s">
        <v>4558</v>
      </c>
      <c r="E1974" t="s">
        <v>685</v>
      </c>
      <c r="F1974" t="s">
        <v>498</v>
      </c>
    </row>
    <row r="1975" spans="1:6">
      <c r="A1975" t="s">
        <v>3061</v>
      </c>
      <c r="B1975" t="s">
        <v>3062</v>
      </c>
      <c r="C1975" t="str">
        <f>VLOOKUP(A1975,'Cost Center'!A:C,3,FALSE)</f>
        <v>C090020</v>
      </c>
      <c r="D1975" t="s">
        <v>4558</v>
      </c>
      <c r="E1975" t="s">
        <v>685</v>
      </c>
      <c r="F1975" t="s">
        <v>3061</v>
      </c>
    </row>
    <row r="1976" spans="1:6">
      <c r="A1976" t="s">
        <v>499</v>
      </c>
      <c r="B1976" t="s">
        <v>1706</v>
      </c>
      <c r="C1976" t="str">
        <f>VLOOKUP(A1976,'Cost Center'!A:C,3,FALSE)</f>
        <v>C090020</v>
      </c>
      <c r="D1976" t="s">
        <v>4558</v>
      </c>
      <c r="E1976" t="s">
        <v>685</v>
      </c>
      <c r="F1976" t="s">
        <v>499</v>
      </c>
    </row>
    <row r="1977" spans="1:6">
      <c r="A1977" t="s">
        <v>3063</v>
      </c>
      <c r="B1977" t="s">
        <v>3064</v>
      </c>
      <c r="C1977" t="str">
        <f>VLOOKUP(A1977,'Cost Center'!A:C,3,FALSE)</f>
        <v>C090020</v>
      </c>
      <c r="D1977" t="s">
        <v>4558</v>
      </c>
      <c r="E1977" t="s">
        <v>685</v>
      </c>
      <c r="F1977" t="s">
        <v>3063</v>
      </c>
    </row>
    <row r="1978" spans="1:6">
      <c r="A1978" t="s">
        <v>3065</v>
      </c>
      <c r="B1978" t="s">
        <v>3066</v>
      </c>
      <c r="C1978" t="str">
        <f>VLOOKUP(A1978,'Cost Center'!A:C,3,FALSE)</f>
        <v>C090020</v>
      </c>
      <c r="D1978" t="s">
        <v>4558</v>
      </c>
      <c r="E1978" t="s">
        <v>685</v>
      </c>
      <c r="F1978" t="s">
        <v>3065</v>
      </c>
    </row>
    <row r="1979" spans="1:6">
      <c r="A1979" t="s">
        <v>500</v>
      </c>
      <c r="B1979" t="s">
        <v>1707</v>
      </c>
      <c r="C1979" t="str">
        <f>VLOOKUP(A1979,'Cost Center'!A:C,3,FALSE)</f>
        <v>C090020</v>
      </c>
      <c r="D1979" t="s">
        <v>4558</v>
      </c>
      <c r="E1979" t="s">
        <v>685</v>
      </c>
      <c r="F1979" t="s">
        <v>500</v>
      </c>
    </row>
    <row r="1980" spans="1:6">
      <c r="A1980" t="s">
        <v>501</v>
      </c>
      <c r="B1980" t="s">
        <v>1708</v>
      </c>
      <c r="C1980" t="str">
        <f>VLOOKUP(A1980,'Cost Center'!A:C,3,FALSE)</f>
        <v>C090020</v>
      </c>
      <c r="D1980" t="s">
        <v>4558</v>
      </c>
      <c r="E1980" t="s">
        <v>685</v>
      </c>
      <c r="F1980" t="s">
        <v>501</v>
      </c>
    </row>
    <row r="1981" spans="1:6">
      <c r="A1981" t="s">
        <v>3067</v>
      </c>
      <c r="B1981" t="s">
        <v>3068</v>
      </c>
      <c r="C1981" t="str">
        <f>VLOOKUP(A1981,'Cost Center'!A:C,3,FALSE)</f>
        <v>C090020</v>
      </c>
      <c r="D1981" t="s">
        <v>4558</v>
      </c>
      <c r="E1981" t="s">
        <v>685</v>
      </c>
      <c r="F1981" t="s">
        <v>3067</v>
      </c>
    </row>
    <row r="1982" spans="1:6">
      <c r="A1982" t="s">
        <v>502</v>
      </c>
      <c r="B1982" t="s">
        <v>1709</v>
      </c>
      <c r="C1982" t="str">
        <f>VLOOKUP(A1982,'Cost Center'!A:C,3,FALSE)</f>
        <v>C090020</v>
      </c>
      <c r="D1982" t="s">
        <v>4558</v>
      </c>
      <c r="E1982" t="s">
        <v>685</v>
      </c>
      <c r="F1982" t="s">
        <v>502</v>
      </c>
    </row>
    <row r="1983" spans="1:6">
      <c r="A1983" t="s">
        <v>503</v>
      </c>
      <c r="B1983" t="s">
        <v>1710</v>
      </c>
      <c r="C1983" t="str">
        <f>VLOOKUP(A1983,'Cost Center'!A:C,3,FALSE)</f>
        <v>C090020</v>
      </c>
      <c r="D1983" t="s">
        <v>4558</v>
      </c>
      <c r="E1983" t="s">
        <v>685</v>
      </c>
      <c r="F1983" t="s">
        <v>503</v>
      </c>
    </row>
    <row r="1984" spans="1:6">
      <c r="A1984" t="s">
        <v>504</v>
      </c>
      <c r="B1984" t="s">
        <v>1711</v>
      </c>
      <c r="C1984" t="str">
        <f>VLOOKUP(A1984,'Cost Center'!A:C,3,FALSE)</f>
        <v>C090020</v>
      </c>
      <c r="D1984" t="s">
        <v>4558</v>
      </c>
      <c r="E1984" t="s">
        <v>685</v>
      </c>
      <c r="F1984" t="s">
        <v>504</v>
      </c>
    </row>
    <row r="1985" spans="1:6">
      <c r="A1985" t="s">
        <v>1712</v>
      </c>
      <c r="B1985" t="s">
        <v>1713</v>
      </c>
      <c r="C1985" t="str">
        <f>VLOOKUP(A1985,'Cost Center'!A:C,3,FALSE)</f>
        <v>C090020</v>
      </c>
      <c r="D1985" t="s">
        <v>4558</v>
      </c>
      <c r="E1985" t="s">
        <v>685</v>
      </c>
      <c r="F1985" t="s">
        <v>1712</v>
      </c>
    </row>
    <row r="1986" spans="1:6">
      <c r="A1986" t="s">
        <v>505</v>
      </c>
      <c r="B1986" t="s">
        <v>1714</v>
      </c>
      <c r="C1986" t="str">
        <f>VLOOKUP(A1986,'Cost Center'!A:C,3,FALSE)</f>
        <v>C090020</v>
      </c>
      <c r="D1986" t="s">
        <v>4558</v>
      </c>
      <c r="E1986" t="s">
        <v>685</v>
      </c>
      <c r="F1986" t="s">
        <v>505</v>
      </c>
    </row>
    <row r="1987" spans="1:6">
      <c r="A1987" t="s">
        <v>506</v>
      </c>
      <c r="B1987" t="s">
        <v>1715</v>
      </c>
      <c r="C1987" t="str">
        <f>VLOOKUP(A1987,'Cost Center'!A:C,3,FALSE)</f>
        <v>C090020</v>
      </c>
      <c r="D1987" t="s">
        <v>4558</v>
      </c>
      <c r="E1987" t="s">
        <v>685</v>
      </c>
      <c r="F1987" t="s">
        <v>506</v>
      </c>
    </row>
    <row r="1988" spans="1:6">
      <c r="A1988" t="s">
        <v>507</v>
      </c>
      <c r="B1988" t="s">
        <v>1716</v>
      </c>
      <c r="C1988" t="str">
        <f>VLOOKUP(A1988,'Cost Center'!A:C,3,FALSE)</f>
        <v>C090020</v>
      </c>
      <c r="D1988" t="s">
        <v>4558</v>
      </c>
      <c r="E1988" t="s">
        <v>685</v>
      </c>
      <c r="F1988" t="s">
        <v>507</v>
      </c>
    </row>
    <row r="1989" spans="1:6">
      <c r="A1989" t="s">
        <v>508</v>
      </c>
      <c r="B1989" t="s">
        <v>1717</v>
      </c>
      <c r="C1989" t="str">
        <f>VLOOKUP(A1989,'Cost Center'!A:C,3,FALSE)</f>
        <v>C090020</v>
      </c>
      <c r="D1989" t="s">
        <v>4558</v>
      </c>
      <c r="E1989" t="s">
        <v>685</v>
      </c>
      <c r="F1989" t="s">
        <v>508</v>
      </c>
    </row>
    <row r="1990" spans="1:6">
      <c r="A1990" t="s">
        <v>509</v>
      </c>
      <c r="B1990" t="s">
        <v>1718</v>
      </c>
      <c r="C1990" t="str">
        <f>VLOOKUP(A1990,'Cost Center'!A:C,3,FALSE)</f>
        <v>C090020</v>
      </c>
      <c r="D1990" t="s">
        <v>4558</v>
      </c>
      <c r="E1990" t="s">
        <v>685</v>
      </c>
      <c r="F1990" t="s">
        <v>509</v>
      </c>
    </row>
    <row r="1991" spans="1:6">
      <c r="A1991" t="s">
        <v>510</v>
      </c>
      <c r="B1991" t="s">
        <v>1719</v>
      </c>
      <c r="C1991" t="str">
        <f>VLOOKUP(A1991,'Cost Center'!A:C,3,FALSE)</f>
        <v>C090020</v>
      </c>
      <c r="D1991" t="s">
        <v>4558</v>
      </c>
      <c r="E1991" t="s">
        <v>685</v>
      </c>
      <c r="F1991" t="s">
        <v>510</v>
      </c>
    </row>
    <row r="1992" spans="1:6">
      <c r="A1992" t="s">
        <v>511</v>
      </c>
      <c r="B1992" t="s">
        <v>1720</v>
      </c>
      <c r="C1992" t="str">
        <f>VLOOKUP(A1992,'Cost Center'!A:C,3,FALSE)</f>
        <v>C090020</v>
      </c>
      <c r="D1992" t="s">
        <v>4558</v>
      </c>
      <c r="E1992" t="s">
        <v>685</v>
      </c>
      <c r="F1992" t="s">
        <v>511</v>
      </c>
    </row>
    <row r="1993" spans="1:6">
      <c r="A1993" t="s">
        <v>512</v>
      </c>
      <c r="B1993" t="s">
        <v>1721</v>
      </c>
      <c r="C1993" t="str">
        <f>VLOOKUP(A1993,'Cost Center'!A:C,3,FALSE)</f>
        <v>C090020</v>
      </c>
      <c r="D1993" t="s">
        <v>4558</v>
      </c>
      <c r="E1993" t="s">
        <v>685</v>
      </c>
      <c r="F1993" t="s">
        <v>512</v>
      </c>
    </row>
    <row r="1994" spans="1:6">
      <c r="A1994" t="s">
        <v>513</v>
      </c>
      <c r="B1994" t="s">
        <v>1722</v>
      </c>
      <c r="C1994" t="str">
        <f>VLOOKUP(A1994,'Cost Center'!A:C,3,FALSE)</f>
        <v>C090020</v>
      </c>
      <c r="D1994" t="s">
        <v>4558</v>
      </c>
      <c r="E1994" t="s">
        <v>685</v>
      </c>
      <c r="F1994" t="s">
        <v>513</v>
      </c>
    </row>
    <row r="1995" spans="1:6">
      <c r="A1995" t="s">
        <v>514</v>
      </c>
      <c r="B1995" t="s">
        <v>1723</v>
      </c>
      <c r="C1995" t="str">
        <f>VLOOKUP(A1995,'Cost Center'!A:C,3,FALSE)</f>
        <v>C090020</v>
      </c>
      <c r="D1995" t="s">
        <v>4558</v>
      </c>
      <c r="E1995" t="s">
        <v>685</v>
      </c>
      <c r="F1995" t="s">
        <v>514</v>
      </c>
    </row>
    <row r="1996" spans="1:6">
      <c r="A1996" t="s">
        <v>515</v>
      </c>
      <c r="B1996" t="s">
        <v>1724</v>
      </c>
      <c r="C1996" t="str">
        <f>VLOOKUP(A1996,'Cost Center'!A:C,3,FALSE)</f>
        <v>C090020</v>
      </c>
      <c r="D1996" t="s">
        <v>4558</v>
      </c>
      <c r="E1996" t="s">
        <v>685</v>
      </c>
      <c r="F1996" t="s">
        <v>515</v>
      </c>
    </row>
    <row r="1997" spans="1:6">
      <c r="A1997" t="s">
        <v>516</v>
      </c>
      <c r="B1997" t="s">
        <v>1725</v>
      </c>
      <c r="C1997" t="str">
        <f>VLOOKUP(A1997,'Cost Center'!A:C,3,FALSE)</f>
        <v>C090020</v>
      </c>
      <c r="D1997" t="s">
        <v>4558</v>
      </c>
      <c r="E1997" t="s">
        <v>685</v>
      </c>
      <c r="F1997" t="s">
        <v>516</v>
      </c>
    </row>
    <row r="1998" spans="1:6">
      <c r="A1998" t="s">
        <v>517</v>
      </c>
      <c r="B1998" t="s">
        <v>1726</v>
      </c>
      <c r="C1998" t="str">
        <f>VLOOKUP(A1998,'Cost Center'!A:C,3,FALSE)</f>
        <v>C090020</v>
      </c>
      <c r="D1998" t="s">
        <v>4558</v>
      </c>
      <c r="E1998" t="s">
        <v>685</v>
      </c>
      <c r="F1998" t="s">
        <v>517</v>
      </c>
    </row>
    <row r="1999" spans="1:6">
      <c r="A1999" t="s">
        <v>518</v>
      </c>
      <c r="B1999" t="s">
        <v>1727</v>
      </c>
      <c r="C1999" t="str">
        <f>VLOOKUP(A1999,'Cost Center'!A:C,3,FALSE)</f>
        <v>C090020</v>
      </c>
      <c r="D1999" t="s">
        <v>4558</v>
      </c>
      <c r="E1999" t="s">
        <v>685</v>
      </c>
      <c r="F1999" t="s">
        <v>518</v>
      </c>
    </row>
    <row r="2000" spans="1:6">
      <c r="A2000" t="s">
        <v>519</v>
      </c>
      <c r="B2000" t="s">
        <v>1728</v>
      </c>
      <c r="C2000" t="str">
        <f>VLOOKUP(A2000,'Cost Center'!A:C,3,FALSE)</f>
        <v>C090020</v>
      </c>
      <c r="D2000" t="s">
        <v>4558</v>
      </c>
      <c r="E2000" t="s">
        <v>685</v>
      </c>
      <c r="F2000" t="s">
        <v>519</v>
      </c>
    </row>
    <row r="2001" spans="1:6">
      <c r="A2001" t="s">
        <v>520</v>
      </c>
      <c r="B2001" t="s">
        <v>1729</v>
      </c>
      <c r="C2001" t="str">
        <f>VLOOKUP(A2001,'Cost Center'!A:C,3,FALSE)</f>
        <v>C090020</v>
      </c>
      <c r="D2001" t="s">
        <v>4558</v>
      </c>
      <c r="E2001" t="s">
        <v>685</v>
      </c>
      <c r="F2001" t="s">
        <v>520</v>
      </c>
    </row>
    <row r="2002" spans="1:6">
      <c r="A2002" t="s">
        <v>3069</v>
      </c>
      <c r="B2002" t="s">
        <v>3070</v>
      </c>
      <c r="C2002" t="str">
        <f>VLOOKUP(A2002,'Cost Center'!A:C,3,FALSE)</f>
        <v>C090020</v>
      </c>
      <c r="D2002" t="s">
        <v>4558</v>
      </c>
      <c r="E2002" t="s">
        <v>685</v>
      </c>
      <c r="F2002" t="s">
        <v>3069</v>
      </c>
    </row>
    <row r="2003" spans="1:6">
      <c r="A2003" t="s">
        <v>521</v>
      </c>
      <c r="B2003" t="s">
        <v>1730</v>
      </c>
      <c r="C2003" t="str">
        <f>VLOOKUP(A2003,'Cost Center'!A:C,3,FALSE)</f>
        <v>C090020</v>
      </c>
      <c r="D2003" t="s">
        <v>4558</v>
      </c>
      <c r="E2003" t="s">
        <v>685</v>
      </c>
      <c r="F2003" t="s">
        <v>521</v>
      </c>
    </row>
    <row r="2004" spans="1:6">
      <c r="A2004" t="s">
        <v>522</v>
      </c>
      <c r="B2004" t="s">
        <v>1731</v>
      </c>
      <c r="C2004" t="str">
        <f>VLOOKUP(A2004,'Cost Center'!A:C,3,FALSE)</f>
        <v>C090020</v>
      </c>
      <c r="D2004" t="s">
        <v>4558</v>
      </c>
      <c r="E2004" t="s">
        <v>685</v>
      </c>
      <c r="F2004" t="s">
        <v>522</v>
      </c>
    </row>
    <row r="2005" spans="1:6">
      <c r="A2005" t="s">
        <v>3071</v>
      </c>
      <c r="B2005" t="s">
        <v>3072</v>
      </c>
      <c r="C2005" t="str">
        <f>VLOOKUP(A2005,'Cost Center'!A:C,3,FALSE)</f>
        <v>C090020</v>
      </c>
      <c r="D2005" t="s">
        <v>4558</v>
      </c>
      <c r="E2005" t="s">
        <v>685</v>
      </c>
      <c r="F2005" t="s">
        <v>3071</v>
      </c>
    </row>
    <row r="2006" spans="1:6">
      <c r="A2006" t="s">
        <v>3073</v>
      </c>
      <c r="B2006" t="s">
        <v>3074</v>
      </c>
      <c r="C2006" t="str">
        <f>VLOOKUP(A2006,'Cost Center'!A:C,3,FALSE)</f>
        <v>C090020</v>
      </c>
      <c r="D2006" t="s">
        <v>4558</v>
      </c>
      <c r="E2006" t="s">
        <v>685</v>
      </c>
      <c r="F2006" t="s">
        <v>3073</v>
      </c>
    </row>
    <row r="2007" spans="1:6">
      <c r="A2007" t="s">
        <v>523</v>
      </c>
      <c r="B2007" t="s">
        <v>1732</v>
      </c>
      <c r="C2007" t="str">
        <f>VLOOKUP(A2007,'Cost Center'!A:C,3,FALSE)</f>
        <v>C090020</v>
      </c>
      <c r="D2007" t="s">
        <v>4558</v>
      </c>
      <c r="E2007" t="s">
        <v>685</v>
      </c>
      <c r="F2007" t="s">
        <v>523</v>
      </c>
    </row>
    <row r="2008" spans="1:6">
      <c r="A2008" t="s">
        <v>3075</v>
      </c>
      <c r="B2008" t="s">
        <v>3076</v>
      </c>
      <c r="C2008" t="str">
        <f>VLOOKUP(A2008,'Cost Center'!A:C,3,FALSE)</f>
        <v>C090020</v>
      </c>
      <c r="D2008" t="s">
        <v>4558</v>
      </c>
      <c r="E2008" t="s">
        <v>685</v>
      </c>
      <c r="F2008" t="s">
        <v>3075</v>
      </c>
    </row>
    <row r="2009" spans="1:6">
      <c r="A2009" t="s">
        <v>524</v>
      </c>
      <c r="B2009" t="s">
        <v>1733</v>
      </c>
      <c r="C2009" t="str">
        <f>VLOOKUP(A2009,'Cost Center'!A:C,3,FALSE)</f>
        <v>C090020</v>
      </c>
      <c r="D2009" t="s">
        <v>4558</v>
      </c>
      <c r="E2009" t="s">
        <v>685</v>
      </c>
      <c r="F2009" t="s">
        <v>524</v>
      </c>
    </row>
    <row r="2010" spans="1:6">
      <c r="A2010" t="s">
        <v>525</v>
      </c>
      <c r="B2010" t="s">
        <v>1734</v>
      </c>
      <c r="C2010" t="str">
        <f>VLOOKUP(A2010,'Cost Center'!A:C,3,FALSE)</f>
        <v>C090020</v>
      </c>
      <c r="D2010" t="s">
        <v>4558</v>
      </c>
      <c r="E2010" t="s">
        <v>685</v>
      </c>
      <c r="F2010" t="s">
        <v>525</v>
      </c>
    </row>
    <row r="2011" spans="1:6">
      <c r="A2011" t="s">
        <v>3077</v>
      </c>
      <c r="B2011" t="s">
        <v>3078</v>
      </c>
      <c r="C2011" t="str">
        <f>VLOOKUP(A2011,'Cost Center'!A:C,3,FALSE)</f>
        <v>C090020</v>
      </c>
      <c r="D2011" t="s">
        <v>4558</v>
      </c>
      <c r="E2011" t="s">
        <v>685</v>
      </c>
      <c r="F2011" t="s">
        <v>3077</v>
      </c>
    </row>
    <row r="2012" spans="1:6">
      <c r="A2012" t="s">
        <v>3079</v>
      </c>
      <c r="B2012" t="s">
        <v>3080</v>
      </c>
      <c r="C2012" t="str">
        <f>VLOOKUP(A2012,'Cost Center'!A:C,3,FALSE)</f>
        <v>C090020</v>
      </c>
      <c r="D2012" t="s">
        <v>4558</v>
      </c>
      <c r="E2012" t="s">
        <v>685</v>
      </c>
      <c r="F2012" t="s">
        <v>3079</v>
      </c>
    </row>
    <row r="2013" spans="1:6">
      <c r="A2013" t="s">
        <v>526</v>
      </c>
      <c r="B2013" t="s">
        <v>1735</v>
      </c>
      <c r="C2013" t="str">
        <f>VLOOKUP(A2013,'Cost Center'!A:C,3,FALSE)</f>
        <v>C090020</v>
      </c>
      <c r="D2013" t="s">
        <v>4558</v>
      </c>
      <c r="E2013" t="s">
        <v>685</v>
      </c>
      <c r="F2013" t="s">
        <v>526</v>
      </c>
    </row>
    <row r="2014" spans="1:6">
      <c r="A2014" t="s">
        <v>527</v>
      </c>
      <c r="B2014" t="s">
        <v>1736</v>
      </c>
      <c r="C2014" t="str">
        <f>VLOOKUP(A2014,'Cost Center'!A:C,3,FALSE)</f>
        <v>C090020</v>
      </c>
      <c r="D2014" t="s">
        <v>4558</v>
      </c>
      <c r="E2014" t="s">
        <v>685</v>
      </c>
      <c r="F2014" t="s">
        <v>527</v>
      </c>
    </row>
    <row r="2015" spans="1:6">
      <c r="A2015" t="s">
        <v>528</v>
      </c>
      <c r="B2015" t="s">
        <v>1737</v>
      </c>
      <c r="C2015" t="str">
        <f>VLOOKUP(A2015,'Cost Center'!A:C,3,FALSE)</f>
        <v>C090020</v>
      </c>
      <c r="D2015" t="s">
        <v>4558</v>
      </c>
      <c r="E2015" t="s">
        <v>685</v>
      </c>
      <c r="F2015" t="s">
        <v>528</v>
      </c>
    </row>
    <row r="2016" spans="1:6">
      <c r="A2016" t="s">
        <v>529</v>
      </c>
      <c r="B2016" t="s">
        <v>1738</v>
      </c>
      <c r="C2016" t="str">
        <f>VLOOKUP(A2016,'Cost Center'!A:C,3,FALSE)</f>
        <v>C090020</v>
      </c>
      <c r="D2016" t="s">
        <v>4558</v>
      </c>
      <c r="E2016" t="s">
        <v>685</v>
      </c>
      <c r="F2016" t="s">
        <v>529</v>
      </c>
    </row>
    <row r="2017" spans="1:6">
      <c r="A2017" t="s">
        <v>530</v>
      </c>
      <c r="B2017" t="s">
        <v>1739</v>
      </c>
      <c r="C2017" t="str">
        <f>VLOOKUP(A2017,'Cost Center'!A:C,3,FALSE)</f>
        <v>C090020</v>
      </c>
      <c r="D2017" t="s">
        <v>4558</v>
      </c>
      <c r="E2017" t="s">
        <v>685</v>
      </c>
      <c r="F2017" t="s">
        <v>530</v>
      </c>
    </row>
    <row r="2018" spans="1:6">
      <c r="A2018" t="s">
        <v>3081</v>
      </c>
      <c r="B2018" t="s">
        <v>3082</v>
      </c>
      <c r="C2018" t="str">
        <f>VLOOKUP(A2018,'Cost Center'!A:C,3,FALSE)</f>
        <v>C090020</v>
      </c>
      <c r="D2018" t="s">
        <v>4558</v>
      </c>
      <c r="E2018" t="s">
        <v>685</v>
      </c>
      <c r="F2018" t="s">
        <v>3081</v>
      </c>
    </row>
    <row r="2019" spans="1:6">
      <c r="A2019" t="s">
        <v>531</v>
      </c>
      <c r="B2019" t="s">
        <v>1740</v>
      </c>
      <c r="C2019" t="str">
        <f>VLOOKUP(A2019,'Cost Center'!A:C,3,FALSE)</f>
        <v>C090020</v>
      </c>
      <c r="D2019" t="s">
        <v>4558</v>
      </c>
      <c r="E2019" t="s">
        <v>685</v>
      </c>
      <c r="F2019" t="s">
        <v>531</v>
      </c>
    </row>
    <row r="2020" spans="1:6">
      <c r="A2020" t="s">
        <v>532</v>
      </c>
      <c r="B2020" t="s">
        <v>1741</v>
      </c>
      <c r="C2020" t="str">
        <f>VLOOKUP(A2020,'Cost Center'!A:C,3,FALSE)</f>
        <v>C090020</v>
      </c>
      <c r="D2020" t="s">
        <v>4558</v>
      </c>
      <c r="E2020" t="s">
        <v>685</v>
      </c>
      <c r="F2020" t="s">
        <v>532</v>
      </c>
    </row>
    <row r="2021" spans="1:6">
      <c r="A2021" t="s">
        <v>533</v>
      </c>
      <c r="B2021" t="s">
        <v>1742</v>
      </c>
      <c r="C2021" t="str">
        <f>VLOOKUP(A2021,'Cost Center'!A:C,3,FALSE)</f>
        <v>C090020</v>
      </c>
      <c r="D2021" t="s">
        <v>4558</v>
      </c>
      <c r="E2021" t="s">
        <v>685</v>
      </c>
      <c r="F2021" t="s">
        <v>533</v>
      </c>
    </row>
    <row r="2022" spans="1:6">
      <c r="A2022" t="s">
        <v>534</v>
      </c>
      <c r="B2022" t="s">
        <v>1743</v>
      </c>
      <c r="C2022" t="str">
        <f>VLOOKUP(A2022,'Cost Center'!A:C,3,FALSE)</f>
        <v>C090020</v>
      </c>
      <c r="D2022" t="s">
        <v>4558</v>
      </c>
      <c r="E2022" t="s">
        <v>685</v>
      </c>
      <c r="F2022" t="s">
        <v>534</v>
      </c>
    </row>
    <row r="2023" spans="1:6">
      <c r="A2023" t="s">
        <v>535</v>
      </c>
      <c r="B2023" t="s">
        <v>1744</v>
      </c>
      <c r="C2023" t="str">
        <f>VLOOKUP(A2023,'Cost Center'!A:C,3,FALSE)</f>
        <v>C090020</v>
      </c>
      <c r="D2023" t="s">
        <v>4558</v>
      </c>
      <c r="E2023" t="s">
        <v>685</v>
      </c>
      <c r="F2023" t="s">
        <v>535</v>
      </c>
    </row>
    <row r="2024" spans="1:6">
      <c r="A2024" t="s">
        <v>536</v>
      </c>
      <c r="B2024" t="s">
        <v>1745</v>
      </c>
      <c r="C2024" t="str">
        <f>VLOOKUP(A2024,'Cost Center'!A:C,3,FALSE)</f>
        <v>C090020</v>
      </c>
      <c r="D2024" t="s">
        <v>4558</v>
      </c>
      <c r="E2024" t="s">
        <v>685</v>
      </c>
      <c r="F2024" t="s">
        <v>536</v>
      </c>
    </row>
    <row r="2025" spans="1:6">
      <c r="A2025" t="s">
        <v>537</v>
      </c>
      <c r="B2025" t="s">
        <v>1746</v>
      </c>
      <c r="C2025" t="str">
        <f>VLOOKUP(A2025,'Cost Center'!A:C,3,FALSE)</f>
        <v>C090020</v>
      </c>
      <c r="D2025" t="s">
        <v>4558</v>
      </c>
      <c r="E2025" t="s">
        <v>685</v>
      </c>
      <c r="F2025" t="s">
        <v>537</v>
      </c>
    </row>
    <row r="2026" spans="1:6">
      <c r="A2026" t="s">
        <v>3083</v>
      </c>
      <c r="B2026" t="s">
        <v>3084</v>
      </c>
      <c r="C2026" t="str">
        <f>VLOOKUP(A2026,'Cost Center'!A:C,3,FALSE)</f>
        <v>C503052</v>
      </c>
      <c r="D2026" t="s">
        <v>8265</v>
      </c>
      <c r="E2026" t="s">
        <v>685</v>
      </c>
      <c r="F2026" t="s">
        <v>3083</v>
      </c>
    </row>
    <row r="2027" spans="1:6">
      <c r="A2027" t="s">
        <v>3085</v>
      </c>
      <c r="B2027" t="s">
        <v>3086</v>
      </c>
      <c r="C2027" t="str">
        <f>VLOOKUP(A2027,'Cost Center'!A:C,3,FALSE)</f>
        <v>CI5305B</v>
      </c>
      <c r="D2027" t="s">
        <v>12960</v>
      </c>
      <c r="E2027" t="s">
        <v>685</v>
      </c>
      <c r="F2027" t="s">
        <v>3085</v>
      </c>
    </row>
    <row r="2028" spans="1:6">
      <c r="A2028" t="s">
        <v>54</v>
      </c>
      <c r="B2028" t="s">
        <v>1855</v>
      </c>
      <c r="C2028" t="str">
        <f>VLOOKUP(A2028,'Cost Center'!A:C,3,FALSE)</f>
        <v>C090019</v>
      </c>
      <c r="D2028" t="s">
        <v>12975</v>
      </c>
      <c r="E2028" t="s">
        <v>685</v>
      </c>
      <c r="F2028" t="s">
        <v>54</v>
      </c>
    </row>
    <row r="2029" spans="1:6">
      <c r="A2029" t="s">
        <v>3087</v>
      </c>
      <c r="B2029" t="s">
        <v>3088</v>
      </c>
      <c r="C2029" t="str">
        <f>VLOOKUP(A2029,'Cost Center'!A:C,3,FALSE)</f>
        <v>C090020</v>
      </c>
      <c r="D2029" t="s">
        <v>4558</v>
      </c>
      <c r="E2029" t="s">
        <v>685</v>
      </c>
      <c r="F2029" t="s">
        <v>3087</v>
      </c>
    </row>
    <row r="2030" spans="1:6">
      <c r="A2030">
        <v>93809</v>
      </c>
      <c r="B2030" t="s">
        <v>3089</v>
      </c>
      <c r="C2030" t="str">
        <f>VLOOKUP(A2030,'Cost Center'!A:C,3,FALSE)</f>
        <v>C503900</v>
      </c>
      <c r="D2030" t="s">
        <v>8276</v>
      </c>
      <c r="E2030" t="s">
        <v>685</v>
      </c>
      <c r="F2030" t="s">
        <v>19410</v>
      </c>
    </row>
    <row r="2031" spans="1:6">
      <c r="A2031" t="s">
        <v>3090</v>
      </c>
      <c r="B2031" t="s">
        <v>3091</v>
      </c>
      <c r="C2031" t="str">
        <f>VLOOKUP(A2031,'Cost Center'!A:C,3,FALSE)</f>
        <v>C515020</v>
      </c>
      <c r="D2031" t="s">
        <v>8663</v>
      </c>
      <c r="E2031" t="s">
        <v>685</v>
      </c>
      <c r="F2031" t="s">
        <v>3090</v>
      </c>
    </row>
    <row r="2032" spans="1:6">
      <c r="A2032" t="s">
        <v>3092</v>
      </c>
      <c r="B2032" t="s">
        <v>3093</v>
      </c>
      <c r="C2032" t="str">
        <f>VLOOKUP(A2032,'Cost Center'!A:C,3,FALSE)</f>
        <v>C515021</v>
      </c>
      <c r="D2032" t="s">
        <v>12252</v>
      </c>
      <c r="E2032" t="s">
        <v>685</v>
      </c>
      <c r="F2032" t="s">
        <v>3092</v>
      </c>
    </row>
    <row r="2033" spans="1:6">
      <c r="A2033" t="s">
        <v>3094</v>
      </c>
      <c r="B2033" t="s">
        <v>3095</v>
      </c>
      <c r="C2033" t="e">
        <f>VLOOKUP(A2033,'Cost Center'!A:C,3,FALSE)</f>
        <v>#N/A</v>
      </c>
      <c r="D2033" t="s">
        <v>3624</v>
      </c>
      <c r="E2033" t="s">
        <v>685</v>
      </c>
      <c r="F2033" t="s">
        <v>3094</v>
      </c>
    </row>
    <row r="2034" spans="1:6">
      <c r="A2034" t="s">
        <v>3096</v>
      </c>
      <c r="B2034" t="s">
        <v>3097</v>
      </c>
      <c r="C2034" t="e">
        <f>VLOOKUP(A2034,'Cost Center'!A:C,3,FALSE)</f>
        <v>#N/A</v>
      </c>
      <c r="D2034" t="s">
        <v>3624</v>
      </c>
      <c r="E2034" t="s">
        <v>685</v>
      </c>
      <c r="F2034" t="s">
        <v>3096</v>
      </c>
    </row>
    <row r="2035" spans="1:6">
      <c r="A2035" t="s">
        <v>3098</v>
      </c>
      <c r="B2035" t="s">
        <v>3099</v>
      </c>
      <c r="C2035" t="e">
        <f>VLOOKUP(A2035,'Cost Center'!A:C,3,FALSE)</f>
        <v>#N/A</v>
      </c>
      <c r="D2035" t="s">
        <v>3624</v>
      </c>
      <c r="E2035" t="s">
        <v>685</v>
      </c>
      <c r="F2035" t="s">
        <v>3098</v>
      </c>
    </row>
    <row r="2036" spans="1:6">
      <c r="A2036" t="s">
        <v>3100</v>
      </c>
      <c r="B2036" t="s">
        <v>3101</v>
      </c>
      <c r="C2036" t="str">
        <f>VLOOKUP(A2036,'Cost Center'!A:C,3,FALSE)</f>
        <v>C515022</v>
      </c>
      <c r="D2036" t="s">
        <v>8670</v>
      </c>
      <c r="E2036" t="s">
        <v>685</v>
      </c>
      <c r="F2036" t="s">
        <v>3100</v>
      </c>
    </row>
    <row r="2037" spans="1:6">
      <c r="A2037" t="s">
        <v>3102</v>
      </c>
      <c r="B2037" t="s">
        <v>3103</v>
      </c>
      <c r="C2037" t="str">
        <f>VLOOKUP(A2037,'Cost Center'!A:C,3,FALSE)</f>
        <v>C515023</v>
      </c>
      <c r="D2037" t="s">
        <v>12293</v>
      </c>
      <c r="E2037" t="s">
        <v>685</v>
      </c>
      <c r="F2037" t="s">
        <v>3102</v>
      </c>
    </row>
    <row r="2038" spans="1:6">
      <c r="A2038" t="s">
        <v>584</v>
      </c>
      <c r="B2038" t="s">
        <v>1762</v>
      </c>
      <c r="C2038" t="str">
        <f>VLOOKUP(A2038,'Cost Center'!A:C,3,FALSE)</f>
        <v>C515013</v>
      </c>
      <c r="D2038" t="s">
        <v>12296</v>
      </c>
      <c r="E2038" t="s">
        <v>685</v>
      </c>
      <c r="F2038" t="s">
        <v>584</v>
      </c>
    </row>
    <row r="2039" spans="1:6">
      <c r="A2039" t="s">
        <v>3104</v>
      </c>
      <c r="B2039" t="s">
        <v>3105</v>
      </c>
      <c r="C2039" t="str">
        <f>VLOOKUP(A2039,'Cost Center'!A:C,3,FALSE)</f>
        <v>C515024</v>
      </c>
      <c r="D2039" t="s">
        <v>12307</v>
      </c>
      <c r="E2039" t="s">
        <v>685</v>
      </c>
      <c r="F2039" t="s">
        <v>3104</v>
      </c>
    </row>
    <row r="2040" spans="1:6">
      <c r="A2040" t="s">
        <v>3106</v>
      </c>
      <c r="B2040" t="s">
        <v>3107</v>
      </c>
      <c r="C2040" t="str">
        <f>VLOOKUP(A2040,'Cost Center'!A:C,3,FALSE)</f>
        <v>C515025</v>
      </c>
      <c r="D2040" t="s">
        <v>12315</v>
      </c>
      <c r="E2040" t="s">
        <v>685</v>
      </c>
      <c r="F2040" t="s">
        <v>3106</v>
      </c>
    </row>
    <row r="2041" spans="1:6">
      <c r="A2041" t="s">
        <v>587</v>
      </c>
      <c r="B2041" t="s">
        <v>1765</v>
      </c>
      <c r="C2041" t="str">
        <f>VLOOKUP(A2041,'Cost Center'!A:C,3,FALSE)</f>
        <v>C515014</v>
      </c>
      <c r="D2041" t="s">
        <v>12330</v>
      </c>
      <c r="E2041" t="s">
        <v>685</v>
      </c>
      <c r="F2041" t="s">
        <v>587</v>
      </c>
    </row>
    <row r="2042" spans="1:6">
      <c r="A2042" t="s">
        <v>3108</v>
      </c>
      <c r="B2042" t="s">
        <v>3109</v>
      </c>
      <c r="C2042" t="e">
        <f>VLOOKUP(A2042,'Cost Center'!A:C,3,FALSE)</f>
        <v>#N/A</v>
      </c>
      <c r="D2042" t="s">
        <v>3624</v>
      </c>
      <c r="E2042" t="s">
        <v>685</v>
      </c>
      <c r="F2042" t="s">
        <v>3108</v>
      </c>
    </row>
    <row r="2043" spans="1:6">
      <c r="A2043" t="s">
        <v>590</v>
      </c>
      <c r="B2043" t="s">
        <v>1767</v>
      </c>
      <c r="C2043" t="str">
        <f>VLOOKUP(A2043,'Cost Center'!A:C,3,FALSE)</f>
        <v>C515017</v>
      </c>
      <c r="D2043" t="s">
        <v>12353</v>
      </c>
      <c r="E2043" t="s">
        <v>685</v>
      </c>
      <c r="F2043" t="s">
        <v>590</v>
      </c>
    </row>
    <row r="2044" spans="1:6">
      <c r="A2044" t="s">
        <v>3110</v>
      </c>
      <c r="B2044" t="s">
        <v>3111</v>
      </c>
      <c r="C2044" t="str">
        <f>VLOOKUP(A2044,'Cost Center'!A:C,3,FALSE)</f>
        <v>C515026</v>
      </c>
      <c r="D2044" t="s">
        <v>12366</v>
      </c>
      <c r="E2044" t="s">
        <v>685</v>
      </c>
      <c r="F2044" t="s">
        <v>3110</v>
      </c>
    </row>
    <row r="2045" spans="1:6">
      <c r="A2045" t="s">
        <v>3112</v>
      </c>
      <c r="B2045" t="s">
        <v>3113</v>
      </c>
      <c r="C2045" t="str">
        <f>VLOOKUP(A2045,'Cost Center'!A:C,3,FALSE)</f>
        <v>C515027</v>
      </c>
      <c r="D2045" t="s">
        <v>8689</v>
      </c>
      <c r="E2045" t="s">
        <v>685</v>
      </c>
      <c r="F2045" t="s">
        <v>3112</v>
      </c>
    </row>
    <row r="2046" spans="1:6">
      <c r="A2046">
        <v>10211</v>
      </c>
      <c r="B2046" t="s">
        <v>3114</v>
      </c>
      <c r="C2046" t="str">
        <f>VLOOKUP(A2046,'Cost Center'!A:C,3,FALSE)</f>
        <v>C515028</v>
      </c>
      <c r="D2046" t="s">
        <v>8692</v>
      </c>
      <c r="E2046" t="s">
        <v>685</v>
      </c>
      <c r="F2046" t="s">
        <v>19446</v>
      </c>
    </row>
    <row r="2047" spans="1:6">
      <c r="A2047">
        <v>20251</v>
      </c>
      <c r="B2047" t="s">
        <v>3115</v>
      </c>
      <c r="C2047" t="str">
        <f>VLOOKUP(A2047,'Cost Center'!A:C,3,FALSE)</f>
        <v>C515004</v>
      </c>
      <c r="D2047" t="s">
        <v>5221</v>
      </c>
      <c r="E2047" t="s">
        <v>685</v>
      </c>
      <c r="F2047" t="s">
        <v>18528</v>
      </c>
    </row>
    <row r="2048" spans="1:6">
      <c r="A2048">
        <v>54001</v>
      </c>
      <c r="B2048" t="s">
        <v>919</v>
      </c>
      <c r="C2048" t="str">
        <f>VLOOKUP(A2048,'Cost Center'!A:C,3,FALSE)</f>
        <v>C515008</v>
      </c>
      <c r="D2048" t="s">
        <v>6373</v>
      </c>
      <c r="E2048" t="s">
        <v>685</v>
      </c>
      <c r="F2048" t="s">
        <v>18907</v>
      </c>
    </row>
    <row r="2049" spans="1:6">
      <c r="A2049">
        <v>54003</v>
      </c>
      <c r="B2049" t="s">
        <v>920</v>
      </c>
      <c r="C2049" t="str">
        <f>VLOOKUP(A2049,'Cost Center'!A:C,3,FALSE)</f>
        <v>C515009</v>
      </c>
      <c r="D2049" t="s">
        <v>6376</v>
      </c>
      <c r="E2049" t="s">
        <v>685</v>
      </c>
      <c r="F2049" t="s">
        <v>18908</v>
      </c>
    </row>
    <row r="2050" spans="1:6">
      <c r="A2050">
        <v>93103</v>
      </c>
      <c r="B2050" t="s">
        <v>3116</v>
      </c>
      <c r="C2050" t="str">
        <f>VLOOKUP(A2050,'Cost Center'!A:C,3,FALSE)</f>
        <v>C515029</v>
      </c>
      <c r="D2050" t="s">
        <v>8695</v>
      </c>
      <c r="E2050" t="s">
        <v>685</v>
      </c>
      <c r="F2050" t="s">
        <v>19447</v>
      </c>
    </row>
    <row r="2051" spans="1:6">
      <c r="A2051">
        <v>93500</v>
      </c>
      <c r="B2051" t="s">
        <v>3117</v>
      </c>
      <c r="C2051" t="str">
        <f>VLOOKUP(A2051,'Cost Center'!A:C,3,FALSE)</f>
        <v>C515030</v>
      </c>
      <c r="D2051" t="s">
        <v>6871</v>
      </c>
      <c r="E2051" t="s">
        <v>685</v>
      </c>
      <c r="F2051" t="s">
        <v>19033</v>
      </c>
    </row>
    <row r="2052" spans="1:6">
      <c r="A2052">
        <v>93501</v>
      </c>
      <c r="B2052" t="s">
        <v>3118</v>
      </c>
      <c r="C2052" t="str">
        <f>VLOOKUP(A2052,'Cost Center'!A:C,3,FALSE)</f>
        <v>C515031</v>
      </c>
      <c r="D2052" t="s">
        <v>6874</v>
      </c>
      <c r="E2052" t="s">
        <v>685</v>
      </c>
      <c r="F2052" t="s">
        <v>19034</v>
      </c>
    </row>
    <row r="2053" spans="1:6">
      <c r="A2053" t="s">
        <v>3119</v>
      </c>
      <c r="B2053" t="s">
        <v>3120</v>
      </c>
      <c r="C2053" t="str">
        <f>VLOOKUP(A2053,'Cost Center'!A:C,3,FALSE)</f>
        <v>C515032</v>
      </c>
      <c r="D2053" t="s">
        <v>8706</v>
      </c>
      <c r="E2053" t="s">
        <v>685</v>
      </c>
      <c r="F2053" t="s">
        <v>3119</v>
      </c>
    </row>
    <row r="2054" spans="1:6">
      <c r="A2054" t="s">
        <v>3121</v>
      </c>
      <c r="B2054" t="s">
        <v>3122</v>
      </c>
      <c r="C2054" t="str">
        <f>VLOOKUP(A2054,'Cost Center'!A:C,3,FALSE)</f>
        <v>C515033</v>
      </c>
      <c r="D2054" t="s">
        <v>12240</v>
      </c>
      <c r="E2054" t="s">
        <v>685</v>
      </c>
      <c r="F2054" t="s">
        <v>3121</v>
      </c>
    </row>
    <row r="2055" spans="1:6">
      <c r="A2055" t="s">
        <v>3123</v>
      </c>
      <c r="B2055" t="s">
        <v>3124</v>
      </c>
      <c r="C2055" t="str">
        <f>VLOOKUP(A2055,'Cost Center'!A:C,3,FALSE)</f>
        <v>C515034</v>
      </c>
      <c r="D2055" t="s">
        <v>12284</v>
      </c>
      <c r="E2055" t="s">
        <v>685</v>
      </c>
      <c r="F2055" t="s">
        <v>3123</v>
      </c>
    </row>
    <row r="2056" spans="1:6">
      <c r="A2056" t="s">
        <v>3125</v>
      </c>
      <c r="B2056" t="s">
        <v>3126</v>
      </c>
      <c r="C2056" t="str">
        <f>VLOOKUP(A2056,'Cost Center'!A:C,3,FALSE)</f>
        <v>C515035</v>
      </c>
      <c r="D2056" t="s">
        <v>8717</v>
      </c>
      <c r="E2056" t="s">
        <v>685</v>
      </c>
      <c r="F2056" t="s">
        <v>3125</v>
      </c>
    </row>
    <row r="2057" spans="1:6">
      <c r="A2057" t="s">
        <v>580</v>
      </c>
      <c r="B2057" t="s">
        <v>1760</v>
      </c>
      <c r="C2057" t="str">
        <f>VLOOKUP(A2057,'Cost Center'!A:C,3,FALSE)</f>
        <v>C515012</v>
      </c>
      <c r="D2057" t="s">
        <v>8637</v>
      </c>
      <c r="E2057" t="s">
        <v>685</v>
      </c>
      <c r="F2057" t="s">
        <v>580</v>
      </c>
    </row>
    <row r="2058" spans="1:6">
      <c r="A2058" t="s">
        <v>3127</v>
      </c>
      <c r="B2058" t="s">
        <v>3128</v>
      </c>
      <c r="C2058" t="str">
        <f>VLOOKUP(A2058,'Cost Center'!A:C,3,FALSE)</f>
        <v>C515036</v>
      </c>
      <c r="D2058" t="s">
        <v>12333</v>
      </c>
      <c r="E2058" t="s">
        <v>685</v>
      </c>
      <c r="F2058" t="s">
        <v>3127</v>
      </c>
    </row>
    <row r="2059" spans="1:6">
      <c r="A2059" t="s">
        <v>3129</v>
      </c>
      <c r="B2059" t="s">
        <v>3130</v>
      </c>
      <c r="C2059" t="str">
        <f>VLOOKUP(A2059,'Cost Center'!A:C,3,FALSE)</f>
        <v>C515037</v>
      </c>
      <c r="D2059" t="s">
        <v>8724</v>
      </c>
      <c r="E2059" t="s">
        <v>685</v>
      </c>
      <c r="F2059" t="s">
        <v>3129</v>
      </c>
    </row>
    <row r="2060" spans="1:6">
      <c r="A2060" t="s">
        <v>3131</v>
      </c>
      <c r="B2060" t="s">
        <v>3132</v>
      </c>
      <c r="C2060" t="str">
        <f>VLOOKUP(A2060,'Cost Center'!A:C,3,FALSE)</f>
        <v>C515038</v>
      </c>
      <c r="D2060" t="s">
        <v>8727</v>
      </c>
      <c r="E2060" t="s">
        <v>685</v>
      </c>
      <c r="F2060" t="s">
        <v>3131</v>
      </c>
    </row>
    <row r="2061" spans="1:6">
      <c r="A2061" t="s">
        <v>589</v>
      </c>
      <c r="B2061" t="s">
        <v>3133</v>
      </c>
      <c r="C2061" t="str">
        <f>VLOOKUP(A2061,'Cost Center'!A:C,3,FALSE)</f>
        <v>C515016</v>
      </c>
      <c r="D2061" t="s">
        <v>8651</v>
      </c>
      <c r="E2061" t="s">
        <v>685</v>
      </c>
      <c r="F2061" t="s">
        <v>589</v>
      </c>
    </row>
    <row r="2062" spans="1:6">
      <c r="A2062" t="s">
        <v>3134</v>
      </c>
      <c r="B2062" t="s">
        <v>3135</v>
      </c>
      <c r="C2062" t="str">
        <f>VLOOKUP(A2062,'Cost Center'!A:C,3,FALSE)</f>
        <v>C515040</v>
      </c>
      <c r="D2062" t="s">
        <v>12346</v>
      </c>
      <c r="E2062" t="s">
        <v>685</v>
      </c>
      <c r="F2062" t="s">
        <v>3134</v>
      </c>
    </row>
    <row r="2063" spans="1:6">
      <c r="A2063">
        <v>20100</v>
      </c>
      <c r="B2063" t="s">
        <v>780</v>
      </c>
      <c r="C2063" t="str">
        <f>VLOOKUP(A2063,'Cost Center'!A:C,3,FALSE)</f>
        <v>C515001</v>
      </c>
      <c r="D2063" t="s">
        <v>8603</v>
      </c>
      <c r="E2063" t="s">
        <v>685</v>
      </c>
      <c r="F2063" t="s">
        <v>19442</v>
      </c>
    </row>
    <row r="2064" spans="1:6">
      <c r="A2064">
        <v>20101</v>
      </c>
      <c r="B2064" t="s">
        <v>781</v>
      </c>
      <c r="C2064" t="str">
        <f>VLOOKUP(A2064,'Cost Center'!A:C,3,FALSE)</f>
        <v>C515002</v>
      </c>
      <c r="D2064" t="s">
        <v>8606</v>
      </c>
      <c r="E2064" t="s">
        <v>685</v>
      </c>
      <c r="F2064" t="s">
        <v>19443</v>
      </c>
    </row>
    <row r="2065" spans="1:6">
      <c r="A2065">
        <v>20642</v>
      </c>
      <c r="B2065" t="s">
        <v>783</v>
      </c>
      <c r="C2065" t="str">
        <f>VLOOKUP(A2065,'Cost Center'!A:C,3,FALSE)</f>
        <v>C515005</v>
      </c>
      <c r="D2065" t="s">
        <v>8616</v>
      </c>
      <c r="E2065" t="s">
        <v>685</v>
      </c>
      <c r="F2065" t="s">
        <v>19444</v>
      </c>
    </row>
    <row r="2066" spans="1:6">
      <c r="A2066" t="s">
        <v>3136</v>
      </c>
      <c r="B2066" t="s">
        <v>3137</v>
      </c>
      <c r="C2066" t="e">
        <f>VLOOKUP(A2066,'Cost Center'!A:C,3,FALSE)</f>
        <v>#N/A</v>
      </c>
      <c r="D2066" t="s">
        <v>3624</v>
      </c>
      <c r="E2066" t="s">
        <v>685</v>
      </c>
      <c r="F2066" t="s">
        <v>3136</v>
      </c>
    </row>
    <row r="2067" spans="1:6">
      <c r="A2067" t="s">
        <v>3138</v>
      </c>
      <c r="B2067" t="s">
        <v>3139</v>
      </c>
      <c r="C2067" t="str">
        <f>VLOOKUP(A2067,'Cost Center'!A:C,3,FALSE)</f>
        <v>C290700</v>
      </c>
      <c r="D2067" t="s">
        <v>6545</v>
      </c>
      <c r="E2067" t="s">
        <v>685</v>
      </c>
      <c r="F2067" t="s">
        <v>3138</v>
      </c>
    </row>
    <row r="2068" spans="1:6">
      <c r="A2068" t="s">
        <v>3140</v>
      </c>
      <c r="B2068" t="s">
        <v>3141</v>
      </c>
      <c r="C2068" t="str">
        <f>VLOOKUP(A2068,'Cost Center'!A:C,3,FALSE)</f>
        <v>C290701</v>
      </c>
      <c r="D2068" t="s">
        <v>6547</v>
      </c>
      <c r="E2068" t="s">
        <v>685</v>
      </c>
      <c r="F2068" t="s">
        <v>3140</v>
      </c>
    </row>
    <row r="2069" spans="1:6">
      <c r="A2069" t="s">
        <v>578</v>
      </c>
      <c r="B2069" t="s">
        <v>1757</v>
      </c>
      <c r="C2069" t="str">
        <f>VLOOKUP(A2069,'Cost Center'!A:C,3,FALSE)</f>
        <v>C515011</v>
      </c>
      <c r="D2069" t="s">
        <v>8634</v>
      </c>
      <c r="E2069" t="s">
        <v>685</v>
      </c>
      <c r="F2069" t="s">
        <v>578</v>
      </c>
    </row>
    <row r="2070" spans="1:6">
      <c r="A2070" t="s">
        <v>3142</v>
      </c>
      <c r="B2070" t="s">
        <v>3143</v>
      </c>
      <c r="C2070" t="e">
        <f>VLOOKUP(A2070,'Cost Center'!A:C,3,FALSE)</f>
        <v>#N/A</v>
      </c>
      <c r="D2070" t="s">
        <v>3624</v>
      </c>
      <c r="E2070" t="s">
        <v>685</v>
      </c>
      <c r="F2070" t="s">
        <v>3142</v>
      </c>
    </row>
    <row r="2071" spans="1:6">
      <c r="A2071" t="s">
        <v>3144</v>
      </c>
      <c r="B2071" t="s">
        <v>3145</v>
      </c>
      <c r="C2071" t="str">
        <f>VLOOKUP(A2071,'Cost Center'!A:C,3,FALSE)</f>
        <v>C515039</v>
      </c>
      <c r="D2071" t="s">
        <v>8730</v>
      </c>
      <c r="E2071" t="s">
        <v>685</v>
      </c>
      <c r="F2071" t="s">
        <v>3144</v>
      </c>
    </row>
    <row r="2072" spans="1:6">
      <c r="A2072">
        <v>10213</v>
      </c>
      <c r="B2072" t="s">
        <v>3146</v>
      </c>
      <c r="C2072" t="str">
        <f>VLOOKUP(A2072,'Cost Center'!A:C,3,FALSE)</f>
        <v>C515308</v>
      </c>
      <c r="D2072" t="s">
        <v>8831</v>
      </c>
      <c r="E2072" t="s">
        <v>685</v>
      </c>
      <c r="F2072" t="s">
        <v>19456</v>
      </c>
    </row>
    <row r="2073" spans="1:6">
      <c r="A2073">
        <v>10224</v>
      </c>
      <c r="B2073" t="s">
        <v>3147</v>
      </c>
      <c r="C2073" t="str">
        <f>VLOOKUP(A2073,'Cost Center'!A:C,3,FALSE)</f>
        <v>C515200</v>
      </c>
      <c r="D2073" t="s">
        <v>8766</v>
      </c>
      <c r="E2073" t="s">
        <v>685</v>
      </c>
      <c r="F2073" t="s">
        <v>19449</v>
      </c>
    </row>
    <row r="2074" spans="1:6">
      <c r="A2074">
        <v>50100</v>
      </c>
      <c r="B2074" t="s">
        <v>3148</v>
      </c>
      <c r="C2074" t="str">
        <f>VLOOKUP(A2074,'Cost Center'!A:C,3,FALSE)</f>
        <v>C515201</v>
      </c>
      <c r="D2074" t="s">
        <v>5945</v>
      </c>
      <c r="E2074" t="s">
        <v>685</v>
      </c>
      <c r="F2074" t="s">
        <v>18751</v>
      </c>
    </row>
    <row r="2075" spans="1:6">
      <c r="A2075" t="s">
        <v>3149</v>
      </c>
      <c r="B2075" t="s">
        <v>3150</v>
      </c>
      <c r="C2075" t="str">
        <f>VLOOKUP(A2075,'Cost Center'!A:C,3,FALSE)</f>
        <v>C515202</v>
      </c>
      <c r="D2075" t="s">
        <v>12287</v>
      </c>
      <c r="E2075" t="s">
        <v>685</v>
      </c>
      <c r="F2075" t="s">
        <v>3149</v>
      </c>
    </row>
    <row r="2076" spans="1:6">
      <c r="A2076" t="s">
        <v>3151</v>
      </c>
      <c r="B2076" t="s">
        <v>3152</v>
      </c>
      <c r="C2076" t="e">
        <f>VLOOKUP(A2076,'Cost Center'!A:C,3,FALSE)</f>
        <v>#N/A</v>
      </c>
      <c r="D2076" t="s">
        <v>3624</v>
      </c>
      <c r="E2076" t="s">
        <v>685</v>
      </c>
      <c r="F2076" t="s">
        <v>3151</v>
      </c>
    </row>
    <row r="2077" spans="1:6">
      <c r="A2077" t="s">
        <v>3153</v>
      </c>
      <c r="B2077" t="s">
        <v>3154</v>
      </c>
      <c r="C2077" t="str">
        <f>VLOOKUP(A2077,'Cost Center'!A:C,3,FALSE)</f>
        <v>C515203</v>
      </c>
      <c r="D2077" t="s">
        <v>12363</v>
      </c>
      <c r="E2077" t="s">
        <v>685</v>
      </c>
      <c r="F2077" t="s">
        <v>3153</v>
      </c>
    </row>
    <row r="2078" spans="1:6">
      <c r="A2078" t="s">
        <v>3155</v>
      </c>
      <c r="B2078" t="s">
        <v>3156</v>
      </c>
      <c r="C2078" t="str">
        <f>VLOOKUP(A2078,'Cost Center'!A:C,3,FALSE)</f>
        <v>C515204</v>
      </c>
      <c r="D2078" t="s">
        <v>12387</v>
      </c>
      <c r="E2078" t="s">
        <v>685</v>
      </c>
      <c r="F2078" t="s">
        <v>3155</v>
      </c>
    </row>
    <row r="2079" spans="1:6">
      <c r="A2079" t="s">
        <v>3157</v>
      </c>
      <c r="B2079" t="s">
        <v>3158</v>
      </c>
      <c r="C2079" t="str">
        <f>VLOOKUP(A2079,'Cost Center'!A:C,3,FALSE)</f>
        <v>C515205</v>
      </c>
      <c r="D2079" t="s">
        <v>12405</v>
      </c>
      <c r="E2079" t="s">
        <v>685</v>
      </c>
      <c r="F2079" t="s">
        <v>3157</v>
      </c>
    </row>
    <row r="2080" spans="1:6">
      <c r="A2080">
        <v>20250</v>
      </c>
      <c r="B2080" t="s">
        <v>3159</v>
      </c>
      <c r="C2080" t="str">
        <f>VLOOKUP(A2080,'Cost Center'!A:C,3,FALSE)</f>
        <v>C515003</v>
      </c>
      <c r="D2080" t="s">
        <v>5218</v>
      </c>
      <c r="E2080" t="s">
        <v>685</v>
      </c>
      <c r="F2080" t="s">
        <v>18527</v>
      </c>
    </row>
    <row r="2081" spans="1:6">
      <c r="A2081">
        <v>42534</v>
      </c>
      <c r="B2081" t="s">
        <v>3160</v>
      </c>
      <c r="C2081" t="e">
        <f>VLOOKUP(A2081,'Cost Center'!A:C,3,FALSE)</f>
        <v>#N/A</v>
      </c>
      <c r="D2081" t="s">
        <v>3624</v>
      </c>
      <c r="E2081" t="s">
        <v>685</v>
      </c>
      <c r="F2081" t="s">
        <v>20088</v>
      </c>
    </row>
    <row r="2082" spans="1:6">
      <c r="A2082" t="s">
        <v>3161</v>
      </c>
      <c r="B2082" t="s">
        <v>3162</v>
      </c>
      <c r="C2082" t="str">
        <f>VLOOKUP(A2082,'Cost Center'!A:C,3,FALSE)</f>
        <v>C515041</v>
      </c>
      <c r="D2082" t="s">
        <v>12243</v>
      </c>
      <c r="E2082" t="s">
        <v>685</v>
      </c>
      <c r="F2082" t="s">
        <v>3161</v>
      </c>
    </row>
    <row r="2083" spans="1:6">
      <c r="A2083" t="s">
        <v>3163</v>
      </c>
      <c r="B2083" t="s">
        <v>3164</v>
      </c>
      <c r="C2083" t="str">
        <f>VLOOKUP(A2083,'Cost Center'!A:C,3,FALSE)</f>
        <v>C515042</v>
      </c>
      <c r="D2083" t="s">
        <v>12246</v>
      </c>
      <c r="E2083" t="s">
        <v>685</v>
      </c>
      <c r="F2083" t="s">
        <v>3163</v>
      </c>
    </row>
    <row r="2084" spans="1:6">
      <c r="A2084" t="s">
        <v>3165</v>
      </c>
      <c r="B2084" t="s">
        <v>3166</v>
      </c>
      <c r="C2084" t="str">
        <f>VLOOKUP(A2084,'Cost Center'!A:C,3,FALSE)</f>
        <v>C515045</v>
      </c>
      <c r="D2084" t="s">
        <v>8752</v>
      </c>
      <c r="E2084" t="s">
        <v>685</v>
      </c>
      <c r="F2084" t="s">
        <v>3165</v>
      </c>
    </row>
    <row r="2085" spans="1:6">
      <c r="A2085" t="s">
        <v>593</v>
      </c>
      <c r="B2085" t="s">
        <v>1770</v>
      </c>
      <c r="C2085" t="str">
        <f>VLOOKUP(A2085,'Cost Center'!A:C,3,FALSE)</f>
        <v>C515018</v>
      </c>
      <c r="D2085" t="s">
        <v>8657</v>
      </c>
      <c r="E2085" t="s">
        <v>685</v>
      </c>
      <c r="F2085" t="s">
        <v>593</v>
      </c>
    </row>
    <row r="2086" spans="1:6">
      <c r="A2086" t="s">
        <v>3167</v>
      </c>
      <c r="B2086" t="s">
        <v>3168</v>
      </c>
      <c r="C2086" t="e">
        <f>VLOOKUP(A2086,'Cost Center'!A:C,3,FALSE)</f>
        <v>#N/A</v>
      </c>
      <c r="D2086" t="s">
        <v>3624</v>
      </c>
      <c r="E2086" t="s">
        <v>685</v>
      </c>
      <c r="F2086" t="s">
        <v>3167</v>
      </c>
    </row>
    <row r="2087" spans="1:6">
      <c r="A2087" t="s">
        <v>3169</v>
      </c>
      <c r="B2087" t="s">
        <v>3170</v>
      </c>
      <c r="C2087" t="str">
        <f>VLOOKUP(A2087,'Cost Center'!A:C,3,FALSE)</f>
        <v>C550017</v>
      </c>
      <c r="D2087" t="s">
        <v>8953</v>
      </c>
      <c r="E2087" t="s">
        <v>685</v>
      </c>
      <c r="F2087" t="s">
        <v>3169</v>
      </c>
    </row>
    <row r="2088" spans="1:6">
      <c r="A2088" t="s">
        <v>3171</v>
      </c>
      <c r="B2088" t="s">
        <v>3172</v>
      </c>
      <c r="C2088" t="e">
        <f>VLOOKUP(A2088,'Cost Center'!A:C,3,FALSE)</f>
        <v>#N/A</v>
      </c>
      <c r="D2088" t="s">
        <v>3624</v>
      </c>
      <c r="E2088" t="s">
        <v>685</v>
      </c>
      <c r="F2088" t="s">
        <v>3171</v>
      </c>
    </row>
    <row r="2089" spans="1:6">
      <c r="A2089" t="s">
        <v>594</v>
      </c>
      <c r="B2089" t="s">
        <v>1771</v>
      </c>
      <c r="C2089" t="str">
        <f>VLOOKUP(A2089,'Cost Center'!A:C,3,FALSE)</f>
        <v>C515019</v>
      </c>
      <c r="D2089" t="s">
        <v>8660</v>
      </c>
      <c r="E2089" t="s">
        <v>685</v>
      </c>
      <c r="F2089" t="s">
        <v>594</v>
      </c>
    </row>
    <row r="2090" spans="1:6">
      <c r="A2090">
        <v>20252</v>
      </c>
      <c r="B2090" t="s">
        <v>3173</v>
      </c>
      <c r="C2090" t="str">
        <f>VLOOKUP(A2090,'Cost Center'!A:C,3,FALSE)</f>
        <v>C550000</v>
      </c>
      <c r="D2090" t="s">
        <v>5236</v>
      </c>
      <c r="E2090" t="s">
        <v>685</v>
      </c>
      <c r="F2090" t="s">
        <v>18529</v>
      </c>
    </row>
    <row r="2091" spans="1:6">
      <c r="A2091">
        <v>20253</v>
      </c>
      <c r="B2091" t="s">
        <v>3174</v>
      </c>
      <c r="C2091" t="str">
        <f>VLOOKUP(A2091,'Cost Center'!A:C,3,FALSE)</f>
        <v>C550001</v>
      </c>
      <c r="D2091" t="s">
        <v>5243</v>
      </c>
      <c r="E2091" t="s">
        <v>685</v>
      </c>
      <c r="F2091" t="s">
        <v>18530</v>
      </c>
    </row>
    <row r="2092" spans="1:6">
      <c r="A2092">
        <v>20254</v>
      </c>
      <c r="B2092" t="s">
        <v>3175</v>
      </c>
      <c r="C2092" t="str">
        <f>VLOOKUP(A2092,'Cost Center'!A:C,3,FALSE)</f>
        <v>C550008</v>
      </c>
      <c r="D2092" t="s">
        <v>5252</v>
      </c>
      <c r="E2092" t="s">
        <v>685</v>
      </c>
      <c r="F2092" t="s">
        <v>18533</v>
      </c>
    </row>
    <row r="2093" spans="1:6">
      <c r="A2093">
        <v>20255</v>
      </c>
      <c r="B2093" t="s">
        <v>3176</v>
      </c>
      <c r="C2093" t="str">
        <f>VLOOKUP(A2093,'Cost Center'!A:C,3,FALSE)</f>
        <v>C550009</v>
      </c>
      <c r="D2093" t="s">
        <v>5273</v>
      </c>
      <c r="E2093" t="s">
        <v>685</v>
      </c>
      <c r="F2093" t="s">
        <v>18540</v>
      </c>
    </row>
    <row r="2094" spans="1:6">
      <c r="A2094">
        <v>22236</v>
      </c>
      <c r="B2094" t="s">
        <v>3177</v>
      </c>
      <c r="C2094" t="e">
        <f>VLOOKUP(A2094,'Cost Center'!A:C,3,FALSE)</f>
        <v>#N/A</v>
      </c>
      <c r="D2094" t="s">
        <v>3624</v>
      </c>
      <c r="E2094" t="s">
        <v>685</v>
      </c>
      <c r="F2094" t="s">
        <v>20089</v>
      </c>
    </row>
    <row r="2095" spans="1:6">
      <c r="A2095" t="s">
        <v>3178</v>
      </c>
      <c r="B2095" t="s">
        <v>3179</v>
      </c>
      <c r="C2095" t="str">
        <f>VLOOKUP(A2095,'Cost Center'!A:C,3,FALSE)</f>
        <v>C550010</v>
      </c>
      <c r="D2095" t="s">
        <v>8930</v>
      </c>
      <c r="E2095" t="s">
        <v>685</v>
      </c>
      <c r="F2095" t="s">
        <v>3178</v>
      </c>
    </row>
    <row r="2096" spans="1:6">
      <c r="A2096" t="s">
        <v>3180</v>
      </c>
      <c r="B2096" t="s">
        <v>3181</v>
      </c>
      <c r="C2096" t="str">
        <f>VLOOKUP(A2096,'Cost Center'!A:C,3,FALSE)</f>
        <v>C550011</v>
      </c>
      <c r="D2096" t="s">
        <v>8933</v>
      </c>
      <c r="E2096" t="s">
        <v>685</v>
      </c>
      <c r="F2096" t="s">
        <v>3180</v>
      </c>
    </row>
    <row r="2097" spans="1:6">
      <c r="A2097" t="s">
        <v>3182</v>
      </c>
      <c r="B2097" t="s">
        <v>3183</v>
      </c>
      <c r="C2097" t="str">
        <f>VLOOKUP(A2097,'Cost Center'!A:C,3,FALSE)</f>
        <v>C550012</v>
      </c>
      <c r="D2097" t="s">
        <v>12235</v>
      </c>
      <c r="E2097" t="s">
        <v>685</v>
      </c>
      <c r="F2097" t="s">
        <v>3182</v>
      </c>
    </row>
    <row r="2098" spans="1:6">
      <c r="A2098" t="s">
        <v>3184</v>
      </c>
      <c r="B2098" t="s">
        <v>3185</v>
      </c>
      <c r="C2098" t="e">
        <f>VLOOKUP(A2098,'Cost Center'!A:C,3,FALSE)</f>
        <v>#N/A</v>
      </c>
      <c r="D2098" t="s">
        <v>3624</v>
      </c>
      <c r="E2098" t="s">
        <v>685</v>
      </c>
      <c r="F2098" t="s">
        <v>3184</v>
      </c>
    </row>
    <row r="2099" spans="1:6">
      <c r="A2099" t="s">
        <v>3186</v>
      </c>
      <c r="B2099" t="s">
        <v>3187</v>
      </c>
      <c r="C2099" t="str">
        <f>VLOOKUP(A2099,'Cost Center'!A:C,3,FALSE)</f>
        <v>C550013</v>
      </c>
      <c r="D2099" t="s">
        <v>8940</v>
      </c>
      <c r="E2099" t="s">
        <v>685</v>
      </c>
      <c r="F2099" t="s">
        <v>3186</v>
      </c>
    </row>
    <row r="2100" spans="1:6">
      <c r="A2100" t="s">
        <v>3188</v>
      </c>
      <c r="B2100" t="s">
        <v>3189</v>
      </c>
      <c r="C2100" t="e">
        <f>VLOOKUP(A2100,'Cost Center'!A:C,3,FALSE)</f>
        <v>#N/A</v>
      </c>
      <c r="D2100" t="s">
        <v>3624</v>
      </c>
      <c r="E2100" t="s">
        <v>685</v>
      </c>
      <c r="F2100" t="s">
        <v>3188</v>
      </c>
    </row>
    <row r="2101" spans="1:6">
      <c r="A2101" t="s">
        <v>577</v>
      </c>
      <c r="B2101" t="s">
        <v>1756</v>
      </c>
      <c r="C2101" t="str">
        <f>VLOOKUP(A2101,'Cost Center'!A:C,3,FALSE)</f>
        <v>C550002</v>
      </c>
      <c r="D2101" t="s">
        <v>8903</v>
      </c>
      <c r="E2101" t="s">
        <v>685</v>
      </c>
      <c r="F2101" t="s">
        <v>577</v>
      </c>
    </row>
    <row r="2102" spans="1:6">
      <c r="A2102" t="s">
        <v>579</v>
      </c>
      <c r="B2102" t="s">
        <v>1758</v>
      </c>
      <c r="C2102" t="str">
        <f>VLOOKUP(A2102,'Cost Center'!A:C,3,FALSE)</f>
        <v>C550003</v>
      </c>
      <c r="D2102" t="s">
        <v>8906</v>
      </c>
      <c r="E2102" t="s">
        <v>685</v>
      </c>
      <c r="F2102" t="s">
        <v>579</v>
      </c>
    </row>
    <row r="2103" spans="1:6">
      <c r="A2103" t="s">
        <v>3190</v>
      </c>
      <c r="B2103" t="s">
        <v>3191</v>
      </c>
      <c r="C2103" t="str">
        <f>VLOOKUP(A2103,'Cost Center'!A:C,3,FALSE)</f>
        <v>C550014</v>
      </c>
      <c r="D2103" t="s">
        <v>12259</v>
      </c>
      <c r="E2103" t="s">
        <v>685</v>
      </c>
      <c r="F2103" t="s">
        <v>3190</v>
      </c>
    </row>
    <row r="2104" spans="1:6">
      <c r="A2104" t="s">
        <v>3192</v>
      </c>
      <c r="B2104" t="s">
        <v>3193</v>
      </c>
      <c r="C2104" t="e">
        <f>VLOOKUP(A2104,'Cost Center'!A:C,3,FALSE)</f>
        <v>#N/A</v>
      </c>
      <c r="D2104" t="s">
        <v>3624</v>
      </c>
      <c r="E2104" t="s">
        <v>685</v>
      </c>
      <c r="F2104" t="s">
        <v>3192</v>
      </c>
    </row>
    <row r="2105" spans="1:6">
      <c r="A2105" t="s">
        <v>1949</v>
      </c>
      <c r="B2105" t="s">
        <v>3194</v>
      </c>
      <c r="C2105" t="str">
        <f>VLOOKUP(A2105,'Cost Center'!A:C,3,FALSE)</f>
        <v>C550015</v>
      </c>
      <c r="D2105" t="s">
        <v>8947</v>
      </c>
      <c r="E2105" t="s">
        <v>685</v>
      </c>
      <c r="F2105" t="s">
        <v>1949</v>
      </c>
    </row>
    <row r="2106" spans="1:6">
      <c r="A2106" t="s">
        <v>3195</v>
      </c>
      <c r="B2106" t="s">
        <v>3196</v>
      </c>
      <c r="C2106" t="str">
        <f>VLOOKUP(A2106,'Cost Center'!A:C,3,FALSE)</f>
        <v>C550016</v>
      </c>
      <c r="D2106" t="s">
        <v>8950</v>
      </c>
      <c r="E2106" t="s">
        <v>685</v>
      </c>
      <c r="F2106" t="s">
        <v>3195</v>
      </c>
    </row>
    <row r="2107" spans="1:6">
      <c r="A2107" t="s">
        <v>583</v>
      </c>
      <c r="B2107" t="s">
        <v>1761</v>
      </c>
      <c r="C2107" t="str">
        <f>VLOOKUP(A2107,'Cost Center'!A:C,3,FALSE)</f>
        <v>C550004</v>
      </c>
      <c r="D2107" t="s">
        <v>8909</v>
      </c>
      <c r="E2107" t="s">
        <v>685</v>
      </c>
      <c r="F2107" t="s">
        <v>583</v>
      </c>
    </row>
    <row r="2108" spans="1:6">
      <c r="A2108" t="s">
        <v>3197</v>
      </c>
      <c r="B2108" t="s">
        <v>3198</v>
      </c>
      <c r="C2108" t="e">
        <f>VLOOKUP(A2108,'Cost Center'!A:C,3,FALSE)</f>
        <v>#N/A</v>
      </c>
      <c r="D2108" t="s">
        <v>3624</v>
      </c>
      <c r="E2108" t="s">
        <v>685</v>
      </c>
      <c r="F2108" t="s">
        <v>3197</v>
      </c>
    </row>
    <row r="2109" spans="1:6">
      <c r="A2109" t="s">
        <v>585</v>
      </c>
      <c r="B2109" t="s">
        <v>1763</v>
      </c>
      <c r="C2109" t="str">
        <f>VLOOKUP(A2109,'Cost Center'!A:C,3,FALSE)</f>
        <v>C550005</v>
      </c>
      <c r="D2109" t="s">
        <v>12318</v>
      </c>
      <c r="E2109" t="s">
        <v>685</v>
      </c>
      <c r="F2109" t="s">
        <v>585</v>
      </c>
    </row>
    <row r="2110" spans="1:6">
      <c r="A2110" t="s">
        <v>3199</v>
      </c>
      <c r="B2110" t="s">
        <v>3200</v>
      </c>
      <c r="C2110" t="e">
        <f>VLOOKUP(A2110,'Cost Center'!A:C,3,FALSE)</f>
        <v>#N/A</v>
      </c>
      <c r="D2110" t="s">
        <v>3624</v>
      </c>
      <c r="E2110" t="s">
        <v>685</v>
      </c>
      <c r="F2110" t="s">
        <v>3199</v>
      </c>
    </row>
    <row r="2111" spans="1:6">
      <c r="A2111" t="s">
        <v>591</v>
      </c>
      <c r="B2111" t="s">
        <v>1768</v>
      </c>
      <c r="C2111" t="str">
        <f>VLOOKUP(A2111,'Cost Center'!A:C,3,FALSE)</f>
        <v>C550006</v>
      </c>
      <c r="D2111" t="s">
        <v>8916</v>
      </c>
      <c r="E2111" t="s">
        <v>685</v>
      </c>
      <c r="F2111" t="s">
        <v>591</v>
      </c>
    </row>
    <row r="2112" spans="1:6">
      <c r="A2112" t="s">
        <v>592</v>
      </c>
      <c r="B2112" t="s">
        <v>1769</v>
      </c>
      <c r="C2112" t="str">
        <f>VLOOKUP(A2112,'Cost Center'!A:C,3,FALSE)</f>
        <v>C550007</v>
      </c>
      <c r="D2112" t="s">
        <v>8919</v>
      </c>
      <c r="E2112" t="s">
        <v>685</v>
      </c>
      <c r="F2112" t="s">
        <v>592</v>
      </c>
    </row>
    <row r="2113" spans="1:6">
      <c r="A2113" t="s">
        <v>3201</v>
      </c>
      <c r="B2113" t="s">
        <v>3202</v>
      </c>
      <c r="C2113" t="e">
        <f>VLOOKUP(A2113,'Cost Center'!A:C,3,FALSE)</f>
        <v>#N/A</v>
      </c>
      <c r="D2113" t="s">
        <v>3624</v>
      </c>
      <c r="E2113" t="s">
        <v>685</v>
      </c>
      <c r="F2113" t="s">
        <v>3201</v>
      </c>
    </row>
    <row r="2114" spans="1:6">
      <c r="A2114">
        <v>93509</v>
      </c>
      <c r="B2114" t="s">
        <v>3203</v>
      </c>
      <c r="C2114" t="str">
        <f>VLOOKUP(A2114,'Cost Center'!A:C,3,FALSE)</f>
        <v>C515900</v>
      </c>
      <c r="D2114" t="s">
        <v>6880</v>
      </c>
      <c r="E2114" t="s">
        <v>685</v>
      </c>
      <c r="F2114" t="s">
        <v>19036</v>
      </c>
    </row>
    <row r="2115" spans="1:6">
      <c r="A2115" t="s">
        <v>588</v>
      </c>
      <c r="B2115" t="s">
        <v>1766</v>
      </c>
      <c r="C2115" t="str">
        <f>VLOOKUP(A2115,'Cost Center'!A:C,3,FALSE)</f>
        <v>C515015</v>
      </c>
      <c r="D2115" t="s">
        <v>8648</v>
      </c>
      <c r="E2115" t="s">
        <v>685</v>
      </c>
      <c r="F2115" t="s">
        <v>588</v>
      </c>
    </row>
    <row r="2116" spans="1:6">
      <c r="A2116" t="s">
        <v>3204</v>
      </c>
      <c r="B2116" t="s">
        <v>3205</v>
      </c>
      <c r="C2116" t="str">
        <f>VLOOKUP(A2116,'Cost Center'!A:C,3,FALSE)</f>
        <v>C515043</v>
      </c>
      <c r="D2116" t="s">
        <v>8745</v>
      </c>
      <c r="E2116" t="s">
        <v>685</v>
      </c>
      <c r="F2116" t="s">
        <v>3204</v>
      </c>
    </row>
    <row r="2117" spans="1:6">
      <c r="A2117" t="s">
        <v>3206</v>
      </c>
      <c r="B2117" t="s">
        <v>3207</v>
      </c>
      <c r="C2117" t="str">
        <f>VLOOKUP(A2117,'Cost Center'!A:C,3,FALSE)</f>
        <v>C515044</v>
      </c>
      <c r="D2117" t="s">
        <v>12369</v>
      </c>
      <c r="E2117" t="s">
        <v>685</v>
      </c>
      <c r="F2117" t="s">
        <v>3206</v>
      </c>
    </row>
    <row r="2118" spans="1:6">
      <c r="A2118">
        <v>54893</v>
      </c>
      <c r="B2118" t="s">
        <v>3208</v>
      </c>
      <c r="C2118" t="e">
        <f>VLOOKUP(A2118,'Cost Center'!A:C,3,FALSE)</f>
        <v>#N/A</v>
      </c>
      <c r="D2118" t="s">
        <v>3624</v>
      </c>
      <c r="E2118" t="s">
        <v>685</v>
      </c>
      <c r="F2118" t="s">
        <v>20090</v>
      </c>
    </row>
    <row r="2119" spans="1:6">
      <c r="A2119">
        <v>93208</v>
      </c>
      <c r="B2119" t="s">
        <v>3209</v>
      </c>
      <c r="C2119" t="str">
        <f>VLOOKUP(A2119,'Cost Center'!A:C,3,FALSE)</f>
        <v>C515102</v>
      </c>
      <c r="D2119" t="s">
        <v>8763</v>
      </c>
      <c r="E2119" t="s">
        <v>685</v>
      </c>
      <c r="F2119" t="s">
        <v>19448</v>
      </c>
    </row>
    <row r="2120" spans="1:6">
      <c r="A2120">
        <v>93211</v>
      </c>
      <c r="B2120" t="s">
        <v>3210</v>
      </c>
      <c r="C2120" t="str">
        <f>VLOOKUP(A2120,'Cost Center'!A:C,3,FALSE)</f>
        <v>C500312</v>
      </c>
      <c r="D2120" t="s">
        <v>7991</v>
      </c>
      <c r="E2120" t="s">
        <v>685</v>
      </c>
      <c r="F2120" t="s">
        <v>19362</v>
      </c>
    </row>
    <row r="2121" spans="1:6">
      <c r="A2121">
        <v>93250</v>
      </c>
      <c r="B2121" t="s">
        <v>1005</v>
      </c>
      <c r="C2121" t="str">
        <f>VLOOKUP(A2121,'Cost Center'!A:C,3,FALSE)</f>
        <v>C515100</v>
      </c>
      <c r="D2121" t="s">
        <v>6865</v>
      </c>
      <c r="E2121" t="s">
        <v>685</v>
      </c>
      <c r="F2121" t="s">
        <v>19031</v>
      </c>
    </row>
    <row r="2122" spans="1:6">
      <c r="A2122">
        <v>93251</v>
      </c>
      <c r="B2122" t="s">
        <v>1006</v>
      </c>
      <c r="C2122" t="str">
        <f>VLOOKUP(A2122,'Cost Center'!A:C,3,FALSE)</f>
        <v>C515101</v>
      </c>
      <c r="D2122" t="s">
        <v>6868</v>
      </c>
      <c r="E2122" t="s">
        <v>685</v>
      </c>
      <c r="F2122" t="s">
        <v>19032</v>
      </c>
    </row>
    <row r="2123" spans="1:6">
      <c r="A2123">
        <v>17901</v>
      </c>
      <c r="B2123" t="s">
        <v>3211</v>
      </c>
      <c r="C2123" t="str">
        <f>VLOOKUP(A2123,'Cost Center'!A:C,3,FALSE)</f>
        <v>C515300</v>
      </c>
      <c r="D2123" t="s">
        <v>8805</v>
      </c>
      <c r="E2123" t="s">
        <v>685</v>
      </c>
      <c r="F2123" t="s">
        <v>19450</v>
      </c>
    </row>
    <row r="2124" spans="1:6">
      <c r="A2124">
        <v>17904</v>
      </c>
      <c r="B2124" t="s">
        <v>3212</v>
      </c>
      <c r="C2124" t="str">
        <f>VLOOKUP(A2124,'Cost Center'!A:C,3,FALSE)</f>
        <v>C515301</v>
      </c>
      <c r="D2124" t="s">
        <v>8808</v>
      </c>
      <c r="E2124" t="s">
        <v>685</v>
      </c>
      <c r="F2124" t="s">
        <v>19451</v>
      </c>
    </row>
    <row r="2125" spans="1:6">
      <c r="A2125">
        <v>17907</v>
      </c>
      <c r="B2125" t="s">
        <v>3213</v>
      </c>
      <c r="C2125" t="str">
        <f>VLOOKUP(A2125,'Cost Center'!A:C,3,FALSE)</f>
        <v>C515302</v>
      </c>
      <c r="D2125" t="s">
        <v>8811</v>
      </c>
      <c r="E2125" t="s">
        <v>685</v>
      </c>
      <c r="F2125" t="s">
        <v>19452</v>
      </c>
    </row>
    <row r="2126" spans="1:6">
      <c r="A2126">
        <v>3006</v>
      </c>
      <c r="B2126" t="s">
        <v>3214</v>
      </c>
      <c r="C2126" t="str">
        <f>VLOOKUP(A2126,'Cost Center'!A:C,3,FALSE)</f>
        <v>C515303</v>
      </c>
      <c r="D2126" t="s">
        <v>8814</v>
      </c>
      <c r="E2126" t="s">
        <v>685</v>
      </c>
      <c r="F2126" t="s">
        <v>19453</v>
      </c>
    </row>
    <row r="2127" spans="1:6">
      <c r="A2127">
        <v>3008</v>
      </c>
      <c r="B2127" t="s">
        <v>3215</v>
      </c>
      <c r="C2127" t="str">
        <f>VLOOKUP(A2127,'Cost Center'!A:C,3,FALSE)</f>
        <v>C515304</v>
      </c>
      <c r="D2127" t="s">
        <v>8817</v>
      </c>
      <c r="E2127" t="s">
        <v>685</v>
      </c>
      <c r="F2127" t="s">
        <v>19454</v>
      </c>
    </row>
    <row r="2128" spans="1:6">
      <c r="A2128">
        <v>3015</v>
      </c>
      <c r="B2128" t="s">
        <v>706</v>
      </c>
      <c r="C2128" t="str">
        <f>VLOOKUP(A2128,'Cost Center'!A:C,3,FALSE)</f>
        <v>C515305</v>
      </c>
      <c r="D2128" t="s">
        <v>3629</v>
      </c>
      <c r="E2128" t="s">
        <v>685</v>
      </c>
      <c r="F2128" t="s">
        <v>18254</v>
      </c>
    </row>
    <row r="2129" spans="1:6">
      <c r="A2129">
        <v>3022</v>
      </c>
      <c r="B2129" t="s">
        <v>3216</v>
      </c>
      <c r="C2129" t="str">
        <f>VLOOKUP(A2129,'Cost Center'!A:C,3,FALSE)</f>
        <v>C515306</v>
      </c>
      <c r="D2129" t="s">
        <v>8824</v>
      </c>
      <c r="E2129" t="s">
        <v>685</v>
      </c>
      <c r="F2129" t="s">
        <v>19455</v>
      </c>
    </row>
    <row r="2130" spans="1:6">
      <c r="A2130">
        <v>5058</v>
      </c>
      <c r="B2130" t="s">
        <v>720</v>
      </c>
      <c r="C2130" t="str">
        <f>VLOOKUP(A2130,'Cost Center'!A:C,3,FALSE)</f>
        <v>C515307</v>
      </c>
      <c r="D2130" t="s">
        <v>3826</v>
      </c>
      <c r="E2130" t="s">
        <v>685</v>
      </c>
      <c r="F2130" t="s">
        <v>18320</v>
      </c>
    </row>
    <row r="2131" spans="1:6">
      <c r="A2131" t="s">
        <v>3217</v>
      </c>
      <c r="B2131" t="s">
        <v>3218</v>
      </c>
      <c r="C2131" t="str">
        <f>VLOOKUP(A2131,'Cost Center'!A:C,3,FALSE)</f>
        <v>C290702</v>
      </c>
      <c r="D2131" t="s">
        <v>6549</v>
      </c>
      <c r="E2131" t="s">
        <v>685</v>
      </c>
      <c r="F2131" t="s">
        <v>3217</v>
      </c>
    </row>
    <row r="2132" spans="1:6">
      <c r="A2132" t="s">
        <v>3219</v>
      </c>
      <c r="B2132" t="s">
        <v>3220</v>
      </c>
      <c r="C2132" t="str">
        <f>VLOOKUP(A2132,'Cost Center'!A:C,3,FALSE)</f>
        <v>C290905</v>
      </c>
      <c r="D2132" t="s">
        <v>6567</v>
      </c>
      <c r="E2132" t="s">
        <v>685</v>
      </c>
      <c r="F2132" t="s">
        <v>3219</v>
      </c>
    </row>
    <row r="2133" spans="1:6">
      <c r="A2133">
        <v>2003</v>
      </c>
      <c r="B2133" t="s">
        <v>3221</v>
      </c>
      <c r="C2133" t="str">
        <f>VLOOKUP(A2133,'Cost Center'!A:C,3,FALSE)</f>
        <v>C400111</v>
      </c>
      <c r="D2133" t="s">
        <v>7738</v>
      </c>
      <c r="E2133" t="s">
        <v>685</v>
      </c>
      <c r="F2133" t="s">
        <v>19307</v>
      </c>
    </row>
    <row r="2134" spans="1:6">
      <c r="A2134">
        <v>2006</v>
      </c>
      <c r="B2134" t="s">
        <v>689</v>
      </c>
      <c r="C2134" t="str">
        <f>VLOOKUP(A2134,'Cost Center'!A:C,3,FALSE)</f>
        <v>C400050</v>
      </c>
      <c r="D2134" t="s">
        <v>7679</v>
      </c>
      <c r="E2134" t="s">
        <v>685</v>
      </c>
      <c r="F2134" t="s">
        <v>19296</v>
      </c>
    </row>
    <row r="2135" spans="1:6">
      <c r="A2135">
        <v>2007</v>
      </c>
      <c r="B2135" t="s">
        <v>690</v>
      </c>
      <c r="C2135" t="str">
        <f>VLOOKUP(A2135,'Cost Center'!A:C,3,FALSE)</f>
        <v>C400057</v>
      </c>
      <c r="D2135" t="s">
        <v>7700</v>
      </c>
      <c r="E2135" t="s">
        <v>685</v>
      </c>
      <c r="F2135" t="s">
        <v>19303</v>
      </c>
    </row>
    <row r="2136" spans="1:6">
      <c r="A2136">
        <v>2010</v>
      </c>
      <c r="B2136" t="s">
        <v>693</v>
      </c>
      <c r="C2136" t="str">
        <f>VLOOKUP(A2136,'Cost Center'!A:C,3,FALSE)</f>
        <v>C400052</v>
      </c>
      <c r="D2136" t="s">
        <v>7685</v>
      </c>
      <c r="E2136" t="s">
        <v>685</v>
      </c>
      <c r="F2136" t="s">
        <v>19298</v>
      </c>
    </row>
    <row r="2137" spans="1:6">
      <c r="A2137">
        <v>2012</v>
      </c>
      <c r="B2137" t="s">
        <v>3222</v>
      </c>
      <c r="C2137" t="str">
        <f>VLOOKUP(A2137,'Cost Center'!A:C,3,FALSE)</f>
        <v>C400112</v>
      </c>
      <c r="D2137" t="s">
        <v>7741</v>
      </c>
      <c r="E2137" t="s">
        <v>685</v>
      </c>
      <c r="F2137" t="s">
        <v>19308</v>
      </c>
    </row>
    <row r="2138" spans="1:6">
      <c r="A2138">
        <v>2013</v>
      </c>
      <c r="B2138" t="s">
        <v>3223</v>
      </c>
      <c r="C2138" t="str">
        <f>VLOOKUP(A2138,'Cost Center'!A:C,3,FALSE)</f>
        <v>C400113</v>
      </c>
      <c r="D2138" t="s">
        <v>7744</v>
      </c>
      <c r="E2138" t="s">
        <v>685</v>
      </c>
      <c r="F2138" t="s">
        <v>19309</v>
      </c>
    </row>
    <row r="2139" spans="1:6">
      <c r="A2139">
        <v>2014</v>
      </c>
      <c r="B2139" t="s">
        <v>694</v>
      </c>
      <c r="C2139" t="str">
        <f>VLOOKUP(A2139,'Cost Center'!A:C,3,FALSE)</f>
        <v>C400107</v>
      </c>
      <c r="D2139" t="s">
        <v>7726</v>
      </c>
      <c r="E2139" t="s">
        <v>685</v>
      </c>
      <c r="F2139" t="s">
        <v>19306</v>
      </c>
    </row>
    <row r="2140" spans="1:6">
      <c r="A2140">
        <v>2032</v>
      </c>
      <c r="B2140" t="s">
        <v>696</v>
      </c>
      <c r="C2140" t="str">
        <f>VLOOKUP(A2140,'Cost Center'!A:C,3,FALSE)</f>
        <v>C400114</v>
      </c>
      <c r="D2140" t="s">
        <v>7747</v>
      </c>
      <c r="E2140" t="s">
        <v>685</v>
      </c>
      <c r="F2140" t="s">
        <v>19310</v>
      </c>
    </row>
    <row r="2141" spans="1:6">
      <c r="A2141">
        <v>2033</v>
      </c>
      <c r="B2141" t="s">
        <v>697</v>
      </c>
      <c r="C2141" t="str">
        <f>VLOOKUP(A2141,'Cost Center'!A:C,3,FALSE)</f>
        <v>C400053</v>
      </c>
      <c r="D2141" t="s">
        <v>7688</v>
      </c>
      <c r="E2141" t="s">
        <v>685</v>
      </c>
      <c r="F2141" t="s">
        <v>19299</v>
      </c>
    </row>
    <row r="2142" spans="1:6">
      <c r="A2142">
        <v>2034</v>
      </c>
      <c r="B2142" t="s">
        <v>698</v>
      </c>
      <c r="C2142" t="str">
        <f>VLOOKUP(A2142,'Cost Center'!A:C,3,FALSE)</f>
        <v>C400124</v>
      </c>
      <c r="D2142" t="s">
        <v>7774</v>
      </c>
      <c r="E2142" t="s">
        <v>685</v>
      </c>
      <c r="F2142" t="s">
        <v>19320</v>
      </c>
    </row>
    <row r="2143" spans="1:6">
      <c r="A2143">
        <v>2035</v>
      </c>
      <c r="B2143" t="s">
        <v>699</v>
      </c>
      <c r="C2143" t="str">
        <f>VLOOKUP(A2143,'Cost Center'!A:C,3,FALSE)</f>
        <v>C400115</v>
      </c>
      <c r="D2143" t="s">
        <v>3616</v>
      </c>
      <c r="E2143" t="s">
        <v>685</v>
      </c>
      <c r="F2143" t="s">
        <v>18250</v>
      </c>
    </row>
    <row r="2144" spans="1:6">
      <c r="A2144">
        <v>2036</v>
      </c>
      <c r="B2144" t="s">
        <v>700</v>
      </c>
      <c r="C2144" t="str">
        <f>VLOOKUP(A2144,'Cost Center'!A:C,3,FALSE)</f>
        <v>C400116</v>
      </c>
      <c r="D2144" t="s">
        <v>7752</v>
      </c>
      <c r="E2144" t="s">
        <v>685</v>
      </c>
      <c r="F2144" t="s">
        <v>19312</v>
      </c>
    </row>
    <row r="2145" spans="1:6">
      <c r="A2145">
        <v>2037</v>
      </c>
      <c r="B2145" t="s">
        <v>3224</v>
      </c>
      <c r="C2145" t="str">
        <f>VLOOKUP(A2145,'Cost Center'!A:C,3,FALSE)</f>
        <v>C400117</v>
      </c>
      <c r="D2145" t="s">
        <v>7755</v>
      </c>
      <c r="E2145" t="s">
        <v>685</v>
      </c>
      <c r="F2145" t="s">
        <v>19313</v>
      </c>
    </row>
    <row r="2146" spans="1:6">
      <c r="A2146">
        <v>2038</v>
      </c>
      <c r="B2146" t="s">
        <v>701</v>
      </c>
      <c r="C2146" t="str">
        <f>VLOOKUP(A2146,'Cost Center'!A:C,3,FALSE)</f>
        <v>C400118</v>
      </c>
      <c r="D2146" t="s">
        <v>7758</v>
      </c>
      <c r="E2146" t="s">
        <v>685</v>
      </c>
      <c r="F2146" t="s">
        <v>19314</v>
      </c>
    </row>
    <row r="2147" spans="1:6">
      <c r="A2147">
        <v>2039</v>
      </c>
      <c r="B2147" t="s">
        <v>702</v>
      </c>
      <c r="C2147" t="str">
        <f>VLOOKUP(A2147,'Cost Center'!A:C,3,FALSE)</f>
        <v>C400119</v>
      </c>
      <c r="D2147" t="s">
        <v>7760</v>
      </c>
      <c r="E2147" t="s">
        <v>685</v>
      </c>
      <c r="F2147" t="s">
        <v>19315</v>
      </c>
    </row>
    <row r="2148" spans="1:6">
      <c r="A2148">
        <v>2040</v>
      </c>
      <c r="B2148" t="s">
        <v>703</v>
      </c>
      <c r="C2148" t="str">
        <f>VLOOKUP(A2148,'Cost Center'!A:C,3,FALSE)</f>
        <v>C400120</v>
      </c>
      <c r="D2148" t="s">
        <v>7762</v>
      </c>
      <c r="E2148" t="s">
        <v>685</v>
      </c>
      <c r="F2148" t="s">
        <v>19316</v>
      </c>
    </row>
    <row r="2149" spans="1:6">
      <c r="A2149">
        <v>2042</v>
      </c>
      <c r="B2149" t="s">
        <v>3225</v>
      </c>
      <c r="C2149" t="str">
        <f>VLOOKUP(A2149,'Cost Center'!A:C,3,FALSE)</f>
        <v>C400121</v>
      </c>
      <c r="D2149" t="s">
        <v>7765</v>
      </c>
      <c r="E2149" t="s">
        <v>685</v>
      </c>
      <c r="F2149" t="s">
        <v>19317</v>
      </c>
    </row>
    <row r="2150" spans="1:6">
      <c r="A2150">
        <v>2070</v>
      </c>
      <c r="B2150" t="s">
        <v>3226</v>
      </c>
      <c r="C2150" t="str">
        <f>VLOOKUP(A2150,'Cost Center'!A:C,3,FALSE)</f>
        <v>C400122</v>
      </c>
      <c r="D2150" t="s">
        <v>7768</v>
      </c>
      <c r="E2150" t="s">
        <v>685</v>
      </c>
      <c r="F2150" t="s">
        <v>19318</v>
      </c>
    </row>
    <row r="2151" spans="1:6">
      <c r="A2151">
        <v>2071</v>
      </c>
      <c r="B2151" t="s">
        <v>3227</v>
      </c>
      <c r="C2151" t="str">
        <f>VLOOKUP(A2151,'Cost Center'!A:C,3,FALSE)</f>
        <v>C400123</v>
      </c>
      <c r="D2151" t="s">
        <v>7771</v>
      </c>
      <c r="E2151" t="s">
        <v>685</v>
      </c>
      <c r="F2151" t="s">
        <v>19319</v>
      </c>
    </row>
    <row r="2152" spans="1:6">
      <c r="A2152" t="s">
        <v>541</v>
      </c>
      <c r="B2152" t="s">
        <v>1219</v>
      </c>
      <c r="C2152" t="str">
        <f>VLOOKUP(A2152,'Cost Center'!A:C,3,FALSE)</f>
        <v>C400155</v>
      </c>
      <c r="D2152" t="s">
        <v>7792</v>
      </c>
      <c r="E2152" t="s">
        <v>685</v>
      </c>
      <c r="F2152" t="s">
        <v>541</v>
      </c>
    </row>
    <row r="2153" spans="1:6">
      <c r="A2153" t="s">
        <v>542</v>
      </c>
      <c r="B2153" t="s">
        <v>1220</v>
      </c>
      <c r="C2153" t="str">
        <f>VLOOKUP(A2153,'Cost Center'!A:C,3,FALSE)</f>
        <v>C400156</v>
      </c>
      <c r="D2153" t="s">
        <v>7795</v>
      </c>
      <c r="E2153" t="s">
        <v>685</v>
      </c>
      <c r="F2153" t="s">
        <v>542</v>
      </c>
    </row>
    <row r="2154" spans="1:6">
      <c r="A2154" t="s">
        <v>543</v>
      </c>
      <c r="B2154" t="s">
        <v>1221</v>
      </c>
      <c r="C2154" t="str">
        <f>VLOOKUP(A2154,'Cost Center'!A:C,3,FALSE)</f>
        <v>C400157</v>
      </c>
      <c r="D2154" t="s">
        <v>7798</v>
      </c>
      <c r="E2154" t="s">
        <v>685</v>
      </c>
      <c r="F2154" t="s">
        <v>543</v>
      </c>
    </row>
    <row r="2155" spans="1:6">
      <c r="A2155" t="s">
        <v>544</v>
      </c>
      <c r="B2155" t="s">
        <v>1222</v>
      </c>
      <c r="C2155" t="str">
        <f>VLOOKUP(A2155,'Cost Center'!A:C,3,FALSE)</f>
        <v>C400158</v>
      </c>
      <c r="D2155" t="s">
        <v>7801</v>
      </c>
      <c r="E2155" t="s">
        <v>685</v>
      </c>
      <c r="F2155" t="s">
        <v>544</v>
      </c>
    </row>
    <row r="2156" spans="1:6">
      <c r="A2156" t="s">
        <v>545</v>
      </c>
      <c r="B2156" t="s">
        <v>1223</v>
      </c>
      <c r="C2156" t="str">
        <f>VLOOKUP(A2156,'Cost Center'!A:C,3,FALSE)</f>
        <v>C400159</v>
      </c>
      <c r="D2156" t="s">
        <v>7804</v>
      </c>
      <c r="E2156" t="s">
        <v>685</v>
      </c>
      <c r="F2156" t="s">
        <v>545</v>
      </c>
    </row>
    <row r="2157" spans="1:6">
      <c r="A2157" t="s">
        <v>546</v>
      </c>
      <c r="B2157" t="s">
        <v>1224</v>
      </c>
      <c r="C2157" t="str">
        <f>VLOOKUP(A2157,'Cost Center'!A:C,3,FALSE)</f>
        <v>C400160</v>
      </c>
      <c r="D2157" t="s">
        <v>7807</v>
      </c>
      <c r="E2157" t="s">
        <v>685</v>
      </c>
      <c r="F2157" t="s">
        <v>546</v>
      </c>
    </row>
    <row r="2158" spans="1:6">
      <c r="A2158" t="s">
        <v>547</v>
      </c>
      <c r="B2158" t="s">
        <v>1225</v>
      </c>
      <c r="C2158" t="str">
        <f>VLOOKUP(A2158,'Cost Center'!A:C,3,FALSE)</f>
        <v>C400161</v>
      </c>
      <c r="D2158" t="s">
        <v>7810</v>
      </c>
      <c r="E2158" t="s">
        <v>685</v>
      </c>
      <c r="F2158" t="s">
        <v>547</v>
      </c>
    </row>
    <row r="2159" spans="1:6">
      <c r="A2159" t="s">
        <v>548</v>
      </c>
      <c r="B2159" t="s">
        <v>1226</v>
      </c>
      <c r="C2159" t="str">
        <f>VLOOKUP(A2159,'Cost Center'!A:C,3,FALSE)</f>
        <v>C400162</v>
      </c>
      <c r="D2159" t="s">
        <v>7813</v>
      </c>
      <c r="E2159" t="s">
        <v>685</v>
      </c>
      <c r="F2159" t="s">
        <v>548</v>
      </c>
    </row>
    <row r="2160" spans="1:6">
      <c r="A2160" t="s">
        <v>549</v>
      </c>
      <c r="B2160" t="s">
        <v>1227</v>
      </c>
      <c r="C2160" t="str">
        <f>VLOOKUP(A2160,'Cost Center'!A:C,3,FALSE)</f>
        <v>C400163</v>
      </c>
      <c r="D2160" t="s">
        <v>7816</v>
      </c>
      <c r="E2160" t="s">
        <v>685</v>
      </c>
      <c r="F2160" t="s">
        <v>549</v>
      </c>
    </row>
    <row r="2161" spans="1:6">
      <c r="A2161" t="s">
        <v>550</v>
      </c>
      <c r="B2161" t="s">
        <v>1228</v>
      </c>
      <c r="C2161" t="str">
        <f>VLOOKUP(A2161,'Cost Center'!A:C,3,FALSE)</f>
        <v>C400164</v>
      </c>
      <c r="D2161" t="s">
        <v>7819</v>
      </c>
      <c r="E2161" t="s">
        <v>685</v>
      </c>
      <c r="F2161" t="s">
        <v>550</v>
      </c>
    </row>
    <row r="2162" spans="1:6">
      <c r="A2162" t="s">
        <v>551</v>
      </c>
      <c r="B2162" t="s">
        <v>1229</v>
      </c>
      <c r="C2162" t="str">
        <f>VLOOKUP(A2162,'Cost Center'!A:C,3,FALSE)</f>
        <v>C400165</v>
      </c>
      <c r="D2162" t="s">
        <v>11598</v>
      </c>
      <c r="E2162" t="s">
        <v>685</v>
      </c>
      <c r="F2162" t="s">
        <v>551</v>
      </c>
    </row>
    <row r="2163" spans="1:6">
      <c r="A2163" t="s">
        <v>552</v>
      </c>
      <c r="B2163" t="s">
        <v>1230</v>
      </c>
      <c r="C2163" t="str">
        <f>VLOOKUP(A2163,'Cost Center'!A:C,3,FALSE)</f>
        <v>C400166</v>
      </c>
      <c r="D2163" t="s">
        <v>7825</v>
      </c>
      <c r="E2163" t="s">
        <v>685</v>
      </c>
      <c r="F2163" t="s">
        <v>552</v>
      </c>
    </row>
    <row r="2164" spans="1:6">
      <c r="A2164" t="s">
        <v>553</v>
      </c>
      <c r="B2164" t="s">
        <v>1231</v>
      </c>
      <c r="C2164" t="str">
        <f>VLOOKUP(A2164,'Cost Center'!A:C,3,FALSE)</f>
        <v>C400167</v>
      </c>
      <c r="D2164" t="s">
        <v>7828</v>
      </c>
      <c r="E2164" t="s">
        <v>685</v>
      </c>
      <c r="F2164" t="s">
        <v>553</v>
      </c>
    </row>
    <row r="2165" spans="1:6">
      <c r="A2165" t="s">
        <v>3228</v>
      </c>
      <c r="B2165" t="s">
        <v>3229</v>
      </c>
      <c r="C2165" t="str">
        <f>VLOOKUP(A2165,'Cost Center'!A:C,3,FALSE)</f>
        <v>C400110</v>
      </c>
      <c r="D2165" t="s">
        <v>7735</v>
      </c>
      <c r="E2165" t="s">
        <v>685</v>
      </c>
      <c r="F2165" t="s">
        <v>3228</v>
      </c>
    </row>
    <row r="2166" spans="1:6">
      <c r="A2166" t="s">
        <v>554</v>
      </c>
      <c r="B2166" t="s">
        <v>1232</v>
      </c>
      <c r="C2166" t="str">
        <f>VLOOKUP(A2166,'Cost Center'!A:C,3,FALSE)</f>
        <v>C400168</v>
      </c>
      <c r="D2166" t="s">
        <v>7831</v>
      </c>
      <c r="E2166" t="s">
        <v>685</v>
      </c>
      <c r="F2166" t="s">
        <v>554</v>
      </c>
    </row>
    <row r="2167" spans="1:6">
      <c r="A2167" t="s">
        <v>555</v>
      </c>
      <c r="B2167" t="s">
        <v>1233</v>
      </c>
      <c r="C2167" t="str">
        <f>VLOOKUP(A2167,'Cost Center'!A:C,3,FALSE)</f>
        <v>C400169</v>
      </c>
      <c r="D2167" t="s">
        <v>7834</v>
      </c>
      <c r="E2167" t="s">
        <v>685</v>
      </c>
      <c r="F2167" t="s">
        <v>555</v>
      </c>
    </row>
    <row r="2168" spans="1:6">
      <c r="A2168" t="s">
        <v>556</v>
      </c>
      <c r="B2168" t="s">
        <v>1234</v>
      </c>
      <c r="C2168" t="str">
        <f>VLOOKUP(A2168,'Cost Center'!A:C,3,FALSE)</f>
        <v>C400170</v>
      </c>
      <c r="D2168" t="s">
        <v>7837</v>
      </c>
      <c r="E2168" t="s">
        <v>685</v>
      </c>
      <c r="F2168" t="s">
        <v>556</v>
      </c>
    </row>
    <row r="2169" spans="1:6">
      <c r="A2169" t="s">
        <v>557</v>
      </c>
      <c r="B2169" t="s">
        <v>1235</v>
      </c>
      <c r="C2169" t="str">
        <f>VLOOKUP(A2169,'Cost Center'!A:C,3,FALSE)</f>
        <v>C400171</v>
      </c>
      <c r="D2169" t="s">
        <v>7840</v>
      </c>
      <c r="E2169" t="s">
        <v>685</v>
      </c>
      <c r="F2169" t="s">
        <v>557</v>
      </c>
    </row>
    <row r="2170" spans="1:6">
      <c r="A2170" t="s">
        <v>558</v>
      </c>
      <c r="B2170" t="s">
        <v>1236</v>
      </c>
      <c r="C2170" t="str">
        <f>VLOOKUP(A2170,'Cost Center'!A:C,3,FALSE)</f>
        <v>C400172</v>
      </c>
      <c r="D2170" t="s">
        <v>7842</v>
      </c>
      <c r="E2170" t="s">
        <v>685</v>
      </c>
      <c r="F2170" t="s">
        <v>558</v>
      </c>
    </row>
    <row r="2171" spans="1:6">
      <c r="A2171" t="s">
        <v>2</v>
      </c>
      <c r="B2171" t="s">
        <v>1251</v>
      </c>
      <c r="C2171" t="str">
        <f>VLOOKUP(A2171,'Cost Center'!A:C,3,FALSE)</f>
        <v>C400100</v>
      </c>
      <c r="D2171" t="s">
        <v>7705</v>
      </c>
      <c r="E2171" t="s">
        <v>685</v>
      </c>
      <c r="F2171" t="s">
        <v>2</v>
      </c>
    </row>
    <row r="2172" spans="1:6">
      <c r="A2172" t="s">
        <v>1906</v>
      </c>
      <c r="B2172" t="s">
        <v>3230</v>
      </c>
      <c r="C2172" t="str">
        <f>VLOOKUP(A2172,'Cost Center'!A:C,3,FALSE)</f>
        <v>C400101</v>
      </c>
      <c r="D2172" t="s">
        <v>7708</v>
      </c>
      <c r="E2172" t="s">
        <v>685</v>
      </c>
      <c r="F2172" t="s">
        <v>1906</v>
      </c>
    </row>
    <row r="2173" spans="1:6">
      <c r="A2173" t="s">
        <v>1907</v>
      </c>
      <c r="B2173" t="s">
        <v>3231</v>
      </c>
      <c r="C2173" t="str">
        <f>VLOOKUP(A2173,'Cost Center'!A:C,3,FALSE)</f>
        <v>C400102</v>
      </c>
      <c r="D2173" t="s">
        <v>7711</v>
      </c>
      <c r="E2173" t="s">
        <v>685</v>
      </c>
      <c r="F2173" t="s">
        <v>1907</v>
      </c>
    </row>
    <row r="2174" spans="1:6">
      <c r="A2174" t="s">
        <v>1908</v>
      </c>
      <c r="B2174" t="s">
        <v>3232</v>
      </c>
      <c r="C2174" t="str">
        <f>VLOOKUP(A2174,'Cost Center'!A:C,3,FALSE)</f>
        <v>C400103</v>
      </c>
      <c r="D2174" t="s">
        <v>7714</v>
      </c>
      <c r="E2174" t="s">
        <v>685</v>
      </c>
      <c r="F2174" t="s">
        <v>1908</v>
      </c>
    </row>
    <row r="2175" spans="1:6">
      <c r="A2175" t="s">
        <v>1909</v>
      </c>
      <c r="B2175" t="s">
        <v>3233</v>
      </c>
      <c r="C2175" t="str">
        <f>VLOOKUP(A2175,'Cost Center'!A:C,3,FALSE)</f>
        <v>C400104</v>
      </c>
      <c r="D2175" t="s">
        <v>7717</v>
      </c>
      <c r="E2175" t="s">
        <v>685</v>
      </c>
      <c r="F2175" t="s">
        <v>1909</v>
      </c>
    </row>
    <row r="2176" spans="1:6">
      <c r="A2176" t="s">
        <v>1910</v>
      </c>
      <c r="B2176" t="s">
        <v>3234</v>
      </c>
      <c r="C2176" t="str">
        <f>VLOOKUP(A2176,'Cost Center'!A:C,3,FALSE)</f>
        <v>C400105</v>
      </c>
      <c r="D2176" t="s">
        <v>11611</v>
      </c>
      <c r="E2176" t="s">
        <v>685</v>
      </c>
      <c r="F2176" t="s">
        <v>1910</v>
      </c>
    </row>
    <row r="2177" spans="1:6">
      <c r="A2177" t="s">
        <v>1911</v>
      </c>
      <c r="B2177" t="s">
        <v>3235</v>
      </c>
      <c r="C2177" t="str">
        <f>VLOOKUP(A2177,'Cost Center'!A:C,3,FALSE)</f>
        <v>C400106</v>
      </c>
      <c r="D2177" t="s">
        <v>7723</v>
      </c>
      <c r="E2177" t="s">
        <v>685</v>
      </c>
      <c r="F2177" t="s">
        <v>1911</v>
      </c>
    </row>
    <row r="2178" spans="1:6">
      <c r="A2178" t="s">
        <v>1912</v>
      </c>
      <c r="B2178" t="s">
        <v>3236</v>
      </c>
      <c r="C2178" t="str">
        <f>VLOOKUP(A2178,'Cost Center'!A:C,3,FALSE)</f>
        <v>CI40107</v>
      </c>
      <c r="D2178" t="s">
        <v>12742</v>
      </c>
      <c r="E2178" t="s">
        <v>685</v>
      </c>
      <c r="F2178" t="s">
        <v>1912</v>
      </c>
    </row>
    <row r="2179" spans="1:6">
      <c r="A2179" t="s">
        <v>1913</v>
      </c>
      <c r="B2179" t="s">
        <v>3237</v>
      </c>
      <c r="C2179" t="str">
        <f>VLOOKUP(A2179,'Cost Center'!A:C,3,FALSE)</f>
        <v>C400108</v>
      </c>
      <c r="D2179" t="s">
        <v>7729</v>
      </c>
      <c r="E2179" t="s">
        <v>685</v>
      </c>
      <c r="F2179" t="s">
        <v>1913</v>
      </c>
    </row>
    <row r="2180" spans="1:6">
      <c r="A2180" t="s">
        <v>1914</v>
      </c>
      <c r="B2180" t="s">
        <v>3238</v>
      </c>
      <c r="C2180" t="str">
        <f>VLOOKUP(A2180,'Cost Center'!A:C,3,FALSE)</f>
        <v>C400109</v>
      </c>
      <c r="D2180" t="s">
        <v>7732</v>
      </c>
      <c r="E2180" t="s">
        <v>685</v>
      </c>
      <c r="F2180" t="s">
        <v>1914</v>
      </c>
    </row>
    <row r="2181" spans="1:6">
      <c r="A2181">
        <v>10214</v>
      </c>
      <c r="B2181" t="s">
        <v>3239</v>
      </c>
      <c r="C2181" t="str">
        <f>VLOOKUP(A2181,'Cost Center'!A:C,3,FALSE)</f>
        <v>C400021</v>
      </c>
      <c r="D2181" t="s">
        <v>7630</v>
      </c>
      <c r="E2181" t="s">
        <v>685</v>
      </c>
      <c r="F2181" t="s">
        <v>19280</v>
      </c>
    </row>
    <row r="2182" spans="1:6">
      <c r="A2182">
        <v>11981</v>
      </c>
      <c r="B2182" t="s">
        <v>770</v>
      </c>
      <c r="C2182" t="str">
        <f>VLOOKUP(A2182,'Cost Center'!A:C,3,FALSE)</f>
        <v>C400020</v>
      </c>
      <c r="D2182" t="s">
        <v>7627</v>
      </c>
      <c r="E2182" t="s">
        <v>685</v>
      </c>
      <c r="F2182" t="s">
        <v>19279</v>
      </c>
    </row>
    <row r="2183" spans="1:6">
      <c r="A2183" t="s">
        <v>3240</v>
      </c>
      <c r="B2183" t="s">
        <v>3241</v>
      </c>
      <c r="C2183" t="e">
        <f>VLOOKUP(A2183,'Cost Center'!A:C,3,FALSE)</f>
        <v>#N/A</v>
      </c>
      <c r="D2183" t="s">
        <v>3624</v>
      </c>
      <c r="E2183" t="s">
        <v>685</v>
      </c>
      <c r="F2183" t="s">
        <v>3240</v>
      </c>
    </row>
    <row r="2184" spans="1:6">
      <c r="A2184">
        <v>17903</v>
      </c>
      <c r="B2184" t="s">
        <v>3242</v>
      </c>
      <c r="C2184" t="str">
        <f>VLOOKUP(A2184,'Cost Center'!A:C,3,FALSE)</f>
        <v>C400022</v>
      </c>
      <c r="D2184" t="s">
        <v>7633</v>
      </c>
      <c r="E2184" t="s">
        <v>685</v>
      </c>
      <c r="F2184" t="s">
        <v>19281</v>
      </c>
    </row>
    <row r="2185" spans="1:6">
      <c r="A2185">
        <v>17916</v>
      </c>
      <c r="B2185" t="s">
        <v>3243</v>
      </c>
      <c r="C2185" t="str">
        <f>VLOOKUP(A2185,'Cost Center'!A:C,3,FALSE)</f>
        <v>C400023</v>
      </c>
      <c r="D2185" t="s">
        <v>7636</v>
      </c>
      <c r="E2185" t="s">
        <v>685</v>
      </c>
      <c r="F2185" t="s">
        <v>19282</v>
      </c>
    </row>
    <row r="2186" spans="1:6">
      <c r="A2186">
        <v>2005</v>
      </c>
      <c r="B2186" t="s">
        <v>688</v>
      </c>
      <c r="C2186" t="str">
        <f>VLOOKUP(A2186,'Cost Center'!A:C,3,FALSE)</f>
        <v>C400030</v>
      </c>
      <c r="D2186" t="s">
        <v>3607</v>
      </c>
      <c r="E2186" t="s">
        <v>685</v>
      </c>
      <c r="F2186" t="s">
        <v>18247</v>
      </c>
    </row>
    <row r="2187" spans="1:6">
      <c r="A2187">
        <v>2009</v>
      </c>
      <c r="B2187" t="s">
        <v>692</v>
      </c>
      <c r="C2187" t="str">
        <f>VLOOKUP(A2187,'Cost Center'!A:C,3,FALSE)</f>
        <v>C400051</v>
      </c>
      <c r="D2187" t="s">
        <v>7682</v>
      </c>
      <c r="E2187" t="s">
        <v>685</v>
      </c>
      <c r="F2187" t="s">
        <v>19297</v>
      </c>
    </row>
    <row r="2188" spans="1:6">
      <c r="A2188">
        <v>2011</v>
      </c>
      <c r="B2188" t="s">
        <v>3244</v>
      </c>
      <c r="C2188" t="str">
        <f>VLOOKUP(A2188,'Cost Center'!A:C,3,FALSE)</f>
        <v>C400024</v>
      </c>
      <c r="D2188" t="s">
        <v>7639</v>
      </c>
      <c r="E2188" t="s">
        <v>685</v>
      </c>
      <c r="F2188" t="s">
        <v>19283</v>
      </c>
    </row>
    <row r="2189" spans="1:6">
      <c r="A2189">
        <v>2015</v>
      </c>
      <c r="B2189" t="s">
        <v>3245</v>
      </c>
      <c r="C2189" t="str">
        <f>VLOOKUP(A2189,'Cost Center'!A:C,3,FALSE)</f>
        <v>C400025</v>
      </c>
      <c r="D2189" t="s">
        <v>3613</v>
      </c>
      <c r="E2189" t="s">
        <v>685</v>
      </c>
      <c r="F2189" t="s">
        <v>18249</v>
      </c>
    </row>
    <row r="2190" spans="1:6">
      <c r="A2190">
        <v>2016</v>
      </c>
      <c r="B2190" t="s">
        <v>695</v>
      </c>
      <c r="C2190" t="str">
        <f>VLOOKUP(A2190,'Cost Center'!A:C,3,FALSE)</f>
        <v>C400026</v>
      </c>
      <c r="D2190" t="s">
        <v>7645</v>
      </c>
      <c r="E2190" t="s">
        <v>685</v>
      </c>
      <c r="F2190" t="s">
        <v>19285</v>
      </c>
    </row>
    <row r="2191" spans="1:6">
      <c r="A2191">
        <v>2020</v>
      </c>
      <c r="B2191" t="s">
        <v>3246</v>
      </c>
      <c r="C2191" t="str">
        <f>VLOOKUP(A2191,'Cost Center'!A:C,3,FALSE)</f>
        <v>C400027</v>
      </c>
      <c r="D2191" t="s">
        <v>7648</v>
      </c>
      <c r="E2191" t="s">
        <v>685</v>
      </c>
      <c r="F2191" t="s">
        <v>19286</v>
      </c>
    </row>
    <row r="2192" spans="1:6">
      <c r="A2192">
        <v>2052</v>
      </c>
      <c r="B2192" t="s">
        <v>3247</v>
      </c>
      <c r="C2192" t="e">
        <f>VLOOKUP(A2192,'Cost Center'!A:C,3,FALSE)</f>
        <v>#N/A</v>
      </c>
      <c r="D2192" t="s">
        <v>3624</v>
      </c>
      <c r="E2192" t="s">
        <v>685</v>
      </c>
      <c r="F2192" t="s">
        <v>20091</v>
      </c>
    </row>
    <row r="2193" spans="1:6">
      <c r="A2193">
        <v>2080</v>
      </c>
      <c r="B2193" t="s">
        <v>3248</v>
      </c>
      <c r="C2193" t="str">
        <f>VLOOKUP(A2193,'Cost Center'!A:C,3,FALSE)</f>
        <v>C400028</v>
      </c>
      <c r="D2193" t="s">
        <v>7651</v>
      </c>
      <c r="E2193" t="s">
        <v>685</v>
      </c>
      <c r="F2193" t="s">
        <v>19287</v>
      </c>
    </row>
    <row r="2194" spans="1:6">
      <c r="A2194">
        <v>2100</v>
      </c>
      <c r="B2194" t="s">
        <v>3249</v>
      </c>
      <c r="C2194" t="str">
        <f>VLOOKUP(A2194,'Cost Center'!A:C,3,FALSE)</f>
        <v>C400029</v>
      </c>
      <c r="D2194" t="s">
        <v>7654</v>
      </c>
      <c r="E2194" t="s">
        <v>685</v>
      </c>
      <c r="F2194" t="s">
        <v>19288</v>
      </c>
    </row>
    <row r="2195" spans="1:6">
      <c r="A2195">
        <v>5056</v>
      </c>
      <c r="B2195" t="s">
        <v>719</v>
      </c>
      <c r="C2195" t="str">
        <f>VLOOKUP(A2195,'Cost Center'!A:C,3,FALSE)</f>
        <v>C400031</v>
      </c>
      <c r="D2195" t="s">
        <v>3820</v>
      </c>
      <c r="E2195" t="s">
        <v>685</v>
      </c>
      <c r="F2195" t="s">
        <v>18318</v>
      </c>
    </row>
    <row r="2196" spans="1:6">
      <c r="A2196">
        <v>6003</v>
      </c>
      <c r="B2196" t="s">
        <v>721</v>
      </c>
      <c r="C2196" t="str">
        <f>VLOOKUP(A2196,'Cost Center'!A:C,3,FALSE)</f>
        <v>C400054</v>
      </c>
      <c r="D2196" t="s">
        <v>7691</v>
      </c>
      <c r="E2196" t="s">
        <v>685</v>
      </c>
      <c r="F2196" t="s">
        <v>19300</v>
      </c>
    </row>
    <row r="2197" spans="1:6">
      <c r="A2197">
        <v>7471</v>
      </c>
      <c r="B2197" t="s">
        <v>3250</v>
      </c>
      <c r="C2197" t="e">
        <f>VLOOKUP(A2197,'Cost Center'!A:C,3,FALSE)</f>
        <v>#N/A</v>
      </c>
      <c r="D2197" t="s">
        <v>3624</v>
      </c>
      <c r="E2197" t="s">
        <v>685</v>
      </c>
      <c r="F2197" t="s">
        <v>20092</v>
      </c>
    </row>
    <row r="2198" spans="1:6">
      <c r="A2198">
        <v>8000</v>
      </c>
      <c r="B2198" t="s">
        <v>3251</v>
      </c>
      <c r="C2198" t="str">
        <f>VLOOKUP(A2198,'Cost Center'!A:C,3,FALSE)</f>
        <v>C400032</v>
      </c>
      <c r="D2198" t="s">
        <v>7662</v>
      </c>
      <c r="E2198" t="s">
        <v>685</v>
      </c>
      <c r="F2198" t="s">
        <v>19291</v>
      </c>
    </row>
    <row r="2199" spans="1:6">
      <c r="A2199">
        <v>8100</v>
      </c>
      <c r="B2199" t="s">
        <v>725</v>
      </c>
      <c r="C2199" t="str">
        <f>VLOOKUP(A2199,'Cost Center'!A:C,3,FALSE)</f>
        <v>C400033</v>
      </c>
      <c r="D2199" t="s">
        <v>7665</v>
      </c>
      <c r="E2199" t="s">
        <v>685</v>
      </c>
      <c r="F2199" t="s">
        <v>19292</v>
      </c>
    </row>
    <row r="2200" spans="1:6">
      <c r="A2200">
        <v>8115</v>
      </c>
      <c r="B2200" t="s">
        <v>3252</v>
      </c>
      <c r="C2200" t="str">
        <f>VLOOKUP(A2200,'Cost Center'!A:C,3,FALSE)</f>
        <v>C400034</v>
      </c>
      <c r="D2200" t="s">
        <v>5006</v>
      </c>
      <c r="E2200" t="s">
        <v>685</v>
      </c>
      <c r="F2200" t="s">
        <v>18474</v>
      </c>
    </row>
    <row r="2201" spans="1:6">
      <c r="A2201">
        <v>8117</v>
      </c>
      <c r="B2201" t="s">
        <v>726</v>
      </c>
      <c r="C2201" t="str">
        <f>VLOOKUP(A2201,'Cost Center'!A:C,3,FALSE)</f>
        <v>C400055</v>
      </c>
      <c r="D2201" t="s">
        <v>7694</v>
      </c>
      <c r="E2201" t="s">
        <v>685</v>
      </c>
      <c r="F2201" t="s">
        <v>19301</v>
      </c>
    </row>
    <row r="2202" spans="1:6">
      <c r="A2202">
        <v>8123</v>
      </c>
      <c r="B2202" t="s">
        <v>3253</v>
      </c>
      <c r="C2202" t="str">
        <f>VLOOKUP(A2202,'Cost Center'!A:C,3,FALSE)</f>
        <v>C400035</v>
      </c>
      <c r="D2202" t="s">
        <v>7670</v>
      </c>
      <c r="E2202" t="s">
        <v>685</v>
      </c>
      <c r="F2202" t="s">
        <v>19294</v>
      </c>
    </row>
    <row r="2203" spans="1:6">
      <c r="A2203">
        <v>93600</v>
      </c>
      <c r="B2203" t="s">
        <v>3254</v>
      </c>
      <c r="C2203" t="str">
        <f>VLOOKUP(A2203,'Cost Center'!A:C,3,FALSE)</f>
        <v>Use PC instead</v>
      </c>
      <c r="D2203" t="s">
        <v>13218</v>
      </c>
      <c r="E2203" t="s">
        <v>685</v>
      </c>
      <c r="F2203" t="s">
        <v>19687</v>
      </c>
    </row>
    <row r="2204" spans="1:6">
      <c r="A2204" t="s">
        <v>3255</v>
      </c>
      <c r="B2204" t="s">
        <v>3256</v>
      </c>
      <c r="C2204" t="e">
        <f>VLOOKUP(A2204,'Cost Center'!A:C,3,FALSE)</f>
        <v>#N/A</v>
      </c>
      <c r="D2204" t="s">
        <v>3624</v>
      </c>
      <c r="E2204" t="s">
        <v>685</v>
      </c>
      <c r="F2204" t="s">
        <v>3255</v>
      </c>
    </row>
    <row r="2205" spans="1:6">
      <c r="A2205" t="s">
        <v>562</v>
      </c>
      <c r="B2205" t="s">
        <v>3257</v>
      </c>
      <c r="C2205" t="str">
        <f>VLOOKUP(A2205,'Cost Center'!A:C,3,FALSE)</f>
        <v>C400150</v>
      </c>
      <c r="D2205" t="s">
        <v>7777</v>
      </c>
      <c r="E2205" t="s">
        <v>685</v>
      </c>
      <c r="F2205" t="s">
        <v>562</v>
      </c>
    </row>
    <row r="2206" spans="1:6">
      <c r="A2206" t="s">
        <v>563</v>
      </c>
      <c r="B2206" t="s">
        <v>3258</v>
      </c>
      <c r="C2206" t="str">
        <f>VLOOKUP(A2206,'Cost Center'!A:C,3,FALSE)</f>
        <v>C400175</v>
      </c>
      <c r="D2206" t="s">
        <v>7851</v>
      </c>
      <c r="E2206" t="s">
        <v>685</v>
      </c>
      <c r="F2206" t="s">
        <v>563</v>
      </c>
    </row>
    <row r="2207" spans="1:6">
      <c r="A2207" t="s">
        <v>1242</v>
      </c>
      <c r="B2207" t="s">
        <v>1243</v>
      </c>
      <c r="C2207" t="e">
        <f>VLOOKUP(A2207,'Cost Center'!A:C,3,FALSE)</f>
        <v>#N/A</v>
      </c>
      <c r="D2207" t="s">
        <v>3624</v>
      </c>
      <c r="E2207" t="s">
        <v>685</v>
      </c>
      <c r="F2207" t="s">
        <v>1242</v>
      </c>
    </row>
    <row r="2208" spans="1:6">
      <c r="A2208" t="s">
        <v>3259</v>
      </c>
      <c r="B2208" t="s">
        <v>3260</v>
      </c>
      <c r="C2208" t="str">
        <f>VLOOKUP(A2208,'Cost Center'!A:C,3,FALSE)</f>
        <v>C290500</v>
      </c>
      <c r="D2208" t="s">
        <v>11640</v>
      </c>
      <c r="E2208" t="s">
        <v>685</v>
      </c>
      <c r="F2208" t="s">
        <v>3259</v>
      </c>
    </row>
    <row r="2209" spans="1:6">
      <c r="A2209" t="s">
        <v>3261</v>
      </c>
      <c r="B2209" t="s">
        <v>3262</v>
      </c>
      <c r="C2209" t="str">
        <f>VLOOKUP(A2209,'Cost Center'!A:C,3,FALSE)</f>
        <v>C290501</v>
      </c>
      <c r="D2209" t="s">
        <v>6541</v>
      </c>
      <c r="E2209" t="s">
        <v>685</v>
      </c>
      <c r="F2209" t="s">
        <v>3261</v>
      </c>
    </row>
    <row r="2210" spans="1:6">
      <c r="A2210" t="s">
        <v>3263</v>
      </c>
      <c r="B2210" t="s">
        <v>3264</v>
      </c>
      <c r="C2210" t="e">
        <f>VLOOKUP(A2210,'Cost Center'!A:C,3,FALSE)</f>
        <v>#N/A</v>
      </c>
      <c r="D2210" t="e">
        <v>#N/A</v>
      </c>
      <c r="E2210" t="s">
        <v>685</v>
      </c>
      <c r="F2210" t="s">
        <v>3263</v>
      </c>
    </row>
    <row r="2211" spans="1:6">
      <c r="A2211" t="s">
        <v>600</v>
      </c>
      <c r="B2211" t="s">
        <v>3265</v>
      </c>
      <c r="C2211" t="str">
        <f>VLOOKUP(A2211,'Cost Center'!A:C,3,FALSE)</f>
        <v>C400015</v>
      </c>
      <c r="D2211" t="s">
        <v>7624</v>
      </c>
      <c r="E2211" t="s">
        <v>685</v>
      </c>
      <c r="F2211" t="s">
        <v>600</v>
      </c>
    </row>
    <row r="2212" spans="1:6">
      <c r="A2212" t="s">
        <v>602</v>
      </c>
      <c r="B2212" t="s">
        <v>1750</v>
      </c>
      <c r="C2212" t="str">
        <f>VLOOKUP(A2212,'Cost Center'!A:C,3,FALSE)</f>
        <v>C400036</v>
      </c>
      <c r="D2212" t="s">
        <v>7673</v>
      </c>
      <c r="E2212" t="s">
        <v>685</v>
      </c>
      <c r="F2212" t="s">
        <v>602</v>
      </c>
    </row>
    <row r="2213" spans="1:6">
      <c r="A2213" t="s">
        <v>603</v>
      </c>
      <c r="B2213" t="s">
        <v>3266</v>
      </c>
      <c r="C2213" t="str">
        <f>VLOOKUP(A2213,'Cost Center'!A:C,3,FALSE)</f>
        <v>C400010</v>
      </c>
      <c r="D2213" t="s">
        <v>7621</v>
      </c>
      <c r="E2213" t="s">
        <v>685</v>
      </c>
      <c r="F2213" t="s">
        <v>603</v>
      </c>
    </row>
    <row r="2214" spans="1:6">
      <c r="A2214" t="s">
        <v>3267</v>
      </c>
      <c r="B2214" t="s">
        <v>3268</v>
      </c>
      <c r="C2214" t="str">
        <f>VLOOKUP(A2214,'Cost Center'!A:C,3,FALSE)</f>
        <v>C400037</v>
      </c>
      <c r="D2214" t="s">
        <v>11972</v>
      </c>
      <c r="E2214" t="s">
        <v>685</v>
      </c>
      <c r="F2214" t="s">
        <v>3267</v>
      </c>
    </row>
    <row r="2215" spans="1:6">
      <c r="A2215" t="s">
        <v>604</v>
      </c>
      <c r="B2215" t="s">
        <v>1752</v>
      </c>
      <c r="C2215" t="str">
        <f>VLOOKUP(A2215,'Cost Center'!A:C,3,FALSE)</f>
        <v>C400005</v>
      </c>
      <c r="D2215" t="s">
        <v>12014</v>
      </c>
      <c r="E2215" t="s">
        <v>685</v>
      </c>
      <c r="F2215" t="s">
        <v>604</v>
      </c>
    </row>
    <row r="2216" spans="1:6">
      <c r="A2216" t="s">
        <v>606</v>
      </c>
      <c r="B2216" t="s">
        <v>1754</v>
      </c>
      <c r="C2216" t="str">
        <f>VLOOKUP(A2216,'Cost Center'!A:C,3,FALSE)</f>
        <v>C400000</v>
      </c>
      <c r="D2216" t="s">
        <v>12050</v>
      </c>
      <c r="E2216" t="s">
        <v>685</v>
      </c>
      <c r="F2216" t="s">
        <v>606</v>
      </c>
    </row>
    <row r="2217" spans="1:6">
      <c r="A2217" t="s">
        <v>3269</v>
      </c>
      <c r="B2217" t="s">
        <v>3270</v>
      </c>
      <c r="C2217" t="e">
        <f>VLOOKUP(A2217,'Cost Center'!A:C,3,FALSE)</f>
        <v>#N/A</v>
      </c>
      <c r="D2217" t="s">
        <v>3624</v>
      </c>
      <c r="E2217" t="s">
        <v>685</v>
      </c>
      <c r="F2217" t="s">
        <v>3269</v>
      </c>
    </row>
    <row r="2218" spans="1:6">
      <c r="A2218" t="s">
        <v>3271</v>
      </c>
      <c r="B2218" t="s">
        <v>3272</v>
      </c>
      <c r="C2218" t="str">
        <f>VLOOKUP(A2218,'Cost Center'!A:C,3,FALSE)</f>
        <v>Use PC instead</v>
      </c>
      <c r="D2218" t="s">
        <v>13218</v>
      </c>
      <c r="E2218" t="s">
        <v>685</v>
      </c>
      <c r="F2218" t="s">
        <v>3271</v>
      </c>
    </row>
    <row r="2219" spans="1:6">
      <c r="A2219">
        <v>17910</v>
      </c>
      <c r="B2219" t="s">
        <v>3273</v>
      </c>
      <c r="C2219" t="str">
        <f>VLOOKUP(A2219,'Cost Center'!A:C,3,FALSE)</f>
        <v>C380000</v>
      </c>
      <c r="D2219" t="s">
        <v>7388</v>
      </c>
      <c r="E2219" t="s">
        <v>685</v>
      </c>
      <c r="F2219" t="s">
        <v>19210</v>
      </c>
    </row>
    <row r="2220" spans="1:6">
      <c r="A2220">
        <v>2000</v>
      </c>
      <c r="B2220" t="s">
        <v>3274</v>
      </c>
      <c r="C2220" t="str">
        <f>VLOOKUP(A2220,'Cost Center'!A:C,3,FALSE)</f>
        <v>C380001</v>
      </c>
      <c r="D2220" t="s">
        <v>7391</v>
      </c>
      <c r="E2220" t="s">
        <v>685</v>
      </c>
      <c r="F2220" t="s">
        <v>19211</v>
      </c>
    </row>
    <row r="2221" spans="1:6">
      <c r="A2221">
        <v>2001</v>
      </c>
      <c r="B2221" t="s">
        <v>3275</v>
      </c>
      <c r="C2221" t="str">
        <f>VLOOKUP(A2221,'Cost Center'!A:C,3,FALSE)</f>
        <v>C380002</v>
      </c>
      <c r="D2221" t="s">
        <v>7394</v>
      </c>
      <c r="E2221" t="s">
        <v>685</v>
      </c>
      <c r="F2221" t="s">
        <v>19212</v>
      </c>
    </row>
    <row r="2222" spans="1:6">
      <c r="A2222">
        <v>2002</v>
      </c>
      <c r="B2222" t="s">
        <v>686</v>
      </c>
      <c r="C2222" t="str">
        <f>VLOOKUP(A2222,'Cost Center'!A:C,3,FALSE)</f>
        <v>C380003</v>
      </c>
      <c r="D2222" t="s">
        <v>7397</v>
      </c>
      <c r="E2222" t="s">
        <v>685</v>
      </c>
      <c r="F2222" t="s">
        <v>19213</v>
      </c>
    </row>
    <row r="2223" spans="1:6">
      <c r="A2223">
        <v>2004</v>
      </c>
      <c r="B2223" t="s">
        <v>687</v>
      </c>
      <c r="C2223" t="str">
        <f>VLOOKUP(A2223,'Cost Center'!A:C,3,FALSE)</f>
        <v>C380004</v>
      </c>
      <c r="D2223" t="s">
        <v>7400</v>
      </c>
      <c r="E2223" t="s">
        <v>685</v>
      </c>
      <c r="F2223" t="s">
        <v>19214</v>
      </c>
    </row>
    <row r="2224" spans="1:6">
      <c r="A2224">
        <v>2008</v>
      </c>
      <c r="B2224" t="s">
        <v>691</v>
      </c>
      <c r="C2224" t="str">
        <f>VLOOKUP(A2224,'Cost Center'!A:C,3,FALSE)</f>
        <v>C380005</v>
      </c>
      <c r="D2224" t="s">
        <v>7403</v>
      </c>
      <c r="E2224" t="s">
        <v>685</v>
      </c>
      <c r="F2224" t="s">
        <v>19215</v>
      </c>
    </row>
    <row r="2225" spans="1:6">
      <c r="A2225">
        <v>2075</v>
      </c>
      <c r="B2225" t="s">
        <v>704</v>
      </c>
      <c r="C2225" t="str">
        <f>VLOOKUP(A2225,'Cost Center'!A:C,3,FALSE)</f>
        <v>C380008</v>
      </c>
      <c r="D2225" t="s">
        <v>3626</v>
      </c>
      <c r="E2225" t="s">
        <v>685</v>
      </c>
      <c r="F2225" t="s">
        <v>18253</v>
      </c>
    </row>
    <row r="2226" spans="1:6">
      <c r="A2226">
        <v>5039</v>
      </c>
      <c r="B2226" t="s">
        <v>3276</v>
      </c>
      <c r="C2226" t="str">
        <f>VLOOKUP(A2226,'Cost Center'!A:C,3,FALSE)</f>
        <v>C385005</v>
      </c>
      <c r="D2226" t="s">
        <v>3748</v>
      </c>
      <c r="E2226" t="s">
        <v>685</v>
      </c>
      <c r="F2226" t="s">
        <v>18295</v>
      </c>
    </row>
    <row r="2227" spans="1:6">
      <c r="A2227">
        <v>5040</v>
      </c>
      <c r="B2227" t="s">
        <v>715</v>
      </c>
      <c r="C2227" t="str">
        <f>VLOOKUP(A2227,'Cost Center'!A:C,3,FALSE)</f>
        <v>C380009</v>
      </c>
      <c r="D2227" t="s">
        <v>3754</v>
      </c>
      <c r="E2227" t="s">
        <v>685</v>
      </c>
      <c r="F2227" t="s">
        <v>18296</v>
      </c>
    </row>
    <row r="2228" spans="1:6">
      <c r="A2228">
        <v>5041</v>
      </c>
      <c r="B2228" t="s">
        <v>716</v>
      </c>
      <c r="C2228" t="str">
        <f>VLOOKUP(A2228,'Cost Center'!A:C,3,FALSE)</f>
        <v>C380007</v>
      </c>
      <c r="D2228" t="s">
        <v>3768</v>
      </c>
      <c r="E2228" t="s">
        <v>685</v>
      </c>
      <c r="F2228" t="s">
        <v>18299</v>
      </c>
    </row>
    <row r="2229" spans="1:6">
      <c r="A2229">
        <v>5042</v>
      </c>
      <c r="B2229" t="s">
        <v>3277</v>
      </c>
      <c r="C2229" t="str">
        <f>VLOOKUP(A2229,'Cost Center'!A:C,3,FALSE)</f>
        <v>C380010</v>
      </c>
      <c r="D2229" t="s">
        <v>3771</v>
      </c>
      <c r="E2229" t="s">
        <v>685</v>
      </c>
      <c r="F2229" t="s">
        <v>18300</v>
      </c>
    </row>
    <row r="2230" spans="1:6">
      <c r="A2230">
        <v>5043</v>
      </c>
      <c r="B2230" t="s">
        <v>3278</v>
      </c>
      <c r="C2230" t="str">
        <f>VLOOKUP(A2230,'Cost Center'!A:C,3,FALSE)</f>
        <v>C380011</v>
      </c>
      <c r="D2230" t="s">
        <v>3783</v>
      </c>
      <c r="E2230" t="s">
        <v>685</v>
      </c>
      <c r="F2230" t="s">
        <v>18304</v>
      </c>
    </row>
    <row r="2231" spans="1:6">
      <c r="A2231">
        <v>5044</v>
      </c>
      <c r="B2231" t="s">
        <v>3279</v>
      </c>
      <c r="C2231" t="str">
        <f>VLOOKUP(A2231,'Cost Center'!A:C,3,FALSE)</f>
        <v>C380012</v>
      </c>
      <c r="D2231" t="s">
        <v>3786</v>
      </c>
      <c r="E2231" t="s">
        <v>685</v>
      </c>
      <c r="F2231" t="s">
        <v>18305</v>
      </c>
    </row>
    <row r="2232" spans="1:6">
      <c r="A2232">
        <v>5045</v>
      </c>
      <c r="B2232" t="s">
        <v>717</v>
      </c>
      <c r="C2232" t="str">
        <f>VLOOKUP(A2232,'Cost Center'!A:C,3,FALSE)</f>
        <v>C380013</v>
      </c>
      <c r="D2232" t="s">
        <v>3789</v>
      </c>
      <c r="E2232" t="s">
        <v>685</v>
      </c>
      <c r="F2232" t="s">
        <v>18306</v>
      </c>
    </row>
    <row r="2233" spans="1:6">
      <c r="A2233">
        <v>5049</v>
      </c>
      <c r="B2233" t="s">
        <v>3280</v>
      </c>
      <c r="C2233" t="str">
        <f>VLOOKUP(A2233,'Cost Center'!A:C,3,FALSE)</f>
        <v>C380014</v>
      </c>
      <c r="D2233" t="s">
        <v>3814</v>
      </c>
      <c r="E2233" t="s">
        <v>685</v>
      </c>
      <c r="F2233" t="s">
        <v>18316</v>
      </c>
    </row>
    <row r="2234" spans="1:6">
      <c r="A2234">
        <v>5050</v>
      </c>
      <c r="B2234" t="s">
        <v>3281</v>
      </c>
      <c r="C2234" t="str">
        <f>VLOOKUP(A2234,'Cost Center'!A:C,3,FALSE)</f>
        <v>C380015</v>
      </c>
      <c r="D2234" t="s">
        <v>3817</v>
      </c>
      <c r="E2234" t="s">
        <v>685</v>
      </c>
      <c r="F2234" t="s">
        <v>18317</v>
      </c>
    </row>
    <row r="2235" spans="1:6">
      <c r="A2235">
        <v>5062</v>
      </c>
      <c r="B2235" t="s">
        <v>3282</v>
      </c>
      <c r="C2235" t="str">
        <f>VLOOKUP(A2235,'Cost Center'!A:C,3,FALSE)</f>
        <v>C380016</v>
      </c>
      <c r="D2235" t="s">
        <v>3838</v>
      </c>
      <c r="E2235" t="s">
        <v>685</v>
      </c>
      <c r="F2235" t="s">
        <v>18324</v>
      </c>
    </row>
    <row r="2236" spans="1:6">
      <c r="A2236">
        <v>7507</v>
      </c>
      <c r="B2236" t="s">
        <v>3283</v>
      </c>
      <c r="C2236" t="str">
        <f>VLOOKUP(A2236,'Cost Center'!A:C,3,FALSE)</f>
        <v>C560004</v>
      </c>
      <c r="D2236" t="s">
        <v>4519</v>
      </c>
      <c r="E2236" t="s">
        <v>685</v>
      </c>
      <c r="F2236" t="s">
        <v>18451</v>
      </c>
    </row>
    <row r="2237" spans="1:6">
      <c r="A2237">
        <v>7508</v>
      </c>
      <c r="B2237" t="s">
        <v>3284</v>
      </c>
      <c r="C2237" t="str">
        <f>VLOOKUP(A2237,'Cost Center'!A:C,3,FALSE)</f>
        <v>C560005</v>
      </c>
      <c r="D2237" t="s">
        <v>4522</v>
      </c>
      <c r="E2237" t="s">
        <v>685</v>
      </c>
      <c r="F2237" t="s">
        <v>18452</v>
      </c>
    </row>
    <row r="2238" spans="1:6">
      <c r="A2238">
        <v>7509</v>
      </c>
      <c r="B2238" t="s">
        <v>3285</v>
      </c>
      <c r="C2238" t="str">
        <f>VLOOKUP(A2238,'Cost Center'!A:C,3,FALSE)</f>
        <v>CI25601</v>
      </c>
      <c r="D2238" t="s">
        <v>4525</v>
      </c>
      <c r="E2238" t="s">
        <v>685</v>
      </c>
      <c r="F2238" t="s">
        <v>18453</v>
      </c>
    </row>
    <row r="2239" spans="1:6">
      <c r="A2239">
        <v>7511</v>
      </c>
      <c r="B2239" t="s">
        <v>3286</v>
      </c>
      <c r="C2239" t="str">
        <f>VLOOKUP(A2239,'Cost Center'!A:C,3,FALSE)</f>
        <v>C380017</v>
      </c>
      <c r="D2239" t="s">
        <v>4531</v>
      </c>
      <c r="E2239" t="s">
        <v>685</v>
      </c>
      <c r="F2239" t="s">
        <v>18455</v>
      </c>
    </row>
    <row r="2240" spans="1:6">
      <c r="A2240">
        <v>8101</v>
      </c>
      <c r="B2240" t="s">
        <v>3287</v>
      </c>
      <c r="C2240" t="str">
        <f>VLOOKUP(A2240,'Cost Center'!A:C,3,FALSE)</f>
        <v>C380019</v>
      </c>
      <c r="D2240" t="s">
        <v>7432</v>
      </c>
      <c r="E2240" t="s">
        <v>685</v>
      </c>
      <c r="F2240" t="s">
        <v>19225</v>
      </c>
    </row>
    <row r="2241" spans="1:6">
      <c r="A2241" t="s">
        <v>561</v>
      </c>
      <c r="B2241" t="s">
        <v>1239</v>
      </c>
      <c r="C2241" t="str">
        <f>VLOOKUP(A2241,'Cost Center'!A:C,3,FALSE)</f>
        <v>C400174</v>
      </c>
      <c r="D2241" t="s">
        <v>7848</v>
      </c>
      <c r="E2241" t="s">
        <v>685</v>
      </c>
      <c r="F2241" t="s">
        <v>561</v>
      </c>
    </row>
    <row r="2242" spans="1:6">
      <c r="A2242" t="s">
        <v>569</v>
      </c>
      <c r="B2242" t="s">
        <v>1249</v>
      </c>
      <c r="C2242" t="str">
        <f>VLOOKUP(A2242,'Cost Center'!A:C,3,FALSE)</f>
        <v>C380100</v>
      </c>
      <c r="D2242" t="s">
        <v>7435</v>
      </c>
      <c r="E2242" t="s">
        <v>685</v>
      </c>
      <c r="F2242" t="s">
        <v>569</v>
      </c>
    </row>
    <row r="2243" spans="1:6">
      <c r="A2243" t="s">
        <v>571</v>
      </c>
      <c r="B2243" t="s">
        <v>1252</v>
      </c>
      <c r="C2243" t="str">
        <f>VLOOKUP(A2243,'Cost Center'!A:C,3,FALSE)</f>
        <v>C380101</v>
      </c>
      <c r="D2243" t="s">
        <v>7438</v>
      </c>
      <c r="E2243" t="s">
        <v>685</v>
      </c>
      <c r="F2243" t="s">
        <v>571</v>
      </c>
    </row>
    <row r="2244" spans="1:6">
      <c r="A2244" t="s">
        <v>572</v>
      </c>
      <c r="B2244" t="s">
        <v>1253</v>
      </c>
      <c r="C2244" t="str">
        <f>VLOOKUP(A2244,'Cost Center'!A:C,3,FALSE)</f>
        <v>C380102</v>
      </c>
      <c r="D2244" t="s">
        <v>7441</v>
      </c>
      <c r="E2244" t="s">
        <v>685</v>
      </c>
      <c r="F2244" t="s">
        <v>572</v>
      </c>
    </row>
    <row r="2245" spans="1:6">
      <c r="A2245" t="s">
        <v>573</v>
      </c>
      <c r="B2245" t="s">
        <v>1254</v>
      </c>
      <c r="C2245" t="str">
        <f>VLOOKUP(A2245,'Cost Center'!A:C,3,FALSE)</f>
        <v>C380103</v>
      </c>
      <c r="D2245" t="s">
        <v>7444</v>
      </c>
      <c r="E2245" t="s">
        <v>685</v>
      </c>
      <c r="F2245" t="s">
        <v>573</v>
      </c>
    </row>
    <row r="2246" spans="1:6">
      <c r="A2246" t="s">
        <v>3288</v>
      </c>
      <c r="B2246" t="s">
        <v>3289</v>
      </c>
      <c r="C2246" t="e">
        <f>VLOOKUP(A2246,'Cost Center'!A:C,3,FALSE)</f>
        <v>#N/A</v>
      </c>
      <c r="D2246" t="s">
        <v>3624</v>
      </c>
      <c r="E2246" t="s">
        <v>685</v>
      </c>
      <c r="F2246" t="s">
        <v>3288</v>
      </c>
    </row>
    <row r="2247" spans="1:6">
      <c r="A2247" t="s">
        <v>574</v>
      </c>
      <c r="B2247" t="s">
        <v>1255</v>
      </c>
      <c r="C2247" t="str">
        <f>VLOOKUP(A2247,'Cost Center'!A:C,3,FALSE)</f>
        <v>C380104</v>
      </c>
      <c r="D2247" t="s">
        <v>7447</v>
      </c>
      <c r="E2247" t="s">
        <v>685</v>
      </c>
      <c r="F2247" t="s">
        <v>574</v>
      </c>
    </row>
    <row r="2248" spans="1:6">
      <c r="A2248" t="s">
        <v>597</v>
      </c>
      <c r="B2248" t="s">
        <v>3290</v>
      </c>
      <c r="C2248" t="str">
        <f>VLOOKUP(A2248,'Cost Center'!A:C,3,FALSE)</f>
        <v>C385000</v>
      </c>
      <c r="D2248" t="s">
        <v>11966</v>
      </c>
      <c r="E2248" t="s">
        <v>685</v>
      </c>
      <c r="F2248" t="s">
        <v>597</v>
      </c>
    </row>
    <row r="2249" spans="1:6">
      <c r="A2249" t="s">
        <v>598</v>
      </c>
      <c r="B2249" t="s">
        <v>3291</v>
      </c>
      <c r="C2249" t="str">
        <f>VLOOKUP(A2249,'Cost Center'!A:C,3,FALSE)</f>
        <v>CI38505</v>
      </c>
      <c r="D2249" t="s">
        <v>12707</v>
      </c>
      <c r="E2249" t="s">
        <v>685</v>
      </c>
      <c r="F2249" t="s">
        <v>598</v>
      </c>
    </row>
    <row r="2250" spans="1:6">
      <c r="A2250" t="s">
        <v>599</v>
      </c>
      <c r="B2250" t="s">
        <v>3292</v>
      </c>
      <c r="C2250" t="str">
        <f>VLOOKUP(A2250,'Cost Center'!A:C,3,FALSE)</f>
        <v>C385002</v>
      </c>
      <c r="D2250" t="s">
        <v>7456</v>
      </c>
      <c r="E2250" t="s">
        <v>685</v>
      </c>
      <c r="F2250" t="s">
        <v>599</v>
      </c>
    </row>
    <row r="2251" spans="1:6">
      <c r="A2251" t="s">
        <v>1927</v>
      </c>
      <c r="B2251" t="s">
        <v>3293</v>
      </c>
      <c r="C2251" t="str">
        <f>VLOOKUP(A2251,'Cost Center'!A:C,3,FALSE)</f>
        <v>C385003</v>
      </c>
      <c r="D2251" t="s">
        <v>7459</v>
      </c>
      <c r="E2251" t="s">
        <v>685</v>
      </c>
      <c r="F2251" t="s">
        <v>1927</v>
      </c>
    </row>
    <row r="2252" spans="1:6">
      <c r="A2252" t="s">
        <v>1926</v>
      </c>
      <c r="B2252" t="s">
        <v>3294</v>
      </c>
      <c r="C2252" t="str">
        <f>VLOOKUP(A2252,'Cost Center'!A:C,3,FALSE)</f>
        <v>C385004</v>
      </c>
      <c r="D2252" t="s">
        <v>7462</v>
      </c>
      <c r="E2252" t="s">
        <v>685</v>
      </c>
      <c r="F2252" t="s">
        <v>1926</v>
      </c>
    </row>
    <row r="2253" spans="1:6">
      <c r="A2253" t="s">
        <v>605</v>
      </c>
      <c r="B2253" t="s">
        <v>1753</v>
      </c>
      <c r="C2253" t="str">
        <f>VLOOKUP(A2253,'Cost Center'!A:C,3,FALSE)</f>
        <v>C380018</v>
      </c>
      <c r="D2253" t="s">
        <v>7429</v>
      </c>
      <c r="E2253" t="s">
        <v>685</v>
      </c>
      <c r="F2253" t="s">
        <v>605</v>
      </c>
    </row>
    <row r="2254" spans="1:6">
      <c r="A2254" t="s">
        <v>538</v>
      </c>
      <c r="B2254" t="s">
        <v>3295</v>
      </c>
      <c r="C2254" t="str">
        <f>VLOOKUP(A2254,'Cost Center'!A:C,3,FALSE)</f>
        <v>C400153</v>
      </c>
      <c r="D2254" t="s">
        <v>7786</v>
      </c>
      <c r="E2254" t="s">
        <v>685</v>
      </c>
      <c r="F2254" t="s">
        <v>538</v>
      </c>
    </row>
    <row r="2255" spans="1:6">
      <c r="A2255" t="s">
        <v>539</v>
      </c>
      <c r="B2255" t="s">
        <v>1217</v>
      </c>
      <c r="C2255" t="str">
        <f>VLOOKUP(A2255,'Cost Center'!A:C,3,FALSE)</f>
        <v>C400154</v>
      </c>
      <c r="D2255" t="s">
        <v>11595</v>
      </c>
      <c r="E2255" t="s">
        <v>685</v>
      </c>
      <c r="F2255" t="s">
        <v>539</v>
      </c>
    </row>
    <row r="2256" spans="1:6">
      <c r="A2256" t="s">
        <v>559</v>
      </c>
      <c r="B2256" t="s">
        <v>1237</v>
      </c>
      <c r="C2256" t="str">
        <f>VLOOKUP(A2256,'Cost Center'!A:C,3,FALSE)</f>
        <v>C400173</v>
      </c>
      <c r="D2256" t="s">
        <v>11601</v>
      </c>
      <c r="E2256" t="s">
        <v>685</v>
      </c>
      <c r="F2256" t="s">
        <v>559</v>
      </c>
    </row>
    <row r="2257" spans="1:6">
      <c r="A2257" t="s">
        <v>3296</v>
      </c>
      <c r="B2257" t="s">
        <v>3297</v>
      </c>
      <c r="C2257" t="e">
        <f>VLOOKUP(A2257,'Cost Center'!A:C,3,FALSE)</f>
        <v>#N/A</v>
      </c>
      <c r="D2257" t="s">
        <v>3624</v>
      </c>
      <c r="E2257" t="s">
        <v>685</v>
      </c>
      <c r="F2257" t="s">
        <v>3296</v>
      </c>
    </row>
    <row r="2258" spans="1:6">
      <c r="A2258" t="s">
        <v>564</v>
      </c>
      <c r="B2258" t="s">
        <v>1244</v>
      </c>
      <c r="C2258" t="str">
        <f>VLOOKUP(A2258,'Cost Center'!A:C,3,FALSE)</f>
        <v>C400176</v>
      </c>
      <c r="D2258" t="s">
        <v>7854</v>
      </c>
      <c r="E2258" t="s">
        <v>685</v>
      </c>
      <c r="F2258" t="s">
        <v>564</v>
      </c>
    </row>
    <row r="2259" spans="1:6">
      <c r="A2259" t="s">
        <v>565</v>
      </c>
      <c r="B2259" t="s">
        <v>1245</v>
      </c>
      <c r="C2259" t="str">
        <f>VLOOKUP(A2259,'Cost Center'!A:C,3,FALSE)</f>
        <v>C400177</v>
      </c>
      <c r="D2259" t="s">
        <v>7857</v>
      </c>
      <c r="E2259" t="s">
        <v>685</v>
      </c>
      <c r="F2259" t="s">
        <v>565</v>
      </c>
    </row>
    <row r="2260" spans="1:6">
      <c r="A2260" t="s">
        <v>566</v>
      </c>
      <c r="B2260" t="s">
        <v>1246</v>
      </c>
      <c r="C2260" t="str">
        <f>VLOOKUP(A2260,'Cost Center'!A:C,3,FALSE)</f>
        <v>C400151</v>
      </c>
      <c r="D2260" t="s">
        <v>7780</v>
      </c>
      <c r="E2260" t="s">
        <v>685</v>
      </c>
      <c r="F2260" t="s">
        <v>566</v>
      </c>
    </row>
    <row r="2261" spans="1:6">
      <c r="A2261" t="s">
        <v>567</v>
      </c>
      <c r="B2261" t="s">
        <v>1247</v>
      </c>
      <c r="C2261" t="str">
        <f>VLOOKUP(A2261,'Cost Center'!A:C,3,FALSE)</f>
        <v>C400178</v>
      </c>
      <c r="D2261" t="s">
        <v>7860</v>
      </c>
      <c r="E2261" t="s">
        <v>685</v>
      </c>
      <c r="F2261" t="s">
        <v>567</v>
      </c>
    </row>
    <row r="2262" spans="1:6">
      <c r="A2262" t="s">
        <v>568</v>
      </c>
      <c r="B2262" t="s">
        <v>1248</v>
      </c>
      <c r="C2262" t="str">
        <f>VLOOKUP(A2262,'Cost Center'!A:C,3,FALSE)</f>
        <v>C400179</v>
      </c>
      <c r="D2262" t="s">
        <v>7863</v>
      </c>
      <c r="E2262" t="s">
        <v>685</v>
      </c>
      <c r="F2262" t="s">
        <v>568</v>
      </c>
    </row>
    <row r="2263" spans="1:6">
      <c r="A2263" t="s">
        <v>3298</v>
      </c>
      <c r="B2263" t="s">
        <v>3299</v>
      </c>
      <c r="C2263" t="e">
        <f>VLOOKUP(A2263,'Cost Center'!A:C,3,FALSE)</f>
        <v>#N/A</v>
      </c>
      <c r="D2263" t="s">
        <v>3624</v>
      </c>
      <c r="E2263" t="s">
        <v>685</v>
      </c>
      <c r="F2263" t="s">
        <v>3298</v>
      </c>
    </row>
    <row r="2264" spans="1:6">
      <c r="A2264" t="s">
        <v>570</v>
      </c>
      <c r="B2264" t="s">
        <v>1250</v>
      </c>
      <c r="C2264" t="str">
        <f>VLOOKUP(A2264,'Cost Center'!A:C,3,FALSE)</f>
        <v>C400152</v>
      </c>
      <c r="D2264" t="s">
        <v>7783</v>
      </c>
      <c r="E2264" t="s">
        <v>685</v>
      </c>
      <c r="F2264" t="s">
        <v>570</v>
      </c>
    </row>
    <row r="2265" spans="1:6">
      <c r="A2265" t="s">
        <v>3300</v>
      </c>
      <c r="B2265" t="s">
        <v>3301</v>
      </c>
      <c r="C2265" t="str">
        <f>VLOOKUP(A2265,'Cost Center'!A:C,3,FALSE)</f>
        <v>C400181</v>
      </c>
      <c r="D2265" t="s">
        <v>7869</v>
      </c>
      <c r="E2265" t="s">
        <v>685</v>
      </c>
      <c r="F2265" t="s">
        <v>3300</v>
      </c>
    </row>
    <row r="2266" spans="1:6">
      <c r="A2266" t="s">
        <v>3302</v>
      </c>
      <c r="B2266" t="s">
        <v>3303</v>
      </c>
      <c r="C2266" t="str">
        <f>VLOOKUP(A2266,'Cost Center'!A:C,3,FALSE)</f>
        <v>C400180</v>
      </c>
      <c r="D2266" t="s">
        <v>7866</v>
      </c>
      <c r="E2266" t="s">
        <v>685</v>
      </c>
      <c r="F2266" t="s">
        <v>3302</v>
      </c>
    </row>
    <row r="2267" spans="1:6">
      <c r="A2267" t="s">
        <v>3304</v>
      </c>
      <c r="B2267" t="s">
        <v>3305</v>
      </c>
      <c r="C2267" t="str">
        <f>VLOOKUP(A2267,'Cost Center'!A:C,3,FALSE)</f>
        <v>C400182</v>
      </c>
      <c r="D2267" t="s">
        <v>7872</v>
      </c>
      <c r="E2267" t="s">
        <v>685</v>
      </c>
      <c r="F2267" t="s">
        <v>3304</v>
      </c>
    </row>
    <row r="2268" spans="1:6">
      <c r="A2268" t="s">
        <v>3306</v>
      </c>
      <c r="B2268" t="s">
        <v>3307</v>
      </c>
      <c r="C2268" t="e">
        <f>VLOOKUP(A2268,'Cost Center'!A:C,3,FALSE)</f>
        <v>#N/A</v>
      </c>
      <c r="D2268" t="s">
        <v>3624</v>
      </c>
      <c r="E2268" t="s">
        <v>685</v>
      </c>
      <c r="F2268" t="s">
        <v>3306</v>
      </c>
    </row>
    <row r="2269" spans="1:6">
      <c r="A2269" t="s">
        <v>3308</v>
      </c>
      <c r="B2269" t="s">
        <v>3309</v>
      </c>
      <c r="C2269" t="e">
        <f>VLOOKUP(A2269,'Cost Center'!A:C,3,FALSE)</f>
        <v>#N/A</v>
      </c>
      <c r="D2269" t="s">
        <v>3624</v>
      </c>
      <c r="E2269" t="s">
        <v>685</v>
      </c>
      <c r="F2269" t="s">
        <v>3308</v>
      </c>
    </row>
    <row r="2270" spans="1:6">
      <c r="A2270" t="s">
        <v>3310</v>
      </c>
      <c r="B2270" t="s">
        <v>3311</v>
      </c>
      <c r="C2270" t="str">
        <f>VLOOKUP(A2270,'Cost Center'!A:C,3,FALSE)</f>
        <v>C400183</v>
      </c>
      <c r="D2270" t="s">
        <v>7875</v>
      </c>
      <c r="E2270" t="s">
        <v>685</v>
      </c>
      <c r="F2270" t="s">
        <v>3310</v>
      </c>
    </row>
    <row r="2271" spans="1:6">
      <c r="A2271">
        <v>10257</v>
      </c>
      <c r="B2271" t="s">
        <v>3312</v>
      </c>
      <c r="C2271" t="str">
        <f>VLOOKUP(A2271,'Cost Center'!A:C,3,FALSE)</f>
        <v>C090005</v>
      </c>
      <c r="D2271" t="s">
        <v>5064</v>
      </c>
      <c r="E2271" t="s">
        <v>685</v>
      </c>
      <c r="F2271" t="s">
        <v>18488</v>
      </c>
    </row>
    <row r="2272" spans="1:6">
      <c r="A2272">
        <v>20257</v>
      </c>
      <c r="B2272" t="s">
        <v>3313</v>
      </c>
      <c r="C2272" t="str">
        <f>VLOOKUP(A2272,'Cost Center'!A:C,3,FALSE)</f>
        <v>C400300</v>
      </c>
      <c r="D2272" t="s">
        <v>5285</v>
      </c>
      <c r="E2272" t="s">
        <v>685</v>
      </c>
      <c r="F2272" t="s">
        <v>18544</v>
      </c>
    </row>
    <row r="2273" spans="1:6">
      <c r="A2273">
        <v>20258</v>
      </c>
      <c r="B2273" t="s">
        <v>3314</v>
      </c>
      <c r="C2273" t="str">
        <f>VLOOKUP(A2273,'Cost Center'!A:C,3,FALSE)</f>
        <v>C400301</v>
      </c>
      <c r="D2273" t="s">
        <v>5288</v>
      </c>
      <c r="E2273" t="s">
        <v>685</v>
      </c>
      <c r="F2273" t="s">
        <v>18545</v>
      </c>
    </row>
    <row r="2274" spans="1:6">
      <c r="A2274">
        <v>93203</v>
      </c>
      <c r="B2274" t="s">
        <v>3315</v>
      </c>
      <c r="C2274" t="str">
        <f>VLOOKUP(A2274,'Cost Center'!A:C,3,FALSE)</f>
        <v>C400056</v>
      </c>
      <c r="D2274" t="s">
        <v>7697</v>
      </c>
      <c r="E2274" t="s">
        <v>685</v>
      </c>
      <c r="F2274" t="s">
        <v>19302</v>
      </c>
    </row>
    <row r="2275" spans="1:6">
      <c r="A2275" t="s">
        <v>53</v>
      </c>
      <c r="B2275" t="s">
        <v>1256</v>
      </c>
      <c r="C2275" t="str">
        <f>VLOOKUP(A2275,'Cost Center'!A:C,3,FALSE)</f>
        <v>C400305</v>
      </c>
      <c r="D2275" t="s">
        <v>7891</v>
      </c>
      <c r="E2275" t="s">
        <v>685</v>
      </c>
      <c r="F2275" t="s">
        <v>53</v>
      </c>
    </row>
    <row r="2276" spans="1:6">
      <c r="A2276" t="s">
        <v>1948</v>
      </c>
      <c r="B2276" t="s">
        <v>3316</v>
      </c>
      <c r="C2276" t="str">
        <f>VLOOKUP(A2276,'Cost Center'!A:C,3,FALSE)</f>
        <v>C400302</v>
      </c>
      <c r="D2276" t="s">
        <v>7883</v>
      </c>
      <c r="E2276" t="s">
        <v>685</v>
      </c>
      <c r="F2276" t="s">
        <v>1948</v>
      </c>
    </row>
    <row r="2277" spans="1:6">
      <c r="A2277">
        <v>93609</v>
      </c>
      <c r="B2277" t="s">
        <v>3317</v>
      </c>
      <c r="C2277" t="str">
        <f>VLOOKUP(A2277,'Cost Center'!A:C,3,FALSE)</f>
        <v>C400900</v>
      </c>
      <c r="D2277" t="s">
        <v>7902</v>
      </c>
      <c r="E2277" t="s">
        <v>685</v>
      </c>
      <c r="F2277" t="s">
        <v>19330</v>
      </c>
    </row>
    <row r="2278" spans="1:6">
      <c r="A2278">
        <v>10811</v>
      </c>
      <c r="B2278" t="s">
        <v>3318</v>
      </c>
      <c r="C2278" t="str">
        <f>VLOOKUP(A2278,'Cost Center'!A:C,3,FALSE)</f>
        <v>C515613</v>
      </c>
      <c r="D2278" t="s">
        <v>8876</v>
      </c>
      <c r="E2278" t="s">
        <v>685</v>
      </c>
      <c r="F2278" t="s">
        <v>19464</v>
      </c>
    </row>
    <row r="2279" spans="1:6">
      <c r="A2279">
        <v>10814</v>
      </c>
      <c r="B2279" t="s">
        <v>3319</v>
      </c>
      <c r="C2279" t="e">
        <f>VLOOKUP(A2279,'Cost Center'!A:C,3,FALSE)</f>
        <v>#N/A</v>
      </c>
      <c r="D2279" t="s">
        <v>3624</v>
      </c>
      <c r="E2279" t="s">
        <v>685</v>
      </c>
      <c r="F2279" t="s">
        <v>20093</v>
      </c>
    </row>
    <row r="2280" spans="1:6">
      <c r="A2280">
        <v>10815</v>
      </c>
      <c r="B2280" t="s">
        <v>3320</v>
      </c>
      <c r="C2280" t="str">
        <f>VLOOKUP(A2280,'Cost Center'!A:C,3,FALSE)</f>
        <v>C515602</v>
      </c>
      <c r="D2280" t="s">
        <v>5163</v>
      </c>
      <c r="E2280" t="s">
        <v>685</v>
      </c>
      <c r="F2280" t="s">
        <v>18510</v>
      </c>
    </row>
    <row r="2281" spans="1:6">
      <c r="A2281">
        <v>11101</v>
      </c>
      <c r="B2281" t="s">
        <v>3321</v>
      </c>
      <c r="C2281" t="e">
        <f>VLOOKUP(A2281,'Cost Center'!A:C,3,FALSE)</f>
        <v>#N/A</v>
      </c>
      <c r="D2281" t="s">
        <v>3624</v>
      </c>
      <c r="E2281" t="s">
        <v>685</v>
      </c>
      <c r="F2281" t="s">
        <v>20094</v>
      </c>
    </row>
    <row r="2282" spans="1:6">
      <c r="A2282">
        <v>11102</v>
      </c>
      <c r="B2282" t="s">
        <v>3322</v>
      </c>
      <c r="C2282" t="e">
        <f>VLOOKUP(A2282,'Cost Center'!A:C,3,FALSE)</f>
        <v>#N/A</v>
      </c>
      <c r="D2282" t="s">
        <v>3624</v>
      </c>
      <c r="E2282" t="s">
        <v>685</v>
      </c>
      <c r="F2282" t="s">
        <v>20095</v>
      </c>
    </row>
    <row r="2283" spans="1:6">
      <c r="A2283">
        <v>11113</v>
      </c>
      <c r="B2283" t="s">
        <v>3323</v>
      </c>
      <c r="C2283" t="str">
        <f>VLOOKUP(A2283,'Cost Center'!A:C,3,FALSE)</f>
        <v>C515614</v>
      </c>
      <c r="D2283" t="s">
        <v>8879</v>
      </c>
      <c r="E2283" t="s">
        <v>685</v>
      </c>
      <c r="F2283" t="s">
        <v>19465</v>
      </c>
    </row>
    <row r="2284" spans="1:6">
      <c r="A2284">
        <v>11118</v>
      </c>
      <c r="B2284" t="s">
        <v>3324</v>
      </c>
      <c r="C2284" t="e">
        <f>VLOOKUP(A2284,'Cost Center'!A:C,3,FALSE)</f>
        <v>#N/A</v>
      </c>
      <c r="D2284" t="s">
        <v>3624</v>
      </c>
      <c r="E2284" t="s">
        <v>685</v>
      </c>
      <c r="F2284" t="s">
        <v>20096</v>
      </c>
    </row>
    <row r="2285" spans="1:6">
      <c r="A2285">
        <v>11121</v>
      </c>
      <c r="B2285" t="s">
        <v>3325</v>
      </c>
      <c r="C2285" t="str">
        <f>VLOOKUP(A2285,'Cost Center'!A:C,3,FALSE)</f>
        <v>C515608</v>
      </c>
      <c r="D2285" t="s">
        <v>8860</v>
      </c>
      <c r="E2285" t="s">
        <v>685</v>
      </c>
      <c r="F2285" t="s">
        <v>19460</v>
      </c>
    </row>
    <row r="2286" spans="1:6">
      <c r="A2286">
        <v>17902</v>
      </c>
      <c r="B2286" t="s">
        <v>3326</v>
      </c>
      <c r="C2286" t="str">
        <f>VLOOKUP(A2286,'Cost Center'!A:C,3,FALSE)</f>
        <v>C515616</v>
      </c>
      <c r="D2286" t="s">
        <v>8885</v>
      </c>
      <c r="E2286" t="s">
        <v>685</v>
      </c>
      <c r="F2286" t="s">
        <v>19467</v>
      </c>
    </row>
    <row r="2287" spans="1:6">
      <c r="A2287">
        <v>17906</v>
      </c>
      <c r="B2287" t="s">
        <v>3327</v>
      </c>
      <c r="C2287" t="str">
        <f>VLOOKUP(A2287,'Cost Center'!A:C,3,FALSE)</f>
        <v>C515615</v>
      </c>
      <c r="D2287" t="s">
        <v>8882</v>
      </c>
      <c r="E2287" t="s">
        <v>685</v>
      </c>
      <c r="F2287" t="s">
        <v>19466</v>
      </c>
    </row>
    <row r="2288" spans="1:6">
      <c r="A2288">
        <v>19010</v>
      </c>
      <c r="B2288" t="s">
        <v>3328</v>
      </c>
      <c r="C2288" t="str">
        <f>VLOOKUP(A2288,'Cost Center'!A:C,3,FALSE)</f>
        <v>C515612</v>
      </c>
      <c r="D2288" t="s">
        <v>8873</v>
      </c>
      <c r="E2288" t="s">
        <v>685</v>
      </c>
      <c r="F2288" t="s">
        <v>19463</v>
      </c>
    </row>
    <row r="2289" spans="1:6">
      <c r="A2289">
        <v>19011</v>
      </c>
      <c r="B2289" t="s">
        <v>3329</v>
      </c>
      <c r="C2289" t="e">
        <f>VLOOKUP(A2289,'Cost Center'!A:C,3,FALSE)</f>
        <v>#N/A</v>
      </c>
      <c r="D2289" t="s">
        <v>3624</v>
      </c>
      <c r="E2289" t="s">
        <v>685</v>
      </c>
      <c r="F2289" t="s">
        <v>20097</v>
      </c>
    </row>
    <row r="2290" spans="1:6">
      <c r="A2290">
        <v>19013</v>
      </c>
      <c r="B2290" t="s">
        <v>3330</v>
      </c>
      <c r="C2290" t="e">
        <f>VLOOKUP(A2290,'Cost Center'!A:C,3,FALSE)</f>
        <v>#N/A</v>
      </c>
      <c r="D2290" t="s">
        <v>3624</v>
      </c>
      <c r="E2290" t="s">
        <v>685</v>
      </c>
      <c r="F2290" t="s">
        <v>20098</v>
      </c>
    </row>
    <row r="2291" spans="1:6">
      <c r="A2291">
        <v>19014</v>
      </c>
      <c r="B2291" t="s">
        <v>3331</v>
      </c>
      <c r="C2291" t="e">
        <f>VLOOKUP(A2291,'Cost Center'!A:C,3,FALSE)</f>
        <v>#N/A</v>
      </c>
      <c r="D2291" t="s">
        <v>3624</v>
      </c>
      <c r="E2291" t="s">
        <v>685</v>
      </c>
      <c r="F2291" t="s">
        <v>20099</v>
      </c>
    </row>
    <row r="2292" spans="1:6">
      <c r="A2292">
        <v>19015</v>
      </c>
      <c r="B2292" t="s">
        <v>3332</v>
      </c>
      <c r="C2292" t="e">
        <f>VLOOKUP(A2292,'Cost Center'!A:C,3,FALSE)</f>
        <v>#N/A</v>
      </c>
      <c r="D2292" t="s">
        <v>3624</v>
      </c>
      <c r="E2292" t="s">
        <v>685</v>
      </c>
      <c r="F2292" t="s">
        <v>20100</v>
      </c>
    </row>
    <row r="2293" spans="1:6">
      <c r="A2293">
        <v>19016</v>
      </c>
      <c r="B2293" t="s">
        <v>3333</v>
      </c>
      <c r="C2293" t="e">
        <f>VLOOKUP(A2293,'Cost Center'!A:C,3,FALSE)</f>
        <v>#N/A</v>
      </c>
      <c r="D2293" t="s">
        <v>3624</v>
      </c>
      <c r="E2293" t="s">
        <v>685</v>
      </c>
      <c r="F2293" t="s">
        <v>20101</v>
      </c>
    </row>
    <row r="2294" spans="1:6">
      <c r="A2294">
        <v>19060</v>
      </c>
      <c r="B2294" t="s">
        <v>3334</v>
      </c>
      <c r="C2294" t="str">
        <f>VLOOKUP(A2294,'Cost Center'!A:C,3,FALSE)</f>
        <v>C515611</v>
      </c>
      <c r="D2294" t="s">
        <v>8870</v>
      </c>
      <c r="E2294" t="s">
        <v>685</v>
      </c>
      <c r="F2294" t="s">
        <v>19462</v>
      </c>
    </row>
    <row r="2295" spans="1:6">
      <c r="A2295">
        <v>20640</v>
      </c>
      <c r="B2295" t="s">
        <v>3335</v>
      </c>
      <c r="C2295" t="e">
        <f>VLOOKUP(A2295,'Cost Center'!A:C,3,FALSE)</f>
        <v>#N/A</v>
      </c>
      <c r="D2295" t="s">
        <v>3624</v>
      </c>
      <c r="E2295" t="s">
        <v>685</v>
      </c>
      <c r="F2295" t="s">
        <v>20102</v>
      </c>
    </row>
    <row r="2296" spans="1:6">
      <c r="A2296">
        <v>20643</v>
      </c>
      <c r="B2296" t="s">
        <v>3336</v>
      </c>
      <c r="C2296" t="e">
        <f>VLOOKUP(A2296,'Cost Center'!A:C,3,FALSE)</f>
        <v>#N/A</v>
      </c>
      <c r="D2296" t="s">
        <v>3624</v>
      </c>
      <c r="E2296" t="s">
        <v>685</v>
      </c>
      <c r="F2296" t="s">
        <v>20103</v>
      </c>
    </row>
    <row r="2297" spans="1:6">
      <c r="A2297">
        <v>20644</v>
      </c>
      <c r="B2297" t="s">
        <v>3337</v>
      </c>
      <c r="C2297" t="e">
        <f>VLOOKUP(A2297,'Cost Center'!A:C,3,FALSE)</f>
        <v>#N/A</v>
      </c>
      <c r="D2297" t="s">
        <v>3624</v>
      </c>
      <c r="E2297" t="s">
        <v>685</v>
      </c>
      <c r="F2297" t="s">
        <v>20104</v>
      </c>
    </row>
    <row r="2298" spans="1:6">
      <c r="A2298">
        <v>22237</v>
      </c>
      <c r="B2298" t="s">
        <v>3338</v>
      </c>
      <c r="C2298" t="str">
        <f>VLOOKUP(A2298,'Cost Center'!A:C,3,FALSE)</f>
        <v>C515603</v>
      </c>
      <c r="D2298" t="s">
        <v>8848</v>
      </c>
      <c r="E2298" t="s">
        <v>685</v>
      </c>
      <c r="F2298" t="s">
        <v>19457</v>
      </c>
    </row>
    <row r="2299" spans="1:6">
      <c r="A2299">
        <v>22238</v>
      </c>
      <c r="B2299" t="s">
        <v>3339</v>
      </c>
      <c r="C2299" t="str">
        <f>VLOOKUP(A2299,'Cost Center'!A:C,3,FALSE)</f>
        <v>C515605</v>
      </c>
      <c r="D2299" t="s">
        <v>8851</v>
      </c>
      <c r="E2299" t="s">
        <v>685</v>
      </c>
      <c r="F2299" t="s">
        <v>19458</v>
      </c>
    </row>
    <row r="2300" spans="1:6">
      <c r="A2300">
        <v>22260</v>
      </c>
      <c r="B2300" t="s">
        <v>3340</v>
      </c>
      <c r="C2300" t="e">
        <f>VLOOKUP(A2300,'Cost Center'!A:C,3,FALSE)</f>
        <v>#N/A</v>
      </c>
      <c r="D2300" t="s">
        <v>3624</v>
      </c>
      <c r="E2300" t="s">
        <v>685</v>
      </c>
      <c r="F2300" t="s">
        <v>20105</v>
      </c>
    </row>
    <row r="2301" spans="1:6">
      <c r="A2301">
        <v>22261</v>
      </c>
      <c r="B2301" t="s">
        <v>3341</v>
      </c>
      <c r="C2301" t="e">
        <f>VLOOKUP(A2301,'Cost Center'!A:C,3,FALSE)</f>
        <v>#N/A</v>
      </c>
      <c r="D2301" t="s">
        <v>3624</v>
      </c>
      <c r="E2301" t="s">
        <v>685</v>
      </c>
      <c r="F2301" t="s">
        <v>20106</v>
      </c>
    </row>
    <row r="2302" spans="1:6">
      <c r="A2302">
        <v>22263</v>
      </c>
      <c r="B2302" t="s">
        <v>3342</v>
      </c>
      <c r="C2302" t="e">
        <f>VLOOKUP(A2302,'Cost Center'!A:C,3,FALSE)</f>
        <v>#N/A</v>
      </c>
      <c r="D2302" t="s">
        <v>3624</v>
      </c>
      <c r="E2302" t="s">
        <v>685</v>
      </c>
      <c r="F2302" t="s">
        <v>20107</v>
      </c>
    </row>
    <row r="2303" spans="1:6">
      <c r="A2303">
        <v>22264</v>
      </c>
      <c r="B2303" t="s">
        <v>3343</v>
      </c>
      <c r="C2303" t="e">
        <f>VLOOKUP(A2303,'Cost Center'!A:C,3,FALSE)</f>
        <v>#N/A</v>
      </c>
      <c r="D2303" t="s">
        <v>3624</v>
      </c>
      <c r="E2303" t="s">
        <v>685</v>
      </c>
      <c r="F2303" t="s">
        <v>20108</v>
      </c>
    </row>
    <row r="2304" spans="1:6">
      <c r="A2304">
        <v>22267</v>
      </c>
      <c r="B2304" t="s">
        <v>3344</v>
      </c>
      <c r="C2304" t="e">
        <f>VLOOKUP(A2304,'Cost Center'!A:C,3,FALSE)</f>
        <v>#N/A</v>
      </c>
      <c r="D2304" t="s">
        <v>3624</v>
      </c>
      <c r="E2304" t="s">
        <v>685</v>
      </c>
      <c r="F2304" t="s">
        <v>20109</v>
      </c>
    </row>
    <row r="2305" spans="1:6">
      <c r="A2305">
        <v>22269</v>
      </c>
      <c r="B2305" t="s">
        <v>3345</v>
      </c>
      <c r="C2305" t="e">
        <f>VLOOKUP(A2305,'Cost Center'!A:C,3,FALSE)</f>
        <v>#N/A</v>
      </c>
      <c r="D2305" t="s">
        <v>3624</v>
      </c>
      <c r="E2305" t="s">
        <v>685</v>
      </c>
      <c r="F2305" t="s">
        <v>20110</v>
      </c>
    </row>
    <row r="2306" spans="1:6">
      <c r="A2306">
        <v>22271</v>
      </c>
      <c r="B2306" t="s">
        <v>3346</v>
      </c>
      <c r="C2306" t="e">
        <f>VLOOKUP(A2306,'Cost Center'!A:C,3,FALSE)</f>
        <v>#N/A</v>
      </c>
      <c r="D2306" t="s">
        <v>3624</v>
      </c>
      <c r="E2306" t="s">
        <v>685</v>
      </c>
      <c r="F2306" t="s">
        <v>20111</v>
      </c>
    </row>
    <row r="2307" spans="1:6">
      <c r="A2307">
        <v>5032</v>
      </c>
      <c r="B2307" t="s">
        <v>713</v>
      </c>
      <c r="C2307" t="str">
        <f>VLOOKUP(A2307,'Cost Center'!A:C,3,FALSE)</f>
        <v>C515000</v>
      </c>
      <c r="D2307" t="s">
        <v>3730</v>
      </c>
      <c r="E2307" t="s">
        <v>685</v>
      </c>
      <c r="F2307" t="s">
        <v>18289</v>
      </c>
    </row>
    <row r="2308" spans="1:6">
      <c r="A2308">
        <v>5033</v>
      </c>
      <c r="B2308" t="s">
        <v>714</v>
      </c>
      <c r="C2308" t="str">
        <f>VLOOKUP(A2308,'Cost Center'!A:C,3,FALSE)</f>
        <v>C515007</v>
      </c>
      <c r="D2308" t="s">
        <v>3745</v>
      </c>
      <c r="E2308" t="s">
        <v>685</v>
      </c>
      <c r="F2308" t="s">
        <v>18294</v>
      </c>
    </row>
    <row r="2309" spans="1:6">
      <c r="A2309">
        <v>50611</v>
      </c>
      <c r="B2309" t="s">
        <v>3347</v>
      </c>
      <c r="C2309" t="e">
        <f>VLOOKUP(A2309,'Cost Center'!A:C,3,FALSE)</f>
        <v>#N/A</v>
      </c>
      <c r="D2309" t="s">
        <v>3624</v>
      </c>
      <c r="E2309" t="s">
        <v>685</v>
      </c>
      <c r="F2309" t="s">
        <v>20112</v>
      </c>
    </row>
    <row r="2310" spans="1:6">
      <c r="A2310">
        <v>50640</v>
      </c>
      <c r="B2310" t="s">
        <v>3348</v>
      </c>
      <c r="C2310" t="e">
        <f>VLOOKUP(A2310,'Cost Center'!A:C,3,FALSE)</f>
        <v>#N/A</v>
      </c>
      <c r="D2310" t="s">
        <v>3624</v>
      </c>
      <c r="E2310" t="s">
        <v>685</v>
      </c>
      <c r="F2310" t="s">
        <v>20113</v>
      </c>
    </row>
    <row r="2311" spans="1:6">
      <c r="A2311">
        <v>51701</v>
      </c>
      <c r="B2311" t="s">
        <v>3349</v>
      </c>
      <c r="C2311" t="str">
        <f>VLOOKUP(A2311,'Cost Center'!A:C,3,FALSE)</f>
        <v>C515604</v>
      </c>
      <c r="D2311" t="s">
        <v>5974</v>
      </c>
      <c r="E2311" t="s">
        <v>685</v>
      </c>
      <c r="F2311" t="s">
        <v>18761</v>
      </c>
    </row>
    <row r="2312" spans="1:6">
      <c r="A2312">
        <v>51710</v>
      </c>
      <c r="B2312" t="s">
        <v>3350</v>
      </c>
      <c r="C2312" t="e">
        <f>VLOOKUP(A2312,'Cost Center'!A:C,3,FALSE)</f>
        <v>#N/A</v>
      </c>
      <c r="D2312" t="s">
        <v>3624</v>
      </c>
      <c r="E2312" t="s">
        <v>685</v>
      </c>
      <c r="F2312" t="s">
        <v>20114</v>
      </c>
    </row>
    <row r="2313" spans="1:6">
      <c r="A2313">
        <v>51713</v>
      </c>
      <c r="B2313" t="s">
        <v>3351</v>
      </c>
      <c r="C2313" t="e">
        <f>VLOOKUP(A2313,'Cost Center'!A:C,3,FALSE)</f>
        <v>#N/A</v>
      </c>
      <c r="D2313" t="s">
        <v>3624</v>
      </c>
      <c r="E2313" t="s">
        <v>685</v>
      </c>
      <c r="F2313" t="s">
        <v>20115</v>
      </c>
    </row>
    <row r="2314" spans="1:6">
      <c r="A2314">
        <v>51715</v>
      </c>
      <c r="B2314" t="s">
        <v>3352</v>
      </c>
      <c r="C2314" t="e">
        <f>VLOOKUP(A2314,'Cost Center'!A:C,3,FALSE)</f>
        <v>#N/A</v>
      </c>
      <c r="D2314" t="s">
        <v>3624</v>
      </c>
      <c r="E2314" t="s">
        <v>685</v>
      </c>
      <c r="F2314" t="s">
        <v>20116</v>
      </c>
    </row>
    <row r="2315" spans="1:6">
      <c r="A2315">
        <v>51716</v>
      </c>
      <c r="B2315" t="s">
        <v>3353</v>
      </c>
      <c r="C2315" t="e">
        <f>VLOOKUP(A2315,'Cost Center'!A:C,3,FALSE)</f>
        <v>#N/A</v>
      </c>
      <c r="D2315" t="s">
        <v>3624</v>
      </c>
      <c r="E2315" t="s">
        <v>685</v>
      </c>
      <c r="F2315" t="s">
        <v>20117</v>
      </c>
    </row>
    <row r="2316" spans="1:6">
      <c r="A2316">
        <v>52000</v>
      </c>
      <c r="B2316" t="s">
        <v>3354</v>
      </c>
      <c r="C2316" t="e">
        <f>VLOOKUP(A2316,'Cost Center'!A:C,3,FALSE)</f>
        <v>#N/A</v>
      </c>
      <c r="D2316" t="s">
        <v>3624</v>
      </c>
      <c r="E2316" t="s">
        <v>685</v>
      </c>
      <c r="F2316" t="s">
        <v>20118</v>
      </c>
    </row>
    <row r="2317" spans="1:6">
      <c r="A2317">
        <v>6009</v>
      </c>
      <c r="B2317" t="s">
        <v>3355</v>
      </c>
      <c r="C2317" t="str">
        <f>VLOOKUP(A2317,'Cost Center'!A:C,3,FALSE)</f>
        <v>C515610</v>
      </c>
      <c r="D2317" t="s">
        <v>8867</v>
      </c>
      <c r="E2317" t="s">
        <v>685</v>
      </c>
      <c r="F2317" t="s">
        <v>19461</v>
      </c>
    </row>
    <row r="2318" spans="1:6">
      <c r="A2318">
        <v>93100</v>
      </c>
      <c r="B2318" t="s">
        <v>3356</v>
      </c>
      <c r="C2318" t="str">
        <f>VLOOKUP(A2318,'Cost Center'!A:C,3,FALSE)</f>
        <v>C515607</v>
      </c>
      <c r="D2318" t="s">
        <v>8857</v>
      </c>
      <c r="E2318" t="s">
        <v>685</v>
      </c>
      <c r="F2318" t="s">
        <v>19459</v>
      </c>
    </row>
    <row r="2319" spans="1:6">
      <c r="A2319">
        <v>93109</v>
      </c>
      <c r="B2319" t="s">
        <v>3357</v>
      </c>
      <c r="C2319" t="str">
        <f>VLOOKUP(A2319,'Cost Center'!A:C,3,FALSE)</f>
        <v>C515905</v>
      </c>
      <c r="D2319" t="s">
        <v>8892</v>
      </c>
      <c r="E2319" t="s">
        <v>685</v>
      </c>
      <c r="F2319" t="s">
        <v>19468</v>
      </c>
    </row>
    <row r="2320" spans="1:6">
      <c r="A2320" t="s">
        <v>3358</v>
      </c>
      <c r="B2320" t="s">
        <v>3359</v>
      </c>
      <c r="C2320" t="e">
        <f>VLOOKUP(A2320,'Cost Center'!A:C,3,FALSE)</f>
        <v>#N/A</v>
      </c>
      <c r="D2320" t="s">
        <v>3624</v>
      </c>
      <c r="E2320" t="s">
        <v>685</v>
      </c>
      <c r="F2320" t="s">
        <v>3358</v>
      </c>
    </row>
    <row r="2321" spans="1:6">
      <c r="A2321" t="s">
        <v>3360</v>
      </c>
      <c r="B2321" t="s">
        <v>3361</v>
      </c>
      <c r="C2321" t="e">
        <f>VLOOKUP(A2321,'Cost Center'!A:C,3,FALSE)</f>
        <v>#N/A</v>
      </c>
      <c r="D2321" t="s">
        <v>3624</v>
      </c>
      <c r="E2321" t="s">
        <v>685</v>
      </c>
      <c r="F2321" t="s">
        <v>3360</v>
      </c>
    </row>
    <row r="2322" spans="1:6">
      <c r="A2322" t="s">
        <v>3362</v>
      </c>
      <c r="B2322" t="s">
        <v>3363</v>
      </c>
      <c r="C2322" t="e">
        <f>VLOOKUP(A2322,'Cost Center'!A:C,3,FALSE)</f>
        <v>#N/A</v>
      </c>
      <c r="D2322" t="s">
        <v>3624</v>
      </c>
      <c r="E2322" t="s">
        <v>685</v>
      </c>
      <c r="F2322" t="s">
        <v>3362</v>
      </c>
    </row>
    <row r="2323" spans="1:6">
      <c r="A2323" t="s">
        <v>3364</v>
      </c>
      <c r="B2323" t="s">
        <v>3365</v>
      </c>
      <c r="C2323" t="e">
        <f>VLOOKUP(A2323,'Cost Center'!A:C,3,FALSE)</f>
        <v>#N/A</v>
      </c>
      <c r="D2323" t="s">
        <v>3624</v>
      </c>
      <c r="E2323" t="s">
        <v>685</v>
      </c>
      <c r="F2323" t="s">
        <v>3364</v>
      </c>
    </row>
    <row r="2324" spans="1:6">
      <c r="A2324" t="s">
        <v>3366</v>
      </c>
      <c r="B2324" t="s">
        <v>3367</v>
      </c>
      <c r="C2324" t="e">
        <f>VLOOKUP(A2324,'Cost Center'!A:C,3,FALSE)</f>
        <v>#N/A</v>
      </c>
      <c r="D2324" t="s">
        <v>3624</v>
      </c>
      <c r="E2324" t="s">
        <v>685</v>
      </c>
      <c r="F2324" t="s">
        <v>3366</v>
      </c>
    </row>
    <row r="2325" spans="1:6">
      <c r="A2325" t="s">
        <v>3368</v>
      </c>
      <c r="B2325" t="s">
        <v>3369</v>
      </c>
      <c r="C2325" t="e">
        <f>VLOOKUP(A2325,'Cost Center'!A:C,3,FALSE)</f>
        <v>#N/A</v>
      </c>
      <c r="D2325" t="s">
        <v>3624</v>
      </c>
      <c r="E2325" t="s">
        <v>685</v>
      </c>
      <c r="F2325" t="s">
        <v>3368</v>
      </c>
    </row>
    <row r="2326" spans="1:6">
      <c r="A2326" t="s">
        <v>3370</v>
      </c>
      <c r="B2326" t="s">
        <v>3371</v>
      </c>
      <c r="C2326" t="e">
        <f>VLOOKUP(A2326,'Cost Center'!A:C,3,FALSE)</f>
        <v>#N/A</v>
      </c>
      <c r="D2326" t="s">
        <v>3624</v>
      </c>
      <c r="E2326" t="s">
        <v>685</v>
      </c>
      <c r="F2326" t="s">
        <v>3370</v>
      </c>
    </row>
    <row r="2327" spans="1:6">
      <c r="A2327" t="s">
        <v>3372</v>
      </c>
      <c r="B2327" t="s">
        <v>3373</v>
      </c>
      <c r="C2327" t="str">
        <f>VLOOKUP(A2327,'Cost Center'!A:C,3,FALSE)</f>
        <v>C515601</v>
      </c>
      <c r="D2327" t="s">
        <v>8845</v>
      </c>
      <c r="E2327" t="s">
        <v>685</v>
      </c>
      <c r="F2327" t="s">
        <v>3372</v>
      </c>
    </row>
    <row r="2328" spans="1:6">
      <c r="A2328" t="s">
        <v>3374</v>
      </c>
      <c r="B2328" t="s">
        <v>3375</v>
      </c>
      <c r="C2328" t="str">
        <f>VLOOKUP(A2328,'Cost Center'!A:C,3,FALSE)</f>
        <v>C515600</v>
      </c>
      <c r="D2328" t="s">
        <v>8842</v>
      </c>
      <c r="E2328" t="s">
        <v>685</v>
      </c>
      <c r="F2328" t="s">
        <v>3374</v>
      </c>
    </row>
    <row r="2329" spans="1:6">
      <c r="A2329" t="s">
        <v>3376</v>
      </c>
      <c r="B2329" t="s">
        <v>3377</v>
      </c>
      <c r="C2329" t="str">
        <f>VLOOKUP(A2329,'Cost Center'!A:C,3,FALSE)</f>
        <v>C515606</v>
      </c>
      <c r="D2329" t="s">
        <v>8854</v>
      </c>
      <c r="E2329" t="s">
        <v>685</v>
      </c>
      <c r="F2329" t="s">
        <v>3376</v>
      </c>
    </row>
    <row r="2330" spans="1:6">
      <c r="A2330" t="s">
        <v>3378</v>
      </c>
      <c r="B2330" t="s">
        <v>3379</v>
      </c>
      <c r="C2330" t="str">
        <f>VLOOKUP(A2330,'Cost Center'!A:C,3,FALSE)</f>
        <v>C290600</v>
      </c>
      <c r="D2330" t="s">
        <v>6543</v>
      </c>
      <c r="E2330" t="s">
        <v>685</v>
      </c>
      <c r="F2330" t="s">
        <v>3378</v>
      </c>
    </row>
    <row r="2331" spans="1:6">
      <c r="A2331" t="s">
        <v>3380</v>
      </c>
      <c r="B2331" t="s">
        <v>3381</v>
      </c>
      <c r="C2331" t="str">
        <f>VLOOKUP(A2331,'Cost Center'!A:C,3,FALSE)</f>
        <v>C291001</v>
      </c>
      <c r="D2331" t="s">
        <v>11650</v>
      </c>
      <c r="E2331" t="s">
        <v>685</v>
      </c>
      <c r="F2331" t="s">
        <v>3380</v>
      </c>
    </row>
    <row r="2332" spans="1:6">
      <c r="A2332" t="s">
        <v>3382</v>
      </c>
      <c r="B2332" t="s">
        <v>3383</v>
      </c>
      <c r="C2332" t="str">
        <f>VLOOKUP(A2332,'Cost Center'!A:C,3,FALSE)</f>
        <v>C515609</v>
      </c>
      <c r="D2332" t="s">
        <v>12290</v>
      </c>
      <c r="E2332" t="s">
        <v>685</v>
      </c>
      <c r="F2332" t="s">
        <v>3382</v>
      </c>
    </row>
    <row r="2333" spans="1:6">
      <c r="A2333">
        <v>10045</v>
      </c>
      <c r="B2333" t="s">
        <v>727</v>
      </c>
      <c r="C2333" t="str">
        <f>VLOOKUP(A2333,'Cost Center'!A:C,3,FALSE)</f>
        <v>C510000</v>
      </c>
      <c r="D2333" t="s">
        <v>5012</v>
      </c>
      <c r="E2333" t="s">
        <v>685</v>
      </c>
      <c r="F2333" t="s">
        <v>18476</v>
      </c>
    </row>
    <row r="2334" spans="1:6">
      <c r="A2334">
        <v>10233</v>
      </c>
      <c r="B2334" t="s">
        <v>3384</v>
      </c>
      <c r="C2334" t="e">
        <f>VLOOKUP(A2334,'Cost Center'!A:C,3,FALSE)</f>
        <v>#N/A</v>
      </c>
      <c r="D2334" t="s">
        <v>3624</v>
      </c>
      <c r="E2334" t="s">
        <v>685</v>
      </c>
      <c r="F2334" t="s">
        <v>20119</v>
      </c>
    </row>
    <row r="2335" spans="1:6">
      <c r="A2335">
        <v>19063</v>
      </c>
      <c r="B2335" t="s">
        <v>3385</v>
      </c>
      <c r="C2335" t="e">
        <f>VLOOKUP(A2335,'Cost Center'!A:C,3,FALSE)</f>
        <v>#N/A</v>
      </c>
      <c r="D2335" t="s">
        <v>3624</v>
      </c>
      <c r="E2335" t="s">
        <v>685</v>
      </c>
      <c r="F2335" t="s">
        <v>20120</v>
      </c>
    </row>
    <row r="2336" spans="1:6">
      <c r="A2336">
        <v>53951</v>
      </c>
      <c r="B2336" t="s">
        <v>3386</v>
      </c>
      <c r="C2336" t="str">
        <f>VLOOKUP(A2336,'Cost Center'!A:C,3,FALSE)</f>
        <v>C390090</v>
      </c>
      <c r="D2336" t="s">
        <v>6267</v>
      </c>
      <c r="E2336" t="s">
        <v>685</v>
      </c>
      <c r="F2336" t="s">
        <v>18869</v>
      </c>
    </row>
    <row r="2337" spans="1:6">
      <c r="A2337">
        <v>93310</v>
      </c>
      <c r="B2337" t="s">
        <v>1008</v>
      </c>
      <c r="C2337" t="str">
        <f>VLOOKUP(A2337,'Cost Center'!A:C,3,FALSE)</f>
        <v>C515010</v>
      </c>
      <c r="D2337" t="s">
        <v>8631</v>
      </c>
      <c r="E2337" t="s">
        <v>685</v>
      </c>
      <c r="F2337" t="s">
        <v>19445</v>
      </c>
    </row>
    <row r="2338" spans="1:6">
      <c r="A2338">
        <v>93311</v>
      </c>
      <c r="B2338" t="s">
        <v>3387</v>
      </c>
      <c r="C2338" t="str">
        <f>VLOOKUP(A2338,'Cost Center'!A:C,3,FALSE)</f>
        <v>C090016</v>
      </c>
      <c r="D2338" t="s">
        <v>4543</v>
      </c>
      <c r="E2338" t="s">
        <v>685</v>
      </c>
      <c r="F2338" t="s">
        <v>18459</v>
      </c>
    </row>
    <row r="2339" spans="1:6">
      <c r="A2339">
        <v>93312</v>
      </c>
      <c r="B2339" t="s">
        <v>3388</v>
      </c>
      <c r="C2339" t="str">
        <f>VLOOKUP(A2339,'Cost Center'!A:C,3,FALSE)</f>
        <v>C390091</v>
      </c>
      <c r="D2339" t="s">
        <v>7608</v>
      </c>
      <c r="E2339" t="s">
        <v>685</v>
      </c>
      <c r="F2339" t="s">
        <v>19276</v>
      </c>
    </row>
    <row r="2340" spans="1:6">
      <c r="A2340" t="s">
        <v>3389</v>
      </c>
      <c r="B2340" t="s">
        <v>3390</v>
      </c>
      <c r="C2340" t="str">
        <f>VLOOKUP(A2340,'Cost Center'!A:C,3,FALSE)</f>
        <v>C291000</v>
      </c>
      <c r="D2340" t="s">
        <v>6572</v>
      </c>
      <c r="E2340" t="s">
        <v>685</v>
      </c>
      <c r="F2340" t="s">
        <v>3389</v>
      </c>
    </row>
    <row r="2341" spans="1:6">
      <c r="A2341">
        <v>11107</v>
      </c>
      <c r="B2341" t="s">
        <v>3391</v>
      </c>
      <c r="C2341" t="str">
        <f>VLOOKUP(A2341,'Cost Center'!A:C,3,FALSE)</f>
        <v>C590017</v>
      </c>
      <c r="D2341" t="s">
        <v>9143</v>
      </c>
      <c r="E2341" t="s">
        <v>685</v>
      </c>
      <c r="F2341" t="s">
        <v>19472</v>
      </c>
    </row>
    <row r="2342" spans="1:6">
      <c r="A2342">
        <v>11108</v>
      </c>
      <c r="B2342" t="s">
        <v>760</v>
      </c>
      <c r="C2342" t="str">
        <f>VLOOKUP(A2342,'Cost Center'!A:C,3,FALSE)</f>
        <v>C590018</v>
      </c>
      <c r="D2342" t="s">
        <v>9146</v>
      </c>
      <c r="E2342" t="s">
        <v>685</v>
      </c>
      <c r="F2342" t="s">
        <v>19473</v>
      </c>
    </row>
    <row r="2343" spans="1:6">
      <c r="A2343">
        <v>11110</v>
      </c>
      <c r="B2343" t="s">
        <v>761</v>
      </c>
      <c r="C2343" t="str">
        <f>VLOOKUP(A2343,'Cost Center'!A:C,3,FALSE)</f>
        <v>C590019</v>
      </c>
      <c r="D2343" t="s">
        <v>9149</v>
      </c>
      <c r="E2343" t="s">
        <v>685</v>
      </c>
      <c r="F2343" t="s">
        <v>19474</v>
      </c>
    </row>
    <row r="2344" spans="1:6">
      <c r="A2344">
        <v>11111</v>
      </c>
      <c r="B2344" t="s">
        <v>762</v>
      </c>
      <c r="C2344" t="str">
        <f>VLOOKUP(A2344,'Cost Center'!A:C,3,FALSE)</f>
        <v>C590020</v>
      </c>
      <c r="D2344" t="s">
        <v>9152</v>
      </c>
      <c r="E2344" t="s">
        <v>685</v>
      </c>
      <c r="F2344" t="s">
        <v>19475</v>
      </c>
    </row>
    <row r="2345" spans="1:6">
      <c r="A2345">
        <v>11114</v>
      </c>
      <c r="B2345" t="s">
        <v>763</v>
      </c>
      <c r="C2345" t="str">
        <f>VLOOKUP(A2345,'Cost Center'!A:C,3,FALSE)</f>
        <v>C590021</v>
      </c>
      <c r="D2345" t="s">
        <v>9155</v>
      </c>
      <c r="E2345" t="s">
        <v>685</v>
      </c>
      <c r="F2345" t="s">
        <v>19476</v>
      </c>
    </row>
    <row r="2346" spans="1:6">
      <c r="A2346">
        <v>11115</v>
      </c>
      <c r="B2346" t="s">
        <v>764</v>
      </c>
      <c r="C2346" t="str">
        <f>VLOOKUP(A2346,'Cost Center'!A:C,3,FALSE)</f>
        <v>C590022</v>
      </c>
      <c r="D2346" t="s">
        <v>5169</v>
      </c>
      <c r="E2346" t="s">
        <v>685</v>
      </c>
      <c r="F2346" t="s">
        <v>18511</v>
      </c>
    </row>
    <row r="2347" spans="1:6">
      <c r="A2347">
        <v>19061</v>
      </c>
      <c r="B2347" t="s">
        <v>3392</v>
      </c>
      <c r="C2347" t="str">
        <f>VLOOKUP(A2347,'Cost Center'!A:C,3,FALSE)</f>
        <v>C590023</v>
      </c>
      <c r="D2347" t="s">
        <v>9158</v>
      </c>
      <c r="E2347" t="s">
        <v>685</v>
      </c>
      <c r="F2347" t="s">
        <v>19477</v>
      </c>
    </row>
    <row r="2348" spans="1:6">
      <c r="A2348">
        <v>19064</v>
      </c>
      <c r="B2348" t="s">
        <v>779</v>
      </c>
      <c r="C2348" t="str">
        <f>VLOOKUP(A2348,'Cost Center'!A:C,3,FALSE)</f>
        <v>C590000</v>
      </c>
      <c r="D2348" t="s">
        <v>9098</v>
      </c>
      <c r="E2348" t="s">
        <v>685</v>
      </c>
      <c r="F2348" t="s">
        <v>19471</v>
      </c>
    </row>
    <row r="2349" spans="1:6">
      <c r="A2349">
        <v>19065</v>
      </c>
      <c r="B2349" t="s">
        <v>3393</v>
      </c>
      <c r="C2349" t="str">
        <f>VLOOKUP(A2349,'Cost Center'!A:C,3,FALSE)</f>
        <v>C590001</v>
      </c>
      <c r="D2349" t="s">
        <v>5215</v>
      </c>
      <c r="E2349" t="s">
        <v>685</v>
      </c>
      <c r="F2349" t="s">
        <v>18526</v>
      </c>
    </row>
    <row r="2350" spans="1:6">
      <c r="A2350">
        <v>20610</v>
      </c>
      <c r="B2350" t="s">
        <v>782</v>
      </c>
      <c r="C2350" t="str">
        <f>VLOOKUP(A2350,'Cost Center'!A:C,3,FALSE)</f>
        <v>C590024</v>
      </c>
      <c r="D2350" t="s">
        <v>9161</v>
      </c>
      <c r="E2350" t="s">
        <v>685</v>
      </c>
      <c r="F2350" t="s">
        <v>19478</v>
      </c>
    </row>
    <row r="2351" spans="1:6">
      <c r="A2351">
        <v>3002</v>
      </c>
      <c r="B2351" t="s">
        <v>705</v>
      </c>
      <c r="C2351" t="str">
        <f>VLOOKUP(A2351,'Cost Center'!A:C,3,FALSE)</f>
        <v>C590025</v>
      </c>
      <c r="D2351" t="s">
        <v>9164</v>
      </c>
      <c r="E2351" t="s">
        <v>685</v>
      </c>
      <c r="F2351" t="s">
        <v>19479</v>
      </c>
    </row>
    <row r="2352" spans="1:6">
      <c r="A2352">
        <v>38520</v>
      </c>
      <c r="B2352" t="s">
        <v>3394</v>
      </c>
      <c r="C2352" t="e">
        <f>VLOOKUP(A2352,'Cost Center'!A:C,3,FALSE)</f>
        <v>#N/A</v>
      </c>
      <c r="D2352" t="s">
        <v>3624</v>
      </c>
      <c r="E2352" t="s">
        <v>685</v>
      </c>
      <c r="F2352" t="s">
        <v>20121</v>
      </c>
    </row>
    <row r="2353" spans="1:6">
      <c r="A2353">
        <v>50641</v>
      </c>
      <c r="B2353" t="s">
        <v>877</v>
      </c>
      <c r="C2353" t="str">
        <f>VLOOKUP(A2353,'Cost Center'!A:C,3,FALSE)</f>
        <v>C590026</v>
      </c>
      <c r="D2353" t="s">
        <v>5951</v>
      </c>
      <c r="E2353" t="s">
        <v>685</v>
      </c>
      <c r="F2353" t="s">
        <v>18753</v>
      </c>
    </row>
    <row r="2354" spans="1:6">
      <c r="A2354">
        <v>53904</v>
      </c>
      <c r="B2354" t="s">
        <v>902</v>
      </c>
      <c r="C2354" t="str">
        <f>VLOOKUP(A2354,'Cost Center'!A:C,3,FALSE)</f>
        <v>C590027</v>
      </c>
      <c r="D2354" t="s">
        <v>6223</v>
      </c>
      <c r="E2354" t="s">
        <v>685</v>
      </c>
      <c r="F2354" t="s">
        <v>18853</v>
      </c>
    </row>
    <row r="2355" spans="1:6">
      <c r="A2355">
        <v>53950</v>
      </c>
      <c r="B2355" t="s">
        <v>904</v>
      </c>
      <c r="C2355" t="str">
        <f>VLOOKUP(A2355,'Cost Center'!A:C,3,FALSE)</f>
        <v>C590028</v>
      </c>
      <c r="D2355" t="s">
        <v>6253</v>
      </c>
      <c r="E2355" t="s">
        <v>685</v>
      </c>
      <c r="F2355" t="s">
        <v>18864</v>
      </c>
    </row>
    <row r="2356" spans="1:6">
      <c r="A2356">
        <v>93320</v>
      </c>
      <c r="B2356" t="s">
        <v>1009</v>
      </c>
      <c r="C2356" t="str">
        <f>VLOOKUP(A2356,'Cost Center'!A:C,3,FALSE)</f>
        <v>C590029</v>
      </c>
      <c r="D2356" t="s">
        <v>9179</v>
      </c>
      <c r="E2356" t="s">
        <v>685</v>
      </c>
      <c r="F2356" t="s">
        <v>19480</v>
      </c>
    </row>
    <row r="2357" spans="1:6">
      <c r="A2357" t="s">
        <v>1941</v>
      </c>
      <c r="B2357" t="s">
        <v>3395</v>
      </c>
      <c r="C2357" t="str">
        <f>VLOOKUP(A2357,'Cost Center'!A:C,3,FALSE)</f>
        <v>C590002</v>
      </c>
      <c r="D2357" t="s">
        <v>9105</v>
      </c>
      <c r="E2357" t="s">
        <v>685</v>
      </c>
      <c r="F2357" t="s">
        <v>1941</v>
      </c>
    </row>
    <row r="2358" spans="1:6">
      <c r="A2358" t="s">
        <v>1939</v>
      </c>
      <c r="B2358" t="s">
        <v>3396</v>
      </c>
      <c r="C2358" t="str">
        <f>VLOOKUP(A2358,'Cost Center'!A:C,3,FALSE)</f>
        <v>C590003</v>
      </c>
      <c r="D2358" t="s">
        <v>9108</v>
      </c>
      <c r="E2358" t="s">
        <v>685</v>
      </c>
      <c r="F2358" t="s">
        <v>1939</v>
      </c>
    </row>
    <row r="2359" spans="1:6">
      <c r="A2359" t="s">
        <v>1946</v>
      </c>
      <c r="B2359" t="s">
        <v>3397</v>
      </c>
      <c r="C2359" t="str">
        <f>VLOOKUP(A2359,'Cost Center'!A:C,3,FALSE)</f>
        <v>C590004</v>
      </c>
      <c r="D2359" t="s">
        <v>9111</v>
      </c>
      <c r="E2359" t="s">
        <v>685</v>
      </c>
      <c r="F2359" t="s">
        <v>1946</v>
      </c>
    </row>
    <row r="2360" spans="1:6">
      <c r="A2360" t="s">
        <v>1947</v>
      </c>
      <c r="B2360" t="s">
        <v>3398</v>
      </c>
      <c r="C2360" t="str">
        <f>VLOOKUP(A2360,'Cost Center'!A:C,3,FALSE)</f>
        <v>C590005</v>
      </c>
      <c r="D2360" t="s">
        <v>9114</v>
      </c>
      <c r="E2360" t="s">
        <v>685</v>
      </c>
      <c r="F2360" t="s">
        <v>1947</v>
      </c>
    </row>
    <row r="2361" spans="1:6">
      <c r="A2361" t="s">
        <v>3399</v>
      </c>
      <c r="B2361" t="s">
        <v>3400</v>
      </c>
      <c r="C2361" t="str">
        <f>VLOOKUP(A2361,'Cost Center'!A:C,3,FALSE)</f>
        <v>C590030</v>
      </c>
      <c r="D2361" t="s">
        <v>9182</v>
      </c>
      <c r="E2361" t="s">
        <v>685</v>
      </c>
      <c r="F2361" t="s">
        <v>3399</v>
      </c>
    </row>
    <row r="2362" spans="1:6">
      <c r="A2362" t="s">
        <v>1937</v>
      </c>
      <c r="B2362" t="s">
        <v>3401</v>
      </c>
      <c r="C2362" t="str">
        <f>VLOOKUP(A2362,'Cost Center'!A:C,3,FALSE)</f>
        <v>C590006</v>
      </c>
      <c r="D2362" t="s">
        <v>9117</v>
      </c>
      <c r="E2362" t="s">
        <v>685</v>
      </c>
      <c r="F2362" t="s">
        <v>1937</v>
      </c>
    </row>
    <row r="2363" spans="1:6">
      <c r="A2363" t="s">
        <v>1935</v>
      </c>
      <c r="B2363" t="s">
        <v>3402</v>
      </c>
      <c r="C2363" t="str">
        <f>VLOOKUP(A2363,'Cost Center'!A:C,3,FALSE)</f>
        <v>C590007</v>
      </c>
      <c r="D2363" t="s">
        <v>9119</v>
      </c>
      <c r="E2363" t="s">
        <v>685</v>
      </c>
      <c r="F2363" t="s">
        <v>1935</v>
      </c>
    </row>
    <row r="2364" spans="1:6">
      <c r="A2364" t="s">
        <v>1943</v>
      </c>
      <c r="B2364" t="s">
        <v>3403</v>
      </c>
      <c r="C2364" t="str">
        <f>VLOOKUP(A2364,'Cost Center'!A:C,3,FALSE)</f>
        <v>C590008</v>
      </c>
      <c r="D2364" t="s">
        <v>9122</v>
      </c>
      <c r="E2364" t="s">
        <v>685</v>
      </c>
      <c r="F2364" t="s">
        <v>1943</v>
      </c>
    </row>
    <row r="2365" spans="1:6">
      <c r="A2365" t="s">
        <v>1942</v>
      </c>
      <c r="B2365" t="s">
        <v>3404</v>
      </c>
      <c r="C2365" t="str">
        <f>VLOOKUP(A2365,'Cost Center'!A:C,3,FALSE)</f>
        <v>C590009</v>
      </c>
      <c r="D2365" t="s">
        <v>9124</v>
      </c>
      <c r="E2365" t="s">
        <v>685</v>
      </c>
      <c r="F2365" t="s">
        <v>1942</v>
      </c>
    </row>
    <row r="2366" spans="1:6">
      <c r="A2366" t="s">
        <v>1933</v>
      </c>
      <c r="B2366" t="s">
        <v>3405</v>
      </c>
      <c r="C2366" t="str">
        <f>VLOOKUP(A2366,'Cost Center'!A:C,3,FALSE)</f>
        <v>C590010</v>
      </c>
      <c r="D2366" t="s">
        <v>9126</v>
      </c>
      <c r="E2366" t="s">
        <v>685</v>
      </c>
      <c r="F2366" t="s">
        <v>1933</v>
      </c>
    </row>
    <row r="2367" spans="1:6">
      <c r="A2367" t="s">
        <v>1944</v>
      </c>
      <c r="B2367" t="s">
        <v>3406</v>
      </c>
      <c r="C2367" t="str">
        <f>VLOOKUP(A2367,'Cost Center'!A:C,3,FALSE)</f>
        <v>C590011</v>
      </c>
      <c r="D2367" t="s">
        <v>11617</v>
      </c>
      <c r="E2367" t="s">
        <v>685</v>
      </c>
      <c r="F2367" t="s">
        <v>1944</v>
      </c>
    </row>
    <row r="2368" spans="1:6">
      <c r="A2368" t="s">
        <v>1936</v>
      </c>
      <c r="B2368" t="s">
        <v>3407</v>
      </c>
      <c r="C2368" t="str">
        <f>VLOOKUP(A2368,'Cost Center'!A:C,3,FALSE)</f>
        <v>C590012</v>
      </c>
      <c r="D2368" t="s">
        <v>9133</v>
      </c>
      <c r="E2368" t="s">
        <v>685</v>
      </c>
      <c r="F2368" t="s">
        <v>1936</v>
      </c>
    </row>
    <row r="2369" spans="1:6">
      <c r="A2369" t="s">
        <v>1940</v>
      </c>
      <c r="B2369" t="s">
        <v>3408</v>
      </c>
      <c r="C2369" t="str">
        <f>VLOOKUP(A2369,'Cost Center'!A:C,3,FALSE)</f>
        <v>C590013</v>
      </c>
      <c r="D2369" t="s">
        <v>9135</v>
      </c>
      <c r="E2369" t="s">
        <v>685</v>
      </c>
      <c r="F2369" t="s">
        <v>1940</v>
      </c>
    </row>
    <row r="2370" spans="1:6">
      <c r="A2370" t="s">
        <v>1934</v>
      </c>
      <c r="B2370" t="s">
        <v>3409</v>
      </c>
      <c r="C2370" t="str">
        <f>VLOOKUP(A2370,'Cost Center'!A:C,3,FALSE)</f>
        <v>C590014</v>
      </c>
      <c r="D2370" t="s">
        <v>9137</v>
      </c>
      <c r="E2370" t="s">
        <v>685</v>
      </c>
      <c r="F2370" t="s">
        <v>1934</v>
      </c>
    </row>
    <row r="2371" spans="1:6">
      <c r="A2371" t="s">
        <v>1945</v>
      </c>
      <c r="B2371" t="s">
        <v>3410</v>
      </c>
      <c r="C2371" t="str">
        <f>VLOOKUP(A2371,'Cost Center'!A:C,3,FALSE)</f>
        <v>C590015</v>
      </c>
      <c r="D2371" t="s">
        <v>9139</v>
      </c>
      <c r="E2371" t="s">
        <v>685</v>
      </c>
      <c r="F2371" t="s">
        <v>1945</v>
      </c>
    </row>
    <row r="2372" spans="1:6">
      <c r="A2372" t="s">
        <v>1938</v>
      </c>
      <c r="B2372" t="s">
        <v>3411</v>
      </c>
      <c r="C2372" t="str">
        <f>VLOOKUP(A2372,'Cost Center'!A:C,3,FALSE)</f>
        <v>C590016</v>
      </c>
      <c r="D2372" t="s">
        <v>9141</v>
      </c>
      <c r="E2372" t="s">
        <v>685</v>
      </c>
      <c r="F2372" t="s">
        <v>1938</v>
      </c>
    </row>
    <row r="2373" spans="1:6">
      <c r="A2373">
        <v>10105</v>
      </c>
      <c r="B2373" t="s">
        <v>3412</v>
      </c>
      <c r="C2373" t="e">
        <f>VLOOKUP(A2373,'Cost Center'!A:C,3,FALSE)</f>
        <v>#N/A</v>
      </c>
      <c r="D2373" t="s">
        <v>3624</v>
      </c>
      <c r="E2373" t="s">
        <v>685</v>
      </c>
      <c r="F2373" t="s">
        <v>20122</v>
      </c>
    </row>
    <row r="2374" spans="1:6">
      <c r="A2374">
        <v>10148</v>
      </c>
      <c r="B2374" t="s">
        <v>3413</v>
      </c>
      <c r="C2374" t="str">
        <f>VLOOKUP(A2374,'Cost Center'!A:C,3,FALSE)</f>
        <v>C390010</v>
      </c>
      <c r="D2374" t="s">
        <v>7474</v>
      </c>
      <c r="E2374" t="s">
        <v>685</v>
      </c>
      <c r="F2374" t="s">
        <v>19230</v>
      </c>
    </row>
    <row r="2375" spans="1:6">
      <c r="A2375" t="s">
        <v>3414</v>
      </c>
      <c r="B2375" t="s">
        <v>3415</v>
      </c>
      <c r="C2375" t="str">
        <f>VLOOKUP(A2375,'Cost Center'!A:C,3,FALSE)</f>
        <v>C610165</v>
      </c>
      <c r="D2375" t="s">
        <v>9847</v>
      </c>
      <c r="E2375" t="s">
        <v>685</v>
      </c>
      <c r="F2375" t="s">
        <v>3414</v>
      </c>
    </row>
    <row r="2376" spans="1:6">
      <c r="A2376">
        <v>10178</v>
      </c>
      <c r="B2376" t="s">
        <v>3416</v>
      </c>
      <c r="C2376" t="str">
        <f>VLOOKUP(A2376,'Cost Center'!A:C,3,FALSE)</f>
        <v>C390000</v>
      </c>
      <c r="D2376" t="s">
        <v>7468</v>
      </c>
      <c r="E2376" t="s">
        <v>685</v>
      </c>
      <c r="F2376" t="s">
        <v>19228</v>
      </c>
    </row>
    <row r="2377" spans="1:6">
      <c r="A2377">
        <v>10209</v>
      </c>
      <c r="B2377" t="s">
        <v>3417</v>
      </c>
      <c r="C2377" t="e">
        <f>VLOOKUP(A2377,'Cost Center'!A:C,3,FALSE)</f>
        <v>#N/A</v>
      </c>
      <c r="D2377" t="s">
        <v>3624</v>
      </c>
      <c r="E2377" t="s">
        <v>685</v>
      </c>
      <c r="F2377" t="s">
        <v>20123</v>
      </c>
    </row>
    <row r="2378" spans="1:6">
      <c r="A2378">
        <v>10226</v>
      </c>
      <c r="B2378" t="s">
        <v>3418</v>
      </c>
      <c r="C2378" t="e">
        <f>VLOOKUP(A2378,'Cost Center'!A:C,3,FALSE)</f>
        <v>#N/A</v>
      </c>
      <c r="D2378" t="s">
        <v>3624</v>
      </c>
      <c r="E2378" t="s">
        <v>685</v>
      </c>
      <c r="F2378" t="s">
        <v>20124</v>
      </c>
    </row>
    <row r="2379" spans="1:6">
      <c r="A2379">
        <v>10235</v>
      </c>
      <c r="B2379" t="s">
        <v>3419</v>
      </c>
      <c r="C2379" t="e">
        <f>VLOOKUP(A2379,'Cost Center'!A:C,3,FALSE)</f>
        <v>#N/A</v>
      </c>
      <c r="D2379" t="s">
        <v>3624</v>
      </c>
      <c r="E2379" t="s">
        <v>685</v>
      </c>
      <c r="F2379" t="s">
        <v>20125</v>
      </c>
    </row>
    <row r="2380" spans="1:6">
      <c r="A2380">
        <v>10821</v>
      </c>
      <c r="B2380" t="s">
        <v>3420</v>
      </c>
      <c r="C2380" t="str">
        <f>VLOOKUP(A2380,'Cost Center'!A:C,3,FALSE)</f>
        <v>C390011</v>
      </c>
      <c r="D2380" t="s">
        <v>7477</v>
      </c>
      <c r="E2380" t="s">
        <v>685</v>
      </c>
      <c r="F2380" t="s">
        <v>19231</v>
      </c>
    </row>
    <row r="2381" spans="1:6">
      <c r="A2381">
        <v>11900</v>
      </c>
      <c r="B2381" t="s">
        <v>3421</v>
      </c>
      <c r="C2381" t="str">
        <f>VLOOKUP(A2381,'Cost Center'!A:C,3,FALSE)</f>
        <v>C390013</v>
      </c>
      <c r="D2381" t="s">
        <v>7480</v>
      </c>
      <c r="E2381" t="s">
        <v>685</v>
      </c>
      <c r="F2381" t="s">
        <v>19232</v>
      </c>
    </row>
    <row r="2382" spans="1:6">
      <c r="A2382" t="s">
        <v>3422</v>
      </c>
      <c r="B2382" t="s">
        <v>3423</v>
      </c>
      <c r="C2382" t="e">
        <f>VLOOKUP(A2382,'Cost Center'!A:C,3,FALSE)</f>
        <v>#N/A</v>
      </c>
      <c r="D2382" t="s">
        <v>3624</v>
      </c>
      <c r="E2382" t="s">
        <v>685</v>
      </c>
      <c r="F2382" t="s">
        <v>3422</v>
      </c>
    </row>
    <row r="2383" spans="1:6">
      <c r="A2383">
        <v>11980</v>
      </c>
      <c r="B2383" t="s">
        <v>3424</v>
      </c>
      <c r="C2383" t="str">
        <f>VLOOKUP(A2383,'Cost Center'!A:C,3,FALSE)</f>
        <v>C390014</v>
      </c>
      <c r="D2383" t="s">
        <v>7483</v>
      </c>
      <c r="E2383" t="s">
        <v>685</v>
      </c>
      <c r="F2383" t="s">
        <v>19233</v>
      </c>
    </row>
    <row r="2384" spans="1:6">
      <c r="A2384">
        <v>11982</v>
      </c>
      <c r="B2384" t="s">
        <v>3425</v>
      </c>
      <c r="C2384" t="e">
        <f>VLOOKUP(A2384,'Cost Center'!A:C,3,FALSE)</f>
        <v>#N/A</v>
      </c>
      <c r="D2384" t="s">
        <v>3624</v>
      </c>
      <c r="E2384" t="s">
        <v>685</v>
      </c>
      <c r="F2384" t="s">
        <v>20126</v>
      </c>
    </row>
    <row r="2385" spans="1:6">
      <c r="A2385">
        <v>12010</v>
      </c>
      <c r="B2385" t="s">
        <v>3426</v>
      </c>
      <c r="C2385" t="str">
        <f>VLOOKUP(A2385,'Cost Center'!A:C,3,FALSE)</f>
        <v>C610205</v>
      </c>
      <c r="D2385" t="s">
        <v>9984</v>
      </c>
      <c r="E2385" t="s">
        <v>685</v>
      </c>
      <c r="F2385" t="s">
        <v>19490</v>
      </c>
    </row>
    <row r="2386" spans="1:6">
      <c r="A2386">
        <v>93006</v>
      </c>
      <c r="B2386" t="s">
        <v>3427</v>
      </c>
      <c r="C2386" t="e">
        <f>VLOOKUP(A2386,'Cost Center'!A:C,3,FALSE)</f>
        <v>#N/A</v>
      </c>
      <c r="D2386" t="s">
        <v>3624</v>
      </c>
      <c r="E2386" t="s">
        <v>685</v>
      </c>
      <c r="F2386" t="s">
        <v>20127</v>
      </c>
    </row>
    <row r="2387" spans="1:6">
      <c r="A2387">
        <v>93007</v>
      </c>
      <c r="B2387" t="s">
        <v>3428</v>
      </c>
      <c r="C2387" t="str">
        <f>VLOOKUP(A2387,'Cost Center'!A:C,3,FALSE)</f>
        <v>C700023</v>
      </c>
      <c r="D2387" t="s">
        <v>10640</v>
      </c>
      <c r="E2387" t="s">
        <v>685</v>
      </c>
      <c r="F2387" t="s">
        <v>19555</v>
      </c>
    </row>
    <row r="2388" spans="1:6">
      <c r="A2388">
        <v>93019</v>
      </c>
      <c r="B2388" t="s">
        <v>988</v>
      </c>
      <c r="C2388" t="str">
        <f>VLOOKUP(A2388,'Cost Center'!A:C,3,FALSE)</f>
        <v>C390051</v>
      </c>
      <c r="D2388" t="s">
        <v>7592</v>
      </c>
      <c r="E2388" t="s">
        <v>685</v>
      </c>
      <c r="F2388" t="s">
        <v>19270</v>
      </c>
    </row>
    <row r="2389" spans="1:6">
      <c r="A2389" t="s">
        <v>3429</v>
      </c>
      <c r="B2389" t="s">
        <v>3430</v>
      </c>
      <c r="C2389" t="e">
        <f>VLOOKUP(A2389,'Cost Center'!A:C,3,FALSE)</f>
        <v>#N/A</v>
      </c>
      <c r="D2389" t="s">
        <v>3624</v>
      </c>
      <c r="E2389" t="s">
        <v>685</v>
      </c>
      <c r="F2389" t="s">
        <v>3429</v>
      </c>
    </row>
    <row r="2390" spans="1:6">
      <c r="A2390">
        <v>93020</v>
      </c>
      <c r="B2390" t="s">
        <v>3431</v>
      </c>
      <c r="C2390" t="str">
        <f>VLOOKUP(A2390,'Cost Center'!A:C,3,FALSE)</f>
        <v>C390052</v>
      </c>
      <c r="D2390" t="s">
        <v>7595</v>
      </c>
      <c r="E2390" t="s">
        <v>685</v>
      </c>
      <c r="F2390" t="s">
        <v>19271</v>
      </c>
    </row>
    <row r="2391" spans="1:6">
      <c r="A2391">
        <v>93021</v>
      </c>
      <c r="B2391" t="s">
        <v>3432</v>
      </c>
      <c r="C2391" t="str">
        <f>VLOOKUP(A2391,'Cost Center'!A:C,3,FALSE)</f>
        <v>C390053</v>
      </c>
      <c r="D2391" t="s">
        <v>7598</v>
      </c>
      <c r="E2391" t="s">
        <v>685</v>
      </c>
      <c r="F2391" t="s">
        <v>19272</v>
      </c>
    </row>
    <row r="2392" spans="1:6">
      <c r="A2392">
        <v>93800</v>
      </c>
      <c r="B2392" t="s">
        <v>3433</v>
      </c>
      <c r="C2392" t="e">
        <f>VLOOKUP(A2392,'Cost Center'!A:C,3,FALSE)</f>
        <v>#N/A</v>
      </c>
      <c r="D2392" t="s">
        <v>3624</v>
      </c>
      <c r="E2392" t="s">
        <v>685</v>
      </c>
      <c r="F2392" t="s">
        <v>20128</v>
      </c>
    </row>
    <row r="2393" spans="1:6">
      <c r="A2393" t="s">
        <v>3434</v>
      </c>
      <c r="B2393" t="s">
        <v>3435</v>
      </c>
      <c r="C2393" t="e">
        <f>VLOOKUP(A2393,'Cost Center'!A:C,3,FALSE)</f>
        <v>#N/A</v>
      </c>
      <c r="D2393" t="s">
        <v>3624</v>
      </c>
      <c r="E2393" t="s">
        <v>685</v>
      </c>
      <c r="F2393" t="s">
        <v>3434</v>
      </c>
    </row>
    <row r="2394" spans="1:6">
      <c r="A2394" t="s">
        <v>3436</v>
      </c>
      <c r="B2394" t="s">
        <v>3437</v>
      </c>
      <c r="C2394" t="str">
        <f>VLOOKUP(A2394,'Cost Center'!A:C,3,FALSE)</f>
        <v>C290799</v>
      </c>
      <c r="D2394" t="s">
        <v>11642</v>
      </c>
      <c r="E2394" t="s">
        <v>685</v>
      </c>
      <c r="F2394" t="s">
        <v>3436</v>
      </c>
    </row>
    <row r="2395" spans="1:6">
      <c r="A2395">
        <v>10200</v>
      </c>
      <c r="B2395" t="s">
        <v>3438</v>
      </c>
      <c r="C2395" t="str">
        <f>VLOOKUP(A2395,'Cost Center'!A:C,3,FALSE)</f>
        <v>C010160</v>
      </c>
      <c r="D2395" t="s">
        <v>3656</v>
      </c>
      <c r="E2395" t="s">
        <v>685</v>
      </c>
      <c r="F2395" t="s">
        <v>18265</v>
      </c>
    </row>
    <row r="2396" spans="1:6">
      <c r="A2396">
        <v>10202</v>
      </c>
      <c r="B2396" t="s">
        <v>735</v>
      </c>
      <c r="C2396" t="str">
        <f>VLOOKUP(A2396,'Cost Center'!A:C,3,FALSE)</f>
        <v>C010160</v>
      </c>
      <c r="D2396" t="s">
        <v>3656</v>
      </c>
      <c r="E2396" t="s">
        <v>685</v>
      </c>
      <c r="F2396" t="s">
        <v>18266</v>
      </c>
    </row>
    <row r="2397" spans="1:6">
      <c r="A2397">
        <v>10204</v>
      </c>
      <c r="B2397" t="s">
        <v>3439</v>
      </c>
      <c r="C2397" t="e">
        <f>VLOOKUP(A2397,'Cost Center'!A:C,3,FALSE)</f>
        <v>#N/A</v>
      </c>
      <c r="D2397" t="s">
        <v>3624</v>
      </c>
      <c r="E2397" t="s">
        <v>685</v>
      </c>
      <c r="F2397" t="s">
        <v>20129</v>
      </c>
    </row>
    <row r="2398" spans="1:6">
      <c r="A2398">
        <v>10223</v>
      </c>
      <c r="B2398" t="s">
        <v>736</v>
      </c>
      <c r="C2398" t="str">
        <f>VLOOKUP(A2398,'Cost Center'!A:C,3,FALSE)</f>
        <v>C010166</v>
      </c>
      <c r="D2398" t="s">
        <v>3689</v>
      </c>
      <c r="E2398" t="s">
        <v>685</v>
      </c>
      <c r="F2398" t="s">
        <v>18276</v>
      </c>
    </row>
    <row r="2399" spans="1:6">
      <c r="A2399">
        <v>10225</v>
      </c>
      <c r="B2399" t="s">
        <v>737</v>
      </c>
      <c r="C2399" t="str">
        <f>VLOOKUP(A2399,'Cost Center'!A:C,3,FALSE)</f>
        <v>C010450</v>
      </c>
      <c r="D2399" t="s">
        <v>5033</v>
      </c>
      <c r="E2399" t="s">
        <v>685</v>
      </c>
      <c r="F2399" t="s">
        <v>18483</v>
      </c>
    </row>
    <row r="2400" spans="1:6">
      <c r="A2400">
        <v>10228</v>
      </c>
      <c r="B2400" t="s">
        <v>738</v>
      </c>
      <c r="C2400" t="str">
        <f>VLOOKUP(A2400,'Cost Center'!A:C,3,FALSE)</f>
        <v>C010162</v>
      </c>
      <c r="D2400" t="s">
        <v>3664</v>
      </c>
      <c r="E2400" t="s">
        <v>685</v>
      </c>
      <c r="F2400" t="s">
        <v>18269</v>
      </c>
    </row>
    <row r="2401" spans="1:6">
      <c r="A2401">
        <v>10259</v>
      </c>
      <c r="B2401" t="s">
        <v>3440</v>
      </c>
      <c r="C2401" t="str">
        <f>VLOOKUP(A2401,'Cost Center'!A:C,3,FALSE)</f>
        <v>C010155</v>
      </c>
      <c r="D2401" t="s">
        <v>5076</v>
      </c>
      <c r="E2401" t="s">
        <v>685</v>
      </c>
      <c r="F2401" t="s">
        <v>18490</v>
      </c>
    </row>
    <row r="2402" spans="1:6">
      <c r="A2402">
        <v>10265</v>
      </c>
      <c r="B2402" t="s">
        <v>744</v>
      </c>
      <c r="C2402" t="str">
        <f>VLOOKUP(A2402,'Cost Center'!A:C,3,FALSE)</f>
        <v>C010162</v>
      </c>
      <c r="D2402" t="s">
        <v>3664</v>
      </c>
      <c r="E2402" t="s">
        <v>685</v>
      </c>
      <c r="F2402" t="s">
        <v>18491</v>
      </c>
    </row>
    <row r="2403" spans="1:6">
      <c r="A2403">
        <v>10271</v>
      </c>
      <c r="B2403" t="s">
        <v>3441</v>
      </c>
      <c r="C2403" t="str">
        <f>VLOOKUP(A2403,'Cost Center'!A:C,3,FALSE)</f>
        <v>C010161</v>
      </c>
      <c r="D2403" t="s">
        <v>3661</v>
      </c>
      <c r="E2403" t="s">
        <v>685</v>
      </c>
      <c r="F2403" t="s">
        <v>18268</v>
      </c>
    </row>
    <row r="2404" spans="1:6">
      <c r="A2404">
        <v>10272</v>
      </c>
      <c r="B2404" t="s">
        <v>3442</v>
      </c>
      <c r="C2404" t="str">
        <f>VLOOKUP(A2404,'Cost Center'!A:C,3,FALSE)</f>
        <v>C010162</v>
      </c>
      <c r="D2404" t="s">
        <v>3664</v>
      </c>
      <c r="E2404" t="s">
        <v>685</v>
      </c>
      <c r="F2404" t="s">
        <v>18271</v>
      </c>
    </row>
    <row r="2405" spans="1:6">
      <c r="A2405">
        <v>10273</v>
      </c>
      <c r="B2405" t="s">
        <v>3443</v>
      </c>
      <c r="C2405" t="str">
        <f>VLOOKUP(A2405,'Cost Center'!A:C,3,FALSE)</f>
        <v>C010163</v>
      </c>
      <c r="D2405" t="s">
        <v>3672</v>
      </c>
      <c r="E2405" t="s">
        <v>685</v>
      </c>
      <c r="F2405" t="s">
        <v>18272</v>
      </c>
    </row>
    <row r="2406" spans="1:6">
      <c r="A2406">
        <v>10274</v>
      </c>
      <c r="B2406" t="s">
        <v>3444</v>
      </c>
      <c r="C2406" t="str">
        <f>VLOOKUP(A2406,'Cost Center'!A:C,3,FALSE)</f>
        <v>C010164</v>
      </c>
      <c r="D2406" t="s">
        <v>3681</v>
      </c>
      <c r="E2406" t="s">
        <v>685</v>
      </c>
      <c r="F2406" t="s">
        <v>18275</v>
      </c>
    </row>
    <row r="2407" spans="1:6">
      <c r="A2407">
        <v>11112</v>
      </c>
      <c r="B2407" t="s">
        <v>3445</v>
      </c>
      <c r="C2407" t="str">
        <f>VLOOKUP(A2407,'Cost Center'!A:C,3,FALSE)</f>
        <v>C010101</v>
      </c>
      <c r="D2407" t="s">
        <v>3610</v>
      </c>
      <c r="E2407" t="s">
        <v>685</v>
      </c>
      <c r="F2407" t="s">
        <v>18248</v>
      </c>
    </row>
    <row r="2408" spans="1:6">
      <c r="A2408">
        <v>11225</v>
      </c>
      <c r="B2408" t="s">
        <v>769</v>
      </c>
      <c r="C2408" t="str">
        <f>VLOOKUP(A2408,'Cost Center'!A:C,3,FALSE)</f>
        <v>CI10429</v>
      </c>
      <c r="D2408" t="s">
        <v>5174</v>
      </c>
      <c r="E2408" t="s">
        <v>685</v>
      </c>
      <c r="F2408" t="s">
        <v>18512</v>
      </c>
    </row>
    <row r="2409" spans="1:6">
      <c r="A2409" t="s">
        <v>1212</v>
      </c>
      <c r="B2409" t="s">
        <v>1213</v>
      </c>
      <c r="C2409" t="str">
        <f>VLOOKUP(A2409,'Cost Center'!A:C,3,FALSE)</f>
        <v>C010425</v>
      </c>
      <c r="D2409" t="s">
        <v>10858</v>
      </c>
      <c r="E2409" t="s">
        <v>685</v>
      </c>
      <c r="F2409" t="s">
        <v>1212</v>
      </c>
    </row>
    <row r="2410" spans="1:6">
      <c r="A2410" t="s">
        <v>3446</v>
      </c>
      <c r="B2410" t="s">
        <v>3447</v>
      </c>
      <c r="C2410" t="str">
        <f>VLOOKUP(A2410,'Cost Center'!A:C,3,FALSE)</f>
        <v>CI10036</v>
      </c>
      <c r="D2410" t="s">
        <v>10861</v>
      </c>
      <c r="E2410" t="s">
        <v>685</v>
      </c>
      <c r="F2410" t="s">
        <v>3446</v>
      </c>
    </row>
    <row r="2411" spans="1:6">
      <c r="A2411">
        <v>15000</v>
      </c>
      <c r="B2411" t="s">
        <v>776</v>
      </c>
      <c r="C2411" t="str">
        <f>VLOOKUP(A2411,'Cost Center'!A:C,3,FALSE)</f>
        <v>C010180</v>
      </c>
      <c r="D2411" t="s">
        <v>5189</v>
      </c>
      <c r="E2411" t="s">
        <v>685</v>
      </c>
      <c r="F2411" t="s">
        <v>18517</v>
      </c>
    </row>
    <row r="2412" spans="1:6">
      <c r="A2412">
        <v>3021</v>
      </c>
      <c r="B2412" t="s">
        <v>3448</v>
      </c>
      <c r="C2412" t="str">
        <f>VLOOKUP(A2412,'Cost Center'!A:C,3,FALSE)</f>
        <v>C390015</v>
      </c>
      <c r="D2412" t="s">
        <v>7486</v>
      </c>
      <c r="E2412" t="s">
        <v>685</v>
      </c>
      <c r="F2412" t="s">
        <v>19234</v>
      </c>
    </row>
    <row r="2413" spans="1:6">
      <c r="A2413">
        <v>51200</v>
      </c>
      <c r="B2413" t="s">
        <v>878</v>
      </c>
      <c r="C2413" t="str">
        <f>VLOOKUP(A2413,'Cost Center'!A:C,3,FALSE)</f>
        <v>CI10181</v>
      </c>
      <c r="D2413" t="s">
        <v>5966</v>
      </c>
      <c r="E2413" t="s">
        <v>685</v>
      </c>
      <c r="F2413" t="s">
        <v>18758</v>
      </c>
    </row>
    <row r="2414" spans="1:6">
      <c r="A2414" t="s">
        <v>3449</v>
      </c>
      <c r="B2414" t="s">
        <v>3450</v>
      </c>
      <c r="C2414" t="str">
        <f>VLOOKUP(A2414,'Cost Center'!A:C,3,FALSE)</f>
        <v>C390020</v>
      </c>
      <c r="D2414" t="s">
        <v>11299</v>
      </c>
      <c r="E2414" t="s">
        <v>685</v>
      </c>
      <c r="F2414" t="s">
        <v>3449</v>
      </c>
    </row>
    <row r="2415" spans="1:6">
      <c r="A2415">
        <v>6008</v>
      </c>
      <c r="B2415" t="s">
        <v>3451</v>
      </c>
      <c r="C2415" t="str">
        <f>VLOOKUP(A2415,'Cost Center'!A:C,3,FALSE)</f>
        <v>C390027</v>
      </c>
      <c r="D2415" t="s">
        <v>7521</v>
      </c>
      <c r="E2415" t="s">
        <v>685</v>
      </c>
      <c r="F2415" t="s">
        <v>19246</v>
      </c>
    </row>
    <row r="2416" spans="1:6">
      <c r="A2416">
        <v>6013</v>
      </c>
      <c r="B2416" t="s">
        <v>722</v>
      </c>
      <c r="C2416" t="str">
        <f>VLOOKUP(A2416,'Cost Center'!A:C,3,FALSE)</f>
        <v>CI10182</v>
      </c>
      <c r="D2416" t="s">
        <v>11736</v>
      </c>
      <c r="E2416" t="s">
        <v>685</v>
      </c>
      <c r="F2416" t="s">
        <v>19608</v>
      </c>
    </row>
    <row r="2417" spans="1:6">
      <c r="A2417">
        <v>6019</v>
      </c>
      <c r="B2417" t="s">
        <v>723</v>
      </c>
      <c r="C2417" t="str">
        <f>VLOOKUP(A2417,'Cost Center'!A:C,3,FALSE)</f>
        <v>C010160</v>
      </c>
      <c r="D2417" t="s">
        <v>3656</v>
      </c>
      <c r="E2417" t="s">
        <v>685</v>
      </c>
      <c r="F2417" t="s">
        <v>18267</v>
      </c>
    </row>
    <row r="2418" spans="1:6">
      <c r="A2418">
        <v>6051</v>
      </c>
      <c r="B2418" t="s">
        <v>3452</v>
      </c>
      <c r="C2418" t="str">
        <f>VLOOKUP(A2418,'Cost Center'!A:C,3,FALSE)</f>
        <v>C390039</v>
      </c>
      <c r="D2418" t="s">
        <v>3876</v>
      </c>
      <c r="E2418" t="s">
        <v>685</v>
      </c>
      <c r="F2418" t="s">
        <v>18334</v>
      </c>
    </row>
    <row r="2419" spans="1:6">
      <c r="A2419">
        <v>6053</v>
      </c>
      <c r="B2419" t="s">
        <v>3453</v>
      </c>
      <c r="C2419" t="str">
        <f>VLOOKUP(A2419,'Cost Center'!A:C,3,FALSE)</f>
        <v>C390040</v>
      </c>
      <c r="D2419" t="s">
        <v>3879</v>
      </c>
      <c r="E2419" t="s">
        <v>685</v>
      </c>
      <c r="F2419" t="s">
        <v>18335</v>
      </c>
    </row>
    <row r="2420" spans="1:6">
      <c r="A2420">
        <v>6054</v>
      </c>
      <c r="B2420" t="s">
        <v>3454</v>
      </c>
      <c r="C2420" t="str">
        <f>VLOOKUP(A2420,'Cost Center'!A:C,3,FALSE)</f>
        <v>C390041</v>
      </c>
      <c r="D2420" t="s">
        <v>3882</v>
      </c>
      <c r="E2420" t="s">
        <v>685</v>
      </c>
      <c r="F2420" t="s">
        <v>18336</v>
      </c>
    </row>
    <row r="2421" spans="1:6">
      <c r="A2421">
        <v>6151</v>
      </c>
      <c r="B2421" t="s">
        <v>3455</v>
      </c>
      <c r="C2421" t="str">
        <f>VLOOKUP(A2421,'Cost Center'!A:C,3,FALSE)</f>
        <v>C390042</v>
      </c>
      <c r="D2421" t="s">
        <v>3899</v>
      </c>
      <c r="E2421" t="s">
        <v>685</v>
      </c>
      <c r="F2421" t="s">
        <v>18341</v>
      </c>
    </row>
    <row r="2422" spans="1:6">
      <c r="A2422">
        <v>9999</v>
      </c>
      <c r="B2422" t="s">
        <v>3456</v>
      </c>
      <c r="C2422" t="str">
        <f>VLOOKUP(A2422,'Cost Center'!A:C,3,FALSE)</f>
        <v>C390055</v>
      </c>
      <c r="D2422" t="s">
        <v>7604</v>
      </c>
      <c r="E2422" t="s">
        <v>685</v>
      </c>
      <c r="F2422" t="s">
        <v>19274</v>
      </c>
    </row>
    <row r="2423" spans="1:6">
      <c r="A2423" t="s">
        <v>540</v>
      </c>
      <c r="B2423" t="s">
        <v>1218</v>
      </c>
      <c r="C2423" t="str">
        <f>VLOOKUP(A2423,'Cost Center'!A:C,3,FALSE)</f>
        <v>C010164</v>
      </c>
      <c r="D2423" t="s">
        <v>3681</v>
      </c>
      <c r="E2423" t="s">
        <v>685</v>
      </c>
      <c r="F2423" t="s">
        <v>540</v>
      </c>
    </row>
    <row r="2424" spans="1:6">
      <c r="A2424" t="s">
        <v>596</v>
      </c>
      <c r="B2424" t="s">
        <v>1748</v>
      </c>
      <c r="C2424" t="str">
        <f>VLOOKUP(A2424,'Cost Center'!A:C,3,FALSE)</f>
        <v>C010164</v>
      </c>
      <c r="D2424" t="s">
        <v>3681</v>
      </c>
      <c r="E2424" t="s">
        <v>685</v>
      </c>
      <c r="F2424" t="s">
        <v>596</v>
      </c>
    </row>
    <row r="2425" spans="1:6">
      <c r="A2425" t="s">
        <v>601</v>
      </c>
      <c r="B2425" t="s">
        <v>1749</v>
      </c>
      <c r="C2425" t="str">
        <f>VLOOKUP(A2425,'Cost Center'!A:C,3,FALSE)</f>
        <v>C010451</v>
      </c>
      <c r="D2425" t="s">
        <v>3751</v>
      </c>
      <c r="E2425" t="s">
        <v>685</v>
      </c>
      <c r="F2425" t="s">
        <v>601</v>
      </c>
    </row>
    <row r="2426" spans="1:6">
      <c r="A2426" t="s">
        <v>576</v>
      </c>
      <c r="B2426" t="s">
        <v>1755</v>
      </c>
      <c r="C2426" t="str">
        <f>VLOOKUP(A2426,'Cost Center'!A:C,3,FALSE)</f>
        <v>C010163</v>
      </c>
      <c r="D2426" t="s">
        <v>3672</v>
      </c>
      <c r="E2426" t="s">
        <v>685</v>
      </c>
      <c r="F2426" t="s">
        <v>576</v>
      </c>
    </row>
    <row r="2427" spans="1:6">
      <c r="A2427" t="s">
        <v>3457</v>
      </c>
      <c r="B2427" t="s">
        <v>3458</v>
      </c>
      <c r="C2427" t="str">
        <f>VLOOKUP(A2427,'Cost Center'!A:C,3,FALSE)</f>
        <v>C010163</v>
      </c>
      <c r="D2427" t="s">
        <v>3672</v>
      </c>
      <c r="E2427" t="s">
        <v>685</v>
      </c>
      <c r="F2427" t="s">
        <v>3457</v>
      </c>
    </row>
    <row r="2428" spans="1:6">
      <c r="A2428" t="s">
        <v>586</v>
      </c>
      <c r="B2428" t="s">
        <v>1764</v>
      </c>
      <c r="C2428" t="str">
        <f>VLOOKUP(A2428,'Cost Center'!A:C,3,FALSE)</f>
        <v>C010163</v>
      </c>
      <c r="D2428" t="s">
        <v>3672</v>
      </c>
      <c r="E2428" t="s">
        <v>685</v>
      </c>
      <c r="F2428" t="s">
        <v>586</v>
      </c>
    </row>
    <row r="2429" spans="1:6">
      <c r="A2429" t="s">
        <v>595</v>
      </c>
      <c r="B2429" t="s">
        <v>1845</v>
      </c>
      <c r="C2429" t="str">
        <f>VLOOKUP(A2429,'Cost Center'!A:C,3,FALSE)</f>
        <v>C010165</v>
      </c>
      <c r="D2429" t="s">
        <v>3686</v>
      </c>
      <c r="E2429" t="s">
        <v>685</v>
      </c>
      <c r="F2429" t="s">
        <v>595</v>
      </c>
    </row>
    <row r="2430" spans="1:6">
      <c r="A2430" t="s">
        <v>630</v>
      </c>
      <c r="B2430" t="s">
        <v>1849</v>
      </c>
      <c r="C2430" t="str">
        <f>VLOOKUP(A2430,'Cost Center'!A:C,3,FALSE)</f>
        <v>C010452</v>
      </c>
      <c r="D2430" t="s">
        <v>12838</v>
      </c>
      <c r="E2430" t="s">
        <v>685</v>
      </c>
      <c r="F2430" t="s">
        <v>630</v>
      </c>
    </row>
    <row r="2431" spans="1:6">
      <c r="A2431" t="s">
        <v>635</v>
      </c>
      <c r="B2431" t="s">
        <v>1856</v>
      </c>
      <c r="C2431" t="str">
        <f>VLOOKUP(A2431,'Cost Center'!A:C,3,FALSE)</f>
        <v>C010101</v>
      </c>
      <c r="D2431" t="s">
        <v>3610</v>
      </c>
      <c r="E2431" t="s">
        <v>685</v>
      </c>
      <c r="F2431" t="s">
        <v>635</v>
      </c>
    </row>
    <row r="2432" spans="1:6">
      <c r="A2432" t="s">
        <v>653</v>
      </c>
      <c r="B2432" t="s">
        <v>1859</v>
      </c>
      <c r="C2432" t="str">
        <f>VLOOKUP(A2432,'Cost Center'!A:C,3,FALSE)</f>
        <v>C010453</v>
      </c>
      <c r="D2432" t="s">
        <v>3757</v>
      </c>
      <c r="E2432" t="s">
        <v>685</v>
      </c>
      <c r="F2432" t="s">
        <v>653</v>
      </c>
    </row>
    <row r="2433" spans="1:6">
      <c r="A2433" t="s">
        <v>659</v>
      </c>
      <c r="B2433" t="s">
        <v>1864</v>
      </c>
      <c r="C2433" t="str">
        <f>VLOOKUP(A2433,'Cost Center'!A:C,3,FALSE)</f>
        <v>C010162</v>
      </c>
      <c r="D2433" t="s">
        <v>3664</v>
      </c>
      <c r="E2433" t="s">
        <v>685</v>
      </c>
      <c r="F2433" t="s">
        <v>659</v>
      </c>
    </row>
    <row r="2434" spans="1:6">
      <c r="A2434">
        <v>10742</v>
      </c>
      <c r="B2434" t="s">
        <v>3459</v>
      </c>
      <c r="C2434" t="str">
        <f>VLOOKUP(A2434,'Cost Center'!A:C,3,FALSE)</f>
        <v>C390009</v>
      </c>
      <c r="D2434" t="s">
        <v>7471</v>
      </c>
      <c r="E2434" t="s">
        <v>685</v>
      </c>
      <c r="F2434" t="s">
        <v>19229</v>
      </c>
    </row>
    <row r="2435" spans="1:6">
      <c r="A2435">
        <v>32171</v>
      </c>
      <c r="B2435" t="s">
        <v>3460</v>
      </c>
      <c r="C2435" t="str">
        <f>VLOOKUP(A2435,'Cost Center'!A:C,3,FALSE)</f>
        <v>C500501</v>
      </c>
      <c r="D2435" t="s">
        <v>8046</v>
      </c>
      <c r="E2435" t="s">
        <v>685</v>
      </c>
      <c r="F2435" t="s">
        <v>19373</v>
      </c>
    </row>
    <row r="2436" spans="1:6">
      <c r="A2436">
        <v>32172</v>
      </c>
      <c r="B2436" t="s">
        <v>3461</v>
      </c>
      <c r="C2436" t="str">
        <f>VLOOKUP(A2436,'Cost Center'!A:C,3,FALSE)</f>
        <v>C500502</v>
      </c>
      <c r="D2436" t="s">
        <v>8049</v>
      </c>
      <c r="E2436" t="s">
        <v>685</v>
      </c>
      <c r="F2436" t="s">
        <v>19374</v>
      </c>
    </row>
    <row r="2437" spans="1:6">
      <c r="A2437" t="s">
        <v>3462</v>
      </c>
      <c r="B2437" t="s">
        <v>3463</v>
      </c>
      <c r="C2437" t="str">
        <f>VLOOKUP(A2437,'Cost Center'!A:C,3,FALSE)</f>
        <v>C500507</v>
      </c>
      <c r="D2437" t="s">
        <v>8061</v>
      </c>
      <c r="E2437" t="s">
        <v>685</v>
      </c>
      <c r="F2437" t="s">
        <v>3462</v>
      </c>
    </row>
    <row r="2438" spans="1:6">
      <c r="A2438" t="s">
        <v>3464</v>
      </c>
      <c r="B2438" t="s">
        <v>3465</v>
      </c>
      <c r="C2438" t="str">
        <f>VLOOKUP(A2438,'Cost Center'!A:C,3,FALSE)</f>
        <v>C500508</v>
      </c>
      <c r="D2438" t="s">
        <v>8064</v>
      </c>
      <c r="E2438" t="s">
        <v>685</v>
      </c>
      <c r="F2438" t="s">
        <v>3464</v>
      </c>
    </row>
    <row r="2439" spans="1:6">
      <c r="A2439" t="s">
        <v>560</v>
      </c>
      <c r="B2439" t="s">
        <v>1238</v>
      </c>
      <c r="C2439" t="str">
        <f>VLOOKUP(A2439,'Cost Center'!A:C,3,FALSE)</f>
        <v>C500509</v>
      </c>
      <c r="D2439" t="s">
        <v>8067</v>
      </c>
      <c r="E2439" t="s">
        <v>685</v>
      </c>
      <c r="F2439" t="s">
        <v>560</v>
      </c>
    </row>
    <row r="2440" spans="1:6">
      <c r="A2440" t="s">
        <v>1240</v>
      </c>
      <c r="B2440" t="s">
        <v>1241</v>
      </c>
      <c r="C2440" t="str">
        <f>VLOOKUP(A2440,'Cost Center'!A:C,3,FALSE)</f>
        <v>C500510</v>
      </c>
      <c r="D2440" t="s">
        <v>8070</v>
      </c>
      <c r="E2440" t="s">
        <v>685</v>
      </c>
      <c r="F2440" t="s">
        <v>1240</v>
      </c>
    </row>
    <row r="2441" spans="1:6">
      <c r="A2441" t="s">
        <v>3466</v>
      </c>
      <c r="B2441" t="s">
        <v>3467</v>
      </c>
      <c r="C2441" t="str">
        <f>VLOOKUP(A2441,'Cost Center'!A:C,3,FALSE)</f>
        <v>CI50510</v>
      </c>
      <c r="D2441" t="s">
        <v>12860</v>
      </c>
      <c r="E2441" t="s">
        <v>685</v>
      </c>
      <c r="F2441" t="s">
        <v>3466</v>
      </c>
    </row>
    <row r="2442" spans="1:6">
      <c r="A2442" t="s">
        <v>3468</v>
      </c>
      <c r="B2442" t="s">
        <v>3469</v>
      </c>
      <c r="C2442" t="str">
        <f>VLOOKUP(A2442,'Cost Center'!A:C,3,FALSE)</f>
        <v>C500512</v>
      </c>
      <c r="D2442" t="s">
        <v>8073</v>
      </c>
      <c r="E2442" t="s">
        <v>685</v>
      </c>
      <c r="F2442" t="s">
        <v>3468</v>
      </c>
    </row>
    <row r="2443" spans="1:6">
      <c r="A2443" t="s">
        <v>3470</v>
      </c>
      <c r="B2443" t="s">
        <v>3471</v>
      </c>
      <c r="C2443" t="str">
        <f>VLOOKUP(A2443,'Cost Center'!A:C,3,FALSE)</f>
        <v>CI20137</v>
      </c>
      <c r="D2443" t="s">
        <v>12194</v>
      </c>
      <c r="E2443" t="s">
        <v>685</v>
      </c>
      <c r="F2443" t="s">
        <v>3470</v>
      </c>
    </row>
    <row r="2444" spans="1:6">
      <c r="A2444" t="s">
        <v>3472</v>
      </c>
      <c r="B2444" t="s">
        <v>3473</v>
      </c>
      <c r="C2444" t="str">
        <f>VLOOKUP(A2444,'Cost Center'!A:C,3,FALSE)</f>
        <v>C500513</v>
      </c>
      <c r="D2444" t="s">
        <v>8076</v>
      </c>
      <c r="E2444" t="s">
        <v>685</v>
      </c>
      <c r="F2444" t="s">
        <v>3472</v>
      </c>
    </row>
    <row r="2445" spans="1:6">
      <c r="A2445" t="s">
        <v>3474</v>
      </c>
      <c r="B2445" t="s">
        <v>3475</v>
      </c>
      <c r="C2445" t="str">
        <f>VLOOKUP(A2445,'Cost Center'!A:C,3,FALSE)</f>
        <v>C500514</v>
      </c>
      <c r="D2445" t="s">
        <v>12854</v>
      </c>
      <c r="E2445" t="s">
        <v>685</v>
      </c>
      <c r="F2445" t="s">
        <v>3474</v>
      </c>
    </row>
    <row r="2446" spans="1:6">
      <c r="A2446" t="s">
        <v>3476</v>
      </c>
      <c r="B2446" t="s">
        <v>3477</v>
      </c>
      <c r="C2446" t="str">
        <f>VLOOKUP(A2446,'Cost Center'!A:C,3,FALSE)</f>
        <v>C500515</v>
      </c>
      <c r="D2446" t="s">
        <v>8081</v>
      </c>
      <c r="E2446" t="s">
        <v>685</v>
      </c>
      <c r="F2446" t="s">
        <v>3476</v>
      </c>
    </row>
    <row r="2447" spans="1:6">
      <c r="A2447" t="s">
        <v>3478</v>
      </c>
      <c r="B2447" t="s">
        <v>3479</v>
      </c>
      <c r="C2447" t="str">
        <f>VLOOKUP(A2447,'Cost Center'!A:C,3,FALSE)</f>
        <v>C500516</v>
      </c>
      <c r="D2447" t="s">
        <v>8084</v>
      </c>
      <c r="E2447" t="s">
        <v>685</v>
      </c>
      <c r="F2447" t="s">
        <v>3478</v>
      </c>
    </row>
    <row r="2448" spans="1:6">
      <c r="A2448">
        <v>10263</v>
      </c>
      <c r="B2448" t="s">
        <v>3480</v>
      </c>
      <c r="C2448" t="str">
        <f>VLOOKUP(A2448,'Cost Center'!A:C,3,FALSE)</f>
        <v>C700044</v>
      </c>
      <c r="D2448" t="s">
        <v>10709</v>
      </c>
      <c r="E2448" t="s">
        <v>685</v>
      </c>
      <c r="F2448" t="s">
        <v>19569</v>
      </c>
    </row>
    <row r="2449" spans="1:6">
      <c r="A2449">
        <v>11602</v>
      </c>
      <c r="B2449" t="s">
        <v>3481</v>
      </c>
      <c r="C2449" t="str">
        <f>VLOOKUP(A2449,'Cost Center'!A:C,3,FALSE)</f>
        <v>C700001</v>
      </c>
      <c r="D2449" t="s">
        <v>10572</v>
      </c>
      <c r="E2449" t="s">
        <v>685</v>
      </c>
      <c r="F2449" t="s">
        <v>19542</v>
      </c>
    </row>
    <row r="2450" spans="1:6">
      <c r="A2450" t="s">
        <v>3482</v>
      </c>
      <c r="B2450" t="s">
        <v>3483</v>
      </c>
      <c r="C2450" t="e">
        <f>VLOOKUP(A2450,'Cost Center'!A:C,3,FALSE)</f>
        <v>#N/A</v>
      </c>
      <c r="D2450" t="s">
        <v>3624</v>
      </c>
      <c r="E2450" t="s">
        <v>685</v>
      </c>
      <c r="F2450" t="s">
        <v>3482</v>
      </c>
    </row>
    <row r="2451" spans="1:6">
      <c r="A2451">
        <v>11904</v>
      </c>
      <c r="B2451" t="s">
        <v>3484</v>
      </c>
      <c r="C2451" t="str">
        <f>VLOOKUP(A2451,'Cost Center'!A:C,3,FALSE)</f>
        <v>C700002</v>
      </c>
      <c r="D2451" t="s">
        <v>10575</v>
      </c>
      <c r="E2451" t="s">
        <v>685</v>
      </c>
      <c r="F2451" t="s">
        <v>19543</v>
      </c>
    </row>
    <row r="2452" spans="1:6">
      <c r="A2452" t="s">
        <v>3485</v>
      </c>
      <c r="B2452" t="s">
        <v>3486</v>
      </c>
      <c r="C2452" t="str">
        <f>VLOOKUP(A2452,'Cost Center'!A:C,3,FALSE)</f>
        <v>C700003</v>
      </c>
      <c r="D2452" t="s">
        <v>10578</v>
      </c>
      <c r="E2452" t="s">
        <v>685</v>
      </c>
      <c r="F2452" t="s">
        <v>3485</v>
      </c>
    </row>
    <row r="2453" spans="1:6">
      <c r="A2453">
        <v>11911</v>
      </c>
      <c r="B2453" t="s">
        <v>3487</v>
      </c>
      <c r="C2453" t="e">
        <f>VLOOKUP(A2453,'Cost Center'!A:C,3,FALSE)</f>
        <v>#N/A</v>
      </c>
      <c r="D2453" t="s">
        <v>3624</v>
      </c>
      <c r="E2453" t="s">
        <v>685</v>
      </c>
      <c r="F2453" t="s">
        <v>20130</v>
      </c>
    </row>
    <row r="2454" spans="1:6">
      <c r="A2454">
        <v>11912</v>
      </c>
      <c r="B2454" t="s">
        <v>3488</v>
      </c>
      <c r="C2454" t="str">
        <f>VLOOKUP(A2454,'Cost Center'!A:C,3,FALSE)</f>
        <v>C700004</v>
      </c>
      <c r="D2454" t="s">
        <v>10581</v>
      </c>
      <c r="E2454" t="s">
        <v>685</v>
      </c>
      <c r="F2454" t="s">
        <v>19544</v>
      </c>
    </row>
    <row r="2455" spans="1:6">
      <c r="A2455" t="s">
        <v>3489</v>
      </c>
      <c r="B2455" t="s">
        <v>3490</v>
      </c>
      <c r="C2455" t="str">
        <f>VLOOKUP(A2455,'Cost Center'!A:C,3,FALSE)</f>
        <v>C700005</v>
      </c>
      <c r="D2455" t="s">
        <v>10584</v>
      </c>
      <c r="E2455" t="s">
        <v>685</v>
      </c>
      <c r="F2455" t="s">
        <v>3489</v>
      </c>
    </row>
    <row r="2456" spans="1:6">
      <c r="A2456">
        <v>11913</v>
      </c>
      <c r="B2456" t="s">
        <v>3491</v>
      </c>
      <c r="C2456" t="str">
        <f>VLOOKUP(A2456,'Cost Center'!A:C,3,FALSE)</f>
        <v>C700006</v>
      </c>
      <c r="D2456" t="s">
        <v>10587</v>
      </c>
      <c r="E2456" t="s">
        <v>685</v>
      </c>
      <c r="F2456" t="s">
        <v>19545</v>
      </c>
    </row>
    <row r="2457" spans="1:6">
      <c r="A2457">
        <v>11914</v>
      </c>
      <c r="B2457" t="s">
        <v>3492</v>
      </c>
      <c r="C2457" t="str">
        <f>VLOOKUP(A2457,'Cost Center'!A:C,3,FALSE)</f>
        <v>C700007</v>
      </c>
      <c r="D2457" t="s">
        <v>10590</v>
      </c>
      <c r="E2457" t="s">
        <v>685</v>
      </c>
      <c r="F2457" t="s">
        <v>19546</v>
      </c>
    </row>
    <row r="2458" spans="1:6">
      <c r="A2458" t="s">
        <v>3493</v>
      </c>
      <c r="B2458" t="s">
        <v>3494</v>
      </c>
      <c r="C2458" t="str">
        <f>VLOOKUP(A2458,'Cost Center'!A:C,3,FALSE)</f>
        <v>C700008</v>
      </c>
      <c r="D2458" t="s">
        <v>10593</v>
      </c>
      <c r="E2458" t="s">
        <v>685</v>
      </c>
      <c r="F2458" t="s">
        <v>3493</v>
      </c>
    </row>
    <row r="2459" spans="1:6">
      <c r="A2459">
        <v>11915</v>
      </c>
      <c r="B2459" t="s">
        <v>3495</v>
      </c>
      <c r="C2459" t="str">
        <f>VLOOKUP(A2459,'Cost Center'!A:C,3,FALSE)</f>
        <v>C700009</v>
      </c>
      <c r="D2459" t="s">
        <v>5177</v>
      </c>
      <c r="E2459" t="s">
        <v>685</v>
      </c>
      <c r="F2459" t="s">
        <v>18513</v>
      </c>
    </row>
    <row r="2460" spans="1:6">
      <c r="A2460" t="s">
        <v>3496</v>
      </c>
      <c r="B2460" t="s">
        <v>3497</v>
      </c>
      <c r="C2460" t="str">
        <f>VLOOKUP(A2460,'Cost Center'!A:C,3,FALSE)</f>
        <v>C700010</v>
      </c>
      <c r="D2460" t="s">
        <v>10876</v>
      </c>
      <c r="E2460" t="s">
        <v>685</v>
      </c>
      <c r="F2460" t="s">
        <v>3496</v>
      </c>
    </row>
    <row r="2461" spans="1:6">
      <c r="A2461">
        <v>11916</v>
      </c>
      <c r="B2461" t="s">
        <v>3498</v>
      </c>
      <c r="C2461" t="str">
        <f>VLOOKUP(A2461,'Cost Center'!A:C,3,FALSE)</f>
        <v>C700011</v>
      </c>
      <c r="D2461" t="s">
        <v>10604</v>
      </c>
      <c r="E2461" t="s">
        <v>685</v>
      </c>
      <c r="F2461" t="s">
        <v>19547</v>
      </c>
    </row>
    <row r="2462" spans="1:6">
      <c r="A2462">
        <v>11917</v>
      </c>
      <c r="B2462" t="s">
        <v>3499</v>
      </c>
      <c r="C2462" t="str">
        <f>VLOOKUP(A2462,'Cost Center'!A:C,3,FALSE)</f>
        <v>C700012</v>
      </c>
      <c r="D2462" t="s">
        <v>10607</v>
      </c>
      <c r="E2462" t="s">
        <v>685</v>
      </c>
      <c r="F2462" t="s">
        <v>19548</v>
      </c>
    </row>
    <row r="2463" spans="1:6">
      <c r="A2463" t="s">
        <v>3500</v>
      </c>
      <c r="B2463" t="s">
        <v>3501</v>
      </c>
      <c r="C2463" t="str">
        <f>VLOOKUP(A2463,'Cost Center'!A:C,3,FALSE)</f>
        <v>C700013</v>
      </c>
      <c r="D2463" t="s">
        <v>10610</v>
      </c>
      <c r="E2463" t="s">
        <v>685</v>
      </c>
      <c r="F2463" t="s">
        <v>3500</v>
      </c>
    </row>
    <row r="2464" spans="1:6">
      <c r="A2464">
        <v>11918</v>
      </c>
      <c r="B2464" t="s">
        <v>3502</v>
      </c>
      <c r="C2464" t="str">
        <f>VLOOKUP(A2464,'Cost Center'!A:C,3,FALSE)</f>
        <v>C700014</v>
      </c>
      <c r="D2464" t="s">
        <v>10613</v>
      </c>
      <c r="E2464" t="s">
        <v>685</v>
      </c>
      <c r="F2464" t="s">
        <v>19549</v>
      </c>
    </row>
    <row r="2465" spans="1:6">
      <c r="A2465" t="s">
        <v>3503</v>
      </c>
      <c r="B2465" t="s">
        <v>3504</v>
      </c>
      <c r="C2465" t="str">
        <f>VLOOKUP(A2465,'Cost Center'!A:C,3,FALSE)</f>
        <v>C700015</v>
      </c>
      <c r="D2465" t="s">
        <v>10616</v>
      </c>
      <c r="E2465" t="s">
        <v>685</v>
      </c>
      <c r="F2465" t="s">
        <v>3503</v>
      </c>
    </row>
    <row r="2466" spans="1:6">
      <c r="A2466">
        <v>11919</v>
      </c>
      <c r="B2466" t="s">
        <v>3505</v>
      </c>
      <c r="C2466" t="str">
        <f>VLOOKUP(A2466,'Cost Center'!A:C,3,FALSE)</f>
        <v>C700016</v>
      </c>
      <c r="D2466" t="s">
        <v>10619</v>
      </c>
      <c r="E2466" t="s">
        <v>685</v>
      </c>
      <c r="F2466" t="s">
        <v>19550</v>
      </c>
    </row>
    <row r="2467" spans="1:6">
      <c r="A2467" t="s">
        <v>3506</v>
      </c>
      <c r="B2467" t="s">
        <v>3507</v>
      </c>
      <c r="C2467" t="str">
        <f>VLOOKUP(A2467,'Cost Center'!A:C,3,FALSE)</f>
        <v>C700017</v>
      </c>
      <c r="D2467" t="s">
        <v>10622</v>
      </c>
      <c r="E2467" t="s">
        <v>685</v>
      </c>
      <c r="F2467" t="s">
        <v>3506</v>
      </c>
    </row>
    <row r="2468" spans="1:6">
      <c r="A2468">
        <v>11921</v>
      </c>
      <c r="B2468" t="s">
        <v>3508</v>
      </c>
      <c r="C2468" t="str">
        <f>VLOOKUP(A2468,'Cost Center'!A:C,3,FALSE)</f>
        <v>C700018</v>
      </c>
      <c r="D2468" t="s">
        <v>10625</v>
      </c>
      <c r="E2468" t="s">
        <v>685</v>
      </c>
      <c r="F2468" t="s">
        <v>19551</v>
      </c>
    </row>
    <row r="2469" spans="1:6">
      <c r="A2469" t="s">
        <v>3509</v>
      </c>
      <c r="B2469" t="s">
        <v>3510</v>
      </c>
      <c r="C2469" t="e">
        <f>VLOOKUP(A2469,'Cost Center'!A:C,3,FALSE)</f>
        <v>#N/A</v>
      </c>
      <c r="D2469" t="s">
        <v>3624</v>
      </c>
      <c r="E2469" t="s">
        <v>685</v>
      </c>
      <c r="F2469" t="s">
        <v>3509</v>
      </c>
    </row>
    <row r="2470" spans="1:6">
      <c r="A2470">
        <v>11922</v>
      </c>
      <c r="B2470" t="s">
        <v>3511</v>
      </c>
      <c r="C2470" t="str">
        <f>VLOOKUP(A2470,'Cost Center'!A:C,3,FALSE)</f>
        <v>C700019</v>
      </c>
      <c r="D2470" t="s">
        <v>10628</v>
      </c>
      <c r="E2470" t="s">
        <v>685</v>
      </c>
      <c r="F2470" t="s">
        <v>19552</v>
      </c>
    </row>
    <row r="2471" spans="1:6">
      <c r="A2471" t="s">
        <v>3512</v>
      </c>
      <c r="B2471" t="s">
        <v>3513</v>
      </c>
      <c r="C2471" t="str">
        <f>VLOOKUP(A2471,'Cost Center'!A:C,3,FALSE)</f>
        <v>C700020</v>
      </c>
      <c r="D2471" t="s">
        <v>10631</v>
      </c>
      <c r="E2471" t="s">
        <v>685</v>
      </c>
      <c r="F2471" t="s">
        <v>3512</v>
      </c>
    </row>
    <row r="2472" spans="1:6">
      <c r="A2472">
        <v>93003</v>
      </c>
      <c r="B2472" t="s">
        <v>3514</v>
      </c>
      <c r="C2472" t="str">
        <f>VLOOKUP(A2472,'Cost Center'!A:C,3,FALSE)</f>
        <v>C700021</v>
      </c>
      <c r="D2472" t="s">
        <v>10634</v>
      </c>
      <c r="E2472" t="s">
        <v>685</v>
      </c>
      <c r="F2472" t="s">
        <v>19553</v>
      </c>
    </row>
    <row r="2473" spans="1:6">
      <c r="A2473">
        <v>93022</v>
      </c>
      <c r="B2473" t="s">
        <v>3515</v>
      </c>
      <c r="C2473" t="str">
        <f>VLOOKUP(A2473,'Cost Center'!A:C,3,FALSE)</f>
        <v>C700043</v>
      </c>
      <c r="D2473" t="s">
        <v>10706</v>
      </c>
      <c r="E2473" t="s">
        <v>685</v>
      </c>
      <c r="F2473" t="s">
        <v>19568</v>
      </c>
    </row>
    <row r="2474" spans="1:6">
      <c r="A2474">
        <v>93023</v>
      </c>
      <c r="B2474" t="s">
        <v>3516</v>
      </c>
      <c r="C2474" t="e">
        <f>VLOOKUP(A2474,'Cost Center'!A:C,3,FALSE)</f>
        <v>#N/A</v>
      </c>
      <c r="D2474" t="s">
        <v>3624</v>
      </c>
      <c r="E2474" t="s">
        <v>685</v>
      </c>
      <c r="F2474" t="s">
        <v>20131</v>
      </c>
    </row>
    <row r="2475" spans="1:6">
      <c r="A2475">
        <v>93024</v>
      </c>
      <c r="B2475" t="s">
        <v>3517</v>
      </c>
      <c r="C2475" t="str">
        <f>VLOOKUP(A2475,'Cost Center'!A:C,3,FALSE)</f>
        <v>C700026</v>
      </c>
      <c r="D2475" t="s">
        <v>10650</v>
      </c>
      <c r="E2475" t="s">
        <v>685</v>
      </c>
      <c r="F2475" t="s">
        <v>19557</v>
      </c>
    </row>
    <row r="2476" spans="1:6">
      <c r="A2476" t="s">
        <v>3518</v>
      </c>
      <c r="B2476" t="s">
        <v>3519</v>
      </c>
      <c r="C2476" t="str">
        <f>VLOOKUP(A2476,'Cost Center'!A:C,3,FALSE)</f>
        <v>C700027</v>
      </c>
      <c r="D2476" t="s">
        <v>10653</v>
      </c>
      <c r="E2476" t="s">
        <v>685</v>
      </c>
      <c r="F2476" t="s">
        <v>3518</v>
      </c>
    </row>
    <row r="2477" spans="1:6">
      <c r="A2477">
        <v>17905</v>
      </c>
      <c r="B2477" t="s">
        <v>3520</v>
      </c>
      <c r="C2477" t="str">
        <f>VLOOKUP(A2477,'Cost Center'!A:C,3,FALSE)</f>
        <v>C499999</v>
      </c>
      <c r="D2477" t="s">
        <v>5206</v>
      </c>
      <c r="E2477" t="s">
        <v>685</v>
      </c>
      <c r="F2477" t="s">
        <v>18523</v>
      </c>
    </row>
    <row r="2478" spans="1:6">
      <c r="A2478">
        <v>9101</v>
      </c>
      <c r="B2478" t="s">
        <v>3521</v>
      </c>
      <c r="C2478" t="e">
        <f>VLOOKUP(A2478,'Cost Center'!A:C,3,FALSE)</f>
        <v>#N/A</v>
      </c>
      <c r="D2478" t="s">
        <v>3624</v>
      </c>
      <c r="E2478" t="s">
        <v>685</v>
      </c>
      <c r="F2478" t="s">
        <v>20132</v>
      </c>
    </row>
    <row r="2479" spans="1:6">
      <c r="A2479" t="s">
        <v>3522</v>
      </c>
      <c r="B2479" t="s">
        <v>3523</v>
      </c>
      <c r="C2479" t="e">
        <f>VLOOKUP(A2479,'Cost Center'!A:C,3,FALSE)</f>
        <v>#N/A</v>
      </c>
      <c r="D2479" t="s">
        <v>3624</v>
      </c>
      <c r="E2479" t="s">
        <v>685</v>
      </c>
      <c r="F2479" t="s">
        <v>3522</v>
      </c>
    </row>
    <row r="2480" spans="1:6">
      <c r="A2480" t="s">
        <v>3524</v>
      </c>
      <c r="B2480" t="s">
        <v>3525</v>
      </c>
      <c r="C2480" t="e">
        <f>VLOOKUP(A2480,'Cost Center'!A:C,3,FALSE)</f>
        <v>#N/A</v>
      </c>
      <c r="D2480" t="s">
        <v>3624</v>
      </c>
      <c r="E2480" t="s">
        <v>685</v>
      </c>
      <c r="F2480" t="s">
        <v>3524</v>
      </c>
    </row>
    <row r="2481" spans="1:6">
      <c r="A2481" t="s">
        <v>3526</v>
      </c>
      <c r="B2481" t="s">
        <v>3527</v>
      </c>
      <c r="C2481" t="str">
        <f>VLOOKUP(A2481,'Cost Center'!A:C,3,FALSE)</f>
        <v>C810074</v>
      </c>
      <c r="D2481" t="s">
        <v>10816</v>
      </c>
      <c r="E2481" t="s">
        <v>685</v>
      </c>
      <c r="F2481" t="s">
        <v>3526</v>
      </c>
    </row>
    <row r="2482" spans="1:6">
      <c r="A2482" t="s">
        <v>3528</v>
      </c>
      <c r="B2482" t="s">
        <v>3529</v>
      </c>
      <c r="C2482" t="str">
        <f>VLOOKUP(A2482,'Cost Center'!A:C,3,FALSE)</f>
        <v>CI49998</v>
      </c>
      <c r="D2482" t="s">
        <v>12800</v>
      </c>
      <c r="E2482" t="s">
        <v>685</v>
      </c>
      <c r="F2482" t="s">
        <v>3528</v>
      </c>
    </row>
    <row r="2483" spans="1:6">
      <c r="A2483">
        <v>3028</v>
      </c>
      <c r="B2483" t="s">
        <v>3530</v>
      </c>
      <c r="C2483" t="str">
        <f>VLOOKUP(A2483,'Cost Center'!A:C,3,FALSE)</f>
        <v>C390016</v>
      </c>
      <c r="D2483" t="s">
        <v>7489</v>
      </c>
      <c r="E2483" t="s">
        <v>685</v>
      </c>
      <c r="F2483" t="s">
        <v>19235</v>
      </c>
    </row>
    <row r="2484" spans="1:6">
      <c r="A2484">
        <v>5031</v>
      </c>
      <c r="B2484" t="s">
        <v>3531</v>
      </c>
      <c r="C2484" t="str">
        <f>VLOOKUP(A2484,'Cost Center'!A:C,3,FALSE)</f>
        <v>C390017</v>
      </c>
      <c r="D2484" t="s">
        <v>3718</v>
      </c>
      <c r="E2484" t="s">
        <v>685</v>
      </c>
      <c r="F2484" t="s">
        <v>18285</v>
      </c>
    </row>
    <row r="2485" spans="1:6">
      <c r="A2485">
        <v>5061</v>
      </c>
      <c r="B2485" t="s">
        <v>3532</v>
      </c>
      <c r="C2485" t="str">
        <f>VLOOKUP(A2485,'Cost Center'!A:C,3,FALSE)</f>
        <v>C390018</v>
      </c>
      <c r="D2485" t="s">
        <v>3829</v>
      </c>
      <c r="E2485" t="s">
        <v>685</v>
      </c>
      <c r="F2485" t="s">
        <v>18321</v>
      </c>
    </row>
    <row r="2486" spans="1:6">
      <c r="A2486">
        <v>5064</v>
      </c>
      <c r="B2486" t="s">
        <v>3533</v>
      </c>
      <c r="C2486" t="str">
        <f>VLOOKUP(A2486,'Cost Center'!A:C,3,FALSE)</f>
        <v>C390019</v>
      </c>
      <c r="D2486" t="s">
        <v>3857</v>
      </c>
      <c r="E2486" t="s">
        <v>685</v>
      </c>
      <c r="F2486" t="s">
        <v>18329</v>
      </c>
    </row>
    <row r="2487" spans="1:6">
      <c r="A2487">
        <v>6000</v>
      </c>
      <c r="B2487" t="s">
        <v>3534</v>
      </c>
      <c r="C2487" t="str">
        <f>VLOOKUP(A2487,'Cost Center'!A:C,3,FALSE)</f>
        <v>C390021</v>
      </c>
      <c r="D2487" t="s">
        <v>7503</v>
      </c>
      <c r="E2487" t="s">
        <v>685</v>
      </c>
      <c r="F2487" t="s">
        <v>19240</v>
      </c>
    </row>
    <row r="2488" spans="1:6">
      <c r="A2488">
        <v>6001</v>
      </c>
      <c r="B2488" t="s">
        <v>3535</v>
      </c>
      <c r="C2488" t="str">
        <f>VLOOKUP(A2488,'Cost Center'!A:C,3,FALSE)</f>
        <v>C390022</v>
      </c>
      <c r="D2488" t="s">
        <v>7506</v>
      </c>
      <c r="E2488" t="s">
        <v>685</v>
      </c>
      <c r="F2488" t="s">
        <v>19241</v>
      </c>
    </row>
    <row r="2489" spans="1:6">
      <c r="A2489">
        <v>6004</v>
      </c>
      <c r="B2489" t="s">
        <v>3536</v>
      </c>
      <c r="C2489" t="str">
        <f>VLOOKUP(A2489,'Cost Center'!A:C,3,FALSE)</f>
        <v>C390023</v>
      </c>
      <c r="D2489" t="s">
        <v>7509</v>
      </c>
      <c r="E2489" t="s">
        <v>685</v>
      </c>
      <c r="F2489" t="s">
        <v>19242</v>
      </c>
    </row>
    <row r="2490" spans="1:6">
      <c r="A2490">
        <v>6005</v>
      </c>
      <c r="B2490" t="s">
        <v>3537</v>
      </c>
      <c r="C2490" t="str">
        <f>VLOOKUP(A2490,'Cost Center'!A:C,3,FALSE)</f>
        <v>C390024</v>
      </c>
      <c r="D2490" t="s">
        <v>3863</v>
      </c>
      <c r="E2490" t="s">
        <v>685</v>
      </c>
      <c r="F2490" t="s">
        <v>18331</v>
      </c>
    </row>
    <row r="2491" spans="1:6">
      <c r="A2491">
        <v>6006</v>
      </c>
      <c r="B2491" t="s">
        <v>3538</v>
      </c>
      <c r="C2491" t="str">
        <f>VLOOKUP(A2491,'Cost Center'!A:C,3,FALSE)</f>
        <v>C390025</v>
      </c>
      <c r="D2491" t="s">
        <v>7515</v>
      </c>
      <c r="E2491" t="s">
        <v>685</v>
      </c>
      <c r="F2491" t="s">
        <v>19244</v>
      </c>
    </row>
    <row r="2492" spans="1:6">
      <c r="A2492">
        <v>6007</v>
      </c>
      <c r="B2492" t="s">
        <v>3539</v>
      </c>
      <c r="C2492" t="str">
        <f>VLOOKUP(A2492,'Cost Center'!A:C,3,FALSE)</f>
        <v>C390026</v>
      </c>
      <c r="D2492" t="s">
        <v>7518</v>
      </c>
      <c r="E2492" t="s">
        <v>685</v>
      </c>
      <c r="F2492" t="s">
        <v>19245</v>
      </c>
    </row>
    <row r="2493" spans="1:6">
      <c r="A2493">
        <v>6010</v>
      </c>
      <c r="B2493" t="s">
        <v>3540</v>
      </c>
      <c r="C2493" t="str">
        <f>VLOOKUP(A2493,'Cost Center'!A:C,3,FALSE)</f>
        <v>C010595</v>
      </c>
      <c r="D2493" t="s">
        <v>3765</v>
      </c>
      <c r="E2493" t="s">
        <v>685</v>
      </c>
      <c r="F2493" t="s">
        <v>18298</v>
      </c>
    </row>
    <row r="2494" spans="1:6">
      <c r="A2494">
        <v>6011</v>
      </c>
      <c r="B2494" t="s">
        <v>3541</v>
      </c>
      <c r="C2494" t="str">
        <f>VLOOKUP(A2494,'Cost Center'!A:C,3,FALSE)</f>
        <v>C390028</v>
      </c>
      <c r="D2494" t="s">
        <v>7524</v>
      </c>
      <c r="E2494" t="s">
        <v>685</v>
      </c>
      <c r="F2494" t="s">
        <v>19247</v>
      </c>
    </row>
    <row r="2495" spans="1:6">
      <c r="A2495">
        <v>6014</v>
      </c>
      <c r="B2495" t="s">
        <v>3542</v>
      </c>
      <c r="C2495" t="str">
        <f>VLOOKUP(A2495,'Cost Center'!A:C,3,FALSE)</f>
        <v>C390029</v>
      </c>
      <c r="D2495" t="s">
        <v>7527</v>
      </c>
      <c r="E2495" t="s">
        <v>685</v>
      </c>
      <c r="F2495" t="s">
        <v>19248</v>
      </c>
    </row>
    <row r="2496" spans="1:6">
      <c r="A2496">
        <v>6015</v>
      </c>
      <c r="B2496" t="s">
        <v>3543</v>
      </c>
      <c r="C2496" t="str">
        <f>VLOOKUP(A2496,'Cost Center'!A:C,3,FALSE)</f>
        <v>C390030</v>
      </c>
      <c r="D2496" t="s">
        <v>3870</v>
      </c>
      <c r="E2496" t="s">
        <v>685</v>
      </c>
      <c r="F2496" t="s">
        <v>18332</v>
      </c>
    </row>
    <row r="2497" spans="1:6">
      <c r="A2497">
        <v>6016</v>
      </c>
      <c r="B2497" t="s">
        <v>3544</v>
      </c>
      <c r="C2497" t="str">
        <f>VLOOKUP(A2497,'Cost Center'!A:C,3,FALSE)</f>
        <v>C390031</v>
      </c>
      <c r="D2497" t="s">
        <v>7533</v>
      </c>
      <c r="E2497" t="s">
        <v>685</v>
      </c>
      <c r="F2497" t="s">
        <v>19250</v>
      </c>
    </row>
    <row r="2498" spans="1:6">
      <c r="A2498">
        <v>6017</v>
      </c>
      <c r="B2498" t="s">
        <v>3545</v>
      </c>
      <c r="C2498" t="str">
        <f>VLOOKUP(A2498,'Cost Center'!A:C,3,FALSE)</f>
        <v>C390032</v>
      </c>
      <c r="D2498" t="s">
        <v>7536</v>
      </c>
      <c r="E2498" t="s">
        <v>685</v>
      </c>
      <c r="F2498" t="s">
        <v>19251</v>
      </c>
    </row>
    <row r="2499" spans="1:6">
      <c r="A2499">
        <v>6018</v>
      </c>
      <c r="B2499" t="s">
        <v>3546</v>
      </c>
      <c r="C2499" t="str">
        <f>VLOOKUP(A2499,'Cost Center'!A:C,3,FALSE)</f>
        <v>C390033</v>
      </c>
      <c r="D2499" t="s">
        <v>7539</v>
      </c>
      <c r="E2499" t="s">
        <v>685</v>
      </c>
      <c r="F2499" t="s">
        <v>19252</v>
      </c>
    </row>
    <row r="2500" spans="1:6">
      <c r="A2500">
        <v>6020</v>
      </c>
      <c r="B2500" t="s">
        <v>3547</v>
      </c>
      <c r="C2500" t="str">
        <f>VLOOKUP(A2500,'Cost Center'!A:C,3,FALSE)</f>
        <v>C390034</v>
      </c>
      <c r="D2500" t="s">
        <v>7542</v>
      </c>
      <c r="E2500" t="s">
        <v>685</v>
      </c>
      <c r="F2500" t="s">
        <v>19253</v>
      </c>
    </row>
    <row r="2501" spans="1:6">
      <c r="A2501">
        <v>6021</v>
      </c>
      <c r="B2501" t="s">
        <v>3548</v>
      </c>
      <c r="C2501" t="str">
        <f>VLOOKUP(A2501,'Cost Center'!A:C,3,FALSE)</f>
        <v>C390035</v>
      </c>
      <c r="D2501" t="s">
        <v>7545</v>
      </c>
      <c r="E2501" t="s">
        <v>685</v>
      </c>
      <c r="F2501" t="s">
        <v>19254</v>
      </c>
    </row>
    <row r="2502" spans="1:6">
      <c r="A2502">
        <v>6022</v>
      </c>
      <c r="B2502" t="s">
        <v>3549</v>
      </c>
      <c r="C2502" t="str">
        <f>VLOOKUP(A2502,'Cost Center'!A:C,3,FALSE)</f>
        <v>C390036</v>
      </c>
      <c r="D2502" t="s">
        <v>7548</v>
      </c>
      <c r="E2502" t="s">
        <v>685</v>
      </c>
      <c r="F2502" t="s">
        <v>19255</v>
      </c>
    </row>
    <row r="2503" spans="1:6">
      <c r="A2503">
        <v>6024</v>
      </c>
      <c r="B2503" t="s">
        <v>3550</v>
      </c>
      <c r="C2503" t="str">
        <f>VLOOKUP(A2503,'Cost Center'!A:C,3,FALSE)</f>
        <v>C390037</v>
      </c>
      <c r="D2503" t="s">
        <v>7551</v>
      </c>
      <c r="E2503" t="s">
        <v>685</v>
      </c>
      <c r="F2503" t="s">
        <v>19256</v>
      </c>
    </row>
    <row r="2504" spans="1:6">
      <c r="A2504">
        <v>6025</v>
      </c>
      <c r="B2504" t="s">
        <v>3551</v>
      </c>
      <c r="C2504" t="e">
        <f>VLOOKUP(A2504,'Cost Center'!A:C,3,FALSE)</f>
        <v>#N/A</v>
      </c>
      <c r="D2504" t="s">
        <v>3624</v>
      </c>
      <c r="E2504" t="s">
        <v>685</v>
      </c>
      <c r="F2504" t="s">
        <v>20133</v>
      </c>
    </row>
    <row r="2505" spans="1:6">
      <c r="A2505">
        <v>6026</v>
      </c>
      <c r="B2505" t="s">
        <v>3552</v>
      </c>
      <c r="C2505" t="str">
        <f>VLOOKUP(A2505,'Cost Center'!A:C,3,FALSE)</f>
        <v>C390038</v>
      </c>
      <c r="D2505" t="s">
        <v>7554</v>
      </c>
      <c r="E2505" t="s">
        <v>685</v>
      </c>
      <c r="F2505" t="s">
        <v>19257</v>
      </c>
    </row>
    <row r="2506" spans="1:6">
      <c r="A2506">
        <v>6200</v>
      </c>
      <c r="B2506" t="s">
        <v>3553</v>
      </c>
      <c r="C2506" t="str">
        <f>VLOOKUP(A2506,'Cost Center'!A:C,3,FALSE)</f>
        <v>C390043</v>
      </c>
      <c r="D2506" t="s">
        <v>7568</v>
      </c>
      <c r="E2506" t="s">
        <v>685</v>
      </c>
      <c r="F2506" t="s">
        <v>19262</v>
      </c>
    </row>
    <row r="2507" spans="1:6">
      <c r="A2507">
        <v>6400</v>
      </c>
      <c r="B2507" t="s">
        <v>3554</v>
      </c>
      <c r="C2507" t="str">
        <f>VLOOKUP(A2507,'Cost Center'!A:C,3,FALSE)</f>
        <v>C390044</v>
      </c>
      <c r="D2507" t="s">
        <v>7571</v>
      </c>
      <c r="E2507" t="s">
        <v>685</v>
      </c>
      <c r="F2507" t="s">
        <v>19263</v>
      </c>
    </row>
    <row r="2508" spans="1:6">
      <c r="A2508">
        <v>6600</v>
      </c>
      <c r="B2508" t="s">
        <v>3555</v>
      </c>
      <c r="C2508" t="str">
        <f>VLOOKUP(A2508,'Cost Center'!A:C,3,FALSE)</f>
        <v>C390045</v>
      </c>
      <c r="D2508" t="s">
        <v>7574</v>
      </c>
      <c r="E2508" t="s">
        <v>685</v>
      </c>
      <c r="F2508" t="s">
        <v>19264</v>
      </c>
    </row>
    <row r="2509" spans="1:6">
      <c r="A2509">
        <v>7226</v>
      </c>
      <c r="B2509" t="s">
        <v>724</v>
      </c>
      <c r="C2509" t="str">
        <f>VLOOKUP(A2509,'Cost Center'!A:C,3,FALSE)</f>
        <v>C601019</v>
      </c>
      <c r="D2509" t="s">
        <v>9289</v>
      </c>
      <c r="E2509" t="s">
        <v>685</v>
      </c>
      <c r="F2509" t="s">
        <v>19487</v>
      </c>
    </row>
    <row r="2510" spans="1:6">
      <c r="A2510">
        <v>8107</v>
      </c>
      <c r="B2510" t="s">
        <v>3556</v>
      </c>
      <c r="C2510" t="str">
        <f>VLOOKUP(A2510,'Cost Center'!A:C,3,FALSE)</f>
        <v>C390046</v>
      </c>
      <c r="D2510" t="s">
        <v>7577</v>
      </c>
      <c r="E2510" t="s">
        <v>685</v>
      </c>
      <c r="F2510" t="s">
        <v>19265</v>
      </c>
    </row>
    <row r="2511" spans="1:6">
      <c r="A2511">
        <v>9001</v>
      </c>
      <c r="B2511" t="s">
        <v>3557</v>
      </c>
      <c r="C2511" t="str">
        <f>VLOOKUP(A2511,'Cost Center'!A:C,3,FALSE)</f>
        <v>C390047</v>
      </c>
      <c r="D2511" t="s">
        <v>7580</v>
      </c>
      <c r="E2511" t="s">
        <v>685</v>
      </c>
      <c r="F2511" t="s">
        <v>19266</v>
      </c>
    </row>
    <row r="2512" spans="1:6">
      <c r="A2512">
        <v>9100</v>
      </c>
      <c r="B2512" t="s">
        <v>3558</v>
      </c>
      <c r="C2512" t="str">
        <f>VLOOKUP(A2512,'Cost Center'!A:C,3,FALSE)</f>
        <v>C390048</v>
      </c>
      <c r="D2512" t="s">
        <v>7583</v>
      </c>
      <c r="E2512" t="s">
        <v>685</v>
      </c>
      <c r="F2512" t="s">
        <v>19267</v>
      </c>
    </row>
    <row r="2513" spans="1:6">
      <c r="A2513">
        <v>9105</v>
      </c>
      <c r="B2513" t="s">
        <v>3559</v>
      </c>
      <c r="C2513" t="str">
        <f>VLOOKUP(A2513,'Cost Center'!A:C,3,FALSE)</f>
        <v>C390049</v>
      </c>
      <c r="D2513" t="s">
        <v>5009</v>
      </c>
      <c r="E2513" t="s">
        <v>685</v>
      </c>
      <c r="F2513" t="s">
        <v>18475</v>
      </c>
    </row>
    <row r="2514" spans="1:6">
      <c r="A2514">
        <v>9110</v>
      </c>
      <c r="B2514" t="s">
        <v>3560</v>
      </c>
      <c r="C2514" t="str">
        <f>VLOOKUP(A2514,'Cost Center'!A:C,3,FALSE)</f>
        <v>C390050</v>
      </c>
      <c r="D2514" t="s">
        <v>7589</v>
      </c>
      <c r="E2514" t="s">
        <v>685</v>
      </c>
      <c r="F2514" t="s">
        <v>19269</v>
      </c>
    </row>
    <row r="2515" spans="1:6">
      <c r="A2515">
        <v>9989</v>
      </c>
      <c r="B2515" t="s">
        <v>3561</v>
      </c>
      <c r="C2515" t="str">
        <f>VLOOKUP(A2515,'Cost Center'!A:C,3,FALSE)</f>
        <v>C390054</v>
      </c>
      <c r="D2515" t="s">
        <v>7601</v>
      </c>
      <c r="E2515" t="s">
        <v>685</v>
      </c>
      <c r="F2515" t="s">
        <v>19273</v>
      </c>
    </row>
    <row r="2516" spans="1:6">
      <c r="A2516">
        <v>32173</v>
      </c>
      <c r="B2516" t="s">
        <v>3562</v>
      </c>
      <c r="C2516" t="str">
        <f>VLOOKUP(A2516,'Cost Center'!A:C,3,FALSE)</f>
        <v>C500102</v>
      </c>
      <c r="D2516" t="s">
        <v>7917</v>
      </c>
      <c r="E2516" t="s">
        <v>685</v>
      </c>
      <c r="F2516" t="s">
        <v>19335</v>
      </c>
    </row>
    <row r="2517" spans="1:6">
      <c r="A2517">
        <v>6300</v>
      </c>
      <c r="B2517" t="s">
        <v>3563</v>
      </c>
      <c r="C2517" t="str">
        <f>VLOOKUP(A2517,'Cost Center'!A:C,3,FALSE)</f>
        <v>C500504</v>
      </c>
      <c r="D2517" t="s">
        <v>8052</v>
      </c>
      <c r="E2517" t="s">
        <v>685</v>
      </c>
      <c r="F2517" t="s">
        <v>19375</v>
      </c>
    </row>
    <row r="2518" spans="1:6">
      <c r="A2518">
        <v>6301</v>
      </c>
      <c r="B2518" t="s">
        <v>3564</v>
      </c>
      <c r="C2518" t="str">
        <f>VLOOKUP(A2518,'Cost Center'!A:C,3,FALSE)</f>
        <v>C500505</v>
      </c>
      <c r="D2518" t="s">
        <v>8055</v>
      </c>
      <c r="E2518" t="s">
        <v>685</v>
      </c>
      <c r="F2518" t="s">
        <v>19376</v>
      </c>
    </row>
    <row r="2519" spans="1:6">
      <c r="A2519">
        <v>6302</v>
      </c>
      <c r="B2519" t="s">
        <v>3565</v>
      </c>
      <c r="C2519" t="str">
        <f>VLOOKUP(A2519,'Cost Center'!A:C,3,FALSE)</f>
        <v>C500506</v>
      </c>
      <c r="D2519" t="s">
        <v>8058</v>
      </c>
      <c r="E2519" t="s">
        <v>685</v>
      </c>
      <c r="F2519" t="s">
        <v>19377</v>
      </c>
    </row>
    <row r="2520" spans="1:6">
      <c r="A2520">
        <v>10141</v>
      </c>
      <c r="B2520" t="s">
        <v>3566</v>
      </c>
      <c r="C2520" t="e">
        <f>VLOOKUP(A2520,'Cost Center'!A:C,3,FALSE)</f>
        <v>#N/A</v>
      </c>
      <c r="D2520" t="s">
        <v>3624</v>
      </c>
      <c r="E2520" t="s">
        <v>685</v>
      </c>
      <c r="F2520" t="s">
        <v>20134</v>
      </c>
    </row>
    <row r="2521" spans="1:6">
      <c r="A2521">
        <v>10142</v>
      </c>
      <c r="B2521" t="s">
        <v>3567</v>
      </c>
      <c r="C2521" t="e">
        <f>VLOOKUP(A2521,'Cost Center'!A:C,3,FALSE)</f>
        <v>#N/A</v>
      </c>
      <c r="D2521" t="s">
        <v>3624</v>
      </c>
      <c r="E2521" t="s">
        <v>685</v>
      </c>
      <c r="F2521" t="s">
        <v>20135</v>
      </c>
    </row>
    <row r="2522" spans="1:6">
      <c r="A2522">
        <v>10143</v>
      </c>
      <c r="B2522" t="s">
        <v>3568</v>
      </c>
      <c r="C2522" t="str">
        <f>VLOOKUP(A2522,'Cost Center'!A:C,3,FALSE)</f>
        <v>C700000</v>
      </c>
      <c r="D2522" t="s">
        <v>10569</v>
      </c>
      <c r="E2522" t="s">
        <v>685</v>
      </c>
      <c r="F2522" t="s">
        <v>19541</v>
      </c>
    </row>
    <row r="2523" spans="1:6">
      <c r="A2523">
        <v>10144</v>
      </c>
      <c r="B2523" t="s">
        <v>3569</v>
      </c>
      <c r="C2523" t="e">
        <f>VLOOKUP(A2523,'Cost Center'!A:C,3,FALSE)</f>
        <v>#N/A</v>
      </c>
      <c r="D2523" t="s">
        <v>3624</v>
      </c>
      <c r="E2523" t="s">
        <v>685</v>
      </c>
      <c r="F2523" t="s">
        <v>20136</v>
      </c>
    </row>
    <row r="2524" spans="1:6">
      <c r="A2524">
        <v>10145</v>
      </c>
      <c r="B2524" t="s">
        <v>3570</v>
      </c>
      <c r="C2524" t="e">
        <f>VLOOKUP(A2524,'Cost Center'!A:C,3,FALSE)</f>
        <v>#N/A</v>
      </c>
      <c r="D2524" t="s">
        <v>3624</v>
      </c>
      <c r="E2524" t="s">
        <v>685</v>
      </c>
      <c r="F2524" t="s">
        <v>20137</v>
      </c>
    </row>
    <row r="2525" spans="1:6">
      <c r="A2525">
        <v>10146</v>
      </c>
      <c r="B2525" t="s">
        <v>3571</v>
      </c>
      <c r="C2525" t="e">
        <f>VLOOKUP(A2525,'Cost Center'!A:C,3,FALSE)</f>
        <v>#N/A</v>
      </c>
      <c r="D2525" t="s">
        <v>3624</v>
      </c>
      <c r="E2525" t="s">
        <v>685</v>
      </c>
      <c r="F2525" t="s">
        <v>20138</v>
      </c>
    </row>
    <row r="2526" spans="1:6">
      <c r="A2526">
        <v>10149</v>
      </c>
      <c r="B2526" t="s">
        <v>3572</v>
      </c>
      <c r="C2526" t="e">
        <f>VLOOKUP(A2526,'Cost Center'!A:C,3,FALSE)</f>
        <v>#N/A</v>
      </c>
      <c r="D2526" t="s">
        <v>3624</v>
      </c>
      <c r="E2526" t="s">
        <v>685</v>
      </c>
      <c r="F2526" t="s">
        <v>20139</v>
      </c>
    </row>
    <row r="2527" spans="1:6">
      <c r="A2527">
        <v>113700</v>
      </c>
      <c r="B2527" t="s">
        <v>3573</v>
      </c>
      <c r="C2527" t="str">
        <f>VLOOKUP(A2527,'Cost Center'!A:C,3,FALSE)</f>
        <v>C700045</v>
      </c>
      <c r="D2527" t="s">
        <v>10712</v>
      </c>
      <c r="E2527" t="s">
        <v>685</v>
      </c>
      <c r="F2527" t="s">
        <v>19570</v>
      </c>
    </row>
    <row r="2528" spans="1:6">
      <c r="A2528">
        <v>2018</v>
      </c>
      <c r="B2528" t="s">
        <v>3574</v>
      </c>
      <c r="C2528" t="str">
        <f>VLOOKUP(A2528,'Cost Center'!A:C,3,FALSE)</f>
        <v>C700046</v>
      </c>
      <c r="D2528" t="s">
        <v>10715</v>
      </c>
      <c r="E2528" t="s">
        <v>685</v>
      </c>
      <c r="F2528" t="s">
        <v>19571</v>
      </c>
    </row>
    <row r="2529" spans="1:6">
      <c r="A2529">
        <v>2030</v>
      </c>
      <c r="B2529" t="s">
        <v>3575</v>
      </c>
      <c r="C2529" t="str">
        <f>VLOOKUP(A2529,'Cost Center'!A:C,3,FALSE)</f>
        <v>C700040</v>
      </c>
      <c r="D2529" t="s">
        <v>10696</v>
      </c>
      <c r="E2529" t="s">
        <v>685</v>
      </c>
      <c r="F2529" t="s">
        <v>19566</v>
      </c>
    </row>
    <row r="2530" spans="1:6">
      <c r="A2530">
        <v>3020</v>
      </c>
      <c r="B2530" t="s">
        <v>3576</v>
      </c>
      <c r="C2530" t="str">
        <f>VLOOKUP(A2530,'Cost Center'!A:C,3,FALSE)</f>
        <v>C700041</v>
      </c>
      <c r="D2530" t="s">
        <v>10699</v>
      </c>
      <c r="E2530" t="s">
        <v>685</v>
      </c>
      <c r="F2530" t="s">
        <v>19567</v>
      </c>
    </row>
    <row r="2531" spans="1:6">
      <c r="A2531">
        <v>5030</v>
      </c>
      <c r="B2531" t="s">
        <v>3577</v>
      </c>
      <c r="C2531" t="str">
        <f>VLOOKUP(A2531,'Cost Center'!A:C,3,FALSE)</f>
        <v>C700042</v>
      </c>
      <c r="D2531" t="s">
        <v>3715</v>
      </c>
      <c r="E2531" t="s">
        <v>685</v>
      </c>
      <c r="F2531" t="s">
        <v>18284</v>
      </c>
    </row>
    <row r="2532" spans="1:6">
      <c r="A2532">
        <v>93026</v>
      </c>
      <c r="B2532" t="s">
        <v>3578</v>
      </c>
      <c r="C2532" t="e">
        <f>VLOOKUP(A2532,'Cost Center'!A:C,3,FALSE)</f>
        <v>#N/A</v>
      </c>
      <c r="D2532" t="s">
        <v>3624</v>
      </c>
      <c r="E2532" t="s">
        <v>685</v>
      </c>
      <c r="F2532" t="s">
        <v>20140</v>
      </c>
    </row>
    <row r="2533" spans="1:6">
      <c r="A2533" t="s">
        <v>3579</v>
      </c>
      <c r="B2533" t="s">
        <v>3580</v>
      </c>
      <c r="C2533" t="e">
        <f>VLOOKUP(A2533,'Cost Center'!A:C,3,FALSE)</f>
        <v>#N/A</v>
      </c>
      <c r="D2533" t="e">
        <v>#N/A</v>
      </c>
      <c r="E2533" t="s">
        <v>685</v>
      </c>
      <c r="F2533" t="s">
        <v>3579</v>
      </c>
    </row>
    <row r="2534" spans="1:6">
      <c r="A2534">
        <v>11983</v>
      </c>
      <c r="B2534" t="s">
        <v>3581</v>
      </c>
      <c r="C2534" t="str">
        <f>VLOOKUP(A2534,'Cost Center'!A:C,3,FALSE)</f>
        <v>C030800</v>
      </c>
      <c r="D2534" t="s">
        <v>3927</v>
      </c>
      <c r="E2534" t="s">
        <v>685</v>
      </c>
      <c r="F2534" t="s">
        <v>18351</v>
      </c>
    </row>
    <row r="2535" spans="1:6">
      <c r="A2535">
        <v>51917</v>
      </c>
      <c r="B2535" t="s">
        <v>3582</v>
      </c>
      <c r="C2535" t="str">
        <f>VLOOKUP(A2535,'Cost Center'!A:C,3,FALSE)</f>
        <v>C702001</v>
      </c>
      <c r="D2535" t="s">
        <v>6043</v>
      </c>
      <c r="E2535" t="s">
        <v>685</v>
      </c>
      <c r="F2535" t="s">
        <v>18784</v>
      </c>
    </row>
    <row r="2536" spans="1:6">
      <c r="A2536">
        <v>51919</v>
      </c>
      <c r="B2536" t="s">
        <v>3583</v>
      </c>
      <c r="C2536" t="str">
        <f>VLOOKUP(A2536,'Cost Center'!A:C,3,FALSE)</f>
        <v>C702002</v>
      </c>
      <c r="D2536" t="s">
        <v>6052</v>
      </c>
      <c r="E2536" t="s">
        <v>685</v>
      </c>
      <c r="F2536" t="s">
        <v>18788</v>
      </c>
    </row>
    <row r="2537" spans="1:6">
      <c r="A2537">
        <v>51921</v>
      </c>
      <c r="B2537" t="s">
        <v>3584</v>
      </c>
      <c r="C2537" t="str">
        <f>VLOOKUP(A2537,'Cost Center'!A:C,3,FALSE)</f>
        <v>C030801</v>
      </c>
      <c r="D2537" t="s">
        <v>6060</v>
      </c>
      <c r="E2537" t="s">
        <v>685</v>
      </c>
      <c r="F2537" t="s">
        <v>18791</v>
      </c>
    </row>
    <row r="2538" spans="1:6">
      <c r="A2538">
        <v>51923</v>
      </c>
      <c r="B2538" t="s">
        <v>3585</v>
      </c>
      <c r="C2538" t="str">
        <f>VLOOKUP(A2538,'Cost Center'!A:C,3,FALSE)</f>
        <v>C702003</v>
      </c>
      <c r="D2538" t="s">
        <v>6068</v>
      </c>
      <c r="E2538" t="s">
        <v>685</v>
      </c>
      <c r="F2538" t="s">
        <v>18794</v>
      </c>
    </row>
    <row r="2539" spans="1:6">
      <c r="D2539" t="s">
        <v>5968</v>
      </c>
      <c r="E2539" t="s">
        <v>708</v>
      </c>
    </row>
    <row r="2540" spans="1:6">
      <c r="D2540" t="s">
        <v>4030</v>
      </c>
      <c r="E2540" t="s">
        <v>708</v>
      </c>
    </row>
    <row r="2541" spans="1:6">
      <c r="D2541" t="s">
        <v>18178</v>
      </c>
      <c r="E2541" t="s">
        <v>708</v>
      </c>
    </row>
    <row r="2542" spans="1:6">
      <c r="D2542" t="s">
        <v>18169</v>
      </c>
      <c r="E2542" t="s">
        <v>708</v>
      </c>
    </row>
    <row r="2543" spans="1:6">
      <c r="D2543" t="s">
        <v>18173</v>
      </c>
      <c r="E2543" t="s">
        <v>708</v>
      </c>
    </row>
    <row r="2544" spans="1:6">
      <c r="D2544" t="s">
        <v>18170</v>
      </c>
      <c r="E2544" t="s">
        <v>708</v>
      </c>
    </row>
    <row r="2545" spans="4:5">
      <c r="D2545" t="s">
        <v>18171</v>
      </c>
      <c r="E2545" t="s">
        <v>708</v>
      </c>
    </row>
    <row r="2546" spans="4:5">
      <c r="D2546" t="s">
        <v>18174</v>
      </c>
      <c r="E2546" t="s">
        <v>708</v>
      </c>
    </row>
    <row r="2547" spans="4:5">
      <c r="D2547" t="s">
        <v>18172</v>
      </c>
      <c r="E2547" t="s">
        <v>708</v>
      </c>
    </row>
    <row r="2548" spans="4:5">
      <c r="D2548" t="s">
        <v>18175</v>
      </c>
      <c r="E2548" t="s">
        <v>708</v>
      </c>
    </row>
    <row r="2549" spans="4:5">
      <c r="D2549" t="s">
        <v>18176</v>
      </c>
      <c r="E2549" t="s">
        <v>708</v>
      </c>
    </row>
    <row r="2550" spans="4:5">
      <c r="D2550" t="s">
        <v>20141</v>
      </c>
      <c r="E2550" t="s">
        <v>708</v>
      </c>
    </row>
    <row r="2551" spans="4:5">
      <c r="D2551" t="s">
        <v>18177</v>
      </c>
      <c r="E2551" t="s">
        <v>708</v>
      </c>
    </row>
    <row r="2552" spans="4:5">
      <c r="D2552" t="s">
        <v>20142</v>
      </c>
      <c r="E2552" t="s">
        <v>708</v>
      </c>
    </row>
    <row r="2553" spans="4:5">
      <c r="D2553" t="s">
        <v>7076</v>
      </c>
      <c r="E2553" t="s">
        <v>708</v>
      </c>
    </row>
    <row r="2554" spans="4:5">
      <c r="D2554" t="s">
        <v>8609</v>
      </c>
      <c r="E2554" t="s">
        <v>708</v>
      </c>
    </row>
    <row r="2555" spans="4:5">
      <c r="D2555" t="s">
        <v>5153</v>
      </c>
      <c r="E2555" t="s">
        <v>708</v>
      </c>
    </row>
    <row r="2556" spans="4:5">
      <c r="D2556" t="s">
        <v>5518</v>
      </c>
      <c r="E2556" t="s">
        <v>708</v>
      </c>
    </row>
    <row r="2557" spans="4:5">
      <c r="D2557" t="s">
        <v>18179</v>
      </c>
      <c r="E2557" t="s">
        <v>708</v>
      </c>
    </row>
    <row r="2558" spans="4:5">
      <c r="D2558" t="s">
        <v>18180</v>
      </c>
      <c r="E2558" t="s">
        <v>708</v>
      </c>
    </row>
    <row r="2559" spans="4:5">
      <c r="D2559" t="s">
        <v>18181</v>
      </c>
      <c r="E2559" t="s">
        <v>708</v>
      </c>
    </row>
    <row r="2560" spans="4:5">
      <c r="D2560" t="s">
        <v>18182</v>
      </c>
      <c r="E2560" t="s">
        <v>708</v>
      </c>
    </row>
    <row r="2561" spans="2:5">
      <c r="D2561" t="s">
        <v>18183</v>
      </c>
      <c r="E2561" t="s">
        <v>766</v>
      </c>
    </row>
    <row r="2562" spans="2:5">
      <c r="D2562" t="s">
        <v>18184</v>
      </c>
      <c r="E2562" t="s">
        <v>685</v>
      </c>
    </row>
    <row r="2563" spans="2:5">
      <c r="D2563" t="s">
        <v>18185</v>
      </c>
      <c r="E2563" t="s">
        <v>766</v>
      </c>
    </row>
    <row r="2564" spans="2:5">
      <c r="D2564" t="s">
        <v>7888</v>
      </c>
      <c r="E2564" t="s">
        <v>685</v>
      </c>
    </row>
    <row r="2565" spans="2:5">
      <c r="D2565" t="s">
        <v>7703</v>
      </c>
      <c r="E2565" t="s">
        <v>685</v>
      </c>
    </row>
    <row r="2566" spans="2:5">
      <c r="B2566" t="s">
        <v>12076</v>
      </c>
      <c r="D2566" t="s">
        <v>12075</v>
      </c>
      <c r="E2566" t="s">
        <v>708</v>
      </c>
    </row>
    <row r="2567" spans="2:5">
      <c r="B2567" t="s">
        <v>19776</v>
      </c>
      <c r="D2567" t="s">
        <v>19775</v>
      </c>
      <c r="E2567" t="s">
        <v>766</v>
      </c>
    </row>
    <row r="2568" spans="2:5">
      <c r="B2568" t="s">
        <v>19730</v>
      </c>
      <c r="D2568" t="s">
        <v>18186</v>
      </c>
      <c r="E2568" t="s">
        <v>685</v>
      </c>
    </row>
    <row r="2569" spans="2:5">
      <c r="B2569" t="s">
        <v>19727</v>
      </c>
      <c r="D2569" t="s">
        <v>18187</v>
      </c>
      <c r="E2569" t="s">
        <v>685</v>
      </c>
    </row>
    <row r="2570" spans="2:5">
      <c r="B2570" t="s">
        <v>19724</v>
      </c>
      <c r="D2570" t="s">
        <v>18188</v>
      </c>
      <c r="E2570" t="s">
        <v>685</v>
      </c>
    </row>
    <row r="2571" spans="2:5">
      <c r="B2571" t="s">
        <v>19780</v>
      </c>
      <c r="D2571" t="s">
        <v>19779</v>
      </c>
      <c r="E2571" t="s">
        <v>685</v>
      </c>
    </row>
    <row r="2572" spans="2:5">
      <c r="D2572" t="s">
        <v>8249</v>
      </c>
      <c r="E2572" t="s">
        <v>685</v>
      </c>
    </row>
    <row r="2573" spans="2:5">
      <c r="D2573" t="s">
        <v>8255</v>
      </c>
      <c r="E2573" t="s">
        <v>685</v>
      </c>
    </row>
    <row r="2574" spans="2:5">
      <c r="D2574" t="s">
        <v>18189</v>
      </c>
      <c r="E2574" t="s">
        <v>685</v>
      </c>
    </row>
    <row r="2575" spans="2:5">
      <c r="D2575" t="s">
        <v>8420</v>
      </c>
      <c r="E2575" t="s">
        <v>685</v>
      </c>
    </row>
    <row r="2576" spans="2:5">
      <c r="D2576" t="s">
        <v>8431</v>
      </c>
      <c r="E2576" t="s">
        <v>685</v>
      </c>
    </row>
    <row r="2577" spans="1:6">
      <c r="D2577" t="s">
        <v>8441</v>
      </c>
      <c r="E2577" t="s">
        <v>685</v>
      </c>
    </row>
    <row r="2578" spans="1:6">
      <c r="D2578" t="s">
        <v>5282</v>
      </c>
      <c r="E2578" t="s">
        <v>766</v>
      </c>
    </row>
    <row r="2579" spans="1:6">
      <c r="D2579" t="s">
        <v>10510</v>
      </c>
      <c r="E2579" t="s">
        <v>708</v>
      </c>
    </row>
    <row r="2580" spans="1:6">
      <c r="D2580" t="s">
        <v>18190</v>
      </c>
      <c r="E2580" t="s">
        <v>708</v>
      </c>
    </row>
    <row r="2581" spans="1:6">
      <c r="A2581" t="s">
        <v>2797</v>
      </c>
      <c r="B2581" t="s">
        <v>11345</v>
      </c>
      <c r="D2581" t="s">
        <v>19772</v>
      </c>
      <c r="E2581" t="s">
        <v>685</v>
      </c>
    </row>
    <row r="2582" spans="1:6">
      <c r="A2582" t="s">
        <v>19740</v>
      </c>
      <c r="B2582" t="s">
        <v>19741</v>
      </c>
      <c r="C2582" t="s">
        <v>19742</v>
      </c>
      <c r="D2582" t="s">
        <v>19742</v>
      </c>
      <c r="E2582" t="s">
        <v>685</v>
      </c>
      <c r="F2582" t="s">
        <v>19740</v>
      </c>
    </row>
    <row r="2583" spans="1:6">
      <c r="A2583" t="s">
        <v>19744</v>
      </c>
      <c r="B2583" t="s">
        <v>19745</v>
      </c>
      <c r="C2583" t="s">
        <v>19746</v>
      </c>
      <c r="D2583" t="s">
        <v>19746</v>
      </c>
      <c r="E2583" t="s">
        <v>685</v>
      </c>
      <c r="F2583" t="s">
        <v>19744</v>
      </c>
    </row>
    <row r="2584" spans="1:6">
      <c r="A2584" t="s">
        <v>19755</v>
      </c>
      <c r="B2584" t="s">
        <v>19756</v>
      </c>
      <c r="C2584" t="s">
        <v>19757</v>
      </c>
      <c r="D2584" t="s">
        <v>19757</v>
      </c>
      <c r="E2584" t="s">
        <v>685</v>
      </c>
      <c r="F2584" t="s">
        <v>19755</v>
      </c>
    </row>
    <row r="2585" spans="1:6">
      <c r="C2585" t="s">
        <v>20143</v>
      </c>
      <c r="D2585" t="s">
        <v>20143</v>
      </c>
      <c r="E2585" t="s">
        <v>685</v>
      </c>
    </row>
    <row r="2586" spans="1:6">
      <c r="C2586" t="s">
        <v>20144</v>
      </c>
      <c r="D2586" t="s">
        <v>20144</v>
      </c>
      <c r="E2586" t="s">
        <v>685</v>
      </c>
    </row>
    <row r="2587" spans="1:6">
      <c r="C2587" t="s">
        <v>19753</v>
      </c>
      <c r="D2587" t="s">
        <v>19753</v>
      </c>
      <c r="E2587" t="s">
        <v>685</v>
      </c>
    </row>
    <row r="2588" spans="1:6">
      <c r="A2588" t="s">
        <v>20149</v>
      </c>
      <c r="B2588" t="s">
        <v>20148</v>
      </c>
      <c r="C2588" t="s">
        <v>20145</v>
      </c>
      <c r="D2588" t="s">
        <v>20145</v>
      </c>
      <c r="E2588" t="s">
        <v>708</v>
      </c>
    </row>
    <row r="2589" spans="1:6">
      <c r="A2589">
        <v>104110</v>
      </c>
      <c r="B2589" t="s">
        <v>20150</v>
      </c>
      <c r="C2589" t="s">
        <v>20146</v>
      </c>
      <c r="D2589" t="s">
        <v>20146</v>
      </c>
      <c r="E2589" t="s">
        <v>685</v>
      </c>
    </row>
    <row r="2590" spans="1:6">
      <c r="A2590">
        <v>104210</v>
      </c>
      <c r="B2590" t="s">
        <v>20151</v>
      </c>
      <c r="C2590" t="s">
        <v>20147</v>
      </c>
      <c r="D2590" t="s">
        <v>20147</v>
      </c>
      <c r="E2590" t="s">
        <v>685</v>
      </c>
    </row>
    <row r="2591" spans="1:6">
      <c r="A2591" t="s">
        <v>19759</v>
      </c>
      <c r="B2591" t="s">
        <v>19760</v>
      </c>
      <c r="C2591" t="s">
        <v>19761</v>
      </c>
      <c r="D2591" t="s">
        <v>19761</v>
      </c>
      <c r="E2591" t="s">
        <v>685</v>
      </c>
    </row>
    <row r="2592" spans="1:6">
      <c r="A2592">
        <v>113860</v>
      </c>
      <c r="B2592" t="s">
        <v>20155</v>
      </c>
      <c r="C2592" t="s">
        <v>20152</v>
      </c>
      <c r="D2592" t="s">
        <v>20152</v>
      </c>
      <c r="E2592" t="s">
        <v>708</v>
      </c>
    </row>
    <row r="2593" spans="1:5">
      <c r="A2593" t="s">
        <v>20157</v>
      </c>
      <c r="B2593" t="s">
        <v>20156</v>
      </c>
      <c r="C2593" t="s">
        <v>20153</v>
      </c>
      <c r="D2593" t="s">
        <v>20153</v>
      </c>
      <c r="E2593" t="s">
        <v>685</v>
      </c>
    </row>
    <row r="2594" spans="1:5">
      <c r="A2594" t="s">
        <v>20159</v>
      </c>
      <c r="B2594" t="s">
        <v>20158</v>
      </c>
      <c r="C2594" t="s">
        <v>20154</v>
      </c>
      <c r="D2594" t="s">
        <v>20154</v>
      </c>
      <c r="E2594" t="s">
        <v>685</v>
      </c>
    </row>
    <row r="2595" spans="1:5">
      <c r="A2595">
        <v>104336</v>
      </c>
      <c r="B2595" t="s">
        <v>20161</v>
      </c>
      <c r="C2595" t="s">
        <v>20160</v>
      </c>
      <c r="D2595" t="s">
        <v>20160</v>
      </c>
      <c r="E2595" t="s">
        <v>766</v>
      </c>
    </row>
    <row r="2596" spans="1:5">
      <c r="B2596" t="s">
        <v>20167</v>
      </c>
      <c r="C2596" t="s">
        <v>20163</v>
      </c>
      <c r="D2596" t="s">
        <v>20163</v>
      </c>
      <c r="E2596" t="s">
        <v>708</v>
      </c>
    </row>
    <row r="2597" spans="1:5">
      <c r="B2597" t="s">
        <v>20168</v>
      </c>
      <c r="C2597" t="s">
        <v>20164</v>
      </c>
      <c r="D2597" t="s">
        <v>20164</v>
      </c>
      <c r="E2597" t="s">
        <v>708</v>
      </c>
    </row>
    <row r="2598" spans="1:5">
      <c r="B2598" t="s">
        <v>20169</v>
      </c>
      <c r="C2598" t="s">
        <v>20165</v>
      </c>
      <c r="D2598" t="s">
        <v>20165</v>
      </c>
      <c r="E2598" t="s">
        <v>685</v>
      </c>
    </row>
    <row r="2599" spans="1:5">
      <c r="B2599" t="s">
        <v>20170</v>
      </c>
      <c r="C2599" t="s">
        <v>20166</v>
      </c>
      <c r="D2599" t="s">
        <v>20166</v>
      </c>
      <c r="E2599" t="s">
        <v>685</v>
      </c>
    </row>
    <row r="2600" spans="1:5">
      <c r="B2600" t="s">
        <v>5506</v>
      </c>
      <c r="C2600" t="s">
        <v>5505</v>
      </c>
      <c r="D2600" t="s">
        <v>5505</v>
      </c>
      <c r="E2600" t="s">
        <v>708</v>
      </c>
    </row>
    <row r="2601" spans="1:5">
      <c r="A2601">
        <v>7703</v>
      </c>
      <c r="B2601" t="s">
        <v>20175</v>
      </c>
      <c r="C2601" t="s">
        <v>20171</v>
      </c>
      <c r="D2601" t="s">
        <v>20171</v>
      </c>
      <c r="E2601" t="s">
        <v>708</v>
      </c>
    </row>
    <row r="2602" spans="1:5">
      <c r="A2602">
        <v>104364</v>
      </c>
      <c r="B2602" t="s">
        <v>20176</v>
      </c>
      <c r="C2602" t="s">
        <v>20172</v>
      </c>
      <c r="D2602" t="s">
        <v>20172</v>
      </c>
      <c r="E2602" t="s">
        <v>708</v>
      </c>
    </row>
    <row r="2603" spans="1:5">
      <c r="A2603" t="s">
        <v>3151</v>
      </c>
      <c r="B2603" t="s">
        <v>20184</v>
      </c>
      <c r="C2603" t="s">
        <v>20181</v>
      </c>
      <c r="D2603" t="s">
        <v>20181</v>
      </c>
      <c r="E2603" t="s">
        <v>766</v>
      </c>
    </row>
    <row r="2604" spans="1:5">
      <c r="A2604" t="s">
        <v>12425</v>
      </c>
      <c r="B2604" t="s">
        <v>12428</v>
      </c>
      <c r="C2604" t="s">
        <v>12427</v>
      </c>
      <c r="D2604" t="s">
        <v>12427</v>
      </c>
      <c r="E2604" t="s">
        <v>766</v>
      </c>
    </row>
    <row r="2605" spans="1:5">
      <c r="A2605" t="s">
        <v>20177</v>
      </c>
      <c r="B2605" t="s">
        <v>20185</v>
      </c>
      <c r="C2605" t="s">
        <v>20182</v>
      </c>
      <c r="D2605" t="s">
        <v>20182</v>
      </c>
      <c r="E2605" t="s">
        <v>766</v>
      </c>
    </row>
    <row r="2606" spans="1:5">
      <c r="A2606" t="s">
        <v>20178</v>
      </c>
      <c r="B2606" t="s">
        <v>20186</v>
      </c>
      <c r="C2606" t="s">
        <v>20183</v>
      </c>
      <c r="D2606" t="s">
        <v>20183</v>
      </c>
      <c r="E2606" t="s">
        <v>766</v>
      </c>
    </row>
    <row r="2607" spans="1:5">
      <c r="A2607" t="s">
        <v>20179</v>
      </c>
      <c r="B2607" t="s">
        <v>20187</v>
      </c>
      <c r="C2607" t="s">
        <v>20173</v>
      </c>
      <c r="D2607" t="s">
        <v>20173</v>
      </c>
      <c r="E2607" t="s">
        <v>766</v>
      </c>
    </row>
    <row r="2608" spans="1:5">
      <c r="A2608" t="s">
        <v>20180</v>
      </c>
      <c r="B2608" t="s">
        <v>20188</v>
      </c>
      <c r="C2608" t="s">
        <v>20174</v>
      </c>
      <c r="D2608" t="s">
        <v>20174</v>
      </c>
      <c r="E2608" t="s">
        <v>766</v>
      </c>
    </row>
    <row r="2609" spans="1:5">
      <c r="A2609" s="2">
        <v>104337</v>
      </c>
      <c r="B2609" t="s">
        <v>20200</v>
      </c>
      <c r="C2609" t="s">
        <v>20189</v>
      </c>
      <c r="D2609" t="s">
        <v>20189</v>
      </c>
      <c r="E2609" t="s">
        <v>766</v>
      </c>
    </row>
    <row r="2610" spans="1:5">
      <c r="A2610">
        <v>104339</v>
      </c>
      <c r="B2610" t="s">
        <v>20201</v>
      </c>
      <c r="C2610" t="s">
        <v>20191</v>
      </c>
      <c r="D2610" t="s">
        <v>20191</v>
      </c>
      <c r="E2610" t="s">
        <v>766</v>
      </c>
    </row>
    <row r="2611" spans="1:5">
      <c r="A2611">
        <v>5049</v>
      </c>
      <c r="B2611" t="s">
        <v>3815</v>
      </c>
      <c r="C2611" t="s">
        <v>3814</v>
      </c>
      <c r="D2611" t="s">
        <v>3814</v>
      </c>
      <c r="E2611" t="s">
        <v>685</v>
      </c>
    </row>
    <row r="2612" spans="1:5">
      <c r="A2612">
        <v>104344</v>
      </c>
      <c r="B2612" t="s">
        <v>20202</v>
      </c>
      <c r="C2612" t="s">
        <v>20196</v>
      </c>
      <c r="D2612" t="s">
        <v>20196</v>
      </c>
      <c r="E2612" t="s">
        <v>685</v>
      </c>
    </row>
    <row r="2613" spans="1:5">
      <c r="A2613" t="s">
        <v>20206</v>
      </c>
      <c r="B2613" t="s">
        <v>20203</v>
      </c>
      <c r="C2613" t="s">
        <v>20197</v>
      </c>
      <c r="D2613" t="s">
        <v>20197</v>
      </c>
      <c r="E2613" t="s">
        <v>685</v>
      </c>
    </row>
    <row r="2614" spans="1:5">
      <c r="A2614" t="s">
        <v>20205</v>
      </c>
      <c r="B2614" t="s">
        <v>20204</v>
      </c>
      <c r="C2614" t="s">
        <v>20199</v>
      </c>
      <c r="D2614" t="s">
        <v>20199</v>
      </c>
      <c r="E2614" t="s">
        <v>685</v>
      </c>
    </row>
    <row r="2615" spans="1:5">
      <c r="A2615" t="s">
        <v>20212</v>
      </c>
      <c r="B2615" t="s">
        <v>20211</v>
      </c>
      <c r="C2615" t="s">
        <v>20190</v>
      </c>
      <c r="D2615" t="s">
        <v>20190</v>
      </c>
      <c r="E2615" t="s">
        <v>766</v>
      </c>
    </row>
    <row r="2616" spans="1:5">
      <c r="A2616" t="s">
        <v>20214</v>
      </c>
      <c r="B2616" t="s">
        <v>20213</v>
      </c>
      <c r="C2616" t="s">
        <v>20208</v>
      </c>
      <c r="D2616" t="s">
        <v>20208</v>
      </c>
      <c r="E2616" t="s">
        <v>766</v>
      </c>
    </row>
    <row r="2617" spans="1:5">
      <c r="A2617" t="s">
        <v>20216</v>
      </c>
      <c r="B2617" t="s">
        <v>20215</v>
      </c>
      <c r="C2617" t="s">
        <v>20192</v>
      </c>
      <c r="D2617" t="s">
        <v>20192</v>
      </c>
      <c r="E2617" t="s">
        <v>685</v>
      </c>
    </row>
    <row r="2618" spans="1:5">
      <c r="A2618" t="s">
        <v>20220</v>
      </c>
      <c r="B2618" t="s">
        <v>20217</v>
      </c>
      <c r="C2618" t="s">
        <v>20193</v>
      </c>
      <c r="D2618" t="s">
        <v>20193</v>
      </c>
      <c r="E2618" t="s">
        <v>685</v>
      </c>
    </row>
    <row r="2619" spans="1:5">
      <c r="A2619" t="s">
        <v>20221</v>
      </c>
      <c r="B2619" t="s">
        <v>20218</v>
      </c>
      <c r="C2619" t="s">
        <v>20194</v>
      </c>
      <c r="D2619" t="s">
        <v>20194</v>
      </c>
      <c r="E2619" t="s">
        <v>685</v>
      </c>
    </row>
    <row r="2620" spans="1:5">
      <c r="A2620" t="s">
        <v>20222</v>
      </c>
      <c r="B2620" t="s">
        <v>20219</v>
      </c>
      <c r="C2620" t="s">
        <v>20195</v>
      </c>
      <c r="D2620" t="s">
        <v>20195</v>
      </c>
      <c r="E2620" t="s">
        <v>685</v>
      </c>
    </row>
    <row r="2621" spans="1:5">
      <c r="A2621" t="s">
        <v>20223</v>
      </c>
      <c r="B2621" t="s">
        <v>20226</v>
      </c>
      <c r="C2621" t="s">
        <v>20209</v>
      </c>
      <c r="D2621" t="s">
        <v>20209</v>
      </c>
      <c r="E2621" t="s">
        <v>685</v>
      </c>
    </row>
    <row r="2622" spans="1:5">
      <c r="A2622" t="s">
        <v>20224</v>
      </c>
      <c r="B2622" t="s">
        <v>20227</v>
      </c>
      <c r="C2622" t="s">
        <v>20210</v>
      </c>
      <c r="D2622" t="s">
        <v>20210</v>
      </c>
      <c r="E2622" t="s">
        <v>685</v>
      </c>
    </row>
    <row r="2623" spans="1:5">
      <c r="A2623" t="s">
        <v>20225</v>
      </c>
      <c r="B2623" t="s">
        <v>20228</v>
      </c>
      <c r="C2623" t="s">
        <v>20198</v>
      </c>
      <c r="D2623" t="s">
        <v>20198</v>
      </c>
      <c r="E2623" t="s">
        <v>685</v>
      </c>
    </row>
    <row r="2624" spans="1:5">
      <c r="A2624" s="2">
        <v>104363</v>
      </c>
      <c r="B2624" t="s">
        <v>20229</v>
      </c>
      <c r="C2624" t="s">
        <v>20207</v>
      </c>
      <c r="D2624" t="s">
        <v>20207</v>
      </c>
      <c r="E2624" t="s">
        <v>766</v>
      </c>
    </row>
    <row r="2625" spans="1:5">
      <c r="A2625" t="s">
        <v>20232</v>
      </c>
      <c r="B2625" t="s">
        <v>20231</v>
      </c>
      <c r="C2625" t="s">
        <v>20230</v>
      </c>
      <c r="D2625" t="s">
        <v>20230</v>
      </c>
      <c r="E2625" t="s">
        <v>685</v>
      </c>
    </row>
    <row r="2626" spans="1:5">
      <c r="A2626" t="s">
        <v>20237</v>
      </c>
      <c r="B2626" t="s">
        <v>20238</v>
      </c>
      <c r="C2626" t="s">
        <v>20236</v>
      </c>
      <c r="D2626" t="s">
        <v>20236</v>
      </c>
      <c r="E2626" t="s">
        <v>708</v>
      </c>
    </row>
    <row r="2627" spans="1:5">
      <c r="A2627" t="s">
        <v>20239</v>
      </c>
      <c r="B2627" t="s">
        <v>20240</v>
      </c>
      <c r="C2627" t="s">
        <v>20233</v>
      </c>
      <c r="D2627" t="s">
        <v>20233</v>
      </c>
      <c r="E2627" t="s">
        <v>685</v>
      </c>
    </row>
    <row r="2628" spans="1:5">
      <c r="A2628" t="s">
        <v>20241</v>
      </c>
      <c r="B2628" t="s">
        <v>20242</v>
      </c>
      <c r="C2628" t="s">
        <v>20234</v>
      </c>
      <c r="D2628" t="s">
        <v>20234</v>
      </c>
      <c r="E2628" t="s">
        <v>685</v>
      </c>
    </row>
    <row r="2629" spans="1:5">
      <c r="A2629" t="s">
        <v>20243</v>
      </c>
      <c r="B2629" t="s">
        <v>20244</v>
      </c>
      <c r="C2629" t="s">
        <v>20235</v>
      </c>
      <c r="D2629" t="s">
        <v>20235</v>
      </c>
      <c r="E2629" t="s">
        <v>685</v>
      </c>
    </row>
    <row r="2630" spans="1:5">
      <c r="A2630" t="s">
        <v>20247</v>
      </c>
      <c r="B2630" t="s">
        <v>20248</v>
      </c>
      <c r="C2630" t="s">
        <v>20246</v>
      </c>
      <c r="D2630" t="s">
        <v>20246</v>
      </c>
      <c r="E2630" t="s">
        <v>685</v>
      </c>
    </row>
    <row r="2631" spans="1:5">
      <c r="A2631" t="s">
        <v>20249</v>
      </c>
      <c r="B2631" t="s">
        <v>20250</v>
      </c>
      <c r="C2631" t="s">
        <v>20245</v>
      </c>
      <c r="D2631" t="s">
        <v>20245</v>
      </c>
      <c r="E2631" t="s">
        <v>766</v>
      </c>
    </row>
    <row r="2632" spans="1:5">
      <c r="A2632" t="s">
        <v>20255</v>
      </c>
      <c r="B2632" t="s">
        <v>20256</v>
      </c>
      <c r="C2632" t="s">
        <v>20253</v>
      </c>
      <c r="D2632" t="s">
        <v>20253</v>
      </c>
      <c r="E2632" t="s">
        <v>766</v>
      </c>
    </row>
    <row r="2633" spans="1:5">
      <c r="A2633" t="s">
        <v>20257</v>
      </c>
      <c r="B2633" t="s">
        <v>20258</v>
      </c>
      <c r="C2633" t="s">
        <v>20254</v>
      </c>
      <c r="D2633" t="s">
        <v>20254</v>
      </c>
      <c r="E2633" t="s">
        <v>685</v>
      </c>
    </row>
    <row r="2634" spans="1:5">
      <c r="A2634" t="s">
        <v>20271</v>
      </c>
      <c r="B2634" t="s">
        <v>20272</v>
      </c>
      <c r="C2634" t="s">
        <v>20259</v>
      </c>
      <c r="D2634" t="s">
        <v>20259</v>
      </c>
      <c r="E2634" t="s">
        <v>766</v>
      </c>
    </row>
    <row r="2635" spans="1:5">
      <c r="A2635" s="2">
        <v>104473</v>
      </c>
      <c r="B2635" t="s">
        <v>20273</v>
      </c>
      <c r="C2635" t="s">
        <v>20260</v>
      </c>
      <c r="D2635" t="s">
        <v>20260</v>
      </c>
      <c r="E2635" t="s">
        <v>685</v>
      </c>
    </row>
    <row r="2636" spans="1:5">
      <c r="A2636" s="2">
        <v>50536</v>
      </c>
      <c r="B2636" t="s">
        <v>20274</v>
      </c>
      <c r="C2636" t="s">
        <v>20261</v>
      </c>
      <c r="D2636" t="s">
        <v>20261</v>
      </c>
      <c r="E2636" t="s">
        <v>766</v>
      </c>
    </row>
    <row r="2637" spans="1:5">
      <c r="A2637" s="2">
        <v>104463</v>
      </c>
      <c r="B2637" t="s">
        <v>20275</v>
      </c>
      <c r="C2637" t="s">
        <v>20262</v>
      </c>
      <c r="D2637" t="s">
        <v>20262</v>
      </c>
      <c r="E2637" t="s">
        <v>685</v>
      </c>
    </row>
    <row r="2638" spans="1:5">
      <c r="A2638" s="2">
        <v>104464</v>
      </c>
      <c r="B2638" t="s">
        <v>20276</v>
      </c>
      <c r="C2638" t="s">
        <v>20263</v>
      </c>
      <c r="D2638" t="s">
        <v>20263</v>
      </c>
      <c r="E2638" t="s">
        <v>685</v>
      </c>
    </row>
    <row r="2639" spans="1:5">
      <c r="A2639" s="2">
        <v>104465</v>
      </c>
      <c r="B2639" t="s">
        <v>20277</v>
      </c>
      <c r="C2639" t="s">
        <v>20264</v>
      </c>
      <c r="D2639" t="s">
        <v>20264</v>
      </c>
      <c r="E2639" t="s">
        <v>685</v>
      </c>
    </row>
    <row r="2640" spans="1:5">
      <c r="A2640" s="2">
        <v>104466</v>
      </c>
      <c r="B2640" t="s">
        <v>20278</v>
      </c>
      <c r="C2640" t="s">
        <v>20265</v>
      </c>
      <c r="D2640" t="s">
        <v>20265</v>
      </c>
      <c r="E2640" t="s">
        <v>685</v>
      </c>
    </row>
    <row r="2641" spans="1:5">
      <c r="A2641" s="2">
        <v>104467</v>
      </c>
      <c r="B2641" t="s">
        <v>20279</v>
      </c>
      <c r="C2641" t="s">
        <v>20266</v>
      </c>
      <c r="D2641" t="s">
        <v>20266</v>
      </c>
      <c r="E2641" t="s">
        <v>685</v>
      </c>
    </row>
    <row r="2642" spans="1:5">
      <c r="A2642" s="2">
        <v>104468</v>
      </c>
      <c r="B2642" t="s">
        <v>20280</v>
      </c>
      <c r="C2642" t="s">
        <v>20267</v>
      </c>
      <c r="D2642" t="s">
        <v>20267</v>
      </c>
      <c r="E2642" t="s">
        <v>685</v>
      </c>
    </row>
    <row r="2643" spans="1:5">
      <c r="A2643" s="2">
        <v>104469</v>
      </c>
      <c r="B2643" t="s">
        <v>20281</v>
      </c>
      <c r="C2643" t="s">
        <v>20268</v>
      </c>
      <c r="D2643" t="s">
        <v>20268</v>
      </c>
      <c r="E2643" t="s">
        <v>685</v>
      </c>
    </row>
    <row r="2644" spans="1:5">
      <c r="A2644" s="2">
        <v>104470</v>
      </c>
      <c r="B2644" t="s">
        <v>20282</v>
      </c>
      <c r="C2644" t="s">
        <v>20269</v>
      </c>
      <c r="D2644" t="s">
        <v>20269</v>
      </c>
      <c r="E2644" t="s">
        <v>685</v>
      </c>
    </row>
    <row r="2645" spans="1:5">
      <c r="A2645" t="s">
        <v>20283</v>
      </c>
      <c r="B2645" t="s">
        <v>20284</v>
      </c>
      <c r="C2645" t="s">
        <v>20270</v>
      </c>
      <c r="D2645" t="s">
        <v>20270</v>
      </c>
      <c r="E2645" t="s">
        <v>685</v>
      </c>
    </row>
    <row r="2646" spans="1:5">
      <c r="A2646">
        <v>104475</v>
      </c>
      <c r="B2646" t="s">
        <v>20289</v>
      </c>
      <c r="C2646" t="s">
        <v>20288</v>
      </c>
      <c r="D2646" t="s">
        <v>20288</v>
      </c>
      <c r="E2646" t="s">
        <v>766</v>
      </c>
    </row>
  </sheetData>
  <autoFilter ref="A1:C2608" xr:uid="{1BB19BBD-C4FB-4013-A979-7315F3A5F26B}"/>
  <phoneticPr fontId="3" type="noConversion"/>
  <conditionalFormatting sqref="B2593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C678-1CD3-416F-B22B-DD1137FC42DE}">
  <dimension ref="A1"/>
  <sheetViews>
    <sheetView topLeftCell="A19" workbookViewId="0">
      <selection activeCell="V65" sqref="V65"/>
    </sheetView>
  </sheetViews>
  <sheetFormatPr defaultRowHeight="12.7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5BBAB605A114DBA444D2D7EE33F2D" ma:contentTypeVersion="12" ma:contentTypeDescription="Create a new document." ma:contentTypeScope="" ma:versionID="7166c5000703583632698ae4f9cda6f8">
  <xsd:schema xmlns:xsd="http://www.w3.org/2001/XMLSchema" xmlns:xs="http://www.w3.org/2001/XMLSchema" xmlns:p="http://schemas.microsoft.com/office/2006/metadata/properties" xmlns:ns2="f6f39189-e0e5-45fb-b189-1c3591ccddf5" xmlns:ns3="e75a3887-c45b-41d2-ad82-a2a0aade1d69" targetNamespace="http://schemas.microsoft.com/office/2006/metadata/properties" ma:root="true" ma:fieldsID="fe319eabf2b892d03edc545cf0f88c6b" ns2:_="" ns3:_="">
    <xsd:import namespace="f6f39189-e0e5-45fb-b189-1c3591ccddf5"/>
    <xsd:import namespace="e75a3887-c45b-41d2-ad82-a2a0aade1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39189-e0e5-45fb-b189-1c3591ccdd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a3887-c45b-41d2-ad82-a2a0aade1d6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829E59-9DB7-4B81-8A74-FF13557AEF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DA4C6C1-2797-4AFD-A5CB-C695886CB0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f39189-e0e5-45fb-b189-1c3591ccddf5"/>
    <ds:schemaRef ds:uri="e75a3887-c45b-41d2-ad82-a2a0aade1d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A15694-AC1D-4A81-A8CA-9E4E491680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GFS Entry</vt:lpstr>
      <vt:lpstr>Allocation</vt:lpstr>
      <vt:lpstr>Cash Calc.</vt:lpstr>
      <vt:lpstr>Salary-FTE</vt:lpstr>
      <vt:lpstr>Email</vt:lpstr>
      <vt:lpstr>FTE</vt:lpstr>
      <vt:lpstr>GFS Cube</vt:lpstr>
      <vt:lpstr>Account</vt:lpstr>
      <vt:lpstr>Cost Center</vt:lpstr>
      <vt:lpstr>CC by Segment</vt:lpstr>
      <vt:lpstr>Email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Okello</dc:creator>
  <cp:lastModifiedBy>Lisa Nordling</cp:lastModifiedBy>
  <dcterms:created xsi:type="dcterms:W3CDTF">2022-02-03T18:20:32Z</dcterms:created>
  <dcterms:modified xsi:type="dcterms:W3CDTF">2026-06-23T14:07:52Z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0x0101009CD5BBAB605A114DBA444D2D7EE33F2D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